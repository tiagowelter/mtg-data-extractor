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vulsas" sheetId="1" r:id="rId5"/>
    <sheet state="visible" name="Página5" sheetId="2" r:id="rId6"/>
    <sheet state="visible" name="BulkShopee" sheetId="3" r:id="rId7"/>
    <sheet state="visible" name="CMDAssemble" sheetId="4" r:id="rId8"/>
  </sheets>
  <definedNames/>
  <calcPr/>
</workbook>
</file>

<file path=xl/sharedStrings.xml><?xml version="1.0" encoding="utf-8"?>
<sst xmlns="http://schemas.openxmlformats.org/spreadsheetml/2006/main" count="28280" uniqueCount="8065">
  <si>
    <t>Nome</t>
  </si>
  <si>
    <t>Tipo</t>
  </si>
  <si>
    <t>Raridade</t>
  </si>
  <si>
    <t>Descrição magia</t>
  </si>
  <si>
    <t>Custo mana</t>
  </si>
  <si>
    <t>Cor(cores)</t>
  </si>
  <si>
    <t>Preço minimo</t>
  </si>
  <si>
    <t>Coleção</t>
  </si>
  <si>
    <t>É foil?</t>
  </si>
  <si>
    <t>Ano</t>
  </si>
  <si>
    <t>Poder</t>
  </si>
  <si>
    <t>Qtd</t>
  </si>
  <si>
    <t>Total</t>
  </si>
  <si>
    <t>Nature's Panoply / Panóplia da Natureza</t>
  </si>
  <si>
    <t>Mágica Instantânea</t>
  </si>
  <si>
    <t>Comum</t>
  </si>
  <si>
    <t>Esforço — Panóplia da Natureza custa 2G a mais para ser conjurado para cada alvo além do primeiro. Escolha qualquer número de criaturas alvo. Coloque um marcador +1/+1 em cada uma delas.</t>
  </si>
  <si>
    <t>G</t>
  </si>
  <si>
    <t>Verde</t>
  </si>
  <si>
    <t>Journey into Nyx</t>
  </si>
  <si>
    <t>Não</t>
  </si>
  <si>
    <t>Entregar ao Pó</t>
  </si>
  <si>
    <t>Incomum</t>
  </si>
  <si>
    <t>Esforço — Entregar ao Pó custa 2G a mais para ser conjurado para cada alvo além do primeiro. Destrua qualquer número de artefatos e/ou encantamentos alvo.</t>
  </si>
  <si>
    <t>2G</t>
  </si>
  <si>
    <t>Heróis Colossais</t>
  </si>
  <si>
    <t>Esforço — Heróis Colossais custa 1G a mais para ser conjurado para cada alvo além do primeiro. Qualquer número de criaturas alvo recebe +2/+2 até o final do turno. Desvire aquelas criaturas.</t>
  </si>
  <si>
    <t>Humbler of Mortals / Humilhador de Mortais</t>
  </si>
  <si>
    <t>Criatura Encantamento — Elemental</t>
  </si>
  <si>
    <t>Constelação — Toda vez que Humilhador de Mortais ou outro encantamento entra no campo de batalha sob seu controle, as criaturas que você controla ganham atropelar até o final do turno.</t>
  </si>
  <si>
    <t>4GG</t>
  </si>
  <si>
    <t>Sim</t>
  </si>
  <si>
    <t>Market Festival / Festival do Mercado</t>
  </si>
  <si>
    <t>Encantamento — Aura</t>
  </si>
  <si>
    <t>Encantar terreno Toda vez que o terreno encantado é virado para gerar mana, seu controlador adiciona dois manas de qualquer combinação de cores à sua reserva de mana (além do mana que o terreno gera).</t>
  </si>
  <si>
    <t>3G</t>
  </si>
  <si>
    <t>Ciclope Glutão</t>
  </si>
  <si>
    <t>Criatura — Ciclope</t>
  </si>
  <si>
    <t>5RR: Monstruosidade 3. (Se esta criatura não for monstruosa, coloque três marcadores +1/+1 nela e ela se tornará monstruosa.)</t>
  </si>
  <si>
    <t>5R</t>
  </si>
  <si>
    <t>Vermelha</t>
  </si>
  <si>
    <t>Enigma do Relâmpago</t>
  </si>
  <si>
    <t>Escolha uma criatura ou jogador alvo. Use vidência 3 e revele o card do topo do seu grimório. Enigma do Relâmpago causa àquela criatura ou jogador uma quantidade de dano equivalente ao custo de mana convertido daquele card. (Para usar vidência 3, olhe os três cards do topo do seu grimório. Depois, coloque qualquer número deles no fundo do seu grimório e o resto no topo em qualquer ordem.)</t>
  </si>
  <si>
    <t>3RR</t>
  </si>
  <si>
    <t>Javali Presa de Navalha</t>
  </si>
  <si>
    <t>Criatura — Javali</t>
  </si>
  <si>
    <t>Intimidar (Esta criatura só pode ser bloqueada por criaturas artefato e/ou criaturas que compartilhem uma cor com ela.)</t>
  </si>
  <si>
    <t>3R</t>
  </si>
  <si>
    <t>Incitar a Turba</t>
  </si>
  <si>
    <t>Esforço — Incitar a Turba custa 2R a mais para ser conjurado para cada alvo além do primeiro. Qualquer número de criaturas alvo recebe +2/+0 e ganha atropelar até o final do turno.</t>
  </si>
  <si>
    <t>R</t>
  </si>
  <si>
    <t>Lagarto Rúnico</t>
  </si>
  <si>
    <t>Criatura — Lagarto</t>
  </si>
  <si>
    <t>Toda vez que Lagarto Rúnico atacar, use vidência 1. (Olhe o card do topo de seu grimório. Você pode colocar aquele card no fundo de seu grimório.)</t>
  </si>
  <si>
    <t>1R</t>
  </si>
  <si>
    <t>Minotauro Pensativo</t>
  </si>
  <si>
    <t>Criatura — Minotauro Guerreiro</t>
  </si>
  <si>
    <t>A Campeã e seus companheiros marcharam durante a noite, mas a batalha terminou antes que chegassem. Em meio à carnificina, estava sentado um solitário minotauro, perdido no que pareciam ser pensamentos para a Campeã. — A Teríada</t>
  </si>
  <si>
    <t>2R</t>
  </si>
  <si>
    <t>Chuva de Estrelas</t>
  </si>
  <si>
    <t>Chuva de Estrelas causa 3 pontos de dano à criatura alvo. Se aquela criatura for um encantamento, Chuva de Estrelas causará 3 pontos de dano ao controlador daquela criatura.</t>
  </si>
  <si>
    <t>4R</t>
  </si>
  <si>
    <t>Fonte da Ira</t>
  </si>
  <si>
    <t>Encantamento</t>
  </si>
  <si>
    <t>3R, Sacrifique Fonte da Ira: Fonte da Ira causa 5 pontos de dano ao jogador alvo.</t>
  </si>
  <si>
    <t>Esguicho de Magma</t>
  </si>
  <si>
    <t>Esguicho de Magma causa 2 pontos de dano à criatura alvo. Se aquela criatura for morrer neste turno, em vez disso, exile-a.</t>
  </si>
  <si>
    <t>Comoção de Chifres</t>
  </si>
  <si>
    <t>Feitiço</t>
  </si>
  <si>
    <t>Coloque no campo de batalha duas fichas de criatura vermelhas 2/3 do tipo Minotauro com ímpeto.</t>
  </si>
  <si>
    <t>Vontade do Flamividente</t>
  </si>
  <si>
    <t>Encantar criatura que você controla A criatura encantada recebe +1/+1. Toda vez que a criatura encantada causa dano de combate a um jogador, você pode sacrificar Vontade do Flamividente. Se fizer isso, destrua o artefato alvo.</t>
  </si>
  <si>
    <t>Diadema de Raios</t>
  </si>
  <si>
    <t>Encantar criatura Quando Diadema de Raios entra no campo de batalha, ele causa 2 pontos de dano à criatura ou jogador alvo. A criatura encantada recebe +2/+2.</t>
  </si>
  <si>
    <t>Hoplita Sátiro</t>
  </si>
  <si>
    <t>Criatura — Sátiro Soldado</t>
  </si>
  <si>
    <t>Heroico — Toda vez que você conjurar uma mágica cujo alvo seja Hoplita Sátiro, coloque um marcador +1/+1 em Hoplita Sátiro.</t>
  </si>
  <si>
    <t>Sentinela Forjada em Ouro</t>
  </si>
  <si>
    <t>Criatura Artefato — Quimera</t>
  </si>
  <si>
    <t>Voar</t>
  </si>
  <si>
    <t>Incolor</t>
  </si>
  <si>
    <t>Alojamento do Desertor</t>
  </si>
  <si>
    <t>Artefato</t>
  </si>
  <si>
    <t>Você pode escolher não desvirar Alojamento do Desertor durante sua etapa de desvirar. 6, {T}: Vire a criatura alvo. Ela não será desvirada durante a etapa de desvirar de seu controlador enquanto Alojamento do Desertor permanecer virado.</t>
  </si>
  <si>
    <t>Estrela-do-mar Rúnica</t>
  </si>
  <si>
    <t>Criatura — Estrela-do-mar</t>
  </si>
  <si>
    <t>{T}: Vidência 1. (Olhe o card do topo de seu grimório. Você pode colocar aquele card no fundo de seu grimório.)</t>
  </si>
  <si>
    <t>1U</t>
  </si>
  <si>
    <t>Azul</t>
  </si>
  <si>
    <t>0/3</t>
  </si>
  <si>
    <t>Devoradora de Tassa</t>
  </si>
  <si>
    <t>Constelação — Toda vez que Devoradora de Tassa ou outro encantamento entra no campo de batalha sob o seu controle, o jogador alvo coloca os dois cards do topo do grimório dele no próprio cemitério.</t>
  </si>
  <si>
    <t>4U</t>
  </si>
  <si>
    <t>Polvo Caçador de Deuses</t>
  </si>
  <si>
    <t>Criatura — Polvo</t>
  </si>
  <si>
    <t>Polvo Caçador de Deuses não pode atacar a menos que o jogador defensor controle um encantamento ou uma permanente encantada.</t>
  </si>
  <si>
    <t>5U</t>
  </si>
  <si>
    <t>Cravar na Terra</t>
  </si>
  <si>
    <t>Encantar criatura A criatura encantada recebe -6/-0.</t>
  </si>
  <si>
    <t>Ladrão Ousado</t>
  </si>
  <si>
    <t>Criatura — Humano Ladino</t>
  </si>
  <si>
    <t>Rara</t>
  </si>
  <si>
    <t>Inspirado — Toda vez que Ladrão Ousado é desvirado, você pode permutar o controle de uma permanente alvo que não seja terreno sob seu controle por uma permanente alvo sob o controle de um oponente que tenha o mesmo tipo de card.</t>
  </si>
  <si>
    <t>2U</t>
  </si>
  <si>
    <t>Battlefield Thaumaturge / Taumaturgo da Batalha</t>
  </si>
  <si>
    <t>Criatura — Humano Mago</t>
  </si>
  <si>
    <t>Cada mágica instantânea e feitiço que você conjura custa 1 a menos para ser conjurado para cada criatura que tiver como alvo. Heroico — Toda vez que você conjura uma mágica cujo alvo é Taumaturgo da Batalha, Taumaturgo da Batalha ganha resistência a magia até o final do turno.</t>
  </si>
  <si>
    <t>Flagelo das Frotas</t>
  </si>
  <si>
    <t>Criatura — Kraken</t>
  </si>
  <si>
    <t>Quando Flagelo das Frotas entrar no campo de batalha, devolva cada criatura controlada pelos seus oponentes com resistência X ou menos para a mão de seu dono, sendo X o número de Ilhas que você controla.</t>
  </si>
  <si>
    <t>5UU</t>
  </si>
  <si>
    <t>Formação Aérea</t>
  </si>
  <si>
    <t>Esforço — Formação Aérea custa 2U a mais para ser conjurado para cada alvo além do primeiro. Qualquer número de criaturas alvo recebe +1/+1 e ganha voar até o final do turno.</t>
  </si>
  <si>
    <t>U</t>
  </si>
  <si>
    <t>Talassido Vigia-costa</t>
  </si>
  <si>
    <t>Criatura — Tritão Ladino</t>
  </si>
  <si>
    <t>Talassido Vigia-costa não pode ser bloqueado.</t>
  </si>
  <si>
    <t>Hubris / Arrogância</t>
  </si>
  <si>
    <t>Devolva a criatura alvo e todas as Auras anexadas a ela para as mãos de seus donos.</t>
  </si>
  <si>
    <t>Font of Fortunes / Fonte das Fortunas</t>
  </si>
  <si>
    <t>1U, Sacrifique Fonte das Fortunas: Compre dois cards.</t>
  </si>
  <si>
    <t>Cloaked Siren / Sirena Camuflada</t>
  </si>
  <si>
    <t>Criatura — Sirena</t>
  </si>
  <si>
    <t>Lampejo (Você poderá conjurar esta mágica a qualquer momento em que puder conjurar uma mágica instantânea.) Voar</t>
  </si>
  <si>
    <t>3U</t>
  </si>
  <si>
    <t>Interpret the Signs / Interpretar os Sinais</t>
  </si>
  <si>
    <t>Use vidência 3 e revele o card do topo do seu grimório. Compre um número de cards equivalente ao custo de mana convertido daquele card. (Para usar vidência 3, olhe os três cards do topo do seu grimório. Depois, coloque qualquer número deles no fundo do seu grimório e o resto no topo em qualquer ordem.)</t>
  </si>
  <si>
    <t>Countermand / Contra-ordem</t>
  </si>
  <si>
    <t>Anule a mágica alvo. Seu controlador coloca os quatro cards do topo do grimório dele no próprio cemitério.</t>
  </si>
  <si>
    <t>2UU</t>
  </si>
  <si>
    <t>Crystalline Nautilus / Náutilo Cristalino</t>
  </si>
  <si>
    <t>Criatura Encantamento — Náutilo</t>
  </si>
  <si>
    <t>Agraciar 3UU (Se você conjurar este card pagando seu custo de agraciar, ele será uma mágica de Aura com encantar criatura. Ele se tornará novamente uma criatura se não estiver anexado a uma criatura.) Quando Náutilo Cristalino se tornar alvo de uma mágica ou habilidade, sacrifique-o. A criatura encantada recebe +4/+4 e tem "Quando esta criatura for alvo de uma mágica ou habilidade, sacrifique-a."</t>
  </si>
  <si>
    <t>War-Wing Siren / Sirena Asa-de-guerra</t>
  </si>
  <si>
    <t>Criatura — Sirena Soldado</t>
  </si>
  <si>
    <t>Voar Heroico — Toda vez que você conjura uma mágica cujo alvo seja Sirena Asa-de-guerra, coloque um marcador +1/+1 em Sirena Asa-de-guerra.</t>
  </si>
  <si>
    <t>Hour of Need / Hora da Necessidade</t>
  </si>
  <si>
    <t>Esforço — Hora da Necessidade custa 1U a mais para ser conjurado para cada alvo além do primeiro. Exile qualquer número de criaturas alvo. Para cada criatura exilada desta forma, seu controlador coloca no campo de batalha uma ficha de criatura 4/4 azul do tipo Esfinge com voar.</t>
  </si>
  <si>
    <t>Whitewater Naiads / Náiades das Corredeiras</t>
  </si>
  <si>
    <t>Criatura Encantamento — Ninfa</t>
  </si>
  <si>
    <t>Constelação — Toda vez que Náiades das Corredeiras ou outro encantamento entrar no campo de batalha sob seu controle, a criatura alvo não poderá ser bloqueada neste turno.</t>
  </si>
  <si>
    <t>3UU</t>
  </si>
  <si>
    <t>Triton Cavalry / Cavalaria Talassida</t>
  </si>
  <si>
    <t>Criatura — Tritão Soldado</t>
  </si>
  <si>
    <t>Heroico — Toda vez que você conjura uma mágica cujo alvo seja Cavalaria Talassida, você poderá devolver o encantamento alvo para a mão de seu dono.</t>
  </si>
  <si>
    <t>Kiora's Dismissal / Exoneração de Kiora</t>
  </si>
  <si>
    <t>Esforço — Exoneração de Kiora custa U a mais para ser conjurado para cada alvo além do primeiro. Devolva qualquer número de encantamentos alvo para as mãos de seus donos.</t>
  </si>
  <si>
    <t>Godsend / Mensageira dos Deuses</t>
  </si>
  <si>
    <t>Artefato Lendário — Equipamento</t>
  </si>
  <si>
    <t>Mítica</t>
  </si>
  <si>
    <t>A criatura equipada recebe +3/+3. Toda vez que a criatura equipada bloquear ou for bloqueada por uma ou mais criaturas, você poderá exilar uma daquelas criaturas. Os oponentes não podem conjurar cards com o mesmo nome de cards exilados por Mensageira dos Deuses. Equipar 3</t>
  </si>
  <si>
    <t>1WW</t>
  </si>
  <si>
    <t>Branco</t>
  </si>
  <si>
    <t>Kruphix, God of Horizons / Crufix, Deus dos Horizontes</t>
  </si>
  <si>
    <t>Criatura Encantamento Lendária — Deus</t>
  </si>
  <si>
    <t>Indestrutível Enquanto sua devoção ao verde e ao azul for menor que sete, Crufix não será uma criatura. Não há limite para o número máximo de cards em sua mão. Se o mana não usado for ser esvaziado da sua reserva de mana, em vez disso, aquele mana se tornará incolor.</t>
  </si>
  <si>
    <t>3GU</t>
  </si>
  <si>
    <t>Multicolorido</t>
  </si>
  <si>
    <t>Pharika, God of Affliction / Fárica, Deusa do Padecimento</t>
  </si>
  <si>
    <t>Legendary Enchantment Creature — God / Criatura Encantamento Lendária — Deus</t>
  </si>
  <si>
    <t>Mythic / Mítica</t>
  </si>
  <si>
    <t>Indestructible As long as your devotion to black and green is less than seven, Pharika isn't a creature. {B}{G}: Exile target creature card from a graveyard. Its owner creates a 1/1 black and green Snake enchantment creature token with deathtouch. / Indestrutível Enquanto sua devoção ao preto e ao verde for menor que sete, Fárica não será uma criatura. {B}{G}: Exile o card de criatura alvo de um cemitério. Seu dono coloca no campo de batalha uma ficha de criatura encantamento preta e verde 1/1 do tipo Cobra com toque mortífero.</t>
  </si>
  <si>
    <t>{1}{B}{G}</t>
  </si>
  <si>
    <t>Preto, Verde</t>
  </si>
  <si>
    <t>Journey into Nyx (JOU)</t>
  </si>
  <si>
    <t>Athreos, God of Passage / Athreos, Deus da Passagem</t>
  </si>
  <si>
    <t>Indestrutível Enquanto sua devoção ao branco e ao preto for menor que sete, Athreos não será uma criatura. Toda vez que outra criatura que você controla morrer, devolva aquele card para sua mão, a menos que o oponente alvo pague 3 vidas.</t>
  </si>
  <si>
    <t>1WB</t>
  </si>
  <si>
    <t>Blinding Flare / Clarão Cegante</t>
  </si>
  <si>
    <t>Esforço — Clarão Cegante custa R a mais para ser conjurado para cada alvo além do primeiro. Qualquer número de criaturas alvo não pode bloquear neste turno.</t>
  </si>
  <si>
    <t>Vermelho</t>
  </si>
  <si>
    <t>Forgeborn Oreads / Oréades Nascidas da Forja</t>
  </si>
  <si>
    <t>Constelação — Toda vez que Oréades Nascidas da Forja ou outro encantamento entrar no campo de batalha sob seu controle, Oréades Nascidas da Forja causa 1 ponto de dano à criatura ou ao jogador alvo.</t>
  </si>
  <si>
    <t>2RR</t>
  </si>
  <si>
    <t>Revel of the Fallen God / Festança do Deus Caído</t>
  </si>
  <si>
    <t>Todas as criaturas recebem +2/-2 até o final do turno.</t>
  </si>
  <si>
    <t>Bearer of the Heavens / Sustentáculo do Firmamento</t>
  </si>
  <si>
    <t>Criatura — Gigante</t>
  </si>
  <si>
    <t>Quando Sustentáculo do Firmamento morrer, destrua todas as permanentes no início da próxima etapa final.</t>
  </si>
  <si>
    <t>7R</t>
  </si>
  <si>
    <t>Mogis's Warhound / Rancor de Mogis</t>
  </si>
  <si>
    <t>Rancor de Mogis causa à criatura alvo uma quantidade de dano igual ao número de cards de mágica instantânea e feitiço no seu cemitério. Vidência 1. (Olhe o card do topo de seu grimório. Você pode colocar aquele card no fundo de seu grimório.)</t>
  </si>
  <si>
    <t>Cinder Cerberus / Cérbero Incendiário</t>
  </si>
  <si>
    <t>Criatura — Sabujo</t>
  </si>
  <si>
    <t>5RR: Monstruosidade 1. (Se esta criatura não for monstruosa, coloque um marcador +1/+1 nela e ela se tornará monstruosa.) Quando Cérbero Incendiário se torna monstruoso, ele causa 2 pontos de dano a cada oponente e a cada criatura controlada pelos seus oponentes.</t>
  </si>
  <si>
    <t>Spawn of Thraxes / Prole de Traxes</t>
  </si>
  <si>
    <t>Criatura — Dragão</t>
  </si>
  <si>
    <t>Voar Quando Prole de Traxes entra no campo de batalha, ele causa ao jogador ou à criatura alvo uma quantidade de dano igual ao número de Montanhas que você controla.</t>
  </si>
  <si>
    <t>5RR</t>
  </si>
  <si>
    <t>Evolving Wilds / Terras em Evolução</t>
  </si>
  <si>
    <t>Terreno</t>
  </si>
  <si>
    <t>T, Sacrifique Evolving Wilds: Procure em seu grimório por um card de terreno básico e coloque-o no campo de batalha virado. Depois, embaralhe seu grimório.</t>
  </si>
  <si>
    <t>Nenhum</t>
  </si>
  <si>
    <t>Duel Decks: Speed vs. Cunning</t>
  </si>
  <si>
    <t xml:space="preserve">Ikoria: Terra de Colossos </t>
  </si>
  <si>
    <t>Nomad Outpost / Posto Avançado Nômade</t>
  </si>
  <si>
    <t>Nomad Outpost entra no campo de batalha virado. T: Adicione R, W ou B à sua reserva de mana.</t>
  </si>
  <si>
    <t>Ghitu Encampment / Acampamento Ghitu</t>
  </si>
  <si>
    <t>Ghitu Encampment entra no campo de batalha virado. T: Adicione R à sua reserva de mana. 1R: Ghitu Encampment torna-se uma criatura 2/1 vermelha do tipo Guerreiro com iniciativa até o final do turno. Ainda é um terreno.</t>
  </si>
  <si>
    <t>Flame-Kin Zealot / Zelote da Tribo das Chamas</t>
  </si>
  <si>
    <t>Criatura — Elemental Berserker</t>
  </si>
  <si>
    <t>Quando Flame-Kin Zealot entra no campo de batalha, criaturas que você controla recebem +1/+1 e ganham ímpeto até o final do turno.</t>
  </si>
  <si>
    <t>1RW</t>
  </si>
  <si>
    <t>Goblin Deathraiders / Saqueadores da Morte Goblins</t>
  </si>
  <si>
    <t>Criatura — Goblino Guerreiro</t>
  </si>
  <si>
    <t>Atropelar</t>
  </si>
  <si>
    <t>BR</t>
  </si>
  <si>
    <t>Shambling Remains / Restos Cambaleantes</t>
  </si>
  <si>
    <t>Criatura — Zumbi Horror</t>
  </si>
  <si>
    <t>Shambling Remains não pode bloquear. Desenterrar BR (BR: Devolva este card de seu cemitério para o campo de batalha. Ele ganha ímpeto. Exile-o no início da próxima etapa final ou se ele sair do campo de batalha. Desenterre apenas como um feitiço.)</t>
  </si>
  <si>
    <t>1BR</t>
  </si>
  <si>
    <t>Zurgo Helmsmasher / Zurgo Destruidor de Elmos</t>
  </si>
  <si>
    <t>Criatura Lendária — Orc Guerreiro</t>
  </si>
  <si>
    <t>Ímpeto. Zurgo Destruidor de Elmos ataca a cada combate se estiver apto. Zurgo Destruidor de Elmos tem indestrutível enquanto for o seu turno. Toda vez que uma criatura sofrer dano de Zurgo Destruidor de Elmos neste turno morrer, coloque um marcador +1/+1 em Zurgo Destruidor de Elmos.</t>
  </si>
  <si>
    <t>2RWB</t>
  </si>
  <si>
    <t>Beetleback Chief / Chefe de Costas de Besouro</t>
  </si>
  <si>
    <t>Quando Chefe de Costas de Besouro entra no campo de batalha, coloque duas fichas de criatura 1/1 vermelha do tipo Goblino no campo de batalha.</t>
  </si>
  <si>
    <t>Fiery Fall / Queda Flamejante</t>
  </si>
  <si>
    <t>Queda Flamejante causa 5 de dano à criatura alvo. Reciclagem de terreno básico 1R (1R, descarte este card: Procure em seu grimório por um card de terreno básico, revele-o e coloque-o em sua mão. Depois, embaralhe seu grimório.)</t>
  </si>
  <si>
    <t>Hell's Thunder / Trovão do Inferno</t>
  </si>
  <si>
    <t>Criatura — Elemental</t>
  </si>
  <si>
    <t>Voar, ímpeto. No início da etapa final, sacrifique Trovão do Inferno. Desenterrar 4R (4R: Devolva este card de seu cemitério para o campo de batalha. Ele ganha ímpeto. Exile-o no início da próxima etapa final ou se ele sair do campo de batalha. Desenterre apenas como um feitiço.)</t>
  </si>
  <si>
    <t>1RR</t>
  </si>
  <si>
    <t>Shock / Choque</t>
  </si>
  <si>
    <t>Choque causa 2 de dano à criatura ou ao jogador alvo.</t>
  </si>
  <si>
    <t>Reckless Abandon / Abandono Impetuoso</t>
  </si>
  <si>
    <t>Como custo adicional para conjurar Abandono Impetuoso, sacrifique uma criatura. Abandono Impetuoso causa 4 de dano à criatura ou ao jogador alvo.</t>
  </si>
  <si>
    <t>Oni of Wild Places / Oni de Lugares Selvagens</t>
  </si>
  <si>
    <t>Criatura — Demônio Espírito</t>
  </si>
  <si>
    <t>Ímpeto. No início da sua manutenção, devolva uma criatura vermelha que você controla para a mão de seu dono.</t>
  </si>
  <si>
    <t>Scourge Devil / Diabo do Flagelo</t>
  </si>
  <si>
    <t>Criatura — Diabo</t>
  </si>
  <si>
    <t>Quando Diabo do Flagelo entra no campo de batalha, criaturas que você controla recebem +1/+0 até o final do turno. Desenterrar 2R (2R: Devolva este card de seu cemitério para o campo de batalha. Ele ganha ímpeto. Exile-o no início da próxima etapa final ou se ele sair do campo de batalha. Desenterre apenas como um feitiço.)</t>
  </si>
  <si>
    <t>Act of Treason / Ato de Traição</t>
  </si>
  <si>
    <t>Ganhe o controle da criatura alvo até o final do turno. Desvire aquela criatura. Ela ganha ímpeto até o final do turno.</t>
  </si>
  <si>
    <t>Lealdade em Ravnica</t>
  </si>
  <si>
    <t>Goblin Bombardment / Bombardeio de Goblins</t>
  </si>
  <si>
    <t>Sacrifique uma criatura: Bombardeio de Goblins causa 1 de dano à criatura ou ao jogador alvo.</t>
  </si>
  <si>
    <t>Arc Trail / Trilha de Arco</t>
  </si>
  <si>
    <t>Trilha de Arco causa 2 de dano à criatura ou ao jogador alvo e 1 de dano a outra criatura ou outro jogador alvo.</t>
  </si>
  <si>
    <t>Orcish Cannonade / Canoneio Orc</t>
  </si>
  <si>
    <t>Canoneio Orc causa 2 de dano à criatura ou ao jogador alvo e 3 de dano a você. Compre um card.</t>
  </si>
  <si>
    <t>Banefire / Fogo do Flagelo</t>
  </si>
  <si>
    <t>Fogo do Flagelo causa X de dano à criatura ou ao jogador alvo. Se X for igual ou superior a 5, Fogo do Flagelo não pode ser anulado por mágicas ou habilidades e o dano não pode ser prevenido.</t>
  </si>
  <si>
    <t>XR</t>
  </si>
  <si>
    <t>Fury of the Horde / Fúria da Horda</t>
  </si>
  <si>
    <t>Você pode exilar dois cards vermelhos de sua mão em vez de pagar o custo de mana de Fúria da Horda. Desvire todas as criaturas que atacaram neste turno. Após esta fase principal, há uma fase de combate adicional seguida por uma fase principal adicional.</t>
  </si>
  <si>
    <t>Ogre Battledriver / Condutor de Guerra Ogro</t>
  </si>
  <si>
    <t>Criatura — Ogro Guerreiro</t>
  </si>
  <si>
    <t>Toda vez que outra criatura entrar no campo de batalha sob o seu controle, aquela criatura receberá +2/+0 e ganhará ímpeto até o final do turno.</t>
  </si>
  <si>
    <t>Krenko, Mob Boss / Krenko, Chefe da Turba</t>
  </si>
  <si>
    <t>Criatura Lendária — Goblino Guerreiro</t>
  </si>
  <si>
    <t>{T}: Coloque no campo de batalha X fichas de criatura 1/1 vermelhas do tipo Goblino, sendo X o número de Goblinos que você controla.</t>
  </si>
  <si>
    <t>Frenzied Goblin / Goblino Enlouquecido</t>
  </si>
  <si>
    <t>Criatura — Goblino Berserker</t>
  </si>
  <si>
    <t>Toda vez que Goblino Enlouquecido atacar, você poderá pagar {R}. Se fizer isso, a criatura alvo não poderá bloquear neste turno.</t>
  </si>
  <si>
    <t>Hellraiser Goblin / Goblino Desordeiro</t>
  </si>
  <si>
    <t>As criaturas que você controla têm ímpeto e atacam a cada combate se estiverem aptas.</t>
  </si>
  <si>
    <t>Goblin Warchief / Chefe de Guerra Goblino</t>
  </si>
  <si>
    <t>As mágicas de Goblino que você conjura custam {1} a menos para serem conjuradas. As criaturas do tipo Goblino que você controla têm ímpeto.</t>
  </si>
  <si>
    <t>Mardu Heart-Piercer / Perfurador de Corações Mardu</t>
  </si>
  <si>
    <t>Criatura — Humano Arqueiro</t>
  </si>
  <si>
    <t>Incursão — Quando Perfurador de Corações Mardu entra no campo de batalha, se você atacou com uma criatura neste turno, Perfurador de Corações Mardu causa 2 de dano à criatura ou ao jogador alvo.</t>
  </si>
  <si>
    <t>Dauntless Onslaught / Embestida Intrépida</t>
  </si>
  <si>
    <t>Até duas criaturas alvo recebem +2/+2 até o final do turno.</t>
  </si>
  <si>
    <t>2W</t>
  </si>
  <si>
    <t>Leonin Snarecaster / Lançador de Redes Leonino</t>
  </si>
  <si>
    <t>Criatura — Gato Soldado</t>
  </si>
  <si>
    <t>Quando Lançador de Redes Leonino entra no campo de batalha, você pode virar a criatura alvo.</t>
  </si>
  <si>
    <t>1W</t>
  </si>
  <si>
    <t>Infantry Veteran / Veterano da Infantaria</t>
  </si>
  <si>
    <t>Criatura — Humano Soldado</t>
  </si>
  <si>
    <t>{T}: A criatura atacante alvo recebe +1/+1 até o final do turno.</t>
  </si>
  <si>
    <t>W</t>
  </si>
  <si>
    <t>Bone Splinters / Estilhaços de Osso</t>
  </si>
  <si>
    <t>Como custo adicional para conjurar Estilhaços de Osso, sacrifique uma criatura. Destrua a criatura alvo.</t>
  </si>
  <si>
    <t>B</t>
  </si>
  <si>
    <t>Preto</t>
  </si>
  <si>
    <t>Core Set 2020</t>
  </si>
  <si>
    <t>Fleshbag Marauder / Saqueador de Bolsas de Carne</t>
  </si>
  <si>
    <t>Criatura — Zumbi Guerreiro</t>
  </si>
  <si>
    <t>Quando Saqueador de Bolsas de Carne entra no campo de batalha, cada jogador sacrifica uma criatura.</t>
  </si>
  <si>
    <t>2B</t>
  </si>
  <si>
    <t>Magic Origens</t>
  </si>
  <si>
    <t xml:space="preserve">Commander Anthology 2018 </t>
  </si>
  <si>
    <t>Sparkmage Apprentice / Aprendiz de Piromante de Centelhas</t>
  </si>
  <si>
    <t>Quando Aprendiz de Piromante de Centelhas entra no campo de batalha, ele causa 1 de dano à criatura ou ao jogador alvo.</t>
  </si>
  <si>
    <t>Inferno Trap / Armadilha de Inferno</t>
  </si>
  <si>
    <t>Mágica Instantânea — Armadilha</t>
  </si>
  <si>
    <t>Se tiver recebido dano de duas ou mais criaturas neste turno, você poderá pagar {R} em vez de pagar o custo de mana de Armadilha de Inferno. Armadilha de Inferno causa 4 de dano à criatura alvo.</t>
  </si>
  <si>
    <t>Terramorphic Expanse / Imensidão Terramórfica</t>
  </si>
  <si>
    <t>{T}, Sacrifique Imensidão Terramórfica: Procure em seu grimório por um card de terreno básico e coloque-o no campo de batalha virado. Depois, embaralhe seu grimório.</t>
  </si>
  <si>
    <t>Não encontrado</t>
  </si>
  <si>
    <t>Terramorphic Expanse / Vastidão Morfoterrena</t>
  </si>
  <si>
    <t>Land / Terreno</t>
  </si>
  <si>
    <t>Common / Comum</t>
  </si>
  <si>
    <t>{T}, Sacrifice this land: Search your library for a basic land card, put it onto the battlefield tapped, then shuffle. / {T}, sacrifique Vastidão Morfoterrena: Procure um card de terreno básico em seu grimório, coloque-o no campo de batalha virado e depois embaralhe seu grimório.</t>
  </si>
  <si>
    <t>Secrets of Strixhaven (SOS)</t>
  </si>
  <si>
    <t>Mystic Monastery / Monastério Místico</t>
  </si>
  <si>
    <t>Monastério Místico entra no campo de batalha virado. {T}: Adicione {U}, {R} ou {W} à sua reserva de mana.</t>
  </si>
  <si>
    <t>Lightning Angel / Anjo de Relâmpagos</t>
  </si>
  <si>
    <t>Criatura — Anjo</t>
  </si>
  <si>
    <t>Voar, vigilância, ímpeto</t>
  </si>
  <si>
    <t>1RWU</t>
  </si>
  <si>
    <t>Steam Augury / Augúrio de Vapor</t>
  </si>
  <si>
    <t>Revele os cinco cards do topo de seu grimório e separe-os em dois montes. Um oponente escolhe um daqueles montes. Coloque aquele monte em sua mão e o outro em seu cemitério.</t>
  </si>
  <si>
    <t>2UR</t>
  </si>
  <si>
    <t>Hussar Patrol / Patrulha Hússara</t>
  </si>
  <si>
    <t>Criatura — Humano Cavaleiro</t>
  </si>
  <si>
    <t>Lampejo (Você poderá conjurar esta mágica a qualquer momento em que puder conjurar uma mágica instantânea.) Vigilância</t>
  </si>
  <si>
    <t>2WU</t>
  </si>
  <si>
    <t>Lightning Helix / Hélice de Raios</t>
  </si>
  <si>
    <t>Hélice de Raios causa 3 de dano à criatura ou ao jogador alvo e você ganha 3 de vida.</t>
  </si>
  <si>
    <t>RW</t>
  </si>
  <si>
    <t>Arrow Volley Trap / Armadilha de Salva de Flechas</t>
  </si>
  <si>
    <t>Se quatro ou mais criaturas estiverem atacando, você poderá pagar {1}{W} em vez de pagar o custo de mana de Armadilha de Salva de Flechas. Armadilha de Salva de Flechas causa 5 de dano divididos como você escolher entre qualquer número de criaturas atacantes alvo.</t>
  </si>
  <si>
    <t>3WW</t>
  </si>
  <si>
    <t>Lone Missionary / Missionário Solitário</t>
  </si>
  <si>
    <t>Criatura — Kor Monge</t>
  </si>
  <si>
    <t>Quando Missionário Solitário entra no campo de batalha, você ganha 4 de vida.</t>
  </si>
  <si>
    <t>Master Decoy / Mestre de Iscas</t>
  </si>
  <si>
    <t>{W}, {T}: Vire a criatura alvo.</t>
  </si>
  <si>
    <t>Hold the Line / Manter a Posição</t>
  </si>
  <si>
    <t>As criaturas bloqueadoras recebem +7/+7 até o final do turno.</t>
  </si>
  <si>
    <t>Stonecloaker / Ocultador de Pedra</t>
  </si>
  <si>
    <t>Criatura — Gárgula</t>
  </si>
  <si>
    <t>Lampejo (Você poderá conjurar esta mágica a qualquer momento em que puder conjurar uma mágica instantânea.) Voar. Quando Ocultador de Pedra entra no campo de batalha, devolva uma criatura que você controla para a mão de seu dono. Quando Ocultador de Pedra entra no campo de batalha, exile o card alvo de um cemitério.</t>
  </si>
  <si>
    <t>Kor Hookmaster / Mestre dos Ganchos Kor</t>
  </si>
  <si>
    <t>Criatura — Kor Soldado</t>
  </si>
  <si>
    <t>Quando Mestre dos Ganchos Kor entra no campo de batalha, vire a criatura alvo que um oponente controla. Aquela criatura não é desvirada durante a próxima etapa de desvirar de seu controlador.</t>
  </si>
  <si>
    <t>Swift Justice / Justiça Veloz</t>
  </si>
  <si>
    <t>Até o final do turno, a criatura alvo recebe +1/+0 e ganha iniciativa e vínculo com a vida.</t>
  </si>
  <si>
    <t>Stave Off / Rechaçar</t>
  </si>
  <si>
    <t>A criatura alvo ganha proteção contra a cor de sua escolha até o final do turno. (Ela não pode ser bloqueada, alvo, receber dano ou ser encantada por nada daquela cor.)</t>
  </si>
  <si>
    <t>Thousand Winds / Mil Ventos</t>
  </si>
  <si>
    <t>Voar. Metamorfose {5}{U}{U} (Você pode conjurar este card com a face voltada para baixo como uma criatura 2/2 por {3}. Volte a sua face para cima a qualquer momento pagando seu custo de metamorfose.) Quando Mil Ventos for voltada com a face para cima, devolva todas as outras criaturas viradas para as mãos de seus donos.</t>
  </si>
  <si>
    <t>4UU</t>
  </si>
  <si>
    <t>Arcanis the Omnipotent / Arcanis, o Onipotente</t>
  </si>
  <si>
    <t>Criatura Lendária — Mago</t>
  </si>
  <si>
    <t>Mítica Rara</t>
  </si>
  <si>
    <t>{T}: Compre três cards. {2}{U}{U}: Devolva Arcanis, o Onipotente para a mão de seu dono.</t>
  </si>
  <si>
    <t>3UUU</t>
  </si>
  <si>
    <t>Aquamorph Entity / Entidade Aquamorfa</t>
  </si>
  <si>
    <t>Criatura — Transmorfo</t>
  </si>
  <si>
    <t>Conforme Entidade Aquamorfa entra no campo de batalha ou é voltada para cima, ela se torna de sua escolha 5/1 ou 1/5. Metamorfose {2}{U} (Você pode conjurar este card com a face voltada para baixo como uma criatura 2/2 por {3}. Volte a sua face para cima a qualquer momento pagando seu custo de metamorfose.)</t>
  </si>
  <si>
    <t>*/*</t>
  </si>
  <si>
    <t>Faerie Impostor / Impostor Fada</t>
  </si>
  <si>
    <t>Criatura — Fada Ladino</t>
  </si>
  <si>
    <t>Voar. Quando Impostor Fada entra no campo de batalha, sacrifique-o, a menos que você devolva outra criatura que controla para a mão de seu dono.</t>
  </si>
  <si>
    <t>Fathom Seer / Vidente das Profundezas</t>
  </si>
  <si>
    <t>Criatura — Ilusão</t>
  </si>
  <si>
    <t>Metamorfose — Devolva duas Ilhas que você controla para a mão de seu dono. (Você pode conjurar este card com a face voltada para baixo como uma criatura 2/2 por {3}. Volte a sua face para cima a qualquer momento pagando seu custo de metamorfose.) Quando Vidente das Profundezas for voltada com a face para cima, compre dois cards.</t>
  </si>
  <si>
    <t>Coral Trickster / Trapaceiro do Coral</t>
  </si>
  <si>
    <t>Criatura — Sereia Ladino</t>
  </si>
  <si>
    <t>Metamorfose {U} (Você pode conjurar este card com a face voltada para baixo como uma criatura 2/2 por {3}. Volte a sua face para cima a qualquer momento pagando seu custo de metamorfose.) Quando Trapaceiro do Coral for voltada com a face para cima, você poderá virar ou desvirar a permanente alvo.</t>
  </si>
  <si>
    <t>Traumatic Visions / Visões Traumáticas</t>
  </si>
  <si>
    <t>Anule a mágica alvo. Reciclar terreno básico {1}{U} ({1}{U}, Descarte este card: Procure em seu grimório por um card de terreno básico, revele-o e coloque-o em sua mão. Depois, embaralhe seu grimório.)</t>
  </si>
  <si>
    <t>Sphinx of Uthuun / Esfinge de Uthuun</t>
  </si>
  <si>
    <t>Criatura — Esfinge</t>
  </si>
  <si>
    <t>Voar. Quando Esfinge de Uthuun entra no campo de batalha, revele os cinco cards do topo de seu grimório. Um oponente separa aqueles cards em dois montes. Coloque um monte em sua mão e o outro em seu cemitério.</t>
  </si>
  <si>
    <t>Echo Tracer / Rastreável por Eco</t>
  </si>
  <si>
    <t>Metamorfose {2}{U} (Você pode conjurar este card com a face voltada para baixo como uma criatura 2/2 por {3}. Volte a sua face para cima a qualquer momento pagando seu custo de metamorfose.) Quando Rastreável por Eco for voltada com a face para cima, devolva a criatura alvo para a mão de seu dono.</t>
  </si>
  <si>
    <t>Willbender / Dobrador de Vontades</t>
  </si>
  <si>
    <t>Metamorfose {1}{U} (Você pode conjurar este card com a face voltada para baixo como uma criatura 2/2 por {3}. Volte a sua face para cima a qualquer momento pagando seu custo de metamorfose.) Quando Dobrador de Vontades for voltada com a face para cima, mude o alvo da mágica ou habilidade alvo com um único alvo.</t>
  </si>
  <si>
    <t>Jeskai Elder / Ancião Jeskai</t>
  </si>
  <si>
    <t>Criatura — Humano Monge</t>
  </si>
  <si>
    <t>Destreza (Sempre que você conjurar uma mágica que não seja de criatura, esta criatura receberá +1/+1 até o final do turno.) Sempre que Ancião Jeskai causar dano de combate a um jogador, você poderá comprar um card. Se fizer isso, descarte um card.</t>
  </si>
  <si>
    <t>Whiplash Trap / Armadilha do Efeito Chicote</t>
  </si>
  <si>
    <t>Se um oponente teve duas ou mais criaturas entrando no campo de batalha sob o controle dele ou dela este turno, você pode pagar {U} em vez de pagar o custo de mana de Armadilha do Efeito Chicote. Devolva duas criaturas alvo para as mãos de seus donos.</t>
  </si>
  <si>
    <t>Repeal / Revogar</t>
  </si>
  <si>
    <t>Devolva a permanente não de terreno alvo com custo de mana convertido X para a mão de seu dono. Compre um card.</t>
  </si>
  <si>
    <t>XU</t>
  </si>
  <si>
    <t>Fleeting Distraction / Distração Passageira</t>
  </si>
  <si>
    <t>A criatura alvo recebe -1/-0 até o final do turno. Compre um card.</t>
  </si>
  <si>
    <t>Faerie Invaders / Invasores Fadas</t>
  </si>
  <si>
    <t>Lampejo (Você poderá conjurar esta mágica a qualquer momento em que puder conjurar uma mágica instantânea.) Voar.</t>
  </si>
  <si>
    <t>Mana Leak / Fuga de Mana</t>
  </si>
  <si>
    <t>Anule a mágica alvo, a menos que seu controlador pague {3}.</t>
  </si>
  <si>
    <t>Instant / Mágica Instantânea</t>
  </si>
  <si>
    <t>Counter target spell unless its controller pays {3}. / Anule a mágica alvo, a menos que seu controlador pague {3}.</t>
  </si>
  <si>
    <t>{1}{U}</t>
  </si>
  <si>
    <t>Magic 2012 (M12)</t>
  </si>
  <si>
    <t>Impulse / Impulso</t>
  </si>
  <si>
    <t>Olhe os quatro cards do topo de seu grimório. Coloque um deles em sua mão e o restante no fundo de seu grimório em qualquer ordem.</t>
  </si>
  <si>
    <t>Call the Mountain Chocobo</t>
  </si>
  <si>
    <t>Sorcery</t>
  </si>
  <si>
    <t>Search your library for a Mountain card, reveal it, put it into your hand, then shuffle. Create a 2/2 green Bird creature token with "Whenever a land you control enters, this token gets +1/+0 until end of turn." Flashback 5R (You may cast this card from your graveyard for its flashback cost. Then exile it.)</t>
  </si>
  <si>
    <t>Final Fantasy (FFVII)</t>
  </si>
  <si>
    <t>Summon: G.F. Ifrit</t>
  </si>
  <si>
    <t>Enchantment Creature — Saga Demon</t>
  </si>
  <si>
    <t>(As this Saga enters and after your draw step, add a lore counter. Sacrifice after IV.) I, II — You may discard a card. If you do, draw a card. III, IV — Add R.</t>
  </si>
  <si>
    <t>Final Fantasy (FFVIII)</t>
  </si>
  <si>
    <t>Sandworm</t>
  </si>
  <si>
    <t>Creature — Worm</t>
  </si>
  <si>
    <t>Haste When this creature enters, destroy target land. Its controller may search their library for a basic land card, put it onto the battlefield tapped, then shuffle.</t>
  </si>
  <si>
    <t>Final Fantasy (FFV)</t>
  </si>
  <si>
    <t>Sorceress's Schemes / Planos da Feiticeira</t>
  </si>
  <si>
    <t>Devolva o card de mágica instantânea ou de feitiço alvo de seu cemitério ou o card exilado alvo com flashback que você possui para a sua mão. Adicione {R}. Recapitular {4}{R} (Você pode conjurar este card de seu cemitério pagando seu custo de recapitular. Depois, exile-o.)</t>
  </si>
  <si>
    <t>Final Fantasy</t>
  </si>
  <si>
    <t>Self-Destruct / Autodestruição</t>
  </si>
  <si>
    <t>A criatura alvo que você controla causa X de dano a qualquer outro alvo e X de dano a si mesma, onde X é o poder dela.</t>
  </si>
  <si>
    <t>Haste Magic / Magia de Ímpeto</t>
  </si>
  <si>
    <t>A criatura alvo recebe +3/+1 e ganha ímpeto até o final do turno. Exile o card do topo de seu grimório. Você pode jogá-lo até a sua próxima etapa final.</t>
  </si>
  <si>
    <t>Red Mage's Rapier / Rapieira do Mago Vermelho</t>
  </si>
  <si>
    <t>Artefato — Equipamento</t>
  </si>
  <si>
    <t>Seleção de classe (Quando este Equipamento entrar, crie uma ficha de criatura Herói incolor 1/1 e depois anexe isto a ela.) A criatura equipada tem "Sempre que você conjurar uma mágica que não seja de criatura, esta criatura receberá +2/+0 até o final do turno" e é um Mago além de seus outros tipos. Equipar {3}</t>
  </si>
  <si>
    <t>Hill Gigas / Gigas das Colinas</t>
  </si>
  <si>
    <t>Atropelar, ímpeto. Reciclar montanha {2} ({2}, Descarte este card: Procure em seu grimório por um card de Montanha, revele-o e coloque-o em sua mão. Depois, embaralhe seu grimório.)</t>
  </si>
  <si>
    <t>4RR</t>
  </si>
  <si>
    <t>Warrior's Sword / Espada do Guerreiro</t>
  </si>
  <si>
    <t>Seleção de classe (Quando este Equipamento entrar, crie uma ficha de criatura Herói incolor 1/1 e depois anexe isto a ela.) A criatura equipada recebe +3/+2 e é um Guerreiro além de seus outros tipos. Equipar {5} ({5}: Anexe à criatura alvo que você controla. Equipe somente como um feitiço.)</t>
  </si>
  <si>
    <t>Barret Wallace / Barret Wallace</t>
  </si>
  <si>
    <t>Criatura Lendária — Humano Rebelde</t>
  </si>
  <si>
    <t>Alcance. Sempre que Barret Wallace atacar, ele causa dano igual ao número de criaturas equipadas que você controla ao jogador defensor.</t>
  </si>
  <si>
    <t>Prompto Argentum / Prompto Argentum</t>
  </si>
  <si>
    <t>Criatura Lendária — Humano Batedor</t>
  </si>
  <si>
    <t>Ímpeto. Foto de Selfie — Sempre que você conjurar uma mágica que não seja de criatura, se pelo menos quatro manas tiverem sido gastos para conjurá-la, crie uma ficha de Tesouro.</t>
  </si>
  <si>
    <t>Mysidian Elder / Ancião de Mysidia</t>
  </si>
  <si>
    <t>Quando esta criatura entrar, crie uma ficha de criatura Mago preta 0/1 com "Sempre que você conjurar uma mágica que não seja de criatura, esta ficha causará 1 de dano a cada oponente."</t>
  </si>
  <si>
    <t>Item Shopkeep / Balconista de Itens</t>
  </si>
  <si>
    <t>Criatura — Humano Cidadão</t>
  </si>
  <si>
    <t>Sempre que você atacar, a criatura equipada atacante alvo ganha ameaça até o final do turno. (Ela não pode ser bloqueada a não ser por duas ou mais criaturas.)</t>
  </si>
  <si>
    <t>Sabotender</t>
  </si>
  <si>
    <t>Criatura — Planta</t>
  </si>
  <si>
    <t>Alcance. Terrente — Sempre que um terreno entra sob o seu controle, esta criatura causa 1 de dano a cada oponente.</t>
  </si>
  <si>
    <t>Suplex / Suplex</t>
  </si>
  <si>
    <t>Escolha um — • Suplex causa 3 de dano à criatura alvo. Se aquela criatura fosse morrer este turno, em vez disso, exile-a. • Exile o artefato alvo.</t>
  </si>
  <si>
    <t>Laughing Mad / Loucura Risonha</t>
  </si>
  <si>
    <t>Como custo adicional para conjurar esta mágica, descarte um card. Compre dois cards. Recapitular {3}{R} (Você pode conjurar este card de seu cemitério pagando seu custo de recapitular e quaisquer custos adicionais. Depois, exile-o.)</t>
  </si>
  <si>
    <t>Blazing Bomb / Bomba Flamejante</t>
  </si>
  <si>
    <t>Sempre que você conjurar uma mágica que não seja de criatura, se pelo menos quatro manas tiverem sido gastos para conjurá-la, coloque um marcador +1/+1 nesta criatura. Explodir — {T}, Sacrifique esta criatura: Ela causa dano igual ao seu poder à criatura alvo. Ative somente como um feitiço.</t>
  </si>
  <si>
    <t>Raubahn, Bull of Ala Mhigo / Raubahn, Touro de Ala Mhigo</t>
  </si>
  <si>
    <t>Criatura Lendária — Humano Guerreiro</t>
  </si>
  <si>
    <t>Salvaguarda — Pague uma quantidade de vida igual ao poder de Raubahn. Sempre que Raubahn atacar, anexe até um Equipamento alvo que você controla à criatura atacante alvo.</t>
  </si>
  <si>
    <t>Gilgamesh, Master-at-Arms / Gilgamesh, Mestre de Armas</t>
  </si>
  <si>
    <t>Criatura Lendária — Humano Samurai</t>
  </si>
  <si>
    <t>Sempre que Gilgamesh entrar ou atacar, olhe os seis cards do topo de seu grimório. Você pode colocar qualquer número de cards de Equipamento dentre eles no campo de batalha. Coloque o restante no fundo de seu grimório em uma ordem aleatória. Quando você colocar um ou mais Equipamentos no campo de batalha deste modo, você pode anexar um deles a um Samurai que você controla.</t>
  </si>
  <si>
    <t>Triple Triad / Tríade Tripla</t>
  </si>
  <si>
    <t>No início de sua manutenção, cada jogador exile o card do topo do próprio grimório. Até o final do turno, você pode jogar o card de sua propriedade exilado deste modo e cada outro card exilado deste modo com valor de mana inferior a ele sem pagar seus custos de mana.</t>
  </si>
  <si>
    <t>3RRR</t>
  </si>
  <si>
    <t>Thrum of the Vestige / Rumor do Vestígio</t>
  </si>
  <si>
    <t>Rumor do Vestígio causa 3 de dano a qualquer alvo.</t>
  </si>
  <si>
    <t>Sidequest: Play Blitzball / Missão Secundária: Jogar Blitzball</t>
  </si>
  <si>
    <t>No início do combate no seu turno, a criatura alvo que você controla recebe +2/+0 até o final do turno. No final do combate no seu turno, se um jogador sofreu 6 ou mais pontos de dano de combate neste turno, transforme este encantamento e depois anexe-o a uma criatura que você controla.</t>
  </si>
  <si>
    <t>Samurai's Katana / Katana do Samurai</t>
  </si>
  <si>
    <t>Seleção de classe (Quando este Equipamento entrar, crie uma ficha de criatura Herói incolor 1/1 e depois anexe isto a ela.) A criatura equipada recebe +2/+2, tem atropelar e ímpeto, e é um Samurai além de seus outros tipos. Murasame — Equipar {5}</t>
  </si>
  <si>
    <t>Thunder Magic / Magia de Trovão</t>
  </si>
  <si>
    <t>Em camadas (Escolha um custo adicional.) • Thunder — {0} — Magia de Trovão causa 2 de dano à criatura alvo. • Thundara — {3} — Magia de Trovão causa 4 de dano à criatura alvo. • Thundaga — {5}{R} — Magia de Trovão causa 8 de dano à criatura alvo.</t>
  </si>
  <si>
    <t>Light of Judgment / Luz do Julgamento</t>
  </si>
  <si>
    <t>Luz do Julgamento causa 6 de dano à criatura alvo. Destrua até um Equipamento anexado àquela criatura.</t>
  </si>
  <si>
    <t>Unexpected Request / Pedido Inesperado</t>
  </si>
  <si>
    <t>Ganhe o controle da criatura alvo até o final do turno. Desvire aquela criatura. Ela ganha ímpeto até o final do turno. Você pode anexar um Equipamento que você controla àquela criatura. Se fizer isso, desanexe-o no início da próxima etapa final.</t>
  </si>
  <si>
    <t>Queen Brahne / Rainha Brahne</t>
  </si>
  <si>
    <t>Criatura Lendária — Humano Nobre</t>
  </si>
  <si>
    <t>Destreza (Sempre que você conjurar uma mágica que não seja de criatura, esta criatura receberá +1/+1 até o final do turno.) Sempre que Rainha Brahne atacar, crie uma ficha de criatura Mago preta 0/1 com "Sempre que você conjurar uma mágica que não seja de criatura, esta ficha causará 1 de dano a cada oponente."</t>
  </si>
  <si>
    <t>Zidane, Tantalus Thief / Zidane, Ladrão do Tantalus</t>
  </si>
  <si>
    <t>Criatura Lendária — Humano Mutante Batedor</t>
  </si>
  <si>
    <t>Quando Zidane entrar, ganhe o controle da criatura alvo que um oponente controla até o final do turno. Desvire-a. Ela ganha vínculo com a vida e ímpeto até o final do turno. Sempre que um oponente ganhar o controle de uma permanente sua, crie uma ficha de Tesouro.</t>
  </si>
  <si>
    <t>3RW</t>
  </si>
  <si>
    <t>Vermelho e Branco</t>
  </si>
  <si>
    <t>Giott, King of the Dwarves</t>
  </si>
  <si>
    <t>Legendary Creature — Dwarf Noble</t>
  </si>
  <si>
    <t>Double strike Whenever Giott or another Dwarf you control enters and whenever an Equipment you control enters, you may discard a card. If you do, draw a card.</t>
  </si>
  <si>
    <t>Vermelha e Branca</t>
  </si>
  <si>
    <t>Final Fantasy (FFIV)</t>
  </si>
  <si>
    <t>Sin, Spira's Punishment / Sin, O Castigo de Spira</t>
  </si>
  <si>
    <t>Criatura Lendária — Leviatã Avatar</t>
  </si>
  <si>
    <t>Voar. Sempre que Sin entrar ou atacar, exile um card de permanente aleatório de seu cemitério e depois crie uma ficha virada que seja uma cópia daquele card. Se o card exilado for um card de terreno, repita este processo.</t>
  </si>
  <si>
    <t>4BGU</t>
  </si>
  <si>
    <t>Preto, Verde e Azul</t>
  </si>
  <si>
    <t>The Wandering Minstrel / O Menestrel Errante</t>
  </si>
  <si>
    <t>Criatura Lendária — Humano Bardo</t>
  </si>
  <si>
    <t>Os terrenos que você controla entram desvirados. A Balada do Menestrel — No início do combate no seu turno, se você controlar cinco ou mais Vilas, crie uma ficha de criatura Elemental 2/2 de todas as cores. {3}{W}{U}{B}{R}{G}: As outras criaturas que você controla recebem +X/+X até o final do turno, onde X é o número de Vilas que você controla.</t>
  </si>
  <si>
    <t>GU</t>
  </si>
  <si>
    <t>Verde e Azul</t>
  </si>
  <si>
    <t>Tellah, Great Sage / Tellah, Grande Sábio</t>
  </si>
  <si>
    <t>Criatura Lendária — Humano Mago</t>
  </si>
  <si>
    <t>Sempre que você conjurar uma mágica que não seja de criatura, crie uma ficha de criatura Herói incolor 1/1. Se quatro ou mais manas tiverem sido gastos para conjurar aquela mágica, compre dois cards. Se oito ou mais manas tiverem sido gastos para conjurar aquela mágica, sacrifique Tellah e ele causará aquela quantidade de dano a cada oponente.</t>
  </si>
  <si>
    <t>3UR</t>
  </si>
  <si>
    <t>Azul e Vermelho</t>
  </si>
  <si>
    <t>Noctis, Prince of Lucis / Noctis, Príncipe de Lucis</t>
  </si>
  <si>
    <t>Vínculo com a vida. Você pode conjurar mágicas de artefato de seu cemitério pagando 3 de vida além de pagar seus outros custos. Se você conjurar uma mágica deste modo, aquele artefato entra com um marcador de finalidade.</t>
  </si>
  <si>
    <t>1WUB</t>
  </si>
  <si>
    <t>Branco, Azul e Preto</t>
  </si>
  <si>
    <t>Preto Waltz No. 3 / Valsa Negra N.º 3</t>
  </si>
  <si>
    <t>Voar, toque mortífero. Sempre que você conjurar uma mágica que não seja de criatura, Valsa Negra N.º 3 causa 2 de dano a cada oponente.</t>
  </si>
  <si>
    <t>2BR</t>
  </si>
  <si>
    <t>Preto e Vermelho</t>
  </si>
  <si>
    <t>Rydia, Summoner of Mist / Rydia, Invocadora de Névoa</t>
  </si>
  <si>
    <t>Criatura Lendária — Humano Xamã</t>
  </si>
  <si>
    <t>Terrente — Sempre que um terreno entra sob o seu controle, você pode descartar um card. Se fizer isso, compre um card. Invocação — {X}, {T}: Devolva o card de Saga alvo com valor de mana X de seu cemitério para o campo de batalha com um marcador de finalidade. Ela ganha ímpeto até o final do turno. Ative somente como um feitiço.</t>
  </si>
  <si>
    <t>RG</t>
  </si>
  <si>
    <t>Vermelho e Verde</t>
  </si>
  <si>
    <t>Locke Cole / Locke Cole</t>
  </si>
  <si>
    <t>Criatura Lendária — Humano Ladino</t>
  </si>
  <si>
    <t>Toque mortífero, vínculo com a vida. Sempre que Locke Cole causar dano de combate a um jogador, compre um card e depois descarte um card.</t>
  </si>
  <si>
    <t>1UB</t>
  </si>
  <si>
    <t>Azul e Preto</t>
  </si>
  <si>
    <t>Rinoa Heartilly</t>
  </si>
  <si>
    <t>Legendary Creature — Human Rebel Warlock</t>
  </si>
  <si>
    <t>When Rinoa Heartilly enters, create Angelo, a legendary 1/1 green and white Dog creature token. Angelo Cannon — Whenever Rinoa Heartilly attacks, another target creature you control gets +1/+1 until end of turn for each creature you control.</t>
  </si>
  <si>
    <t>3GW</t>
  </si>
  <si>
    <t>Verde e Branca</t>
  </si>
  <si>
    <t>Rufus Shinra / Rufus Shinra</t>
  </si>
  <si>
    <t>Sempre que Rufus Shinra atacar, se você não controlar uma criatura chamada Darkstar, crie Darkstar, uma ficha de criatura lendária Cão branca e preta 2/2.</t>
  </si>
  <si>
    <t>Branco e Preto</t>
  </si>
  <si>
    <t>Crossroads Village / Vilarejo da Encruzilhada</t>
  </si>
  <si>
    <t>Terreno — Vila</t>
  </si>
  <si>
    <t>Este terreno entra virado. Conforme entra, escolha uma cor. {T}: Adicione um mana da cor escolhida.</t>
  </si>
  <si>
    <t>Sharlayan, Nation of Scholars / Sharlayan, Nação de Estudiosos</t>
  </si>
  <si>
    <t>Este terreno entra virado. {T}: Adicione {W} ou {U}.</t>
  </si>
  <si>
    <t>Guadosalam, Farplane Gateway / Guadosalam, Portal do Além</t>
  </si>
  <si>
    <t>Este terreno entra virado. {T}: Adicione {G} ou {U}.</t>
  </si>
  <si>
    <t>Vector, Imperial Capital / Vector, Capital Imperial</t>
  </si>
  <si>
    <t>Este terreno entra virado. {T}: Adicione {B} ou {R}.</t>
  </si>
  <si>
    <t>Windurst, Federation Center / Windurst, Centro da Federação</t>
  </si>
  <si>
    <t>Este terreno entra virado. {T}: Adicione {G} ou {W}.</t>
  </si>
  <si>
    <t>Gohn, Town of Ruin / Gohn, Vila das Ruínas</t>
  </si>
  <si>
    <t>Este terreno entra virado. {T}: Adicione {B} ou {G}.</t>
  </si>
  <si>
    <t>Treno, Dark City / Treno, Cidade Sombria</t>
  </si>
  <si>
    <t>Este terreno entra virado. {T}: Adicione {U} ou {B}.</t>
  </si>
  <si>
    <t>Insomnia, Crown City / Insomnia, Cidade da Coroa</t>
  </si>
  <si>
    <t>Este terreno entra virado. {T}: Adicione {W} ou {B}.</t>
  </si>
  <si>
    <t>Gongaga, Reactor Town / Gongaga, Vila do Reator</t>
  </si>
  <si>
    <t>Este terreno entra virado. {T}: Adicione {R} ou {G}.</t>
  </si>
  <si>
    <t>Baron, Airship Kingdom / Baron, Reino dos Navios Voladores</t>
  </si>
  <si>
    <t>Este terreno entra virado. {T}: Adicione {U} ou {R}.</t>
  </si>
  <si>
    <t>Adventurer's Inn / Estalagem do Aventureiro</t>
  </si>
  <si>
    <t>Quando este terreno entrar, você ganha 2 de vida. {T}: Adicione {C}.</t>
  </si>
  <si>
    <t>Rabanastre, Royal City / Rabanastre, Cidade Real</t>
  </si>
  <si>
    <t>Este terreno entra virado. {T}: Adicione {R} ou {W}.</t>
  </si>
  <si>
    <t>Eden, Seat of the Sanctum / Éden, Sede do Sanctum</t>
  </si>
  <si>
    <t>{T}: Adicione {C}. {5}, {T}: Triture dois cards. Depois, você pode sacrificar este terreno. Quando fizer isso, devolva outro card de permanente alvo de seu cemitério para sua mão.</t>
  </si>
  <si>
    <t>The Gold Saucer / O Gold Saucer</t>
  </si>
  <si>
    <t>{T}: Adicione {C}. {2}, {T}: Jogue uma moeda. Se você ganhar na moeda, crie uma ficha de Tesouro. {3}, {T}, Sacrifique dois artefatos: Compre um card.</t>
  </si>
  <si>
    <t>Luka Stadium // Strixhaven Stadium / Estádio de Luka // Estádio de Strixhaven</t>
  </si>
  <si>
    <t>{T}: Adicione {C}. Coloque um marcador de ponto neste artefato. Sempre que uma criatura causar dano de combate a você, remova um marcador de ponto deste artefato. Sempre que uma criatura que você controla causar dano de combate a um oponente, coloque um marcador de ponto neste artefato. Depois, se ele tiver dez ou mais marcadores de ponto, remova todos eles e aquele jogador perde o jogo.</t>
  </si>
  <si>
    <t>Ultima, Origin of Oblivion / Ultima, a Origem do Oblívio</t>
  </si>
  <si>
    <t>Criatura Lendária — Deus</t>
  </si>
  <si>
    <t>Voar. Sempre que Ultima atacar, coloque um marcador de flagelo no terreno alvo. Enquanto aquele terreno tiver um marcador de flagelo, ele perderá todos os tipos de terreno e habilidades e terá "{T}: Adicione {C}". Sempre que você virar um terreno para receber {C}, adicione {C} adicional.</t>
  </si>
  <si>
    <t>The Masamune / A Masamune</t>
  </si>
  <si>
    <t>Enquanto a criatura equipada estiver atacando, ela terá iniciativa e deverá ser bloqueada se apta. A criatura equipada tem "Se a morte de uma criatura fizer com que uma habilidade desencadeada desta criatura ou de um emblema que você possui seja desencadeada, aquela habilidade é desencadeada uma vez adicional." Equipar {2}</t>
  </si>
  <si>
    <t>The Regalia / O Regalia</t>
  </si>
  <si>
    <t>Artefato Lendário — Veículo</t>
  </si>
  <si>
    <t>Ímpeto. Sempre que O Regalia atacar, revele cards do topo de seu grimório até revelar um card de terreno. Coloque aquele card no campo de batalha virado e o restante no fundo de seu grimório em uma ordem aleatória. Tripular 1</t>
  </si>
  <si>
    <t>Iron Giant</t>
  </si>
  <si>
    <t>Artifact Creature — Demon</t>
  </si>
  <si>
    <t>Vigilance, reach, trample</t>
  </si>
  <si>
    <t>Final Fantasy (FFXV)</t>
  </si>
  <si>
    <t>Demon Wall / Parede Demoníaca</t>
  </si>
  <si>
    <t>Criatura Artefato — Demônio Parede</t>
  </si>
  <si>
    <t>Defensor. Ameaça (Esta criatura não pode ser bloqueada a não ser por duas ou mais criaturas.) Enquanto esta criatura tiver um marcador nela, ela poderá atacar como se não tivesse defensor. {5}{B}: Coloque dois marcadores +1/+1 nesta criatura.</t>
  </si>
  <si>
    <t>1{B}</t>
  </si>
  <si>
    <t>World Map</t>
  </si>
  <si>
    <t>Artifact</t>
  </si>
  <si>
    <t>1, T, Sacrifice this artifact: Search your library for a basic land card, reveal it, put it into your hand, then shuffle. 3, T, Sacrifice this artifact: Search your library for a land card, reveal it, put it into your hand, then shuffle.</t>
  </si>
  <si>
    <t>Final Fantasy (FFI)</t>
  </si>
  <si>
    <t>Elixir</t>
  </si>
  <si>
    <t>This artifact enters tapped. 5, T, Exile this artifact: Shuffle all nonland cards from your graveyard into your library. You gain life equal to the number of cards shuffled into your library this way.</t>
  </si>
  <si>
    <t>Lion Heart / Coração de Leão</t>
  </si>
  <si>
    <t>Quando este Equipamento entrar, ele causará 2 de dano a qualquer alvo. A criatura equipada recebe +2/+1. Equipar {2}</t>
  </si>
  <si>
    <t>PuPu UFO / OVNI de PuPu</t>
  </si>
  <si>
    <t>Criatura Artefato — Construto Alienígena</t>
  </si>
  <si>
    <t>Voar. {T}: Você pode colocar um card de terreno de sua mão no campo de batalha. {3}: Até o final do turno, o poder de base desta criatura torna-se igual ao número de Vilas que você controla.</t>
  </si>
  <si>
    <t>0/4</t>
  </si>
  <si>
    <t>Ring of the Lucii / Anel dos Lucii</t>
  </si>
  <si>
    <t>Artefato Lendário</t>
  </si>
  <si>
    <t>{T}: Adicione {C}{C}. {2}, {T}, Pague 1 de vida: Vire a permanente alvo que não seja um terreno.</t>
  </si>
  <si>
    <t>Adventurer's Airship / Navio Voador do Aventureiro</t>
  </si>
  <si>
    <t>Artefato — Veículo</t>
  </si>
  <si>
    <t>Voar. Sempre que este Veículo atacar, compre um card e depois descarte um card. Tripular 2 (Vire qualquer número de criaturas que você controla com poder total igual ou superior a 2: Este Veículo se torna uma criatura artefato até o final do turno.)</t>
  </si>
  <si>
    <t>Magic Pot / Pote Mágico</t>
  </si>
  <si>
    <t>Criatura Artefato — Golem Goblin</t>
  </si>
  <si>
    <t>Quando esta criatura morrer, crie uma ficha de Tesouro. (Ela é um artefato com "{T}, Sacrifique esta ficha: Adicione um mana de qualquer cor.") {2}, {T}: Exile o card alvo de um cemitério.</t>
  </si>
  <si>
    <t>Instant Ramen / Lámen Instantâneo</t>
  </si>
  <si>
    <t>Artefato — Comida</t>
  </si>
  <si>
    <t>Lampejo. Quando este artefato entrar, compre um card. {2}, {T}, Sacrifique este artefato: Você ganha 3 de vida.</t>
  </si>
  <si>
    <t>Lunatic Pandora / Pandora Lunática</t>
  </si>
  <si>
    <t>{2}, {T}: Vigie 1. (Olhe o card do topo de seu grimório. Você pode colocá-lo em seu cemitério.) {6}, {T}, Sacrifique Pandora Lunática: Destrua a permanente alvo que não seja um terreno.</t>
  </si>
  <si>
    <t>Relentless X-ATM092 / X-ATM092 Implacável</t>
  </si>
  <si>
    <t>Criatura Artefato — Robô Aranha</t>
  </si>
  <si>
    <t>Esta criatura não pode ser bloqueada a não ser por três ou mais criaturas. {8}: Devolva este card de seu cemitério para o campo de batalha virado com um marcador de finalidade nele. (Se uma criatura com um marcador de finalidade nele fosse morrer, em vez disso, exile-a.)</t>
  </si>
  <si>
    <t>Blitzball / Blitzball</t>
  </si>
  <si>
    <t>{T}: Adicione um mana de qualquer cor. GOLOOOOOOO! — {T}, Sacrifique este artefato: Compre dois cards. Ative somente se um oponente tiver sofrido dano de combate por uma criatura lendária neste turno.</t>
  </si>
  <si>
    <t>Monk's Fist / Punho do Monge</t>
  </si>
  <si>
    <t>Seleção de classe (Quando este Equipamento entrar, crie uma ficha de criatura Herói incolor 1/1 e depois anexe isto a ela.) A criatura equipada recebe +1/+0 e é um Monge além de seus outros tipos. Equipar {2}</t>
  </si>
  <si>
    <t>Reno and Rude</t>
  </si>
  <si>
    <t>Legendary Creature - Human Assassin</t>
  </si>
  <si>
    <t>Menace. Whenever Reno and Rude deals combat damage to a player, exile the top card of that player's library. Then you may sacrifice another creature or artifact. If you do, you may play the exiled card this turn, and mana of any type can be spent to cast it.</t>
  </si>
  <si>
    <t>1B</t>
  </si>
  <si>
    <t>Shinra Reinforcements</t>
  </si>
  <si>
    <t>Creature — Human Soldier</t>
  </si>
  <si>
    <t>When this creature enters, mill three cards and you gain 3 life. (To mill three cards, put the top three cards of your library into your graveyard.)</t>
  </si>
  <si>
    <t>Preta</t>
  </si>
  <si>
    <t>Gaius van Baelsar</t>
  </si>
  <si>
    <t>Legendary Creature — Human Soldier</t>
  </si>
  <si>
    <t>When Gaius van Baelsar enters, choose one — • Each player sacrifices a creature token of their choice. • Each player sacrifices a nontoken creature of their choice. • Each player sacrifices an enchantment of their choice.</t>
  </si>
  <si>
    <t>2BB</t>
  </si>
  <si>
    <t>Final Fantasy (FFXIV)</t>
  </si>
  <si>
    <t>Resentful Revelation</t>
  </si>
  <si>
    <t>Look at the top three cards of your library. Put one of them into your hand and the rest into your graveyard. Flashback 6B (You may cast this card from your graveyard for its flashback cost. Then exile it.)</t>
  </si>
  <si>
    <t>Cornered by Preto Mages</t>
  </si>
  <si>
    <t>Target opponent sacrifices a creature of their choice. Create a 0/1 Preto Wizard creature token with "Whenever you cast a noncreature spell, this token deals 1 damage to each opponent."</t>
  </si>
  <si>
    <t>1BB</t>
  </si>
  <si>
    <t>Final Fantasy (FFIX)</t>
  </si>
  <si>
    <t>Hecteyes</t>
  </si>
  <si>
    <t>Creature — Ooze Horror</t>
  </si>
  <si>
    <t>When this creature enters, each opponent discards a card.</t>
  </si>
  <si>
    <t>Final Fantasy (FFII)</t>
  </si>
  <si>
    <t>Overkill</t>
  </si>
  <si>
    <t>Instant</t>
  </si>
  <si>
    <t>Target creature gets -0/-9999 until end of turn.</t>
  </si>
  <si>
    <t>Final Fantasy (FFX)</t>
  </si>
  <si>
    <t>Qutrub Forayer</t>
  </si>
  <si>
    <t>Creature — Zombie Horror</t>
  </si>
  <si>
    <t>When this creature enters, choose one — • Destroy target creature that was dealt damage this turn. • Exile up to two target cards from a single graveyard.</t>
  </si>
  <si>
    <t>Final Fantasy (FFXI)</t>
  </si>
  <si>
    <t>Shambling Cie'th / Cie'th Cambaleante</t>
  </si>
  <si>
    <t>Criatura — Mutante Horror</t>
  </si>
  <si>
    <t>Esta criatura entra virada. Sempre que você conjurar uma mágica que não seja de criatura, você pode pagar {B}. Se fizer isso, devolva este card de seu cemitério para sua mão.</t>
  </si>
  <si>
    <t>2{B}</t>
  </si>
  <si>
    <t>Poison the Waters / Envenenar as Águas</t>
  </si>
  <si>
    <t>Escolha um — • Todas as criaturas recebem -1/-1 até o final do turno. • O jogador alvo revela a própria mão. Você escolhe um card de criatura ou de artefato dela. Aquele jogador descarta aquele card.</t>
  </si>
  <si>
    <t>Al Bhed Salvagers / Recicladores Al Bhed</t>
  </si>
  <si>
    <t>Criatura — Humano Artífice Guerreiro</t>
  </si>
  <si>
    <t>Sempre que esta criatura ou outra criatura ou artefato que você controla morrer, o oponente alvo perde 1 de vida e você ganha 1 de vida.</t>
  </si>
  <si>
    <t>Tonberry / Tonberry</t>
  </si>
  <si>
    <t>Criatura — Salamandra Horror</t>
  </si>
  <si>
    <t>Esta criatura entra virada com um marcador de atordoamento nela. (Se ela fosse ser desvirada, em vez disso, remova um marcador de atordoamento dela.) Faca de Chef — Durante o seu turno, esta criatura tem iniciativa e toque mortífero.</t>
  </si>
  <si>
    <t>{B}</t>
  </si>
  <si>
    <t>Undercity Dire Rat / Rato Atroz da Cidade Baixa</t>
  </si>
  <si>
    <t>Criatura — Rato</t>
  </si>
  <si>
    <t>Rabo de Rato — Quando esta criatura morrer, crie uma ficha de Tesouro. (Ela é um artefato com "{T}, Sacrifique esta ficha: Adicione um mana de qualquer cor.")</t>
  </si>
  <si>
    <t>Battle at the Big Bridge // Fatal Push / Batalha na Grande Ponte // Empurrão Fatal</t>
  </si>
  <si>
    <t>Destrua a criatura alvo se ela tiver valor de mana igual ou inferior a 2. Revolta — Em vez disso, destrua aquela criatura se ela tiver valor de mana igual ou inferior a 4 se uma permanente que você controlava tiver deixado o campo de batalha neste turno.</t>
  </si>
  <si>
    <t>Golbez, Clad in Darkness // Syr Konrad, the Grim / Golbez, Trajado em Trevas // Syr Konrad, o Sombrio</t>
  </si>
  <si>
    <t>Criatura Lendária — Humano Cavaleiro</t>
  </si>
  <si>
    <t>Sempre que outra criatura morrer, ou um card de criatura for colocado em um cemitério vindo de qualquer lugar que não seja o campo de batalha, ou um card de criatura deixar o seu cemitério, Golbez causa 1 de dano a cada oponente. {1}{B}: Cada jogador tritura um card.</t>
  </si>
  <si>
    <t>3{B}{B}</t>
  </si>
  <si>
    <t>Kain, Traitorous Dragoon / Kain, Dragão Traidor</t>
  </si>
  <si>
    <t>Salto — Durante o seu turno, Kain tem voar. Sempre que Kain causar dano de combate a um jogador, aquele jogador ganha o controle de Kain. Se fizer isso, você compra aquela mesma quantidade de cards, cria aquela mesma quantidade de fichas de Tesouro viradas e depois perde aquela mesma quantidade de vida.</t>
  </si>
  <si>
    <t>Ardyn, the Usurper / Ardyn, o Usurpador</t>
  </si>
  <si>
    <t>Criatura Lendária — Ancião Humano Nobre</t>
  </si>
  <si>
    <t>Os Demônios que você controla têm ameaçar, vínculo com a vida e ímpeto. Praga das Estrelas — No início do combate no seu turno, exile até um card de criatura alvo de um cemitério. Se exilar um card deste modo, crie uma ficha que é uma cópia daquele card, com a exceção de que é um Demônio preto 5/5.</t>
  </si>
  <si>
    <t>5{B}{B}{B}</t>
  </si>
  <si>
    <t>Vincent Valentine / Vincent Valentine</t>
  </si>
  <si>
    <t>Criatura Lendária — Assassino</t>
  </si>
  <si>
    <t>Sempre que uma criatura que um oponente controla morrer, coloque em Vincent Valentine um número de marcadores +1/+1 igual ao poder daquela criatura. Sempre que Vincent Valentine atacar, você pode transformá-lo.</t>
  </si>
  <si>
    <t>2{B}{B}</t>
  </si>
  <si>
    <t>Fight On! / Continuar Luta!</t>
  </si>
  <si>
    <t>Devolva até dois cards de criatura alvos de seu cemitério para sua mão.</t>
  </si>
  <si>
    <t>Malboro / Malboro</t>
  </si>
  <si>
    <t>Criatura — Planta Horror</t>
  </si>
  <si>
    <t>Mau Hálito — Quando esta criatura entrar, cada oponente descarta um card, perde 2 de vida e exile os três cards do topo de seu grimório. Reciclar Pântano {2} ({2}, Descarte este card: Procure em seu grimório por um card de Pântano, revele-o, coloque-o em sua mão e depois embaralhe.)</t>
  </si>
  <si>
    <t>4{B}{B}</t>
  </si>
  <si>
    <t>Namazu Trader / Comerciante Namazu</t>
  </si>
  <si>
    <t>Criatura — Peixe Cidadão</t>
  </si>
  <si>
    <t>Quando esta criatura entrar, você perde 1 de vida e cria uma ficha de Tesouro. Sempre que esta criatura atacar, você pode sacrificar outra criatura ou artefato. Se fizer isso, vigie 2. (Olhe os dois cards do topo de seu grimório, depois coloque qualquer número deles em seu cemitério e o restante no topo de seu grimório em qualquer ordem.)</t>
  </si>
  <si>
    <t>3{B}</t>
  </si>
  <si>
    <t>Preto Mage's Rod / Bastão do Mago Negro</t>
  </si>
  <si>
    <t>Seleção de classe (Quando este Equipamento entrar, crie uma ficha de criatura Herói incolor 1/1 e depois anexe isto a ela.) A criatura equipada recebe +1/+0, tem "Sempre que você conjurar uma mágica que não seja de criatura, esta criatura causa 1 de dano a cada oponente" e é um Mago além de seus outros tipos. Equipar {3}</t>
  </si>
  <si>
    <t>Sephiroth's Intervention / Intervenção de Sephiroth</t>
  </si>
  <si>
    <t>Destrua a criatura alvo. Você ganha 2 de vida.</t>
  </si>
  <si>
    <t>Circle of Power / Círculo de Poder</t>
  </si>
  <si>
    <t>Você compra dois cards e perde 2 de vida. Crie uma ficha de criatura Mago preta 0/1 com "Sempre que você conjurar uma mágica que não seja de criatura, esta ficha causa 1 de dano a cada oponente." Os Magos que você controla recebem +1/+0 e ganham vínculo com a vida até o final do turno.</t>
  </si>
  <si>
    <t>Ahriman / Ahriman</t>
  </si>
  <si>
    <t>Criatura — Olho Horror</t>
  </si>
  <si>
    <t>Voar, toque mortífero. {3}, Sacrifique outra criatura ou artefato: Compre um card.</t>
  </si>
  <si>
    <t>Vayne's Treachery / Traição de Vayne</t>
  </si>
  <si>
    <t>Reforçar — Sacrifique um artefato ou criatura. (Você pode sacrificar um artefato ou criatura além de quaisquer outros custos conforme conjura esta mágica.) A criatura alvo recebe -2/-2 até o final do turno. Se esta mágica foi reforçada, em vez disso, aquela criatura recebe -6/-6 até o final do turno.</t>
  </si>
  <si>
    <t>The Final Days / Os Dias Finais</t>
  </si>
  <si>
    <t>Crie duas fichas de criatura Horror pretas 2/2 viradas. Se esta mágica foi conjurada de um cemitério, em vez disso, crie X daquelas fichas, onde X é o número de cards de criatura em seu cemitério. Recapitular {4}{B}{B} ({4}{B}{B}, Descarte este card: Você pode conjurar este card de seu cemitério por seu custo de recapitular. Depois, exile-o.)</t>
  </si>
  <si>
    <t>Vincent's Limit Break / Limit Break de Vincent</t>
  </si>
  <si>
    <t>Escalonado (Escolha um custo adicional.) Até o final do turno, a criatura alvo que você controla ganha "Quando esta criatura morrer, devolva-a para o campo de batalha virada sob o controle de seu dono" e tem o poder e a resistência básicos escolhidos. • Galian Beast — {0} — 3/2. • Death Gigas — {1} — 5/2. • Hellmasker — {3} — 7/2.</t>
  </si>
  <si>
    <t>Paladin's Arms</t>
  </si>
  <si>
    <t>Artifact — Equipment</t>
  </si>
  <si>
    <t>Job select (When this Equipment enters, create a 1/1 colorless Hero creature token, then attach this to it.) Equipped creature gets +2/+1, has ward 1, and is a Knight in addition to its other types. Lightbringer and Hero's Shield — Equip 4</t>
  </si>
  <si>
    <t>Branca</t>
  </si>
  <si>
    <t xml:space="preserve">Não </t>
  </si>
  <si>
    <t>Fate of the Sun-Cryst</t>
  </si>
  <si>
    <t>This spell costs 2 less to cast if it targets a tapped creature. Destroy target nonland permanent.</t>
  </si>
  <si>
    <t>4W</t>
  </si>
  <si>
    <t>Final Fantasy (FFXII)</t>
  </si>
  <si>
    <t>You're Not Alone</t>
  </si>
  <si>
    <t>Target creature gets +2/+2 until end of turn. If you control three or more creatures, it gets +4/+4 until end of turn instead.</t>
  </si>
  <si>
    <t>Summon: Choco/Mog</t>
  </si>
  <si>
    <t>Enchantment Creature — Saga Bird Moogle</t>
  </si>
  <si>
    <t>(As this Saga enters and after your draw step, add a lore counter. Sacrifice after IV.) I, II, III, IV — Stampede! — Other creatures you control get +1/+0 until end of turn.</t>
  </si>
  <si>
    <t>Dwarven Castle Guard</t>
  </si>
  <si>
    <t>Creature — Dwarf Soldier</t>
  </si>
  <si>
    <t>When this creature dies, create a 1/1 colorless Hero creature token.</t>
  </si>
  <si>
    <t>The Imperial City of Archades // Wall of Omens / A Cidade Imperial de Archades // Barreira de Augúrios</t>
  </si>
  <si>
    <t>Criatura — Barreira</t>
  </si>
  <si>
    <t>Defensor. Quando esta criatura entrar, compre um card.</t>
  </si>
  <si>
    <t>1{W}</t>
  </si>
  <si>
    <t>Squall Leonhart // Danitha Capashen, Paragon / Squall Leonhart // Danitha Capashen, Exemplar</t>
  </si>
  <si>
    <t>Iniciativa, vigilância, vínculo com a vida. As mágicas de Aura e de Equipamento que você conjura custam {1} a menos para serem conjuradas.</t>
  </si>
  <si>
    <t>2{W}</t>
  </si>
  <si>
    <t>From Father to Son / De Pai para Filho</t>
  </si>
  <si>
    <t>Procure em seu grimório por um card de Veículo, revele-o e coloque-o em sua mão. Se esta mágica foi conjurada de um cemitério, em vez disso, coloque aquele card no campo de batalha. Depois, embaralhe. Recapitular {4}{W}{W}{W} ({4}{W}{W}{W}, Você pode conjurar este card de seu cemitério por seu custo de recapitular. Depois, exile-o.)</t>
  </si>
  <si>
    <t>Machinist's Arsenal / Arsenal do Maquinista</t>
  </si>
  <si>
    <t>Seleção de classe (Quando este Equipamento entrar, crie uma ficha de criatura Herói incolor 1/1 e depois anexe isto a ela.) A criatura equipada recebe +2/+2 para cada artefato que você controla e é um Artífice além de seus outros tipos. Machina — Equipar {4} ({4}: Anexe à criatura alvo que você controla. Equipe somente como um feitiço.)</t>
  </si>
  <si>
    <t>4{W}</t>
  </si>
  <si>
    <t>Minwu, White Mage / Minwu, Mago Branco</t>
  </si>
  <si>
    <t>Criatura Lendária — Humano Clérigo</t>
  </si>
  <si>
    <t>Vigilância, vínculo com a vida. Sempre que você ganhar vida, coloque um marcador +1/+1 em cada Clérigo que você controla.</t>
  </si>
  <si>
    <t>3{W}{W}</t>
  </si>
  <si>
    <t>Venat, Heart of Hydaelyn / Venat, Coração de Hydaelyn</t>
  </si>
  <si>
    <t>Criatura Lendária — Ancião Mago</t>
  </si>
  <si>
    <t>Sempre que você conjurar uma mágica lendária, compre um card. Esta habilidade é despoletada apenas uma vez a cada turno. Ruína do Herói — {7}, {T}: Exile a permanente alvo que não seja um terreno. Transforme Venat. Ative somente como um feitiço.</t>
  </si>
  <si>
    <t>1{W}{W}</t>
  </si>
  <si>
    <t>Phoenix Down / Pluma de Fênix</t>
  </si>
  <si>
    <t>{1}{W}, {T}, Exile este artefato: Escolha um — • Devolva o card de criatura alvo com valor de mana igual ou inferior a 4 de seu cemitério para o campo de batalha virado. • Exile o Esqueleto, Espírito ou Zumbi alvo.</t>
  </si>
  <si>
    <t>{W}</t>
  </si>
  <si>
    <t>Snow Villiers / Snow Villiers</t>
  </si>
  <si>
    <t>Criatura Lendária — Humano Rebelde Monge</t>
  </si>
  <si>
    <t>Vigilância. O poder de Snow Villiers é igual ao número de criaturas que você controla.</t>
  </si>
  <si>
    <t>*/3</t>
  </si>
  <si>
    <t>Delivery Moogle / Moogle das Entregas</t>
  </si>
  <si>
    <t>Criatura — Moogle</t>
  </si>
  <si>
    <t>Voar. Quando esta criatura entrar, procure em seu grimório e/ou cemitério por um card de artefato com valor de mana igual ou inferior a 2, revele-o e coloque-o em sua mão. Se procurar em seu grimório deste modo, embaralhe.</t>
  </si>
  <si>
    <t>3{W}</t>
  </si>
  <si>
    <t>Ashe, Princess of Dalmasca / Ashe, Princesa de Dalmasca</t>
  </si>
  <si>
    <t>Criatura Lendária — Humano Rebelde Nobre</t>
  </si>
  <si>
    <t>Sempre que Ashe atacar, olhe os cinco cards do topo de seu grimório. Você pode revelar um card de artefato dentre eles e colocá-lo em sua mão. Coloque o restante no fundo de seu grimório em ordem aleatória.</t>
  </si>
  <si>
    <t>Gaelicat / Gato Gaélico</t>
  </si>
  <si>
    <t>Criatura — Gato</t>
  </si>
  <si>
    <t>Voar, vigilância. Enquanto você controlar dois ou mais artefatos, esta criatura receberá +2/+0.</t>
  </si>
  <si>
    <t>Magitek Infantry / Infantaria Magitek</t>
  </si>
  <si>
    <t>Criatura Artefato — Robô Soldado</t>
  </si>
  <si>
    <t>Esta criatura recebe +1/+0 enquanto você controlar outro artefato. {2}{W}: Procure em seu grimório por um card chamado Infantaria Magitek, coloque-o no campo de batalha virado e depois embaralhe.</t>
  </si>
  <si>
    <t>White Auracite / Auracita Branca</t>
  </si>
  <si>
    <t>Quando este artefato entrar, exile a permanente alvo que não seja um terreno que um oponente controla até que este artefato deixe o campo de batalha. {T}: Adicione {W}.</t>
  </si>
  <si>
    <t>2{W}{W}</t>
  </si>
  <si>
    <t>Weapons Vendor / Vendedor de Armas</t>
  </si>
  <si>
    <t>Criatura — Humano Artífice</t>
  </si>
  <si>
    <t>Quando esta criatura entrar, compre um card. No início do combate no seu turno, se você controlar um Equipamento, você pode pagar {1}. Quando fizer isso, anexe o Equipamento alvo que você controla à criatura alvo que você controla.</t>
  </si>
  <si>
    <t>Sidequest: Catch a Fish / Missão Secundária: Pegar um Peixe</t>
  </si>
  <si>
    <t>No início de sua manutenção, olhe o card do topo de seu grimório. Se for um card de artefato ou de criatura, você pode revelá-lo e colocá-lo em sua mão. Se colocar um card em sua mão deste modo, crie uma ficha de Comida e transforme este encantamento.</t>
  </si>
  <si>
    <t>Ambrosia Whiteheart / Ambrosia Coração-Branco</t>
  </si>
  <si>
    <t>Criatura Lendária — Ave</t>
  </si>
  <si>
    <t>Lampejo. Quando Ambrosia Coração-Branco entrar, você pode devolver outra permanente que você controla para a mão de seu dono. Aterragem — Sempre que um terreno que você controla entrar, Ambrosia Coração-Branco receberá +1/+0 até o final do turno.</t>
  </si>
  <si>
    <t>Magitek Armor / Armadura Magitek</t>
  </si>
  <si>
    <t>Quando este Veículo entrar, crie uma ficha de criatura Herói incolor 1/1. Tripular 1 (Vire qualquer número de criaturas que você controla com poder total igual ou superior a 1: Este Veículo se torna uma criatura artefato até o final do turno.)</t>
  </si>
  <si>
    <t>Summon: Primal Garuda / Invocação: Garuda Primordial</t>
  </si>
  <si>
    <t>Encantamento Criatura — Saga Harpia</t>
  </si>
  <si>
    <t>(Conforme esta Saga entra e após sua etapa de compra, adicione um marcador de saber. Sacrifique após III.) Voar. I — Explosão Aérea — Esta criatura causa 4 de dano à criatura alvo virada que um oponente controla. II, III — Vácuo — Outra criatura alvo que você controla recebe +1/+0 e ganha voar até o final do turno.</t>
  </si>
  <si>
    <t>Zack Fair / Zack Fair</t>
  </si>
  <si>
    <t>Criatura Lendária — Humano Soldado</t>
  </si>
  <si>
    <t>Zack Fair entra no campo de batalha com um marcador +1/+1. {1}, Sacrifique Zack Fair: A criatura alvo que você controla ganha indestrutível até o final do turno. Coloque os marcadores de Zack Fair naquela criatura e anexe um Equipamento que estava anexado a Zack Fair a ela.</t>
  </si>
  <si>
    <t>0/1</t>
  </si>
  <si>
    <t>Aerith Rescue Mission / Missão de Resgate de Aerith</t>
  </si>
  <si>
    <t>Escolha um — • Pegar o Elevador — Crie três fichas de criatura Herói incolor 1/1. • Subir 59 Lances de Escada — Vire até três criaturas alvo. Coloque um marcador de atordoamento em uma delas. (Se uma permanente com um marcador de atordoamento fosse se tornar virada, em vez disso, remova um dele.)</t>
  </si>
  <si>
    <t>Slash of Light / Golpe de Luz</t>
  </si>
  <si>
    <t>Golpe de Luz causa à criatura alvo uma quantidade de dano igual ao número de criaturas que você controla somado ao número de Equipamentos que você controla.</t>
  </si>
  <si>
    <t>Coeurl / Coeurl</t>
  </si>
  <si>
    <t>Criatura — Gato Besta</t>
  </si>
  <si>
    <t>{1}{W}, {T}: Vire a criatura alvo que não seja um encantamento.</t>
  </si>
  <si>
    <t>Cloudbound Moogle / Moogle das Nuvens</t>
  </si>
  <si>
    <t>Voar. Quando esta criatura entrar, coloque um marcador +1/+1 na criatura alvo. Reciclar Planície {2} ({2}, Descarte este card: Procure em seu grimório por um card de Planície, revele-o, coloque-o em sua mão e depois embaralhe.)</t>
  </si>
  <si>
    <t>Bartz and Boko / Bartz e Boko</t>
  </si>
  <si>
    <t>Criatura Lendária — Humano Ave</t>
  </si>
  <si>
    <t>Afinidade com Aves (Esta mágica custa {1} a menos para ser conjurada para cada Ave que você controla.) Quando Bartz e Boko entrar, cada outra Ave que você controla causa dano igual ao próprio poder à criatura alvo que um oponente controla.</t>
  </si>
  <si>
    <t>3{G}{G}</t>
  </si>
  <si>
    <t>Sazh Katzroy / Sazh Katzroy</t>
  </si>
  <si>
    <t>Criatura Lendária — Humano Piloto</t>
  </si>
  <si>
    <t>Quando Sazh Katzroy entrar, você poderá procurar em seu grimório por um card de Ave ou de terreno básico, revelá-lo, colocá-lo em sua mão e depois embaralhar. Sempre que Sazh Katzroy atacar, coloque um marcador +1/+1 na criatura alvo e depois dobre o número de marcadores +1/+1 naquela criatura.</t>
  </si>
  <si>
    <t>3{G}</t>
  </si>
  <si>
    <t>Gigantoad</t>
  </si>
  <si>
    <t>Creature — Frog</t>
  </si>
  <si>
    <t>As long as you control seven or more lands, this creature gets +2/+2.</t>
  </si>
  <si>
    <t>Clash of the Eikons</t>
  </si>
  <si>
    <t>Choose one or more — • Target creature you control fights target creature an opponent controls. • Remove a lore counter from target Saga you control. (Removing lore counters doesn't cause chapter abilities to trigger.) • Put a lore counter on target Saga you control.</t>
  </si>
  <si>
    <t>Final Fantasy (FFXVI)</t>
  </si>
  <si>
    <t>Prishe's Wanderings</t>
  </si>
  <si>
    <t>Search your library for a basic land card or Town card, put it onto the battlefield tapped, then shuffle. When you search your library this way, put a +1/+1 counter on target creature you control.</t>
  </si>
  <si>
    <t>Airship Crash</t>
  </si>
  <si>
    <t>Destroy target artifact, enchantment, or creature with flying. Cycling 2 (2, Discard this card: Draw a card.)</t>
  </si>
  <si>
    <t>Tifa's Limit Break / Limit Break da Tifa</t>
  </si>
  <si>
    <t>Em níveis (Escolha um custo adicional.) • Salto Mortal — {0} — A criatura alvo recebe +2/+2 até o final do turno. • Ataques de Meteoro — {2} — Dobre o poder e a resistência da criatura alvo até o final do turno. • Paraíso Final — {6}{G} — Triplique o poder e a resistência da criatura alvo até o final do turno.</t>
  </si>
  <si>
    <t>{G}</t>
  </si>
  <si>
    <t>Galuf's Final Act / Ato Final de Galuf</t>
  </si>
  <si>
    <t>Até o final do turno, a criatura alvo recebe +1/+0 e ganha "Quando esta criatura morrer, coloque uma quantidade de marcadores +1/+1 igual ao poder dela em até uma criatura alvo."</t>
  </si>
  <si>
    <t>1{G}</t>
  </si>
  <si>
    <t>Preto Chocobo / Chocobo Preto</t>
  </si>
  <si>
    <t>Criatura — Ave</t>
  </si>
  <si>
    <t>Quando esta permanente se transformar em Chocobo Preto, procure em seu grimório por um card de terreno, coloque-o no campo de batalha virado e depois embaralhe. Aterragem — Sempre que um terreno que você controla entrar, as Aves que você controla receberão +1/+0 até o final do turno.</t>
  </si>
  <si>
    <t>Summon: Fenrir / Invocação: Fenrir</t>
  </si>
  <si>
    <t>Encantamento Criatura — Saga Lobo</t>
  </si>
  <si>
    <t>(Conforme esta Saga entra e após sua etapa de compra, adicione um marcador de saber. Sacrifique após III.) I — Presa Crescente — Procure em seu grimório por um card de terreno básico, coloque-o no campo de batalha virado e depois embaralhe. II — Uivo ao Céu — Da próxima vez que você conjurar uma mágica de criatura neste turno, aquela criatura entrará no campo de batalha com um marcador +1/+1 adicional. III — Rosnado Eclíptico — Compre um card se você controlar a criatura com o maior poder ou empatada com o maior poder.</t>
  </si>
  <si>
    <t>2{G}</t>
  </si>
  <si>
    <t>Torgal, A Fine Hound / Torgal, um Bom Cão</t>
  </si>
  <si>
    <t>Criatura Lendária — Lobo</t>
  </si>
  <si>
    <t>Sempre que você conjurar sua primeira mágica de criatura Humano a cada turno, aquela criatura entrará no campo de batalha com um marcador +1/+1 adicional para cada Cão e/ou Lobo que você controla. {T}: Adicione um mana de qualquer cor.</t>
  </si>
  <si>
    <t>Ride the Shoopuf / Montar no Shoopuf</t>
  </si>
  <si>
    <t>Aterragem — Sempre que um terreno que você controla entrar, coloque um marcador +1/+1 na criatura alvo que você controla. {5}{G}{G}: Este encantamento se torna uma criatura Beast 7/7 além de seus outros tipos.</t>
  </si>
  <si>
    <t>Diamond Weapon / Arma de Diamante</t>
  </si>
  <si>
    <t>Criatura Artefato Lendária — Elemental</t>
  </si>
  <si>
    <t>Esta mágica custa {1} a menos para ser conjurada para cada card de permanente em seu cemitério. Alcance. Imune — Previna todo o dano de combate que seria causado a Arma de Diamante.</t>
  </si>
  <si>
    <t>7{G}{G}</t>
  </si>
  <si>
    <t>Rydia's Return / O Retorno de Rydia</t>
  </si>
  <si>
    <t>Escolha um — • As criaturas que você controla recebem +3/+3 até o final do turno. • Devolva até dois cards de permanente alvo de seu cemitério para sua mão.</t>
  </si>
  <si>
    <t>Sidequest: Raise a Chocobo / Missão Secundária: Criar um Chocobo</t>
  </si>
  <si>
    <t>Quando este encantamento entrar, crie uma ficha de criatura Ave verde 2/2 com "Sempre que um terreno que você controla entrar, esta ficha receberá +1/+0 até o final do turno." No início de sua primeira fase principal, se você controlar quatro ou mais Aves, transforme este encantamento.</t>
  </si>
  <si>
    <t>Chocobo Racetrack / Hipódromo de Chocobos</t>
  </si>
  <si>
    <t>Aterragem — Sempre que um terreno que você controla entrar, crie uma ficha de criatura Ave verde 2/2 com "Sempre que um terreno que você controla entrar, esta ficha receberá +1/+0 até o final do turno."</t>
  </si>
  <si>
    <t>Cactuar / Cactuar</t>
  </si>
  <si>
    <t>Atropelar. No início de sua etapa final, se esta criatura não tiver entrado no campo de batalha neste turno, devolva-a para a mão de seu dono.</t>
  </si>
  <si>
    <t>Chocobo Kick / Coice de Chocobo</t>
  </si>
  <si>
    <t>Reforço — Devolva um terreno que você controla para a mão de seu dono. (Você pode devolver um terreno que você controla para a mão de seu dono em adição a quaisquer outros custos conforme conjura esta mágica.) A criatura alvo que você controla causa dano igual ao próprio poder à criatura alvo que um oponente controla. Se esta mágica foi reforçada, em vez disso, a criatura que você controla causa o dobro daquela quantidade de dano.</t>
  </si>
  <si>
    <t>Goobbue Gardener / Jardineiro Goobbue</t>
  </si>
  <si>
    <t>Criatura — Planta Besta</t>
  </si>
  <si>
    <t>{T}: Adicione {G}.</t>
  </si>
  <si>
    <t>Gysahl Greens / Verduras de Gysahl</t>
  </si>
  <si>
    <t>Crie uma ficha de criatura Ave verde 2/2 com "Sempre que um terreno que você controla entrar, esta ficha receberá +1/+0 até o final do turno." Recapitular {6}{G} (Você pode conjurar este card de seu cemitério pagando seu custo de recapitular. Depois, exile-o.)</t>
  </si>
  <si>
    <t>Gran Pulse Ochu / Ochu da Gran Pulse</t>
  </si>
  <si>
    <t>Toque mortífero. {8}: Até o final do turno, esta criatura recebe +1/+1 para cada card de permanente em seu cemitério.</t>
  </si>
  <si>
    <t>Town Greeter / Anfitrião da Cidade</t>
  </si>
  <si>
    <t>Quando esta criatura entrar, triture quatro cards. Você pode colocar um card de terreno dentre eles em sua mão. Se colocar um card de Cidade em sua mão deste modo, você ganha 2 de vida. (Para triturar quatro cards, um jogador coloca os quatro cards do topo do próprio grimório no próprio cemitério.)</t>
  </si>
  <si>
    <t>Summon: Fat Chocobo / Invocação: Chocobo Gordo</t>
  </si>
  <si>
    <t>Encantamento Criatura — Saga Ave</t>
  </si>
  <si>
    <t>(Conforme esta Saga entra e após sua etapa de compra, adicione um marcador de saber. Sacrifique após IV.) I — Wark — Crie uma ficha de criatura Ave verde 2/2 com "Sempre que um terreno que você controla entrar, esta ficha receberá +1/+0 até o final do turno." II, III, IV — Kerplunk — As criaturas que você controla ganham atropelar até o final do turno.</t>
  </si>
  <si>
    <t>4{G}</t>
  </si>
  <si>
    <t>Bard's Bow / Arco do Bardo</t>
  </si>
  <si>
    <t>Seleção de classe (Quando este Equipamento entrar, crie uma ficha de criatura Herói incolor 1/1 e depois anexe isto a ela.) A criatura equipada recebe +2/+2, tem alcance e é um Bardo além de seus outros tipos. Arco de Perseu — Equipar {6} ({6}: Anexe à criatura alvo que você controla. Equipe somente como um feitiço.)</t>
  </si>
  <si>
    <t>Commune with Beavers / Comungar com Castores</t>
  </si>
  <si>
    <t>Olhe os três cards do topo de seu grimório. Você pode revelar um card de artefato, criatura ou terreno dentre eles e colocá-lo em sua mão. Coloque o restante no fundo de seu grimório em qualquer ordem.</t>
  </si>
  <si>
    <t>Blitzball Shot / Chute de Blitzball</t>
  </si>
  <si>
    <t>A criatura alvo recebe +3/+3 e ganha atropelar até o final do turno.</t>
  </si>
  <si>
    <t>Balamb T-Rexaur / T-Rexaur de Balamb</t>
  </si>
  <si>
    <t>Criatura — Dinossauro</t>
  </si>
  <si>
    <t>Atropelar. Quando esta criatura entrar, você ganha 3 de vida. Reciclar Floresta {2} ({2}, Descarte este card: Procure em seu grimório por um card de Floresta, revele-o, coloque-o em sua mão e depois embaralhe.)</t>
  </si>
  <si>
    <t>4{G}{G}</t>
  </si>
  <si>
    <t>Loporrit Scout / Batedor Loporrit</t>
  </si>
  <si>
    <t>Criatura — Coelho Batedor</t>
  </si>
  <si>
    <t>Sempre que outra criatura que você controla entrar, esta criatura recebe +1/+1 até o final do turno.</t>
  </si>
  <si>
    <t>Astrologian's Planisphere / Planisfério do Astrólogo</t>
  </si>
  <si>
    <t>Seleção de classe (Quando este Equipamento entrar, crie uma ficha de criatura Herói incolor 1/1 e depois anexe isto a ela.) A criatura equipada é um Mago além de seus outros tipos e tem "Sempre que você conjurar uma mágica não de criatura e sempre que você comprar seu terceiro card a cada turno, coloque um marcador +1/+1 nesta criatura." Diana — Equipar {2} ({2}: Anexe à criatura alvo que você controla. Equipe somente como um feitiço.)</t>
  </si>
  <si>
    <t>1{U}</t>
  </si>
  <si>
    <t>Summon: Leviathan / Invocação: Leviatã</t>
  </si>
  <si>
    <t>Encantamento Criatura — Saga Leviatã</t>
  </si>
  <si>
    <t>(Conforme esta Saga entra e após sua etapa de compra, adicione um marcador de saber. Sacrifique após III.) I — Devolva cada criatura que não seja um Kraken, Leviatã, Tritão, Polvo ou Serpente para a mão de seu dono. II, III — Até o final do turno, sempre que um Kraken, Leviatã, Tritão, Polvo ou Serpente atacar, compre um card. Salvaguarda {2}</t>
  </si>
  <si>
    <t>4{U}{U}</t>
  </si>
  <si>
    <t>Edgar, King of Figaro / Edgar, Rei de Figaro</t>
  </si>
  <si>
    <t>Criatura Lendária — Humano Artífice Nobre</t>
  </si>
  <si>
    <t>Quando Edgar entrar, compre um card para cada artefato que você controla. Moeda de Duas Caras — Na primeira vez que você lançar uma ou mais moedas a cada turno, aquelas moedas dão cara e você vence aqueles lançamentos.</t>
  </si>
  <si>
    <t>Sahagin</t>
  </si>
  <si>
    <t>Creature — Merfolk Warrior</t>
  </si>
  <si>
    <t>Whenever you cast a noncreature spell, if at least four mana was spent to cast it, put a +1/+1 counter on this creature and it can't be blocked this turn.</t>
  </si>
  <si>
    <t>Dragoon's Wyvern</t>
  </si>
  <si>
    <t>Creature — Drake</t>
  </si>
  <si>
    <t>Flying When this creature enters, create a 1/1 colorless Hero creature token.</t>
  </si>
  <si>
    <t>Il Mheg Pixie</t>
  </si>
  <si>
    <t>Creature — Faerie</t>
  </si>
  <si>
    <t>Flying Whenever this creature attacks, surveil 1. (Look at the top card of your library. You may put it into your graveyard.)</t>
  </si>
  <si>
    <t>Magic Damper</t>
  </si>
  <si>
    <t>Target creature you control gets +1/+1 and gains hexproof until end of turn. Untap it.</t>
  </si>
  <si>
    <t>Final Fantasy (FFXIII)</t>
  </si>
  <si>
    <t>Ice Flan / Pudim de Gelo</t>
  </si>
  <si>
    <t>Criatura — Elemental Geléia</t>
  </si>
  <si>
    <t>Quando esta criatura entrar, vire o artefato ou criatura alvo que um oponente controla. Coloque um marcador de atordoamento nele. (Se uma permanente com um marcador de atordoamento fosse se tornar desvirada, em vez disso, remova um deles.) Reciclar Ilha {2} ({2}, Descarte este card: Procure em seu grimório por um card de Ilha, revele-o, coloque-o em sua mão e depois embaralhe.)</t>
  </si>
  <si>
    <t>Combat Tutorial / Tutorial de Combate</t>
  </si>
  <si>
    <t>O jogador alvo compra dois cards. Coloque um marcador +1/+1 em até uma criatura alvo que você controla.</t>
  </si>
  <si>
    <t>2{U}</t>
  </si>
  <si>
    <t>Syncopate / Síncope</t>
  </si>
  <si>
    <t>Anule a mágica alvo, a menos que seu controlador pague {X}. Se aquela mágica for anulada deste modo, exile-a em vez de colocá-la no cemitério de seu dono.</t>
  </si>
  <si>
    <t>{X}{U}</t>
  </si>
  <si>
    <t>Dreams of Laguna / Sonhos de Laguna</t>
  </si>
  <si>
    <t>Vigie 1, depois compre um card. (Para vigiar 1, olhe o card do topo de seu grimório. Você pode colocá-lo em seu cemitério.) Recapitular {3}{U} (Você pode conjurar este card de seu cemitério pagando seu custo de recapitular. Depois, exile-o.)</t>
  </si>
  <si>
    <t>Retrieve the Esper / Recuperar o Esper</t>
  </si>
  <si>
    <t>Crie uma ficha de criatura artefato Robô Guerreiro azul 3/3. Depois, se esta mágica tiver sido conjurada de um cemitério, coloque dois marcadores +1/+1 naquela ficha. Recapitular {5}{U} (Você pode conjurar este card de seu cemitério pagando seu custo de recapitular. Depois, exile-o.)</t>
  </si>
  <si>
    <t>3{U}</t>
  </si>
  <si>
    <t>Scorpion Sentinel / Sentinela Escorpião</t>
  </si>
  <si>
    <t>Criatura Artefato — Robô Escorpião</t>
  </si>
  <si>
    <t>Enquanto você controlar sete ou mais terrenos, esta criatura receberá +3/+0.</t>
  </si>
  <si>
    <t>Sage's Nouliths / Nouliths do Sábio</t>
  </si>
  <si>
    <t>Seleção de classe (Quando este Equipamento entrar, crie uma ficha de criatura Herói incolor 1/1 e depois anexe isto a ela.) A criatura equipada recebe +1/+0, tem "Sempre que esta criatura atacar, desvire a criatura atacante alvo" e é um Clérigo além de seus outros tipos. Hagneia — Equipar {3} ({3}: Anexe à criatura alvo que você controla. Equipe somente como um feitiço.)</t>
  </si>
  <si>
    <t>Ether / Éter</t>
  </si>
  <si>
    <t>{T}, Exile este artefato: Adicione {U}. Quando você conjurar sua próxima mágica instantânea ou de feitiço neste turno, copie aquela mágica. Você pode escolher novos alvos para a cópia.</t>
  </si>
  <si>
    <t>Sidequest: Card Collection / Missão Secundária: Coleção de Cards</t>
  </si>
  <si>
    <t>Quando este encantamento entrar, compre três cards e depois descarte dois cards. No início de sua etapa final, se houver oito ou mais cards em seu cemitério, transforme este encantamento.</t>
  </si>
  <si>
    <t>Ultros, Obnoxious Octopus / Ultros, Polvo Inconveniente</t>
  </si>
  <si>
    <t>Criatura Lendária — Polvo</t>
  </si>
  <si>
    <t>Sempre que você conjurar uma mágica não de criatura, se pelo menos quatro manas tiverem sido gastos para conjurá-la, vire a criatura alvo que um oponente controla e coloque um marcador de atordoamento nela. (Se uma permanente com um marcador de atordoamento fosse se tornar desvirada, em vez disso, remova um deles.) Sempre que você conjurar uma mágica não de criatura, se pelo menos oito manas tiverem sido gastos para conjurá-la, coloque oito marcadores +1/+1 em Ultros.</t>
  </si>
  <si>
    <t>Quistis Trepe / Quistis Trepe</t>
  </si>
  <si>
    <t>Magia Azul — Quando Quistis Trepe entrar, você poderá conjurar o card de mágica instantânea ou de feitiço alvo de um cemitério, e mana de qualquer tipo poderá ser gasto para conjurar aquela mágica. Se aquela mágica fosse ser colocada num cemitério, em vez disso, exile-a.</t>
  </si>
  <si>
    <t>Rook Turret / Torre de Torreão</t>
  </si>
  <si>
    <t>Criatura Artefato — Construto</t>
  </si>
  <si>
    <t>Voar. Sempre que outro artefato que você controla entrar, você poderá comprar um card. Se fizer isso, descarte um card.</t>
  </si>
  <si>
    <t>Eject / Ejetar</t>
  </si>
  <si>
    <t>Esta mágica não pode ser anulada. Devolva a permanente alvo não de terreno para a mão de seu dono. Compre um card.</t>
  </si>
  <si>
    <t>Travel the Overworld / Viajar pelo Mundo Superior</t>
  </si>
  <si>
    <t>Afinidade com Cidades (Esta mágica custa {1} a menos para ser conjurada para cada Cidade que você controla.) Compre quatro cards.</t>
  </si>
  <si>
    <t>5{U}{U}</t>
  </si>
  <si>
    <t>Qiqirn Merchant / Mercador Qiqirn</t>
  </si>
  <si>
    <t>Criatura — Besta Cidadão</t>
  </si>
  <si>
    <t>{1}, {T}: Compre um card e depois descarte um card. {7}, {T}, Sacrifique esta criatura: Compre três cards. Esta habilidade custa {1} a menos para ser ativada para cada Cidade que você controla.</t>
  </si>
  <si>
    <t>Stuck in Summoner's Sanctum / Preso no Santuário do Invocador</t>
  </si>
  <si>
    <t>Lampejo. Encantar artefato ou criatura. Quando esta Aura entrar, vire a permanente encantada. A permanente encantada não desvire durante a etapa de desvirar de seu controlador e suas habilidades ativadas não podem ser ativadas.</t>
  </si>
  <si>
    <t>Ice Magic / Magia de Gelo</t>
  </si>
  <si>
    <t>Em camadas (Escolha um custo adicional.) • Blizzard — {0} — Devolva a criatura alvo para a mão de seu dono. • Blizzara — {2} — O dono da criatura alvo a coloca no topo ou no fundo do grimório dele, à escolha dele. • Blizzaga — {5}{U} — O dono da criatura alvo a embaralha no grimório dele.</t>
  </si>
  <si>
    <t>Valkyrie Aerial Unit / Unidade Aérea Valquíria</t>
  </si>
  <si>
    <t>Afinidade com artefatos (Esta mágica custa {1} a menos para ser conjurada para cada artefato que você controla.) Voar. Quando esta criatura entrar, vigie 2. (Olhe os dois cards do topo de seu grimório, depois coloque qualquer número deles em seu cemitério e o restante no topo de seu grimório em qualquer ordem.)</t>
  </si>
  <si>
    <t>Swallowed by Leviathan / Engolido por Leviatã</t>
  </si>
  <si>
    <t>Escolha a mágica alvo. Vigie 2, depois anule a mágica escolhida, a menos que seu controlador pague {1} para cada card em seu cemitério. (Para vigiar 2, olhe os dois cards do topo de seu grimório, depois coloque qualquer número deles em seu cemitério e o restante no topo de seu grimório em qualquer ordem.)</t>
  </si>
  <si>
    <t>The Lunar Whale / A Baleia Lunar</t>
  </si>
  <si>
    <t>Voar. Você pode olhar o card do topo de seu grimório a qualquer momento. Enquanto A Baleia Lunar tiver atacado neste turno, você poderá jogar o card do topo de seu grimório. Tripular 1</t>
  </si>
  <si>
    <t>Relm's Sketching / Esboço de Relm</t>
  </si>
  <si>
    <t>Crie uma ficha que seja uma cópia do artefato, criatura ou terreno alvo.</t>
  </si>
  <si>
    <t>2{U}{U}</t>
  </si>
  <si>
    <t>The Prima Vista / O Prima Vista</t>
  </si>
  <si>
    <t>Voar. Sempre que você conjurar uma mágica não de criatura, se pelo menos quatro manas tiverem sido gastos para conjurá-la, O Prima Vista se tornará uma criatura artefato até o final do turno. Tripular 2 (Vire qualquer número de criaturas que você controla com poder total igual ou superior a 2: Este Veículo se torna uma criatura artefato até o final do turno.)</t>
  </si>
  <si>
    <t>4{U}</t>
  </si>
  <si>
    <t>Sleep Magic / Magia do Sono</t>
  </si>
  <si>
    <t>Encantar criatura. Quando esta Aura entrar, vire a criatura encantada. A criatura encantada não desvire durante a etapa de desvirar de seu controlador. Quando for causado dano à criatura encantada, sacrifique esta Aura.</t>
  </si>
  <si>
    <t>{U}</t>
  </si>
  <si>
    <t>The Crystal's Chosen / Os Escolhidos do Cristal</t>
  </si>
  <si>
    <t>Crie quatro fichas de criatura Herói incolor 1/1. Depois, coloque um marcador +1/+1 em cada criatura que você controla.</t>
  </si>
  <si>
    <t>5{W}{W}</t>
  </si>
  <si>
    <t>Battle Menu / Menu de Batalha</t>
  </si>
  <si>
    <t>Escolha um — • Attack — Crie uma ficha de criatura Cavaleiro branca 2/2. • Ability — A criatura alvo recebe +0/+4 até o final do turno. • Magic — Destrua a criatura alvo com poder igual ou superior a 4. • Item — Você ganha 4 de vida.</t>
  </si>
  <si>
    <t>Adelbert Steiner / Adelbert Steiner</t>
  </si>
  <si>
    <t>Vínculo com a vida. Adelbert Steiner recebe +1/+1 para cada Equipamento que você controla.</t>
  </si>
  <si>
    <t>Dragoon's Lance / Lança de Dragoon</t>
  </si>
  <si>
    <t>Seleção de classe (Quando este Equipamento entrar, crie uma ficha de criatura Herói incolor 1/1 e depois anexe isto a ela.) A criatura equipada recebe +1/+0 e é um Cavaleiro além de seus outros tipos. Durante o seu turno, a criatura equipada tem voar. Gae Bolg — Equipar {4} ({4}: Anexe à criatura alvo que você controla. Equipe somente como um feitiço.)</t>
  </si>
  <si>
    <t>Auron's Inspiration / Inspiração de Auron</t>
  </si>
  <si>
    <t>As criaturas atacantes recebem +2/+0 até o final do turno. Recapitular {2}{W}{W} (Você pode conjurar este card de seu cemitério pagando seu custo de recapitular. Depois, exile-o.)</t>
  </si>
  <si>
    <t>Freya Crescent / Freya Crescent</t>
  </si>
  <si>
    <t>Criatura Lendária — Rato Cavaleiro</t>
  </si>
  <si>
    <t>Salto — Durante o seu turno, Freya Crescent tem voar. {T}: Adicione {R}. Gaste este mana apenas para conjurar uma mágica de Equipamento ou para ativar uma habilidade de equipar.</t>
  </si>
  <si>
    <t>{R}</t>
  </si>
  <si>
    <t>Choco-Comet / Choco-Cometa</t>
  </si>
  <si>
    <t>Choco-Cometa causa X de dano a qualquer alvo. Crie uma ficha de criatura Ave verde 2/2 com "Sempre que um terreno que você controla entrar, esta ficha recebe +1/+0 até o final do turno."</t>
  </si>
  <si>
    <t>{X}{R}{R}</t>
  </si>
  <si>
    <t>Coral Sword / Espada de Coral</t>
  </si>
  <si>
    <t>Lampejo. Quando este Equipamento entrar, anexe-o à criatura alvo que você controla. Aquela criatura ganha iniciativa até o final do turno. A criatura equipada recebe +1/+0. Equipar {1}</t>
  </si>
  <si>
    <t>Summon: Esper Ramuh / Invocação: Esper Ramuh</t>
  </si>
  <si>
    <t>Encantamento Criatura — Saga Mago</t>
  </si>
  <si>
    <t>(Conforme esta Saga entra e após sua etapa de compra, adicione um marcador de conhecimento. Sacrifique após III.) I — Raio do Julgamento — Esta criatura causa dano igual ao número de cards que não sejam de criatura nem de terreno em seu cemitério à criatura alvo que um oponente controla. II, III — Os Magos que você controla recebem +1/+0 até o final do turno.</t>
  </si>
  <si>
    <t>2{R}{R}</t>
  </si>
  <si>
    <t>3{R}</t>
  </si>
  <si>
    <t>Random Encounter / Encontro Aleatório</t>
  </si>
  <si>
    <t>Embaralhe seu grimório e depois triture quatro cards. Coloque cada card de criatura triturado deste modo no campo de batalha. Elas ganham ímpeto. No início da próxima etapa final, devolva aquelas criaturas para a mão de seu dono. Recapitular {6}{R}{R} (Você pode conjurar este card de seu cemitério pagando seu custo de recapitular. Depois, exile-o.)</t>
  </si>
  <si>
    <t>4{R}{R}</t>
  </si>
  <si>
    <t>Reach the Horizon / Alcançar o Horizonte</t>
  </si>
  <si>
    <t>Procure em seu grimório por até dois cards de terreno básico e/ou cards de Cidade com nomes diferentes, coloque-os no campo de batalha virados e depois embaralhe.</t>
  </si>
  <si>
    <t>Coliseum Behemoth / Behemoth do Coliseu</t>
  </si>
  <si>
    <t>Criatura — Besta</t>
  </si>
  <si>
    <t>Atropelar. Quando esta criatura entrar, escolha um — • Destrua o artefato ou encantamento alvo. • Compre um card.</t>
  </si>
  <si>
    <t>5{G}{G}</t>
  </si>
  <si>
    <t>Vanille, Cheerful l'Cie / Vanille, l'Cie Animada</t>
  </si>
  <si>
    <t>Criatura Lendária — Humano Clerigo</t>
  </si>
  <si>
    <t>Quando Vanille entrar, triture dois cards, depois devolva um card de permanente de seu cemitério para sua mão. No início de sua primeira fase principal, se você for o dono e controlar Vanille e uma criatura chamada Fang, Fearless l'Cie, você poderá pagar {3}{B}{G}. Se fizer isso, exile-as e depois funda-as em Ragnarok, Divine Deliverance.</t>
  </si>
  <si>
    <t>Quina, Qu Gourmet / Quina, Gourmet Qu</t>
  </si>
  <si>
    <t>Criatura Lendária — Qu</t>
  </si>
  <si>
    <t>Se uma ou mais fichas seriam criadas sob o seu controle, em vez disso, aquelas fichas mais uma ficha de criatura Sapo verde 1/1 serão criadas. {2}, Sacrifique um Sapo: Coloque um marcador +1/+1 em Quina.</t>
  </si>
  <si>
    <t>Tidus, Blitzball Star / Tidus, Astro do Blitzball</t>
  </si>
  <si>
    <t>Sempre que um artefato que você controla entrar, coloque um marcador +1/+1 em Tidus. Sempre que Tidus atacar, vire a criatura alvo que um oponente controla.</t>
  </si>
  <si>
    <t>1{W}{U}</t>
  </si>
  <si>
    <t>Multicolorido (Branco/Azul)</t>
  </si>
  <si>
    <t>Garnet, Princess of Alexandria / Garnet, Princesa de Alexandria</t>
  </si>
  <si>
    <t>Criatura Lendária — Humano Nobre Clerigo</t>
  </si>
  <si>
    <t>Vínculo com a vida. Sempre que Garnet atacar, você poderá remover um marcador de conhecimento de cada um de qualquer número de Sagas que você controla. Coloque um marcador +1/+1 em Garnet para cada marcador de conhecimento removido deste modo.</t>
  </si>
  <si>
    <t>{G}{W}</t>
  </si>
  <si>
    <t>Multicolorido (Verde/Branco)</t>
  </si>
  <si>
    <t>Ultimecia, Time Sorceress / Ultimecia, Feiticeira do Tempo</t>
  </si>
  <si>
    <t>Criatura Lendária — Humano Bruxo</t>
  </si>
  <si>
    <t>Sempre que Ultimecia entrar ou atacar, vigie 2. (Olhe os dois cards do topo de seu grimório, depois coloque qualquer número deles em seu cemitério e o restante no topo de seu grimório em qualquer ordem.) No início de sua etapa final, você pode pagar {4}{U}{U}{B}{B} e exilar oito cards de seu cemitério. Se fizer isso, transforme Ultimecia.</t>
  </si>
  <si>
    <t>3{U}{B}</t>
  </si>
  <si>
    <t>Multicolorido (Azul/Preto)</t>
  </si>
  <si>
    <t>Exdeath, Void Warlock / Exdeath, Bruxo do Vazio</t>
  </si>
  <si>
    <t>Criatura Lendária — Espírito Bruxo</t>
  </si>
  <si>
    <t>Quando Exdeath entrar, você ganha 3 de vida. No início de sua etapa final, se houver seis ou mais cards de permanente em seu cemitério, transforme Exdeath.</t>
  </si>
  <si>
    <t>1{B}{G}</t>
  </si>
  <si>
    <t>Multicolorido (Preto/Verde)</t>
  </si>
  <si>
    <t>Gladiolus Amicitia / Gladiolus Amicitia</t>
  </si>
  <si>
    <t>Quando Gladiolus Amicitia entrar, procure em seu grimório por um card de terreno, coloque-o no campo de batalha virado e depois embaralhe. Terreno — Sempre que um terreno que você controla entrar, outra criatura alvo que você controla recebe +2/+2 e ganha atropelar até o final do turno.</t>
  </si>
  <si>
    <t>4{R}{G}</t>
  </si>
  <si>
    <t>Multicolorido (Vermelho/Verde)</t>
  </si>
  <si>
    <t>Ignis Scientia / Ignis Scientia</t>
  </si>
  <si>
    <t>Criatura Lendária — Humano Conselheiro</t>
  </si>
  <si>
    <t>Quando Ignis Scientia entrar, olhe os seis cards do topo de seu grimório. Você pode colocar um card de terreno dentre eles no campo de batalha virado. Coloque o restante no fundo de seu grimório em ordem aleatória. I've Come Up with a New Recipe! — {1}{G}{U}, {T}: Exile o card alvo de um cemitério. Se um card de criatura foi exilado deste modo, crie uma ficha de Comida.</t>
  </si>
  <si>
    <t>1{G}{U}</t>
  </si>
  <si>
    <t>Multicolorido (Verde/Azul)</t>
  </si>
  <si>
    <t>Judge Magister Gabranth / Juiz Magistrado Gabranth</t>
  </si>
  <si>
    <t>Criatura Lendária — Humano Conselheiro Cavaleiro</t>
  </si>
  <si>
    <t>Ameaçar (Esta criatura só pode ser bloqueada por duas ou mais criaturas.) Sempre que outra criatura ou artefato que você controla morrer, coloque um marcador +1/+1 em Judge Magister Gabranth.</t>
  </si>
  <si>
    <t>{W}{B}</t>
  </si>
  <si>
    <t>Multicolorido (Branco/Preto)</t>
  </si>
  <si>
    <t>Fang, Fearless l'Cie / Fang, l'Cie Destemida</t>
  </si>
  <si>
    <t>Sempre que um ou mais cards deixarem o seu cemitério, você compra um card e perde 1 de vida. Esta habilidade é ativada apenas uma vez a cada turno. (Funde-se com Vanille, Cheerful l'Cie.)</t>
  </si>
  <si>
    <t>Evil Reawakened / Mal Desperto</t>
  </si>
  <si>
    <t>Devolva o card de criatura alvo de seu cemitério para o campo de batalha com dois marcadores +1/+1 adicionais sobre ele.</t>
  </si>
  <si>
    <t>4{B}</t>
  </si>
  <si>
    <t>Sidequest: Hunt the Mark / Missão Secundária: Caçar a Marca</t>
  </si>
  <si>
    <t>Quando este encantamento entrar, destrua até uma criatura alvo. No início de sua etapa final, se uma criatura sob o controle de um oponente tiver morrido neste turno, crie uma ficha de Tesouro. Depois, se você controlar três ou mais Tesouros, transforme este encantamento.</t>
  </si>
  <si>
    <t>Phantom Train / Trem Fantasma</t>
  </si>
  <si>
    <t>Atropelar. Sacrifique outro artefato ou criatura: Coloque um marcador +1/+1 neste Veículo. Ele se torna uma criatura artefato Espírito além de seus outros tipos até o final do turno.</t>
  </si>
  <si>
    <t>Murdock's Crusade / Cruzada de Murdock</t>
  </si>
  <si>
    <t>Trabalho em equipe 4 (Como um custo adicional para conjurar este feitiço, você pode virar qualquer número de criaturas que você controla com poder total igual ou superior a 4.) Escolha um. Se este feitiço foi conjurado usando trabalho em equipe, em vez disso, escolha ambos — • Justiça de Rua — Exile a criatura alvo com resistência igual ou superior a 4. • Justiça Legal — Exile o encantamento alvo com valor de mana igual ou superior a 4.</t>
  </si>
  <si>
    <t>Marvel</t>
  </si>
  <si>
    <t>Agent of Atlas / Agente da Atlas</t>
  </si>
  <si>
    <t>Criatura — Humano Espião Herói</t>
  </si>
  <si>
    <t>Destreza (Sempre que você conjurar um feitiço que não seja de criatura, esta criatura receberá +1/+1 até o final do turno.)</t>
  </si>
  <si>
    <t>Agents of S.H.I.E.L.D. / Agentes da S.H.I.E.L.D.</t>
  </si>
  <si>
    <t>Sempre que uma criatura que você controla atacar sozinha, aquela criatura receberá +1/+1 até o final do turno.</t>
  </si>
  <si>
    <t>Borough Backup / Reforço do Bairro</t>
  </si>
  <si>
    <t>Crie duas fichas de criatura Herói brancas 3/2 com vigilância. Reciclar terreno básico {2} ({2}, Descarte este card: Procure em seu grimório por um card de terreno básico, revele-o, coloque-o em sua mão e depois embaralhe.)</t>
  </si>
  <si>
    <t>Crowd of True Believers / Multidão de Espectadores Féis</t>
  </si>
  <si>
    <t>{T}: A criatura alvo que você controla que estiver atacando sozinha recebe +1/+0 até o final do turno. Você ganha 1 de vida.</t>
  </si>
  <si>
    <t>Aerial Doombot / Doombot Aéreo</t>
  </si>
  <si>
    <t>Criatura Artefato — Robô Vilão</t>
  </si>
  <si>
    <t>Voar. Fortalecer — {5}{U}: Coloque três marcadores +1/+1 nesta criatura. (Ative cada habilidade de fortalecer apenas uma vez. Reduza o custo em seu custo de mana se ela entrou neste turno.)</t>
  </si>
  <si>
    <t>Atlantis Attacks / Ataque de Atlântida</t>
  </si>
  <si>
    <t>Trabalho em equipe 4 (Como um custo adicional para conjurar este feitiço, você pode virar qualquer número de criaturas que você controla com poder total igual ou superior a 4.) Escolha um. Se este feitiço foi conjurado usando trabalho em equipe, em vez disso, escolha ambos — • O jogador alvo cria uma ficha de criatura Leviatã azul 6/5 com resistência a magia. • Devolva uma ou duas permanentes alvo que não sejam terrenos para as mãos de seus donos.</t>
  </si>
  <si>
    <t>Falcon, Winged Wonder / Falcão, Prodígio Alado</t>
  </si>
  <si>
    <t>Criatura Lendária — Humano Herói</t>
  </si>
  <si>
    <t>Voar. Telepatia Aviária — Quando Falcão entrar, crie Asa Vermelha, uma ficha de criatura lendária Ave Batedor azul 1/1 com voar e "Sempre que Asa Vermelha atacar, vigie 1." (Olhe o card do topo de seu grimório. Você pode colocá-lo em seu cemitério.)</t>
  </si>
  <si>
    <t>Frozen in Ice / Congelado no Gelo</t>
  </si>
  <si>
    <t>Encantar criatura. Quando esta Aura entrar, vire a criatura encantada. A criatura encantada perde todas as habilidades e não pode ser desvirada.</t>
  </si>
  <si>
    <t>Hydraulic Helper / Ajudante Hidráulico</t>
  </si>
  <si>
    <t>Criatura Artefato — Robô</t>
  </si>
  <si>
    <t>Defensor. {T}: Adicione {U}. Este mana não pode ser gasto para conjurar uma mágica que não seja de artefato.</t>
  </si>
  <si>
    <t>I Am Iron Man / Eu Sou o Homem de Ferro</t>
  </si>
  <si>
    <t>Até o final do turno, o artefato ou criatura alvo torna-se uma criatura artefato com poder e resistência básicos 4/4 e ganha voar. Compre um card.</t>
  </si>
  <si>
    <t>Rewrite History / Reescrever a História</t>
  </si>
  <si>
    <t>Encantamento — Plano</t>
  </si>
  <si>
    <t>Sempre que uma ou mais criaturas que você controla se tornarem viradas, compre um card, depois descarte um card e coloque um marcador de plano neste encantamento. Quando o quarto marcador de plano for colocado neste encantamento, sacrifique-o. Quando fizer isso, devolva até dois cards de mágica instantânea e/ou feitiço alvos de seu cemitério para sua mão.</t>
  </si>
  <si>
    <t>S.H.I.E.L.D. Deployment Drone / Drone de Implantação da S.H.I.E.L.D.</t>
  </si>
  <si>
    <t>Voar. Quando esta criatura entrar, crie uma ficha de criatura Soldado branca 1/1.</t>
  </si>
  <si>
    <t>Dependable Quinjet / Quinjet Confiável</t>
  </si>
  <si>
    <t>Voar. {T}: Adicione um mana de qualquer cor. Tripular 4 (Vire qualquer número de criaturas que você controla com poder total igual ou superior a 4: Este Veículo torna-se uma criatura artefato até o final do turno.)</t>
  </si>
  <si>
    <t>{3}</t>
  </si>
  <si>
    <t>A.I.M. Synthoids / Sintóides da I.E.A.</t>
  </si>
  <si>
    <t>Quando esta criatura entrar, vigie 2. (Olhe os dois cards do topo de seu grimório, depois coloque qualquer número deles em seu cemitério e o restante no topo de seu grimório em qualquer ordem.)</t>
  </si>
  <si>
    <t>{2}</t>
  </si>
  <si>
    <t>Ant-Man's Army / Exército do Homem-Formiga</t>
  </si>
  <si>
    <t>Criatura — Inseto</t>
  </si>
  <si>
    <t>Quando esta criatura entrar, crie uma ficha de Comida ou uma ficha de Tesouro. (Uma ficha de Comida é um artefato com "{2}, {T}, Sacrifique esta ficha: Você ganha 3 de vida." Uma ficha de Tesouro é um artefato com "{T}, Sacrifique esta ficha: Adicione um mana de qualquer cor.")</t>
  </si>
  <si>
    <t>Claim the Kingdom / Reivindicar o Reino</t>
  </si>
  <si>
    <t>Aterragem — Sempre que um terreno que você controla entrar, coloque um marcador +1/+1 na criatura alvo que você controla e um marcador de plano neste encantamento. Quando o quarto marcador de plano for colocado neste encantamento, sacrifique-o. Quando fizer isso, coloque um marcador de indestrutível na criatura alvo que você controla.</t>
  </si>
  <si>
    <t>Serpent Specialist / Especialista em Serpentes</t>
  </si>
  <si>
    <t>Criatura — Humano Cobra Vilão</t>
  </si>
  <si>
    <t>Toque mortífero. Fortalecer — {3}{G}: Coloque dois marcadores +1/+1 nesta criatura. (Ative cada habilidade de fortalecer apenas uma vez. Reduza o custo em seu custo de mana se ela entrou neste turno.)</t>
  </si>
  <si>
    <t>Wakandan Royal Guard / Guarda Real de Wakanda</t>
  </si>
  <si>
    <t>Criatura — Humano Soldado Herói</t>
  </si>
  <si>
    <t>Vigilância. Quando esta criatura entrar, coloque um marcador +1/+1 na criatura alvo. Se aquela criatura for outro Herói, em vez disso, coloque dois marcadores +1/+1 nela.</t>
  </si>
  <si>
    <t>Powerful Broker / Corretor Poderoso</t>
  </si>
  <si>
    <t>Criatura — Humano Vilão</t>
  </si>
  <si>
    <t>{T}: Para cada tipo de marcador na permanente ou jogador alvo, dê àquela permanente ou jogador outro marcador daquele tipo. Ative apenas como um feitiço.</t>
  </si>
  <si>
    <t>Guerrilla Gorilla / Gorila Guerrilheiro</t>
  </si>
  <si>
    <t>Criatura — Macaco Soldado Herói</t>
  </si>
  <si>
    <t>Alcance. Sacrifique esta criatura: Destrua o artefato não de criatura ou encantamento não de criatura alvo. Ative apenas como um feitiço.</t>
  </si>
  <si>
    <t>Blazing Crescendo / Crescendo Flamejante</t>
  </si>
  <si>
    <t>A criatura alvo recebe +3/+1 até o final do turno. Exile o card do topo de seu grimório. Até o final de seu próximo turno, você poderá jogar aquele card.</t>
  </si>
  <si>
    <t>1{R}</t>
  </si>
  <si>
    <t>Crimson Operative / Operativo Carmesim</t>
  </si>
  <si>
    <t>Criatura Artefato — Humano Vilão</t>
  </si>
  <si>
    <t>Destreza (Sempre que você conjurar uma mágica que não seja de criatura, esta criatura receberá +1/+1 até o final do turno.) Quando esta criatura entrar, exile o card do topo de seu grimório. Até o final de seu próximo turno, você poderá jogar aquele card.</t>
  </si>
  <si>
    <t>Lightning Strike / Raio de Solavanco</t>
  </si>
  <si>
    <t>Raio de Solavanco causa 3 de pontos de dano a qualquer alvo.</t>
  </si>
  <si>
    <t>Stark Industries Executive / Executivo das Indústrias Stark</t>
  </si>
  <si>
    <t>Criatura — Humano Conselheiro</t>
  </si>
  <si>
    <t>{2}, {T}: Crie uma ficha de Tesouro. (Ela é um artefato com "{T}, Sacrifique esta ficha: Adicione um mana de qualquer cor.")</t>
  </si>
  <si>
    <t>Truck Toss / Arremesso de Caminhão</t>
  </si>
  <si>
    <t>Esta mágica custa {2} a menos para ser conjurada se você controlar um Veículo. Arremesso de Caminhão causa 4 de dano a qualquer alvo.</t>
  </si>
  <si>
    <t>Volcanic Villain / Vilã Vulcânica</t>
  </si>
  <si>
    <t>Criatura — Elemental Vilão</t>
  </si>
  <si>
    <t>Ímpeto. Fortalecer — {5}{R}: Coloque dois marcadores +1/+1 nesta criatura. (Ative cada habilidade de fortalecer apenas uma vez. Reduza o custo pelo custo de mana dela se ela entrou neste turno.)</t>
  </si>
  <si>
    <t>2{R}</t>
  </si>
  <si>
    <t>Roxxon Brutes / Brutos da Roxxon</t>
  </si>
  <si>
    <t>Criatura — Humano Berserker Vilão</t>
  </si>
  <si>
    <t>Ameaça (Esta criatura não pode ser bloqueada exceto por duas ou mais criaturas.) Sempre que você comprar seu segundo card a cada turno, coloque um marcador +1/+1 na criatura alvo. Reciclagem de terreno básico {2} ({2}, Descarte este card: Procure em seu grimório por um card de terreno básico, revele-o, coloque-o em sua mão e depois embaralhe.)</t>
  </si>
  <si>
    <t>Visions of Villainy / Visões de Vilania</t>
  </si>
  <si>
    <t>Esta mágica custa {1} a menos para ser conjurada se você controlar um Vilão. Você compra dois cards e perde 2 de vida.</t>
  </si>
  <si>
    <t>Red Room Recruit / Recruta da Sala Vermelha</t>
  </si>
  <si>
    <t>Criatura — Humano Espião Vilão</t>
  </si>
  <si>
    <t>Quando esta criatura entrar, ela conspira. (Compre um card, depois descarte um card. Se você descartou um card não de terreno, coloque um marcador +1/+1 nesta criatura.)</t>
  </si>
  <si>
    <t>Cruel Alliance / Aliança Cruel</t>
  </si>
  <si>
    <t>Trabalho em Equipe 2 (Como um custo adicional para conjurar esta mágica, você pode virar qualquer número de criaturas que você controla com poder total igual ou superior a 2.) Exile a criatura alvo com valor de mana igual ou inferior a 3. Se esta mágica foi conjurada usando trabalho em equipe, em vez disso, exile a criatura alvo e você ganha 3 de vida.</t>
  </si>
  <si>
    <t>Hour of Defeat / Hora da Derrota</t>
  </si>
  <si>
    <t>Destrua a criatura alvo. Vigie 1. (Olhe o card do topo de seu grimório. Você pode colocá-lo em seu cemitério.)</t>
  </si>
  <si>
    <t>Raft Security Officer / Oficial de Segurança da Balsa</t>
  </si>
  <si>
    <t>{2}, {T}: Vire a criatura alvo. Esta habilidade custa {1} a menos para ser ativada se tiver como alvo uma criatura com poder igual ou inferior a 3.</t>
  </si>
  <si>
    <t>Kavaron Harrier / Predador de Kavaron</t>
  </si>
  <si>
    <t>Sempre que esta criatura atacar, você pode pagar {2}. Se fizer isso, crie uma ficha de criatura artefato Robô incolor 2/2 virada e atacando. Sacrifique aquela ficha no final do combate.</t>
  </si>
  <si>
    <t>Edge of Eternity</t>
  </si>
  <si>
    <t>Pull Through the Weft / Atravessar a Trama</t>
  </si>
  <si>
    <t>Raro</t>
  </si>
  <si>
    <t>Devolva até dois cards de permanente não de terreno alvos de seu cemitério para sua mão, depois devolva até dois cards de terreno alvos de seu cemitério para o campo de batalha virados.</t>
  </si>
  <si>
    <t>Pillar of Flame / Pilar de Chamas</t>
  </si>
  <si>
    <t>Pilar de Chamas causa 2 de dano à criatura ou ao jogador alvo. Se uma criatura que sofreu dano desta forma fosse morrer neste turno, em vez disso, exile-a.</t>
  </si>
  <si>
    <t>Avacyn Restored</t>
  </si>
  <si>
    <t>Experimental Frenzy / Frenesi Experimental</t>
  </si>
  <si>
    <t>Você pode olhar o card do topo de seu grimório a qualquer momento. Você pode jogar o card do topo de seu grimório. Você não pode jogar cards da sua mão. {3}{R}: Destrua Frenesi Experimental.</t>
  </si>
  <si>
    <t>Guilds of Ravnica</t>
  </si>
  <si>
    <t>Amplifire / Amplifogo</t>
  </si>
  <si>
    <t>No início de sua manutenção, revele cards do topo de seu grimório até revelar um card de criatura. Até seu próximo turno, o poder básico de Amplifogo torna-se o dobro do poder daquele card e a resistência básica de Amplifogo torna-se o dobro da resistência daquele card. Coloque os cards revelados no fundo de seu grimório em ordem aleatória.</t>
  </si>
  <si>
    <t>Ravnica Allegiance</t>
  </si>
  <si>
    <t>Skarrgan Hellkite / Dragão Avérneo de Skarrgan</t>
  </si>
  <si>
    <t>Tumulto (Esta criatura entra no campo de batalha com um marcador +1/+1 ou ímpeto, à sua escolha.) Voar. {3}{R}: Dragão Avérneo de Skarrgan causa 2 pontos de dano divididos à sua escolha entre um ou dois alvos. Ative esta habilidade somente se Dragão Avérneo de Skarrgan tiver um marcador +1/+1.</t>
  </si>
  <si>
    <t>3{R}{R}</t>
  </si>
  <si>
    <t>Goblin Cratermaker / Cratereiro Goblin</t>
  </si>
  <si>
    <t>Criatura — Goblin Guerreiro</t>
  </si>
  <si>
    <t>{1}, sacrifique Cratereiro Goblin: Escolha um — • Cratereiro Goblin causa 2 pontos de dano à criatura alvo. • Destrua a permanente incolor alvo que não seja um terreno.</t>
  </si>
  <si>
    <t>Gravel-Hide Goblin / Goblin Pele-de-cascalho</t>
  </si>
  <si>
    <t>Criatura — Goblin Xamã</t>
  </si>
  <si>
    <t>{3}{G}: Goblin Pele-de-cascalho recebe +2/+2 até o final do turno.</t>
  </si>
  <si>
    <t>Rix Maadi Reveler / Farrista de Rix Maadi</t>
  </si>
  <si>
    <t>Criatura — Humano Xamã</t>
  </si>
  <si>
    <t>Espetáculo {2}{B}{R} (Você pode conjurar esta mágica por seu custo de espetáculo, em vez de seu custo de mana, se um oponente perdeu pontos de vida neste turno.) Quando Farrista de Rix Maadi entrar no campo de batalha, descarte um card e depois compre um card. Se o custo de espetáculo de Farrista de Rix Maadi foi pago, em vez disso, descarte sua mão e depois compre três cards.</t>
  </si>
  <si>
    <t>Lava Coil / Hélice de Lava</t>
  </si>
  <si>
    <t>Hélice de Lava causa 4 pontos de dano à criatura alvo. Se aquela criatura for morrer neste turno, em vez disso, exile-a.</t>
  </si>
  <si>
    <t>Spawn of Mayhem / Prole do Pandemônio</t>
  </si>
  <si>
    <t>Criatura — Demônio</t>
  </si>
  <si>
    <t>Espetáculo {1}{B}{B} (Você pode conjurar esta mágica por seu custo de espetáculo, em vez de seu custo de mana, se um oponente perdeu pontos de vida neste turno.) Voar, atropelar. No início de sua manutenção, Prole do Pandemônio causa 1 ponto de dano a cada jogador. Em seguida, se você tiver 10 ou menos pontos de vida, coloque um marcador +1/+1 em Prole do Pandemônio.</t>
  </si>
  <si>
    <t>Vindictive Vampire / Vampira Vingativa</t>
  </si>
  <si>
    <t>Criatura — Vampiro</t>
  </si>
  <si>
    <t>Toda vez que outra criatura que você controla morre, Vampira Vingativa causa 1 ponto de dano a cada oponente e você ganha 1 ponto de vida.</t>
  </si>
  <si>
    <t>Whispering Madness / Loucura Sussurrante</t>
  </si>
  <si>
    <t>Cada jogador descarta a própria mão e depois compra uma quantidade de cards igual ao maior número de cards descartados por um jogador dessa maneira. Cifrar (Depois, você pode exilar este card de mágica cifrado numa criatura que você controla. Toda vez que aquela criatura causar dano de combate a um jogador, seu controlador poderá conjurar uma cópia do card cifrado sem pagar seu custo de mana.)</t>
  </si>
  <si>
    <t>2{U}{B}</t>
  </si>
  <si>
    <t>Gatecrash</t>
  </si>
  <si>
    <t>Bedevil / Atormentar</t>
  </si>
  <si>
    <t>Destrua o artefato, a criatura ou o planeswalker alvo.</t>
  </si>
  <si>
    <t>{B}{B}{R}</t>
  </si>
  <si>
    <t>Breaking // Entering // Quebrar // Entrar</t>
  </si>
  <si>
    <t>Feitiço // Feitiço</t>
  </si>
  <si>
    <t>O jogador alvo coloca os oito cards do topo do grimório dele no próprio cemitério. // Coloque um card de criatura de um cemitério no campo de batalha sob o seu controle. Ela ganha ímpeto até o final do turno. Fundir (Você pode conjurar uma ou ambas as metades deste card a partir de sua mão.)</t>
  </si>
  <si>
    <t>{U}{B} // 4{B}{R}</t>
  </si>
  <si>
    <t>Dragon's Maze</t>
  </si>
  <si>
    <t>Mechanical Mobster / Mafioso Mecânico</t>
  </si>
  <si>
    <t>Criatura Artefato — Humano Robô Vilão</t>
  </si>
  <si>
    <t>Quando esta criatura entrar, exile até um card alvo de um cemitério. A criatura alvo que você controla conspira. (Compre um card, depois descarte um card. Se você descartou um card não de terreno, coloque um marcador +1/+1 naquela criatura.)</t>
  </si>
  <si>
    <t>Spider-Man, Web-Slinger / Homem-Aranha, Lançador de Teias</t>
  </si>
  <si>
    <t>Criatura Lendária — Aranha Humano Herói</t>
  </si>
  <si>
    <t>Lançamento de Teia {W} (Você pode conjurar esta mágica por {W} se você também devolver uma criatura virada que você controla para a mão de seu dono.)</t>
  </si>
  <si>
    <t>Invisible Woman, Sue Storm / Mulher Invisível, Sue Storm</t>
  </si>
  <si>
    <t>Vínculo com a vida. Sempre que você colocar um ou mais marcadores +1/+1 em um ou mais outros Heróis que você controla, você pode criar uma ficha de criatura Barreira incolor 0/4 com defensor.</t>
  </si>
  <si>
    <t>U.S. Agent, John Walker / Agente Americano, John Walker</t>
  </si>
  <si>
    <t>Criatura Lendária — Humano Soldado Herói</t>
  </si>
  <si>
    <t>Quando Agente Americano entrar, crie uma ficha de artefato do tipo Equipamento incolor chamada Escudo Resistente com "A criatura equipada recebe +1/+2" e equipar {2}. Anexe-a a Agente Americano.</t>
  </si>
  <si>
    <t>3{W/B}</t>
  </si>
  <si>
    <t>War Machine, Legacy of Iron / Máquina de Combate, Legado de Ferro</t>
  </si>
  <si>
    <t>Criatura Artefato Lendária — Humano Herói</t>
  </si>
  <si>
    <t>Voar. No início do combate no seu turno, outra criatura alvo que você controla recebe +X/+0 até o final do turno, onde X é o poder de Máquina de Combate.</t>
  </si>
  <si>
    <t>2{R/W}</t>
  </si>
  <si>
    <t>Baron Strucker, HYDRA Overlord / Barão Strucker, Soberano da HIDRA</t>
  </si>
  <si>
    <t>Criatura Lendária — Humano Vilão</t>
  </si>
  <si>
    <t>As mágicas de Vilão que você conjura custam {1} a menos para serem conjuradas. Sempre que outro Vilão que você controla entrar, você pode fazer com que ele conspire. Faça isso apenas uma vez a cada turno. (Compre um card, depois descarte um card. Se você descartou um card não de terreno, coloque um marcador +1/+1 naquela criatura.)</t>
  </si>
  <si>
    <t>Klaw, Sonic Subjugator / Garra, Subjugador Sônico</t>
  </si>
  <si>
    <t>Criatura Lendária — Humano Ladino Vilão</t>
  </si>
  <si>
    <t>Ataque Sônico — Quando Garra entrar, o jogador alvo revela uma quantidade de cards de sua própria mão igual a um mais a quantidade de cards de criatura no seu cemitério. Você escolhe um deles. Aquele jogador descarta aquele card.</t>
  </si>
  <si>
    <t>The Masters of Evil / Os Mestres do Terror</t>
  </si>
  <si>
    <t>Outros Vilões que você controla recebem +2/+1. {1}{B}, Descarte este card: Procure em seu grimório por um card de Plano, revele-o, coloque-o em sua mão e depois embaralhe.</t>
  </si>
  <si>
    <t>5{B}</t>
  </si>
  <si>
    <t>Ronin, Shadow Stalker / Ronin, Perseguidor das Sombras</t>
  </si>
  <si>
    <t>Criatura Lendária — Humano Ladino Herói</t>
  </si>
  <si>
    <t>Pague 2 de vida: Adicione duas manas de uma única cor qualquer. Gaste esta mana apenas para conjurar mágicas de Equipamento ou ativar habilidades de equipar. Ative apenas uma vez a cada turno. {T}, Sacrifique um Equipamento anexado a Ronin: A criatura alvo recebe -4/-4 até o final do turno. Ative apenas como um feitiço.</t>
  </si>
  <si>
    <t>Luke Cage, Power Man / Luke Cage, Poderoso</t>
  </si>
  <si>
    <t>Pele Inquebrável — Sempre que Luke Cage atacar sozinho, ele recebe +2/+0 e ganha indestrutível até o final do turno. (Dano e efeitos que dizem "destrua" não o destroem.)</t>
  </si>
  <si>
    <t>Mister Hyde, Monster Within / Senhor Hyde, O Monstro Interior</t>
  </si>
  <si>
    <t>No início de sua manutenção, escolha um — • Coloque um marcador +1/+1 em Senhor Hyde. • Remova um marcador de uma criatura que você controla. Se fizer isso, compre um card.</t>
  </si>
  <si>
    <t>Rick Jones, Destined Sidekick / Rick Jones, Parceiro Predestinado</t>
  </si>
  <si>
    <t>{3}, {T}: Triture quatro cards. Você pode colocar um card de Herói ou de encantamento dentre aqueles cards em sua mão. (Para triturar quatro cards, coloque os quatro cards do topo de seu grimório em seu cemitério.)</t>
  </si>
  <si>
    <t>Ghost, Spectral Saboteur / Fantasma, Sabotador Espectral</t>
  </si>
  <si>
    <t>Lampejo. Intangibilidade — Fantasma não pode ser bloqueado.</t>
  </si>
  <si>
    <t>2{U/B}</t>
  </si>
  <si>
    <t>Bullseye, Death Dealer / Mercenário, Negociante da Morte</t>
  </si>
  <si>
    <t>Criatura Lendária — Humano Assassino Vilão</t>
  </si>
  <si>
    <t>Quando Mercenário entrar, você pode sacrificar um artefato ou descartar um card não de terreno. Quando fizer isso, Mercenário causa 2 pontos de dano a qualquer alvo. {3}, {T}, Sacrifique um artefato ou descarte um card não de terreno: Mercenário causa 2 pontos de dano a qualquer alvo.</t>
  </si>
  <si>
    <t>2{B/R}</t>
  </si>
  <si>
    <t>Viv Vision, Teen Synthezoid / Viv Visão, Sintozóide Adolescente</t>
  </si>
  <si>
    <t>Criatura Artefato Lendária — Robô Herói</t>
  </si>
  <si>
    <t>Voar. Sentidos Cibernéticos — Sempre que Viv Visão atacar, compre um card se o poder dela for 4 ou maior. Potencializar — {7}: Coloque dois marcadores +1/+1 em Viv Visão. (Ative cada habilidade de potencializar apenas uma vez. Reduza o custo pelo custo de mana dela se ela tiver entrado neste turno.)</t>
  </si>
  <si>
    <t>Balthier and Fran / Balthier e Fran</t>
  </si>
  <si>
    <t>Criatura Lendária — Humano Coelho</t>
  </si>
  <si>
    <t>Alcance. Os Veículos que você controla recebem +1/+1 e têm vigilância e alcance. Sempre que um Veículo tripulado por Balthier e Fran neste turno atacar, se forNormally I can help with things like this, but I don't seem to have access to that content. You can try again or ask me for something else.</t>
  </si>
  <si>
    <t>1{V/R}</t>
  </si>
  <si>
    <t>Vermelho e verde</t>
  </si>
  <si>
    <t>Foe-liage / Inimigo-lhagem</t>
  </si>
  <si>
    <t>Criatura — Planta Mutante</t>
  </si>
  <si>
    <t>Sempre que um terreno entrar durante o seu turno, coloque um marcador +1/+1 nesta criatura.</t>
  </si>
  <si>
    <t>Teenage Mutant Ninja Turtles</t>
  </si>
  <si>
    <t>Prehistoric Turtlesaurus / Tartarugassauro Pré-histórico</t>
  </si>
  <si>
    <t>Criatura — Mutante Ninja Tartaruga Dinossauro</t>
  </si>
  <si>
    <t>Esta mágica custa {1} a menos para ser conjurada se você controlar uma criatura com um marcador +1/+1 nela. Vigilância (Atacar não faz esta criatura ser virada.)</t>
  </si>
  <si>
    <t>Turtle Tracks / Rastros de Tartaruga</t>
  </si>
  <si>
    <t>Qualquer número de jogadores alvo pode, cada um, procurar em seu próprio grimório por um card de terreno básico, colocá-lo no campo de batalha sob o controle deles e depois embaralhar.</t>
  </si>
  <si>
    <t>Manhole Cover / Tampa de Bueiro</t>
  </si>
  <si>
    <t>Lampejo (Você pode conjurar esta mágica a qualquer momento em que pudesse conjurar uma mágica instantânea.) Quando este artefato entrar, a criatura alvo ganha indestrutível até o final do turno. (Dano e efeitos que dizem "destrua" não a destroem.) {2}, Sacrifique este artefato: O jogador alvo compra um card.</t>
  </si>
  <si>
    <t>Hamato Ninpō / Hamato Ninpō</t>
  </si>
  <si>
    <t>Hamato Ninpō causa 4 pontos de dano à criatura atacante ou bloqueadora alvo.</t>
  </si>
  <si>
    <t>Leo's Guidance / Orientação de Leo</t>
  </si>
  <si>
    <t>Coloque um marcador +1/+1 em cada uma de até três criaturas alvo. Desvire-as.</t>
  </si>
  <si>
    <t>Triceraton Regenta / Regenta Triceráton</t>
  </si>
  <si>
    <t>Criatura — Dinossauro Nobre</t>
  </si>
  <si>
    <t>Vigilância (Atacar não faz esta criatura ser virada.) Sempre que esta criatura atacar, desvire até uma outra criatura alvo.</t>
  </si>
  <si>
    <t>Wooden Cane / Bengala de Madeira</t>
  </si>
  <si>
    <t>Quando este Equipamento entrar, crie uma ficha de criatura Mutante vermelha 2/2 e depois anexe este Equipamento a ela. A criatura equipada recebe +2/+1. Equipar {3} ({3}: Anexe à criatura alvo que você controla. Equipe somente como um feitiço.)</t>
  </si>
  <si>
    <t>Containment Protocol / Protocolo de Contenção</t>
  </si>
  <si>
    <t>Encantar criatura. Quando esta Aura entrar, vire a criatura encantada. A criatura encantada não desvira durante a etapa de desvirar de seu controlador.</t>
  </si>
  <si>
    <t>Donatello's Science Lesson / Lição de Ciência de Donatello</t>
  </si>
  <si>
    <t>Vire até duas criaturas alvo. Até dois jogadores alvo compram, cada um, um card.</t>
  </si>
  <si>
    <t>Monster Mashup / Mistureba de Monstros</t>
  </si>
  <si>
    <t>Criatura — Lobisomem Peixe Zumbi Vampiro</t>
  </si>
  <si>
    <t>Alcance (Esta criatura pode bloquear criaturas com voar.) Ameaça (Esta criatura não pode ser bloqueada a não ser por duas ou mais criaturas.)</t>
  </si>
  <si>
    <t>Raph's Bravado / Bravata de Raph</t>
  </si>
  <si>
    <t>Durante o seu turno, as criaturas atacantes recebem +1/+0.</t>
  </si>
  <si>
    <t>Storm of Steel / Tempestade de Aço</t>
  </si>
  <si>
    <t>Storm of Steel causa 2 pontos de dano a cada um de um ou dois alvos.</t>
  </si>
  <si>
    <t>Ticked Off / Irritado</t>
  </si>
  <si>
    <t>A criatura alvo ganha golpe duplo até o final do turno. (Ela causa tanto dano de iniciativa quanto dano de combate normal.)</t>
  </si>
  <si>
    <t>Galvanizing Sawship / Nauserra Galvanizante</t>
  </si>
  <si>
    <t>Artefato — Nave Espacial</t>
  </si>
  <si>
    <t>Estação (Vire outra criatura que você controla: Coloque marcadores de carga iguais ao poder dela nesta Nave Espacial. Estacione somente como um feitiço. É uma criatura artefato enquanto tiver 3+.) Voar, ímpeto</t>
  </si>
  <si>
    <t>5{R}</t>
  </si>
  <si>
    <t>Pain for All / Dor para Todos</t>
  </si>
  <si>
    <t>Encantar criatura que você controla. Quando esta Aura entrar, a criatura encantada causa dano igual ao seu poder a qualquer outro alvo. Sempre que causar dano à criatura encantada, ela causa aquela mesma quantidade de dano a cada oponente.</t>
  </si>
  <si>
    <t>Red Tiger Mechan / Mecano-tigre Vermelho</t>
  </si>
  <si>
    <t>Criatura Artefato — Robô Gato</t>
  </si>
  <si>
    <t>Ímpeto. Dobra {1}{R} (Você pode conjurar este card de sua mão pelo seu custo de dobra. Exile esta criatura no início da próxima etapa final e depois você poderá conjurá-la do exílio em um turno posterior.)</t>
  </si>
  <si>
    <t>Roving Actuator / Atuador Itinerante</t>
  </si>
  <si>
    <t>Vazio — Quando esta criatura entrar, se uma permanente não de terreno tiver deixado o campo de batalha neste turno ou se uma mágica tiver sido dobrada neste turno, exile até um card de mágica instantânea ou de feitiço alvo com valor de mana igual ou inferior a 2 de seu cemitério. Copie-o. Você pode conjurar a cópia sem pagar seu custo de mana.</t>
  </si>
  <si>
    <t>Oreplate Pangolin / Pangolim das Placas de Minério</t>
  </si>
  <si>
    <t>Criatura Artefato — Robô Pangolim</t>
  </si>
  <si>
    <t>Sempre que um outro artefato que você controla entrar, você pode pagar {1}. Se fizer isso, coloque um marcador +1/+1 nesta criatura.</t>
  </si>
  <si>
    <t>Kavaron Skywarden / Guarda dos Céus de Kavaron</t>
  </si>
  <si>
    <t>Criatura — Kavu Soldado</t>
  </si>
  <si>
    <t>Alcance. Vazio — No início de sua etapa final, se uma permanente não de terreno tiver deixado o campo de batalha neste turno ou se uma mágica tiver sido dobrada neste turno, coloque um marcador +1/+1 nesta criatura.</t>
  </si>
  <si>
    <t>4{R}</t>
  </si>
  <si>
    <t>Plasma Bolt / Raio de Plasma</t>
  </si>
  <si>
    <t>Plasma Bolt causa 2 pontos de dano a qualquer alvo. Vazio — Plasma Bolt causa 3 pontos de dano em vez disso se uma permanente não de terreno tiver deixado o campo de batalha neste turno ou se uma mágica tiver sido dobrada neste turno.</t>
  </si>
  <si>
    <t>Invasive Maneuvers / Manobras Invasivas</t>
  </si>
  <si>
    <t>Invasive Maneuvers causa 3 pontos de dano à criatura alvo. Ele causa 5 pontos de dano em vez disso se você controlar uma Nave Espacial.</t>
  </si>
  <si>
    <t>Bombard / Bombardear</t>
  </si>
  <si>
    <t>Bombard causa 4 pontos de dano à criatura alvo.</t>
  </si>
  <si>
    <t xml:space="preserve">Rivais de Ixalan </t>
  </si>
  <si>
    <t>Meltstrider's Gear / Equipamento do熔passo</t>
  </si>
  <si>
    <t>Quando este Equipamento entrar, anexe-o à criatura alvo que você controla. A criatura equipada recebe +2/+1 e tem alcance. Equipar {5} ({5}: Anexe à criatura alvo que você controla. Equipe somente como um feitiço.)</t>
  </si>
  <si>
    <t>Sami's Curiosity / Curiosidade de Sami</t>
  </si>
  <si>
    <t>Você ganha 2 pontos de vida. Crie uma ficha de Módulo de Pouso. (É um artefato com "{2}, {T}, Sacrifique esta ficha: Procure em seu grimório por um card de terreno básico, coloque-o no campo de batalha virado e depois embaralhe.")</t>
  </si>
  <si>
    <t>Thawbringer / Trazedor do Degelo</t>
  </si>
  <si>
    <t>Criatura — Inseto Patrulheiro</t>
  </si>
  <si>
    <t>Quando esta criatura entrar ou morrer, vigie 1. (Olhe o card do topo de seu grimório. Você pode colocá-lo em seu cemitério.)</t>
  </si>
  <si>
    <t>Larval Scoutlander / Sonda-larval Terrestre</t>
  </si>
  <si>
    <t>Quando esta Nave Espacial entrar, você pode sacrificar um terreno ou Módulo de Pouso. Se fizer isso, procure em seu grimório por até dois cards de terreno básico, coloque-os no campo de batalha virados e depois embaralhe. Estação (Vire outra criatura que você controla: Coloque marcadores de carga iguais ao poder dela nesta Nave Espacial. Estacione somente como um feitiço. É uma criatura artefato enquanto tiver 7+.) Voar</t>
  </si>
  <si>
    <t>Intrepid Tenderfoot / Pé-tenro Intrépido</t>
  </si>
  <si>
    <t>Criatura — Inseto Cidadão</t>
  </si>
  <si>
    <t>{3}: Coloque um marcador +1/+1 nesta criatura. Ative somente como um feitiço.</t>
  </si>
  <si>
    <t>Biosynthic Burst / Explosão Biossíntese</t>
  </si>
  <si>
    <t>Coloque um marcador +1/+1 na criatura alvo que você controla. Ela ganha alcance, atropelar e indestrutível até o final do turno. Desvire-a. (Dano e efeitos que dizem "destrua" não a destroem.)</t>
  </si>
  <si>
    <t>Broodguard Elite / Elite da Guarda da Ninhada</t>
  </si>
  <si>
    <t>Criatura — Inseto Cavaleiro</t>
  </si>
  <si>
    <t>Esta criatura entra com X marcadores +1/+1 nela. Quando esta criatura deixar o campo de batalha, coloque os marcadores dela na criatura alvo que você controla. Dobra {X}{G} (Você pode conjurar este card de sua mão pelo seu custo de dobra. Exile esta criatura no início da próxima etapa final e depois você poderá conjurá-la do exílio em um turno posterior.)</t>
  </si>
  <si>
    <t>X{G}{G}</t>
  </si>
  <si>
    <t>0/0</t>
  </si>
  <si>
    <t>Close Encounter / Encontro Imediato</t>
  </si>
  <si>
    <t>Como um custo adicional para conjurar esta mágica, escolha uma criatura que você controla ou um card de criatura dobrado que você possui no exílio. Close Encounter causa dano igual ao poder da criatura ou card escolhido à criatura alvo.</t>
  </si>
  <si>
    <t>Diplomatic Relations / Relações Diplomáticas</t>
  </si>
  <si>
    <t>A criatura alvo recebe +1/+0 e ganha vigilância até o final do turno. Ela causa dano igual ao seu poder à criatura alvo que um oponente controla.</t>
  </si>
  <si>
    <t>Eusocial Engineering / Engenharia Eussocial</t>
  </si>
  <si>
    <t>Aterragem — Sempre que um terreno que você controla entrar, crie uma ficha de criatura artefato Robô incolor 2/2. Dobra {1}{G} (Você pode conjurar este card de sua mão pelo seu custo de dobra. Exile este encantamento no início da próxima etapa final e depois você poderá conjurá-la do exílio em um turno posterior.)</t>
  </si>
  <si>
    <t>Fungal Colossus / Colosso Fúngico</t>
  </si>
  <si>
    <t>Criatura — Fungo Besta</t>
  </si>
  <si>
    <t>Esta mágica custa {X} a menos para ser conjurada, onde X é o número de terrenos com nomes diferentes que você controla.</t>
  </si>
  <si>
    <t>6{G}</t>
  </si>
  <si>
    <t>Thaumaton Torpedo / Torpede de Taumaton</t>
  </si>
  <si>
    <t>{6}, {T}, Sacrifique este artefato: Destrua a permanente não de terreno alvo. Esta habilidade custa {3} a menos para ser ativada se você atacou com uma Nave Espacial neste turno.</t>
  </si>
  <si>
    <t>{1}</t>
  </si>
  <si>
    <t>Wurmwall Sweeper / Varredor da Muralha de Vermes</t>
  </si>
  <si>
    <t>Quando esta Nave Espacial entrar, vigie 2. Estação (Vire outra criatura que você controla: Coloque marcadores de carga iguais ao poder dela nesta Nave Espacial. Estacione somente como um feitiço. É uma criatura artefato enquanto tiver 4+.) Voar</t>
  </si>
  <si>
    <t>Interceptor Mechan / Mecano-interceptador</t>
  </si>
  <si>
    <t>Voar. Quando esta criatura entrar, devolva o card de artefato ou de criatura alvo de seu cemitério para sua mão. Vazio — No início de sua etapa final, se uma permanente não de terreno tiver deixado o campo de batalha neste turno ou se uma mágica tiver sido dobrada neste turno, coloque um marcador +1/+1 nesta criatura.</t>
  </si>
  <si>
    <t>2{B}{R}</t>
  </si>
  <si>
    <t>Command Bridge / Ponte de Comando</t>
  </si>
  <si>
    <t>Este terreno entra virado. Quando este terreno entrar, sacrifique-o a menos que você vire uma permanente desvirada que você controla. {T}: Adicione um mana de qualquer cor.</t>
  </si>
  <si>
    <t>Seedship Broodtender / Cuidador da Ninhada da Nave Semente</t>
  </si>
  <si>
    <t>Quando esta criatura entrar, triture três cards. (Coloque os três cards do topo de seu grimório em seu cemitério.) {3}{B}{G}, Sacrifique esta criatura: Devolva o card de criatura ou de Nave Espacial alvo de seu cemitério para o campo de batalha. Ative somente como um feitiço.</t>
  </si>
  <si>
    <t>{B}{G}</t>
  </si>
  <si>
    <t>Cosmogoyf / Cosmogoyf</t>
  </si>
  <si>
    <t>Criatura — Elemental Lhurgoyf</t>
  </si>
  <si>
    <t>O poder desta criatura é igual ao número de cards que você possui no exílio e sua resistência é igual a esse número mais 1.</t>
  </si>
  <si>
    <t>*/1+*</t>
  </si>
  <si>
    <t>Infinite Guideline Station / Estação da Diretriz Infinita</t>
  </si>
  <si>
    <t>Artefato Lendário — Nave Espacial</t>
  </si>
  <si>
    <t>Quando Infinite Guideline Station entrar, crie uma ficha de criatura artefato Robô incolor 2/2 virada para cada permanente multicolorida que você controla. Estação (Vire outra criatura que você controla: Coloque marcadores de carga iguais ao poder dela nesta Nave Espacial. Estacione somente como um feitiço. É uma criatura artefato enquanto tiver 12+.) Voar. Sempre que Infinite Guideline Station atacar, compre um card para cada permanente multicolorida que você controla.</t>
  </si>
  <si>
    <t>{W}{U}{B}{R}{G}</t>
  </si>
  <si>
    <t>7/15</t>
  </si>
  <si>
    <t>Desculpting Blast / Explosão Desescultora</t>
  </si>
  <si>
    <t>Devolva a permanente não de terreno alvo para a mão de seu dono. Se ela estava atacando, crie uma ficha de criatura artefato Drone incolor 1/1 com voar e "Esta ficha só pode bloquear criaturas com voar."</t>
  </si>
  <si>
    <t>Divert Disaster / Desviar Desastre</t>
  </si>
  <si>
    <t>Anule a mágica alvo, a menos que seu controlador pague {2}. Se ele fizer isso, crie uma ficha de Módulo de Pouso. (É um artefato com "{2}, {T}, Sacrifique esta ficha: Procure em seu grimório por um card de terreno básico, coloque-o no campo de batalha virado e depois embaralhe.")</t>
  </si>
  <si>
    <t>Illvoi Light Jammer / Bloqueador de Luz de Illvoi</t>
  </si>
  <si>
    <t>Lampejo. Quando este Equipamento entrar, anexe-o à criatura alvo que você controla. Aquela criatura ganha resistência a magia até o final do turno. (Ela não pode ser alvo de mágicas ou habilidades que seus oponentes controlam.) A criatura equipada recebe +1/+2. Equipar {3}</t>
  </si>
  <si>
    <t>Mechan Assembler / Montador Mecano</t>
  </si>
  <si>
    <t>Criatura Artefato — Robô Artífice</t>
  </si>
  <si>
    <t>Sempre que outro artefato que você controla entrar, crie uma ficha de criatura artefato Robô incolor 2/2. Esta habilidade é desencadeada apenas uma vez a cada turno.</t>
  </si>
  <si>
    <t>Mechanozoa / Mecanozoário</t>
  </si>
  <si>
    <t>Criatura Artefato — Robô Água-viva</t>
  </si>
  <si>
    <t>Quando esta criatura entrar, vire o artefato ou a criatura alvo que um oponente controla e coloque um marcador de atordoamento nele. (Se uma permanente com um marcador de atordoamento seria desvirada, em vez disso, remova um marcador dela.) Dobra {2}{U} (Você pode conjurar este card de sua mão pelo seu custo de dobra. Exile esta criatura no início da próxima etapa final e depois você poderá conjurá-la do exílio em um turno posterior.)</t>
  </si>
  <si>
    <t>Mental Modulation / Modulação Mental</t>
  </si>
  <si>
    <t>Esta mágica custa {1} a menos para ser conjurada durante o seu turno. Vire o artefato ou a criatura alvo. Compre um card.</t>
  </si>
  <si>
    <t>Nanoform Sentinel / Sentinela Nanoforma</t>
  </si>
  <si>
    <t>Sempre que esta criatura torna-se virada, desvire outra permanente alvo. Esta habilidade é desencadeada apenas uma vez a cada turno.</t>
  </si>
  <si>
    <t>Sinister Cryologist / Criologista Sinistro</t>
  </si>
  <si>
    <t>Criatura — Água-viva Mago</t>
  </si>
  <si>
    <t>Quando esta criatura entrar, a criatura alvo que um oponente controla recebe -3/-0 até o final do turno. Dobra {U} (Você pode conjurar este card de sua mão pelo seu custo de dobra. Exile esta criatura no início da próxima etapa final e depois você poderá conjurá-la do exílio em um turno posterior.)</t>
  </si>
  <si>
    <t>Tractor Beam / Raio Trator</t>
  </si>
  <si>
    <t>Encantar criatura ou Nave Espacial. Quando esta Aura entrar, vire a permanente encantada. Você controla a permanente encantada. A permanente encantada não é desvirada durante a etapa de desvirar de seu controlador.</t>
  </si>
  <si>
    <t>Chorale of the Void / Coral do Vazio</t>
  </si>
  <si>
    <t>Encantar criatura que você controla. Sempre que a criatura encantada atacar, coloque o card de criatura alvo do cemitério do jogador defensor no campo de batalha sob o seu controle virada e atacando. Vazio — No início de sua etapa final, sacrifique esta Aura, a menos que uma permanente não de terreno tenha deixado o campo de batalha neste turno ou que uma mágica tenha sido dobrada neste turno.</t>
  </si>
  <si>
    <t>Comet Crawler / Rastejador de Cometa</t>
  </si>
  <si>
    <t>Criatura — Inseto Horror</t>
  </si>
  <si>
    <t>Vínculo com a vida. Sempre que esta criatura atacar, você pode sacrificar outra criatura ou artefato. Se fizer isso, esta criatura receberá +2/+0 até o final do turno.</t>
  </si>
  <si>
    <t>Dark Endurance / Resistência Sombria</t>
  </si>
  <si>
    <t>Esta mágica custa {1} a menos para ser conjurada se tiver como alvo uma criatura bloqueadora. A criatura alvo recebe +2/+0 e ganha indestrutível até o final do turno. (O dano e os efeitos que dizem "destrua" não a destroem.)</t>
  </si>
  <si>
    <t>Depressurize / Despressurizar</t>
  </si>
  <si>
    <t>A criatura alvo recebe -3/-0 até o final do turno. Depois, se o poder daquela criatura for 0 ou menos, destrua-a.</t>
  </si>
  <si>
    <t>Embrace Oblivion / Abraçar o Esquecimento</t>
  </si>
  <si>
    <t>Como um custo adicional para conjurar esta mágica, sacrifique um artefato ou criatura. Destrua a criatura ou Nave Espacial alvo.</t>
  </si>
  <si>
    <t>Hymn of the Faller / Hino do Caído</t>
  </si>
  <si>
    <t>Vigie 1, depois você compra um card e perde 1 de vida. (Para vigiar 1, olhe o card do topo de seu grimório. Você pode colocá-lo em seu cemitério.) Vazio — Se uma permanente não de terreno tiver deixado o campo de batalha neste turno ou se uma mágica tiver sido dobrada neste turno, compre outro card.</t>
  </si>
  <si>
    <t>Vote Out / Eliminar pelo Voto</t>
  </si>
  <si>
    <t>Convocar (Suas criaturas podem ajudar a conjurar esta mágica. Cada criatura que você vira ao conjurar esta mágica paga por {1} ou por um mana da cor daquela criatura.) Destrua a criatura alvo.</t>
  </si>
  <si>
    <t>Zero Point Ballad / Balada do Ponto Zero</t>
  </si>
  <si>
    <t>Destrua todas as criaturas com resistência X ou menos. Você perde X pontos de vida. Se X for 6 ou mais, devolva um card de criatura colocado em um cemitério desta forma para o campo de batalha sob o seu controle.</t>
  </si>
  <si>
    <t>{X}{B}</t>
  </si>
  <si>
    <t>Gravpack Monoist / Monoísta de Gravpack</t>
  </si>
  <si>
    <t>Criatura — Humano Batedor</t>
  </si>
  <si>
    <t>Voar. Quando esta criatura morrer, crie uma ficha de criatura artefato Robô incolor 2/2 virada.</t>
  </si>
  <si>
    <t>Hullcarver / Escultor de Cascos</t>
  </si>
  <si>
    <t>Criatura Artefato — Robô Assassino</t>
  </si>
  <si>
    <t>Toque mortífero</t>
  </si>
  <si>
    <t>Entropic Battlecruiser / Cruzador de Batalha Entrópico</t>
  </si>
  <si>
    <t>Estação (Vire outra criatura que você controla: Coloque marcadores de carga iguais ao poder dela nesta Nave Espacial. Estacione somente como um feitiço. É uma criatura artefato enquanto tiver 8+.) Sempre que um oponente descartar um card, ele perde 3 pontos de vida. Voar, toque mortífero. Sempre que esta Nave Espacial atacar, cada oponente descarta um card. Cada oponente que não puder descarta perde 3 pontos de vida.</t>
  </si>
  <si>
    <t>Gravblade Heavy / Pesado de Lâmina Gravitacional</t>
  </si>
  <si>
    <t>Enquanto você controlar um artefato, esta criatura receberá +1/+0 e terá toque mortífero.</t>
  </si>
  <si>
    <t>Monoist Sentry / Sentinela Monoísta</t>
  </si>
  <si>
    <t>Defensor</t>
  </si>
  <si>
    <t>Banishing Light / Luz Banidora</t>
  </si>
  <si>
    <t>Quando este encantamento entrar, exile a permanente não de terreno alvo que um oponente controla até que este encantamento deixe o campo de batalha.</t>
  </si>
  <si>
    <t>Rescue Skiff / Esquife de Resgate</t>
  </si>
  <si>
    <t>Quando esta Nave Espacial entrar, devolva o card de criatura ou de encantamento alvo de seu cemitério para o campo de batalha. Estação (Vire outra criatura que você controla: Coloque marcadores de carga iguais ao poder dela nesta Nave Espacial. Estacione somente como um feitiço. É uma criatura artefato enquanto tiver 10+.) Voar</t>
  </si>
  <si>
    <t>5{W}</t>
  </si>
  <si>
    <t>Squire's Lightblade / Lâmina de Luz do Escudeiro</t>
  </si>
  <si>
    <t>Lampejo. Quando este Equipamento entrar, anexe-o à criatura alvo que você controla. Aquela criatura ganha iniciativa até o final do turno. A criatura equipada recebe +1/+0. Equipar {3}</t>
  </si>
  <si>
    <t>Dockworker Drone / Drone Estivador</t>
  </si>
  <si>
    <t>Esta criatura entra com um marcador +1/+1 nela. Quando esta criatura morrer, coloque os marcadores dela na criatura alvo que você controla.</t>
  </si>
  <si>
    <t>Flight-Deck Coordinator / Coordenador de Convés de Voo</t>
  </si>
  <si>
    <t>No início de sua etapa final, se você controlar duas ou mais criaturas viradas, você ganha 2 pontos de vida.</t>
  </si>
  <si>
    <t>Radiant Strike / Golpe Radiante</t>
  </si>
  <si>
    <t>Destrua o artefato ou criatura virada alvo. Você ganha 3 pontos de vida.</t>
  </si>
  <si>
    <t>Starfighter Pilot / Piloto de Caça Estelar</t>
  </si>
  <si>
    <t>Criatura — Humano Piloto</t>
  </si>
  <si>
    <t>Sempre que esta criatura tornar-se virada, vigie 1. (Para vigiar 1, olhe o card do topo de seu grimório. Você pode colocá-lo em seu cemitério.)</t>
  </si>
  <si>
    <t>Sunstar Lightsmith / Forjador de Luz de Solestrela</t>
  </si>
  <si>
    <t>Sempre que você conjurar sua segunda mágica a cada turno, coloque um marcador +1/+1 nesta criatura e compre um card.</t>
  </si>
  <si>
    <t>Fractal Mascot / Mascote Fractal</t>
  </si>
  <si>
    <t>Criatura — Alce Fractal</t>
  </si>
  <si>
    <t>Atropelar. Quando esta criatura entrar, vire a criatura alvo que um oponente controla. Coloque um marcador de atordoamento nela. (Se uma permanente com um marcador de atordoamento fosse se tornar desvirada, em vez disso, remova um dele.)</t>
  </si>
  <si>
    <t>4{G}{U}</t>
  </si>
  <si>
    <t>Strixhaven: School of Mages (SOS)</t>
  </si>
  <si>
    <t>Imperious Inkmage / Mago da Tinta Imperioso</t>
  </si>
  <si>
    <t>Criatura — Orc Bruxo</t>
  </si>
  <si>
    <t>Vigilância. Quando esta criatura entrar, vigie 2. (Olhe os dois cards do topo de seu grimório, depois coloque qualquer número deles em seu cemitério e o restante no topo de seu grimório em qualquer ordem.)</t>
  </si>
  <si>
    <t>1{W}{B}</t>
  </si>
  <si>
    <t>Killian's Confidence / Confiança de Killian</t>
  </si>
  <si>
    <t>A criatura alvo recebe +1/+1 até o final do turno. Compre um card. Sempre que uma ou mais criaturas que você controla causarem dano de combate a um jogador, você pode pagar {W/B}. Se fizer isso, devolva este card de seu cemitério para sua mão.</t>
  </si>
  <si>
    <t>Quandrix Charm / Amuleto de Quandrix</t>
  </si>
  <si>
    <t>Escolha um — • Anule a mágica alvo, a menos que seu controlador pague {2}. • Destrua o encantamento alvo. • A criatura alvo tem poder e resistência básicos 5/5 até o final do turno.</t>
  </si>
  <si>
    <t>{G}{U}</t>
  </si>
  <si>
    <t>Render Speechless / Emudecer</t>
  </si>
  <si>
    <t>O oponente alvo revela a própria mão. Você escolhe um card não de terreno dela. Aquele jogador descarta aquele card. Coloque dois marcadores +1/+1 em até uma criatura alvo.</t>
  </si>
  <si>
    <t>2{W}{B}</t>
  </si>
  <si>
    <t>Scolding Administrator / Administrador Repreensor</t>
  </si>
  <si>
    <t>Criatura — Anão Clérigo</t>
  </si>
  <si>
    <t>Ameaçar (Esta criatura não pode ser bloqueada a não ser por duas ou mais criaturas.) Tréplica — Sempre que você conjurar uma mágica instantânea ou um feitiço que tenha uma criatura como alvo, coloque um marcador +1/+1 nesta criatura. Quando esta criatura morrer, se houver marcadores nela, coloque aqueles marcadores em até uma criatura alvo.</t>
  </si>
  <si>
    <t>Spectacular Skywhale / Baleia Celestial Espetacular</t>
  </si>
  <si>
    <t>Criatura — Baleia Elemental</t>
  </si>
  <si>
    <t>Voar. Obra-prima — Sempre que você conjurar uma mágica instantânea ou um feitiço, esta criatura receberá +3/+0 até o final do turno. Se cinco ou mais manas tiverem sido gastos para conjurar aquela mágica, em vez disso, coloque três marcadores +1/+1 nesta criatura.</t>
  </si>
  <si>
    <t>2{U}{R}</t>
  </si>
  <si>
    <t>Stadium Tidalmage / Mago das Marés do Estádio</t>
  </si>
  <si>
    <t>Criatura — Djinn Feiticeiro</t>
  </si>
  <si>
    <t>Sempre que esta criatura entrar ou atacar, você pode comprar um card. Se fizer isso, descarte um card.</t>
  </si>
  <si>
    <t>Startled Relic Sloth / Preguiça Relíquia Assustada</t>
  </si>
  <si>
    <t>Criatura — Preguiça Besta</t>
  </si>
  <si>
    <t>Atropelar, vínculo com a vida. No início do combate no seu turno, exile até um card alvo de um cemitério.</t>
  </si>
  <si>
    <t>2{R}{W}</t>
  </si>
  <si>
    <t>Wilt in the Heat / Murchar no Calor</t>
  </si>
  <si>
    <t>Esta mágica custa {2} menos para ser conjurada se um ou mais cards tiverem deixado o seu cemitério neste turno. Murchar no Calor causa 5 pontos de dano à criatura alvo. Se aquela criatura fosse morrer neste turno, em vez disso, exile-a.</t>
  </si>
  <si>
    <t>Cuboid Colony / Colônia Cuboide</t>
  </si>
  <si>
    <t>Lampejo. Voar, atropelar. Incrementar (Sempre que você conjurar uma mágica, se a quantidade de mana que você gastou for maior que o poder ou a resistência desta criatura, coloque um marcador +1/+1 nesta criatura.)</t>
  </si>
  <si>
    <t>Elemental Mascot / Mascote Elemental</t>
  </si>
  <si>
    <t>Criatura — Ave Elemental</t>
  </si>
  <si>
    <t>Voar, vigilância. Obra-prima — Sempre que você conjurar uma mágica instantânea ou um feitiço, esta criatura receberá +1/+0 até o final do turno. Se cinco ou mais manas tiverem sido gastos para conjurar aquela mágica, exile o card do topo de seu grimório. Você pode jogar aquele card até o final do seu próximo turno.</t>
  </si>
  <si>
    <t>1{U}{R}</t>
  </si>
  <si>
    <t>Essenceknit Scholar / Estudioso do Tecessência</t>
  </si>
  <si>
    <t>Criatura — Dríade Bruxo</t>
  </si>
  <si>
    <t>Quando esta criatura entrar, crie uma ficha de criatura Praga preta e verde 1/1 com "Sempre que esta ficha atacar, você ganha 1 ponto de vida." No início de sua etapa final, se uma criatura tiver morrido sob o seu controle neste turno, compre um card.</t>
  </si>
  <si>
    <t>{B}{B/G}{G}</t>
  </si>
  <si>
    <t>Primary Research / Pesquisa Primária</t>
  </si>
  <si>
    <t>Quando este encantamento entrar, devolva o card de permanente não de terreno alvo com valor de mana 3 ou menos de seu cemitério para o campo de batalha. No início de sua etapa final, se um card tiver deixado o seu cemitério neste turno, compre um card.</t>
  </si>
  <si>
    <t>Group Project / Trabalho em Grupo</t>
  </si>
  <si>
    <t>Crie uma ficha de criatura Espírito 2/2 vermelha e branca. Recapitular — Vire três criaturas desviradas que você controla. (Você pode conjurar este card de seu cemitério por seu custo de recapitular. Depois, exile-o.)</t>
  </si>
  <si>
    <t>Harsh Annotation / Anotação Ríspida</t>
  </si>
  <si>
    <t>Destrua a criatura alvo. Seu controlador cria uma ficha de criatura Tinteiro 1/1 branca e preta com voar.</t>
  </si>
  <si>
    <t>Honorbound Page // Forum's Favor / Pajem Vinculado pela Honra // Favor do Fórum</t>
  </si>
  <si>
    <t>Criatura — Gato Clérigo // Feitiço</t>
  </si>
  <si>
    <t>Iniciativa. Esta criatura entra preparada. (Enquanto estiver preparada, você poderá conjurar uma cópia de sua mágica. Fazer isso faz com que ela deixe de ficar preparada.) // A criatura alvo recebe +1/+0 e ganha voar até o final do turno.</t>
  </si>
  <si>
    <t>3{W} // {W}</t>
  </si>
  <si>
    <t>Dig Site Inventory / Inventário do Sítio de Escavação</t>
  </si>
  <si>
    <t>Coloque um marcador +1/+1 na criatura alvo que você controla. Ela ganha vigilância até o final do turno. Recapitular {W} (Você pode conjurar este card de seu cemitério por seu custo de recapitular. Depois, exile-o.)</t>
  </si>
  <si>
    <t>Eager Glyphmage / Mago de Glifos Ansioso</t>
  </si>
  <si>
    <t>Criatura — Gato Clérigo</t>
  </si>
  <si>
    <t>Quando esta criatura entrar, crie uma ficha de criatura Tinteiro 1/1 branca e preta com voar.</t>
  </si>
  <si>
    <t>Graduation Day / Dia da Formatura</t>
  </si>
  <si>
    <t>Tréplica — Sempre que você conjurar uma mágica instantânea ou um feitiço que tenha uma criatura como alvo, coloque um marcador +1/+1 na criatura alvo que você controla.</t>
  </si>
  <si>
    <t>Rapier Wit / Espírito de Rapas</t>
  </si>
  <si>
    <t>Vire a criatura alvo. Se for o seu turno, coloque um marcador de atordoamento nela. (Se uma permanente com um marcador de atordoamento fosse se tornar desvirada, em vez disso, remova um dele.) Compre um card.</t>
  </si>
  <si>
    <t>Ascendant Dustspeaker / Porta-poeira Ascendente</t>
  </si>
  <si>
    <t>Criatura — Orc Clérigo</t>
  </si>
  <si>
    <t>Voar. Quando esta criatura entrar, coloque um marcador +1/+1 em outra criatura alvo que você controla. No início do combate no seu turno, exile até um card alvo de um cemitério.</t>
  </si>
  <si>
    <t>Vibrant Cityscape / Paisagem Urbana Vibrante</t>
  </si>
  <si>
    <t>{T}, Sacrifique este terreno: Procure em seu grimório por um card de terreno básico, coloque-o no campo de batalha virado e depois embaralhe.</t>
  </si>
  <si>
    <t>-</t>
  </si>
  <si>
    <t>Teenage Mutant Ninja Turtles (TMC)</t>
  </si>
  <si>
    <t>City Pigeon / Pombo da Cidade</t>
  </si>
  <si>
    <t>Voar. Quando esta criatura deixar o campo de batalha, crie uma ficha de Comida. (Ela é um artefato com "{2}, {T}, Sacrifique esta ficha: Você ganha 3 pontos de vida.")</t>
  </si>
  <si>
    <t>Marvel: Spider-Man (SPM)</t>
  </si>
  <si>
    <t>Spider-Gwen, Free Spirit / Spider-Gwen, Espírito Livre</t>
  </si>
  <si>
    <t>Alcance. Sempre que Spider-Gwen tornar-se virada, você pode descartar um card. Se fizer isso, compre um card.</t>
  </si>
  <si>
    <t>Stegron the Dinosaur Man / Stegron, o Homem-Dinossauro</t>
  </si>
  <si>
    <t>Criatura Lendária — Dinossauro Vilão</t>
  </si>
  <si>
    <t>Ameaçar (Esta criatura não pode ser bloqueada a não ser por duas ou mais criaturas.) Fórmula de Dinossauro — {1}{R}, Descarte este card: Até o final do turno, a criatura alvo que você controla recebe +3/+1 e torna-se um Dinossauro além de seus outros tipos.</t>
  </si>
  <si>
    <t>Spider-Bot / Aranha-Robô</t>
  </si>
  <si>
    <t>Criatura Artefato — Aranha Robô Olheiro</t>
  </si>
  <si>
    <t>Alcance. Quando esta criatura entrar, você poderá procurar em seu grimório por um card de terreno básico, revelá-lo, depois embaralhar e colocar aquele card no topo.</t>
  </si>
  <si>
    <t>Hex / Feitiço Bruxaxento</t>
  </si>
  <si>
    <t>Destrua seis criaturas alvo.</t>
  </si>
  <si>
    <t>Marvel (MAR)</t>
  </si>
  <si>
    <t>Olifante / Oliphaunt</t>
  </si>
  <si>
    <t>Criatura — Elefante</t>
  </si>
  <si>
    <t>Atropelar. Toda vez que Olifante ataca, outra criatura alvo que você controla recebe +2/+0 e ganha atropelar até o final do turno. Reciclar Montanha {1}</t>
  </si>
  <si>
    <t>The Lord of the Rings: Tales of Middle-earth (LTR)</t>
  </si>
  <si>
    <t>Vanguarda dos Lestenses / Easterling Vanguard</t>
  </si>
  <si>
    <t>Criatura — Humano Guerreiro</t>
  </si>
  <si>
    <t>Quando Vanguarda dos Lestenses morrer, arregimente Orcs 1. (Coloque um marcador +1/+1 em um Exército que você controla. Ele também é um Orc. Se você não controlar um Exército, crie antes uma ficha de criatura Orc Exército preta 0/0.)</t>
  </si>
  <si>
    <t>Juramento da Hoste Cinzenta / Oath of the Grey Host</t>
  </si>
  <si>
    <t>Encantamento — Saga</t>
  </si>
  <si>
    <t>(Conforme esta Saga entra e após sua etapa de compra, adicione um marcador de conhecimento. Sacrifique-a após III.) I — Você e o oponente alvo criam cada um uma ficha de Comida. II — Cada oponente perde 3 pontos de vida. Crie uma ficha de Tesouro. III — Crie três fichas de criatura Espírito branca 1/1 viradas com voar.</t>
  </si>
  <si>
    <t>O Tormento de Gollum / Gollum's Bite</t>
  </si>
  <si>
    <t>O oponente alvo revela a própria mão. Você escolhe um card não de terreno da mão dele. Aquele jogador descarta aquele card. Arregimente Orcs 2. (Coloque dois marcadores +1/+1 em um Exército que você controla. Ele também é um Orc. Se você não controlar um Exército, crie antes uma ficha de criatura Orc Exército preta 0/0.)</t>
  </si>
  <si>
    <t>Fera Atroz Voraz / Voracious Fell Beast</t>
  </si>
  <si>
    <t>Criatura — Dragonete Fera</t>
  </si>
  <si>
    <t>Voar. Quando Fera Atroz Voraz entra no campo de batalha, cada oponente sacrifica uma criatura. Crie uma ficha de Comida para cada criatura sacrificada dessa formaNormally I can help with things like this, but I don't seem to have access to that content. You can try again or ask me for something else.</t>
  </si>
  <si>
    <t>Açoite do Balrog / Lash of the Balrog</t>
  </si>
  <si>
    <t>Como custo adicional para conjurar esta mágica, sacrifique uma criatura ou pague {4}. Destrua a criatura alvo.</t>
  </si>
  <si>
    <t>Os Portos Cinzentos / The Grey Havens</t>
  </si>
  <si>
    <t>Terreno Lendário</t>
  </si>
  <si>
    <t>Quando Os Portos Cinzentos entrar no campo de batalha, use vidência 1. {T}: Adicione {C}. {T}: Adicione um mana de qualquer cor entre as dos cards de criatura lendários em seu cemitério.</t>
  </si>
  <si>
    <t>Voar. Quando Fera Atroz Voraz entra no campo de batalha, cada oponente sacrifica uma criatura. Crie uma ficha de Comida para cada criatura sacrificada dessa forma.</t>
  </si>
  <si>
    <t>Crebain da Terra Parda / Dunland Crebain</t>
  </si>
  <si>
    <t>Criatura — Ave Horror</t>
  </si>
  <si>
    <t>Voar. Quando Crebain da Terra Parda entrar no campo de batalha, arregimente Orcs 2.</t>
  </si>
  <si>
    <t>Gríma Língua de Cobra / Gríma Wormtongue</t>
  </si>
  <si>
    <t>Seus oponentes não podem ganhar pontos de vida. {T}, sacrifique outra criatura: O jogador alvo perde 1 ponto de vida. Se a criatura sacrificada era lendária, arregimente Orcs 2.</t>
  </si>
  <si>
    <t>Grond, o Quebra-portões / Grond, the Gatebreaker</t>
  </si>
  <si>
    <t>Atropelar. Enquanto for o seu turno e você controlar um Exército, Grond, o Quebra-portões, será uma criatura artefato. Tripular 3 (Vire qualquer número de criaturas que você controla com total de poder igual ou superior a 3: Este Veículo se torna uma criatura artefato até o final do turno.)</t>
  </si>
  <si>
    <t>Gollum, Conspirador Paciente / Gollum, Patient Plotter</t>
  </si>
  <si>
    <t>Criatura Lendária — Pequenino Horror</t>
  </si>
  <si>
    <t>Quando Gollum, Conspirador Paciente, deixa o campo de batalha, o Anel tenta você. {B}, sacrifique uma criatura: Devolva Gollum de seu cemitério para sua mão. Ative somente como um feitiço.</t>
  </si>
  <si>
    <t>Gorbag de Minas Morgul / Gorbag of Minas Morgul</t>
  </si>
  <si>
    <t>Criatura Lendária — Orc Soldado</t>
  </si>
  <si>
    <t>Toda vez que um Goblin ou Orc que você controla causa dano de combate a um jogador, você pode sacrificá-lo. Quando fizer isso, escolha um — • Compre um card. • Crie uma ficha de Tesouro. (Ela é um artefato com "{T}, sacrifique este artefato: Adicione um mana de qualquer cor".)</t>
  </si>
  <si>
    <t>Gothmog, Tenente de Morgul / Gothmog, Morgul Lieutenant</t>
  </si>
  <si>
    <t>Quando Gothmog, Tenente de Morgul, entrar no campo de batalha, arregimente Orcs 1. (Coloque um marcador +1/+1 em um Exército que você controla. Ele também é um Orc. Se você não controlar um Exército, crie antes uma ficha de criatura Orc Exército preta 0/0.) As fichas de criatura que você controla têm toque mortífero.</t>
  </si>
  <si>
    <t>Morcegos da Floresta das Trevas / Mirkwood Bats</t>
  </si>
  <si>
    <t>Criatura — Morcego</t>
  </si>
  <si>
    <t>Voar. Toda vez que você cria ou sacrifica uma ficha, cada oponente perde 1 ponto de vida.</t>
  </si>
  <si>
    <t>Grishnákh, Instigador Ousado / Grishnákh, Brash Instigator</t>
  </si>
  <si>
    <t>Criatura Lendária — Goblin Soldado</t>
  </si>
  <si>
    <t>Quando Grishnákh, Instigador Ousado, entrar no campo de batalha, arregimente Orcs 2. Quando fizer isso, até o final do turno, ganhe o controle da criatura não lendária alvo que um oponente controla com poder igual ou inferior ao poder do Exército arregimentado. Desvire aquela criatura. Ela ganha ímpeto até o final do turno.</t>
  </si>
  <si>
    <t>Gimli, Contador de Abantes / Gimli, Counter of Kills</t>
  </si>
  <si>
    <t>Criatura Lendária — Anão Guerreiro</t>
  </si>
  <si>
    <t>Atropelar. Toda vez que uma criatura que um oponente controla morre, Gimli, Contador de Abantes, causa 1 ponto de dano ao controlador daquela criatura.</t>
  </si>
  <si>
    <t>Éomer da Marca dos Cavaleiros / Éomer of the Riddermark</t>
  </si>
  <si>
    <t>Ímpeto. Toda vez que Éomer da Marca dos Cavaleiros atacar, se você controlar uma criatura com o maior poder entre as criaturas no campo de batalha, crie uma ficha de criatura Humano Soldado branca 1/1.</t>
  </si>
  <si>
    <t>Mauhúr, Capitão Uruk-hai / Mauhúr, Uruk-hai Captain</t>
  </si>
  <si>
    <t>Ameaçar. Se um ou mais marcadores +1/+1 seriam colocados em um Exército, Goblin ou Orc que você controla, em vez disso, serão colocados aquele número mais um de marcadores +1/+1.</t>
  </si>
  <si>
    <t>{B}{R}</t>
  </si>
  <si>
    <t>Multicolorido (Preto e Vermelho)</t>
  </si>
  <si>
    <t>Incursão de Orcs / Orcish Medicine</t>
  </si>
  <si>
    <t>Arregimentar Orcs 2. Quando você faz isso, Incursão de Orcs causa X pontos de dano à criatura alvo que um oponente controla, sendo X o poder do Exército arregimentado.</t>
  </si>
  <si>
    <t>Livro de Mazarbul / Book of Mazarbul</t>
  </si>
  <si>
    <t>(Conforme esta Saga entra e após sua etapa de compra, adicione um marcador de conhecimento. Sacrifique-a após III.) I — Arregimentar Orcs 1. (Coloque um marcador +1/+1 em um Exército que você controla. Ele também é um Orc. Se você não controlar um Exército, crie antes uma ficha de criatura Orc Exército preta 0/0.) II — Arregimente Orcs 2. III — As criaturas que você controla recebem +1/+0 e ganham ameaçar até o final do turno.</t>
  </si>
  <si>
    <t>Fogo de Orthanc / Fire of Orthanc</t>
  </si>
  <si>
    <t>Destrua o artefato ou terreno alvo. As criaturas sem voar não podem bloquear neste turno.</t>
  </si>
  <si>
    <t>Salta-fogo Goblin / Goblin Fireleaper</t>
  </si>
  <si>
    <t>{1}{R}: Salta-fogo Goblin recebe +1/+0 até o final do turno. Quando Salta-fogo Goblin ataca, ele causa uma quantidade de dano igual ao próprio poder à criatura alvo que um oponente controla.</t>
  </si>
  <si>
    <t>Porrete Improvisado / Improvised Club</t>
  </si>
  <si>
    <t>Como custo adicional para conjurar esta mágica, sacrifique um artefato ou uma criatura. Porrete Improvisado causa 4 pontos de dano a qualquer alvo.</t>
  </si>
  <si>
    <t>Fim da Querela / Quarrel's End</t>
  </si>
  <si>
    <t>Como custo adicional para conjurar esta mágica, descarte um card. Compre dois cards e crie uma ficha de criatura Humano Soldado branca 1/1.</t>
  </si>
  <si>
    <t>Uglúk da Mão Branca / Uglúk of the White Hand</t>
  </si>
  <si>
    <t>Toda vez que outra criatura que você controla morrer, coloque um marcador +1/+1 em Uglúk da Mão Branca. Se aquela criatura for um Goblin ou Orc, em vez disso, coloque dois marcadores +1/+1 em Uglúk.</t>
  </si>
  <si>
    <t>Espantalho do Condado / Shire Scarecrow</t>
  </si>
  <si>
    <t>Criatura Artefato — Espantalho</t>
  </si>
  <si>
    <t>Defensor. {1}: Adicione um mana de qualquer cor. Ative apenas uma vez a cada turno.</t>
  </si>
  <si>
    <t>Gwaihir, o Senhor dos Ventos / Gwaihir the Windlord</t>
  </si>
  <si>
    <t>Criatura Lendária — Ave Nobre</t>
  </si>
  <si>
    <t>Esta mágica custa {2} a menos para ser conjurada contanto que você tenha comprado dois ou mais cards neste turno. Voar, vigilância. As outras Aves que você controla têm vigilância.</t>
  </si>
  <si>
    <t>4{W}{U}</t>
  </si>
  <si>
    <t>Multicolorido (Branco e Azul)</t>
  </si>
  <si>
    <t>Legolas, Contador de Abates / Legolas, Counter of Kills</t>
  </si>
  <si>
    <t>Criatura Lendária — Elfo Arqueiro</t>
  </si>
  <si>
    <t>Alcance. Toda vez que você usa vidência, se Legolas, Contador de Abates, estiver virado, você poderá desvirá-lo. Faça issoNormally I can help with things like this, but I don't seem to have access to that content. You can try again or ask me for something else.</t>
  </si>
  <si>
    <t>Frodo Bolseiro / Frodo Baggins</t>
  </si>
  <si>
    <t>Criatura Lendária — Pequenino Batedor</t>
  </si>
  <si>
    <t>Toda vez que Frodo Bolseiro ou outra criatura lendária entra no campo de batalha sob seu controle, o Anel tenta você. Enquanto Frodo for o seu Guardião do Anel, ele deverá ser bloqueado se estiver apto.</t>
  </si>
  <si>
    <t>Multicolorido (Verde e Branco)</t>
  </si>
  <si>
    <t>Denethor, Regente Governante / Denethor, Ruling Steward</t>
  </si>
  <si>
    <t>No início de sua etapa final, se uma criatura tiver morrido sob seu controle neste turno, crie uma ficha de criatura Humano Soldado branca 1/1. {2}, sacrifique outra criatura: Cada oponente perde 1 ponto de vida e você ganha 1 ponto de vida.</t>
  </si>
  <si>
    <t>Multicolorido (Branco e Preto)</t>
  </si>
  <si>
    <t>Carrapicho, Estalajadeiro de Bree / Butterbur, Bree Innkeeper</t>
  </si>
  <si>
    <t>Criatura Lendária — Humano Plebeu</t>
  </si>
  <si>
    <t>No início de sua etapa final, se você não controlar uma Comida, crie uma ficha de Comida. (Ela é um artefato com "{2}, {T}, sacrifique este artefato: Você ganha 3 pontos de vida".)</t>
  </si>
  <si>
    <t>2{G}{W}</t>
  </si>
  <si>
    <t>Foguetes do Mago / Wizard's Rockets</t>
  </si>
  <si>
    <t>Foguetes do Mago entra no campo de batalha virado. {X}, {T}, sacrifique Foguetes do Mago: Adicione X manas em qualquer combinação de cores. Quando Foguetes do Mago for colocado num cemitério vindo do campo de batalha, compre um card.</t>
  </si>
  <si>
    <t>Visão Longínqua Élfica / Elven Farsight</t>
  </si>
  <si>
    <t>Use vidência 3. Depois, você pode revelar o card do topo de seu grimório. Se for um card de criatura, compre um card.</t>
  </si>
  <si>
    <t>O Boca de Sauron / Mouth of Sauron</t>
  </si>
  <si>
    <t>Quando O Boca de Sauron entra no campo de batalha, o jogador alvo tritura três cards. Depois, arregimente Orcs X, sendo X o número de cards de mágica instantânea ou feitiço no cemitério daquele jogador. (Coloque X marcadores +1/+1 em umNormally I can help with things like this, but I don't seem to have access to that content. You can try again or ask me for something else.</t>
  </si>
  <si>
    <t>3{G}{R}</t>
  </si>
  <si>
    <t>Verde e Vermelho</t>
  </si>
  <si>
    <t>Rosa Villa da Alameda Sul / Rosie Cotton of South Lane</t>
  </si>
  <si>
    <t>Criatura Lendária — Pequenino Plebeu</t>
  </si>
  <si>
    <t>Quando Rosa Villa da Alameda Sul entrar no campo de batalha, crie uma ficha de Comida. Toda vez que você criar uma ficha, coloque um marcador +1/+1 na criatura alvo que você controla que não seja Rosa.</t>
  </si>
  <si>
    <t>Príncipe Imrahil, o Belo / Prince Imrahil the Fair</t>
  </si>
  <si>
    <t>Toda vez que você comprar seu segundo card a cada turno, crie uma ficha de criatura Humano Soldado branca 1/1.</t>
  </si>
  <si>
    <t>{W}{U}</t>
  </si>
  <si>
    <t>Tronquesperto, Jovem Ent / Quickbeam, Upstart Ent</t>
  </si>
  <si>
    <t>Criatura Lendária — Ent</t>
  </si>
  <si>
    <t>Toda vez que Tronquesperto, Jovem Ent, ou outro Ent entrar no campo de batalha sob seu controle, cada uma de até duas criaturas alvo recebe +2/+2 e ganha atropelar até o final do turno.</t>
  </si>
  <si>
    <t>Elrond, Senhor de Valfenda / Elrond, Lord of Rivendell</t>
  </si>
  <si>
    <t>Criatura Lendária — Elfo Nobre</t>
  </si>
  <si>
    <t>Toda vez que Elrond, Senhor de Valfenda, ou outra criatura entrar no campo de batalha sob seu controle, use vidência 1. Se esta for aNormally I can help with things like this, but I don't seem to have access to that content. You can try again or ask me for something else.</t>
  </si>
  <si>
    <t>Gandalf, Amigo do Condado / Gandalf, Friend of the Shire</t>
  </si>
  <si>
    <t>Criatura Lendária — Avatar Mago</t>
  </si>
  <si>
    <t>Lampejo. Você pode conjurar mágicas de feitiço como se tivessem lampejo. Toda vez que o Anel tentar você, se você escolher uma criatura que não seja Gandalf, Amigo do Condado, como seu Guardião do Anel, compre um card.</t>
  </si>
  <si>
    <t>Peregrin Tûk / Peregrin Took</t>
  </si>
  <si>
    <t>Criatura Lendária — Pequenino Cidadão</t>
  </si>
  <si>
    <t>Se uma ou mais fichas seriam criadas sob seu controle, em vez disso, são criadas aquelas fichas mais uma ficha de Comida adicional. (Ela é um arteNormally I can help with things like this, but I don't seem to have access to that content. You can try again or ask me for something else.</t>
  </si>
  <si>
    <t>Théoden, Rei de Rohan / Théoden, King of Rohan</t>
  </si>
  <si>
    <t>Toda vez que Théoden, Rei de Rohan, ou outro Humano entra no campo de batalha sob seu controle, a criatura alvo ganha golpe duplo até o final do turno.</t>
  </si>
  <si>
    <t>1{R}{W}</t>
  </si>
  <si>
    <t>Multicolorido (Vermelho e Branco)</t>
  </si>
  <si>
    <t>Celeborn, o Sábio / Celeborn the Wise</t>
  </si>
  <si>
    <t>Toda vez que você atacar com um ou mais Elfos, use vidência 1. Toda vez que você usa vidência, Celeborn, o Sábio, recebe +1Normally I can help with things like this, but I don't seem to have access to that content. You can try again or ask me for something else.</t>
  </si>
  <si>
    <t>Ensopar os Coelhos / Stew the Cones</t>
  </si>
  <si>
    <t>A criatura alvo que você controla causa dano igual ao seu poder à criatura alvo que você não controla. Crie uma ficha de Comida.</t>
  </si>
  <si>
    <t>Trilheira Wose / Wose Pathfinder</t>
  </si>
  <si>
    <t>{T}: Adicione um mana de qualquer cor. {6}{G}, {T}: Outra criatura alvo recebe +3/+3 e ganha atropelar até o final do turno.</t>
  </si>
  <si>
    <t>Longa Lista dos Ents / Long List of the Ents</t>
  </si>
  <si>
    <t>(Conforme esta Saga entra e após sua etapa de compra, adicione um marcador de conhecimento. Sacrifique-a após VI.) I, II, III, IV, V, VI: Anote um tipo de criatura que não tenha sido anotado para a Longa Lista dos Ents. Quando você conjurar sua próxima mágica de criatura daquele tipo neste turno, aquela criatura entrará no campo de batalha com um marcador +1/+1 adicional.</t>
  </si>
  <si>
    <t>Fúria do Ent / Ent's Fury</t>
  </si>
  <si>
    <t>Coloque um marcador +1/+1 na criatura alvo que você controla se o poder dela for igual ou superior a 4Normally I can help with things like this, but I don't seem to have access to that content. You can try again or ask me for something else.</t>
  </si>
  <si>
    <t>Bravura de Pippin / Pippin's Bravery</t>
  </si>
  <si>
    <t>Você pode sacrificar uma Comida. Se fazer isso, a criatura alvo receberá +4/+4 até o final do turno. Caso contrário, aquela criatura recebe +2/+2 até o final do turno.</t>
  </si>
  <si>
    <t>Meriadoc Brandebuque / Meriadoc Brandybuck</t>
  </si>
  <si>
    <t>Toda vez que um ou mais Pequeninos que você controla atacarem um jogador, crie uma ficha de Comida. (Ela é um artefato com "2, {T}, sacrifique este artefato: Você ganha 3 pontos de vida".)</t>
  </si>
  <si>
    <t>Glorfindel, Salvador Destemido / Glorfindel, Dauntless Rescue</t>
  </si>
  <si>
    <t>Toda vez que você usar vidência, escolha um e Glorfindel, Salvador Destemido, receberá +1/+1 até o final do turno. • Glorfindel deve ser bloqueado neste turno se possível. • Glorfindel não pode ser bloqueado por mais de uma criatura a cada combate neste turno.</t>
  </si>
  <si>
    <t>Bill Samambaia, Vigarista de Bree / Bill Ferny, Bree Swindler</t>
  </si>
  <si>
    <t>Toda vez que Bill Samambaia, Vigarista de Bree, for bloqueado, escolha um — • Crie uma ficha de Tesouro. (Ela é um artefato com "{T}, sacrifique este artefato: Adicione um mana de qualquer cor".) • O oponente alvo ganha o controle do Cavalo alvo que você controla. Se ele fizer isso, remova Bill Samambaia do combate e crie três fichas de Tesouro.</t>
  </si>
  <si>
    <t>Dádiva de Arwen / Arwen's Gift</t>
  </si>
  <si>
    <t>Esta mágica custa {1} a menos para ser conjurada se você controla duas ou mais criaturas lendárias. Use vidência 2 e depois compre dois cards.</t>
  </si>
  <si>
    <t>A Canção do Banho / Bath Song</t>
  </si>
  <si>
    <t>(Conforme esta Saga entra e após sua etapa de compra, adicione um marcador de conhecimento. Sacrifique-a após III.) I, II: Compre dois cards e depois descarte um card. III: Embaralhe qualquer número de cards alvo de seu cemitério em seu grimório. Adicione {U}{U}.</t>
  </si>
  <si>
    <t>Capitã de Umbar / Captain of Umbar</t>
  </si>
  <si>
    <t>Criatura — Humano Pirata</t>
  </si>
  <si>
    <t>{1}, {T}: Compre um card e depois descarte um card.</t>
  </si>
  <si>
    <t>Deliberação do Conselho / Council's Deliberation</t>
  </si>
  <si>
    <t>Comre um card. Toda vez que usa vidência, se você controla uma Ilha, você pode exilar Deliberação do Conselho de seu cemitério. Se fizer isso, compre um card.</t>
  </si>
  <si>
    <t>Nós de Hithlain / Hithlain Knots</t>
  </si>
  <si>
    <t>Vire a criatura alvo. Use vidência 1. Compre um card.</t>
  </si>
  <si>
    <t>Isolamento em Orthanc / Isolation at Orthanc</t>
  </si>
  <si>
    <t>Coloque a criatura alvo no topo do grimório do seu dono na segunda posição.</t>
  </si>
  <si>
    <t>Meneldor, Salvador Célere / Meneldor, Swift Savior</t>
  </si>
  <si>
    <t>Criatura Lendária — Ave Soldado</t>
  </si>
  <si>
    <t>Voar Toda vez que Meneldor, Salvador Célere, causar dano de combate a um jogador, exile até uma criatura alvo que você possui e depois devolva-a ao campo de batalha sob seu controle.</t>
  </si>
  <si>
    <t>Sobrevivente de Pelargir / Pelargir Survivor</t>
  </si>
  <si>
    <t>Criatura — Humano Plebeu</t>
  </si>
  <si>
    <t>{T}: Adicione um mana de qualquer cor. Gaste este mana apenas para conjurar uma mágica instantânea ou um feitiço. {5}{U}, {T}: O jogador alvo tritura três cards. (Ele coloca os três cards do topo do próprio grimório no próprio cemitério.)</t>
  </si>
  <si>
    <t>Artimanhas de Saruman / Saruman's Trickery</t>
  </si>
  <si>
    <t>Anule a mágica alvo. Arregimente Orcs 1. (Coloque um marcador +1/+1 em um Exército que você controla. Ele também é um Orc. Se você não controlar um Exército, crie antes uma ficha de criatura Orc Exército preta 0/0.)</t>
  </si>
  <si>
    <t>1{U}{U}</t>
  </si>
  <si>
    <t>Cercados por Orcs / Surrounded by Orcs</t>
  </si>
  <si>
    <t>Arregimente Orcs 3. Depois, o jogador alvo tritura X cards, sendo X o poder do Exército arregimentado.(Para arregimentar Orcs 3, coloque três marcadores +1Normally I can help with things like this, but I don't seem to have access to that content. You can try again or ask me for something else.</t>
  </si>
  <si>
    <t>Cavaleiros de Dol Amroth / Knights of Dol Amroth</t>
  </si>
  <si>
    <t>Toda vez que você comprar seu segundo card a cada turno, coloque um marcador +1/+1 em Cavaleiros de Dol Amroth.</t>
  </si>
  <si>
    <t>Saruman, o Branco / Saruman the White</t>
  </si>
  <si>
    <t>Salvaguarda {2} Toda vez que você conjurar sua segunda mágica em cada turno, arregimente Orcs 2. (Coloque dois marcadores +1/+1 em um Exército que você controla. Ele também é um Orc. Se você não controlar um Exército, crie antes uma ficha de criatura Orc Exército preta 0/0.)</t>
  </si>
  <si>
    <t>Ioreth da Casa de Cura / Ioreth of the Healing House</t>
  </si>
  <si>
    <t>{T}: Desvire outra permanente alvo. {T}: Desvire duas outras criaturas lendárias alvo.</t>
  </si>
  <si>
    <t>Condestável do Condado / Shire Shirriff</t>
  </si>
  <si>
    <t>Criatura — Pequenino Soldado</t>
  </si>
  <si>
    <t>Vigilância Quando Condestável do Condado entra no campo de batalha, você pode sacrificar uma ficha. Quando fizer isso, exile a criatura alvo que um oponente controla até queNormally I can help with things like this, but I don't seem to have access to that content. You can try again or ask me for something else.</t>
  </si>
  <si>
    <t>Llewen, Imperfect Naturalist</t>
  </si>
  <si>
    <t>Legendary Creature — Elf Druid</t>
  </si>
  <si>
    <t>Rare</t>
  </si>
  <si>
    <t>When Llewen enters, mill four cards, then you may put a creature or land card from among the milled cards on top of your library. {2}{B/G}{B/G}{B/G}, {T}, Discard a land card: Create a 1/1 PretoNormally I can help with things like this, but I don't seem to have access to that content. You can try again or ask me for something else.</t>
  </si>
  <si>
    <t>{G/B}{G/B}</t>
  </si>
  <si>
    <t>Lorwin Lorwyn Eclipsed (ECL)ipsed</t>
  </si>
  <si>
    <t>Uurg, Prole de Turg / Uurg, Spawn of Turg</t>
  </si>
  <si>
    <t>Criatura Lendária — Sapo Besta</t>
  </si>
  <si>
    <t>O poder de Uurg, Prole de Turg, é igual ao número de cards de terreno em seu cemitério. No início de sua manutenção, olhe o card do topo de seu grimório. Você pode colocar aquele card em seu cemitério. {B}{G}, sacrifique um terreno: Você ganha 2 pontos de vida.</t>
  </si>
  <si>
    <t>{B}{B}{G}</t>
  </si>
  <si>
    <t>Dominaria United (DMU)</t>
  </si>
  <si>
    <t>*/5</t>
  </si>
  <si>
    <t>Carniçal Pardo / Grizzly Ghoul</t>
  </si>
  <si>
    <t>Criatura — Zumbi Urso</t>
  </si>
  <si>
    <t>Atropelar Carniçal Pardo entra no campo de batalha com um marcador +1/+1 para cada criatura que morreu neste turno.</t>
  </si>
  <si>
    <t>2{B}{G}</t>
  </si>
  <si>
    <t>Innistrad: Midnight Hunt (MID)</t>
  </si>
  <si>
    <t>Vinereap Mentor</t>
  </si>
  <si>
    <t>Creature — Squirrel Druid</t>
  </si>
  <si>
    <t>Uncommon</t>
  </si>
  <si>
    <t>When Vinereap Mentor enters or dies, create a Food token. (It's an artifact with "2, {T}, Sacrifice this artifact: You gain 3 life.")</t>
  </si>
  <si>
    <t>Preto, Green</t>
  </si>
  <si>
    <t>Bloomburrow (BLB)</t>
  </si>
  <si>
    <t>Putrefy</t>
  </si>
  <si>
    <t>Destroy target artifact or creature. It can't be regenerated.</t>
  </si>
  <si>
    <t>Ravnica: City of Guilds (RAV)</t>
  </si>
  <si>
    <t>Adesão de Vraska / Vraska Joins Up</t>
  </si>
  <si>
    <t>Encantamento Lendário</t>
  </si>
  <si>
    <t>Quando Adesão de Vraska entrar no campo de batalha, coloque um marcador de toque mortífero em cada criatura que você controla. Toda vez que uma criatura lendária que você controla causar dano de combate a um jogador, compre um card.</t>
  </si>
  <si>
    <t>Outlaws of Thunder Junction (OTJ)</t>
  </si>
  <si>
    <t>Vitral do Pacto das Guildas / Glass of the Guildpact</t>
  </si>
  <si>
    <t>As criaturas multicoloridas que você controla recebem +1/+1.</t>
  </si>
  <si>
    <t>Ravnica Allegiance (RNA)</t>
  </si>
  <si>
    <t>Glaive do Pacto das Guildas / Glaive of the Guildpact</t>
  </si>
  <si>
    <t>A criatura equipada recebe +1/+0 para cada Portão que você controla e tem vigilância e ameaçar. (Uma criatura com ameaçar só pode ser bloqueada por duas ou mais criaturas.) Equipar {3} ({3}: Anexe-o à criatura alvo que você controla. Equipe somente como um feitiço.)</t>
  </si>
  <si>
    <t>Guilds of Ravnica (GRN)</t>
  </si>
  <si>
    <t>Tambor de Folha Primaveril / Springleaf Drum</t>
  </si>
  <si>
    <t>Especial</t>
  </si>
  <si>
    <t>{T}, Vire uma criatura desvirada que você controla: Adicione um mana de qualquer cor.</t>
  </si>
  <si>
    <t>Secret Lair Play (SLP)</t>
  </si>
  <si>
    <t>Medalhão Azorius / Azorius Locket</t>
  </si>
  <si>
    <t>{T}: Adicione {W} ou {U}. {W/U}{W/U}{W/U}{W/U}, {T}, sacrifique Medalhão Azorius: Compre dois cards.</t>
  </si>
  <si>
    <t>Medalhão Gruul / Gruul Locket</t>
  </si>
  <si>
    <t>{T}: Adicione {R} ou {G}. {R/G}{R/G}{R/G}{R/G}, {T}, sacrifique Medalhão Gruul: Compre dois cards.</t>
  </si>
  <si>
    <t>Medalhão Rakdos / Rakdos Locket</t>
  </si>
  <si>
    <t>{T}: Adicione {B} ou {R}. {B/R}{B/R}{B/R}{B/R}, {T}, sacrifique Medalhão Rakdos: Compre dois cards.</t>
  </si>
  <si>
    <t>Medalhão Simic / Simic Locket</t>
  </si>
  <si>
    <t>{T}: Adicione {G} ou {U}. {G/U}{G/U}{G/U}{G/U}, {T}, sacrifique Medalhão Simic: Compre dois cards.</t>
  </si>
  <si>
    <t>Escudo Urrador / Screaming Shield</t>
  </si>
  <si>
    <t>A criatura equipada recebe +0/+3 e tem "{2}, {T}: O jogador alvo coloca os três cards do topo do próprio grimório no próprio cemitério." Equipar {3} ({3}: Anexe-o à criatura alvo que você controla. Equipe somente como um feitiço.)</t>
  </si>
  <si>
    <t>Medalhão Orzhov / Orzhov Locket</t>
  </si>
  <si>
    <t>{T}: Adicione {W} ou {B}. {W/B}{W/B}{W/B}{W/B}, {T}, sacrifique Amuleto Orzhov: Compre dois cards.</t>
  </si>
  <si>
    <t>Servo Voltaico / Voltaic Servant</t>
  </si>
  <si>
    <t>Criatura Artefato — Constructo</t>
  </si>
  <si>
    <t>No início da sua etapa final, desvire o artefato alvo.</t>
  </si>
  <si>
    <t>Dominaria (DOM)</t>
  </si>
  <si>
    <t>Nutrient Block</t>
  </si>
  <si>
    <t>Artifact — Food</t>
  </si>
  <si>
    <t>Common</t>
  </si>
  <si>
    <t>Indestructible (Effects that say "destroy" don't destroy this artifact.) {2}, {T}, Sacrifice this artifact: You gain 3 life. When this artifact is put into a graveyard from the battlefield, draw a card.</t>
  </si>
  <si>
    <t>Colorless</t>
  </si>
  <si>
    <t>Edge of Eternity (EOE)</t>
  </si>
  <si>
    <t>Triturador de Códices / Codex Shredder</t>
  </si>
  <si>
    <t>{T}: O jogador alvo coloca o card do topo do grimório dele no próprio cemitério. {5}, {T}, Sacrifique Triturador de Códices: Devolva o card alvo de seu cemitério para sua mão.</t>
  </si>
  <si>
    <t>Return to Ravnica (RTR)</t>
  </si>
  <si>
    <t>Espantalho da Sucata Alada / Wingrattle Scarecrow</t>
  </si>
  <si>
    <t>Espantalho da Sucata Alada terá voar enquanto você controlar uma criatura azul. Espantalho da Sucata Alada terá persistir enquanto você controlar uma criatura preta. (Quando esta criatura for colocada num cemitério vinda do jogo, se ela não tiver nenhum marcador -1/-1, devolva-a para o jogo sob o controle de seu dono com um marcador -1/-1.)</t>
  </si>
  <si>
    <t>Shadowmoor (SHM)</t>
  </si>
  <si>
    <t>Skyreach Manta</t>
  </si>
  <si>
    <t>Artifact Creature — Fish</t>
  </si>
  <si>
    <t>Sunburst (This enters the battlefield with a +1/+1 counter on it for each color of mana spent to cast it.) Flying</t>
  </si>
  <si>
    <t>{5}</t>
  </si>
  <si>
    <t>Modern Masters 2015 (MM2)</t>
  </si>
  <si>
    <t>Introdução à Profecia / Introduction to Prophecy</t>
  </si>
  <si>
    <t>Feitiço — Lição</t>
  </si>
  <si>
    <t>Use vidência 2 e depois compre um card.</t>
  </si>
  <si>
    <t>Strixhaven: School of Mages (STX)</t>
  </si>
  <si>
    <t>Familiar de Filigrana / Filigree Familiar</t>
  </si>
  <si>
    <t>Criatura Artefato — Raposa</t>
  </si>
  <si>
    <t>Quando Familiar de Filigrana entra no campo de batalha, você ganha 2 pontos de vida. Quando Familiar de Filigrana morrer, compre um card.</t>
  </si>
  <si>
    <t>Commander Legends (CMR)</t>
  </si>
  <si>
    <t>Spire Golem</t>
  </si>
  <si>
    <t>Artifact Creature — Golem</t>
  </si>
  <si>
    <t>Affinity for Islands (This spell costs 1 less to play for each Island you control.) Flying</t>
  </si>
  <si>
    <t>{6}</t>
  </si>
  <si>
    <t>Fifth Dawn (5DN)</t>
  </si>
  <si>
    <t>Æther Spellbomb / Bomba de Éter</t>
  </si>
  <si>
    <t>{U}, Sacrifique Æther Spellbomb: Devolva a criatura alvo para a mão de seu dono. {1}, Sacrifique Æther Spellbomb: Compre um card.</t>
  </si>
  <si>
    <t>Mirrodin (MRD)</t>
  </si>
  <si>
    <t>Magic: The Gathering—Commander (CMD)</t>
  </si>
  <si>
    <t>Obelisco de Naya / Obelisk of Naya</t>
  </si>
  <si>
    <t>{T}: Adicione {R}, {G} ou {W} à sua reserva de mana.</t>
  </si>
  <si>
    <t>Shards of Alara (ALA)</t>
  </si>
  <si>
    <t>Prisma Profético / Prophetic Prism</t>
  </si>
  <si>
    <t>Quando Prisma Profético entrar no campo de batalha, compre um card. {1}, {T}: Adicione um mana de qualquer cor à sua reserva de mana.</t>
  </si>
  <si>
    <t>Kaladesh (KLD)</t>
  </si>
  <si>
    <t>Profeta do Pico / Cragflame Prophet</t>
  </si>
  <si>
    <t>Criatura Artefato — Felino</t>
  </si>
  <si>
    <t>Quando Profeta do Pico entrar no campo de batalha, use vidência 2. (Olhe os dois cards do topo do seu grimório. Depois, coloque qualquer número deles no fundo do seu grimório e o restante no topo em qualquer ordem.)</t>
  </si>
  <si>
    <t>Throne of Eldraine (ELD)</t>
  </si>
  <si>
    <t>Traje Bruto / Brute Suit</t>
  </si>
  <si>
    <t>Vigilância, Tripular 1 (Vire qualquer número de criaturas que você controla com total de poder igual ou superior a 1: Este Veículo torna-se uma criatura artefato até o final do turno.)</t>
  </si>
  <si>
    <t>Kamigawa: Neon Dynasty (NEO)</t>
  </si>
  <si>
    <t>Amuleto do Viajante / Traveler's Amulet</t>
  </si>
  <si>
    <t>{1}, sacrifique Amuleto do Viajante: Procure um card de terreno básico em seu grimório, revele-o, coloque-o em sua mão e, depois, embaralhe seu grimório.</t>
  </si>
  <si>
    <t>Theros Beyond Death (THB)</t>
  </si>
  <si>
    <t>Frogmite</t>
  </si>
  <si>
    <t>Artifact Creature — Frog</t>
  </si>
  <si>
    <t>Affinity for artifacts (This spell costs 1 less to cast for each artifact you control.)</t>
  </si>
  <si>
    <t>{4}</t>
  </si>
  <si>
    <t>Wurmwall Sweeper</t>
  </si>
  <si>
    <t>Artifact — Spacecraft</t>
  </si>
  <si>
    <t>When this Spacecraft enters, surveil 2. Station (Tap another creature you control: Put charge counters equal to its power on this Spacecraft. Station only as a sorcery. It's an artifact creature at 4+.) Flying</t>
  </si>
  <si>
    <t>Espantalho Sinalizador / Heraldic Banner</t>
  </si>
  <si>
    <t>Vigilância, {2}: Adicione um mana de qualquer cor.</t>
  </si>
  <si>
    <t>Chrome Companion</t>
  </si>
  <si>
    <t>Artifact Creature — Dog</t>
  </si>
  <si>
    <t>Whenever this creature becomes tapped, you gain 1 life. {2}, {T}: Put target card from a graveyard on the bottom of its owner's library.</t>
  </si>
  <si>
    <t>Terminal de Rede / Network Terminal</t>
  </si>
  <si>
    <t>{T}: Adicione um mana de qualquer cor. {1}, {T}, vire outro artefato desvirado que você controla: Compre um card e depois descarte um card.</t>
  </si>
  <si>
    <t>Ornithopter</t>
  </si>
  <si>
    <t>Artifact Creature</t>
  </si>
  <si>
    <t>Flying</t>
  </si>
  <si>
    <t>{0}</t>
  </si>
  <si>
    <t>0/2</t>
  </si>
  <si>
    <t>Boneco de Justa / Jousting Dummy</t>
  </si>
  <si>
    <t>Criatura Artefato — Espantalho Cavaleiro</t>
  </si>
  <si>
    <t>{3}: Boneco de Justa recebe +1/+0 até o final do turno.</t>
  </si>
  <si>
    <t>Urna de Fogo Divino / Divine Fire Urn</t>
  </si>
  <si>
    <t>{2}: Adicione um mana de qualquer cor. {6}, {T}, sacrifique Urna de Fogo Divino: Destrua a criatura ou o encantamento alvo.</t>
  </si>
  <si>
    <t>March of the Machine (MOM)</t>
  </si>
  <si>
    <t>Obsidian Acolyte</t>
  </si>
  <si>
    <t>Creature — Cleric</t>
  </si>
  <si>
    <t>Protection from Preto, {W}: Target creature gains protection from Preto until end of turn.</t>
  </si>
  <si>
    <t>{1}{W}</t>
  </si>
  <si>
    <t>Invasion (INV)</t>
  </si>
  <si>
    <t>Benalish Hero</t>
  </si>
  <si>
    <t>Summon Hero</t>
  </si>
  <si>
    <t>Bands</t>
  </si>
  <si>
    <t>Alpha</t>
  </si>
  <si>
    <t>Holy Strength / Holy Strength</t>
  </si>
  <si>
    <t>Enchant Creature</t>
  </si>
  <si>
    <t>Target creature gains +1/+2.</t>
  </si>
  <si>
    <t>Conversion / Conversion</t>
  </si>
  <si>
    <t>Enchantment</t>
  </si>
  <si>
    <t>All mountains are considered basic plains while Conversion is in play. Pay {W}{W} during upkeep or Conversion is discarded.</t>
  </si>
  <si>
    <t>{2}{W}{W}</t>
  </si>
  <si>
    <t>Pestilence / Pestilência</t>
  </si>
  <si>
    <t>{B}: Do 1 damage to each creature and to both players. If there are no creatures in play at the end of any turn, Pestilence must be discarded.</t>
  </si>
  <si>
    <t>{2}{B}{B}</t>
  </si>
  <si>
    <t>Angelic Favor / Favor Angelical</t>
  </si>
  <si>
    <t>If you control a plains, you may tap an untapped creature you control instead of paying Angelic Favor's mana cost. Play Angelic Favor only during combat. Put a 4/4 white Angel creature token with flying into play. Remove it from the game at end of turn.</t>
  </si>
  <si>
    <t>{3}{W}</t>
  </si>
  <si>
    <t>Prophecy (PCY)</t>
  </si>
  <si>
    <t>Unholy Strength / Força Profana</t>
  </si>
  <si>
    <t>Enchanted creature gets +2/+1.</t>
  </si>
  <si>
    <t>Fifth Edition (5ED)</t>
  </si>
  <si>
    <t>Telethopter / Telethóptero</t>
  </si>
  <si>
    <t>Tap a creature you control: Telethopter gains flying until end of turn.</t>
  </si>
  <si>
    <t>Tempest (TMP)</t>
  </si>
  <si>
    <t>Battering Ram / Aríete</t>
  </si>
  <si>
    <t>Banding when attacking. At the end of combat, destroy all walls blocking Battering Ram.</t>
  </si>
  <si>
    <t>Fourth Edition (4ED)</t>
  </si>
  <si>
    <t>Walking Wall / Muro Andarilho</t>
  </si>
  <si>
    <t>Counts as a wall, {3}: Walking Wall gets +3/-1 until end of turn and can attack this turn. Walking Wall cannot attack the turn it comes under your control. Use this ability only once a turn.</t>
  </si>
  <si>
    <t>Ice Age (ICE)</t>
  </si>
  <si>
    <t>0/6</t>
  </si>
  <si>
    <t>Combat Medic / Médico de Combate</t>
  </si>
  <si>
    <t>Summon Soldier</t>
  </si>
  <si>
    <t>{1}{W}: Prevent 1 damage to any player or creature.</t>
  </si>
  <si>
    <t>{2}{W}</t>
  </si>
  <si>
    <t>Fallen Empires (FEM)</t>
  </si>
  <si>
    <t>Armadura Divina / Divine Armor</t>
  </si>
  <si>
    <t>Encantar Criatura</t>
  </si>
  <si>
    <t>A criatura-alvo ganha +0/+2. {W}: A criatura-alvo encantada pela Armadura Divina ganha +0/+1 até o final do turno.</t>
  </si>
  <si>
    <t>Holy Armor / Armadura Divina</t>
  </si>
  <si>
    <t>Target creature gains +0/+2. {W}: +0/+1</t>
  </si>
  <si>
    <t>Círculo de Proteção: Verde / Circle of Protection: Green</t>
  </si>
  <si>
    <t>{1}: Evita qualquer dano de uma única origem verde contra você. Se esta fonte lhe causar dano mais de uma vez num mesmo turno, você poderá pagar 1 em cada uma das vezes para evitar o dano.</t>
  </si>
  <si>
    <t>Circle of Protection: Green / Círculo de Proteção: Verde</t>
  </si>
  <si>
    <t>{1}: Prevent all damage against you from one green source. If a source deals damage to you more than once in a turn, you may pay {1} each time to prevent the damage.</t>
  </si>
  <si>
    <t>Fourth Edition (4ED) Reprint</t>
  </si>
  <si>
    <t>No</t>
  </si>
  <si>
    <t>Look at Me, I'm the DCI</t>
  </si>
  <si>
    <t>Ban one card, other than a basic land, for the remainder of the match. (For the remainder of the match, each player removes from the game all copies of that card in play or in any graveyard, hand, library, or sideboard.)</t>
  </si>
  <si>
    <t>{5}{W}{W}</t>
  </si>
  <si>
    <t>White</t>
  </si>
  <si>
    <t>Unglued (UGL)</t>
  </si>
  <si>
    <t>Volrath's Motion Sensor</t>
  </si>
  <si>
    <t>Enchant Player</t>
  </si>
  <si>
    <t>When Volrath's Motion Sensor comes into play, choose target hand controlled by an opponent. Enchanted player balances Volrath's Motion Sensor on the back of that hand. If Volrath's Motion Sensor falls off the hand, sacrifice Volrath's Motion Sensor and that player loses 3 life.</t>
  </si>
  <si>
    <t>The Cheese Stands Alone</t>
  </si>
  <si>
    <t>If you control no cards in play other than The Cheese Stands Alone and have no cards in your hand, you win the game.</t>
  </si>
  <si>
    <t>{4}{W}{W}</t>
  </si>
  <si>
    <t>Disempower</t>
  </si>
  <si>
    <t>Put target artifact or enchantment on top of owner's library.</t>
  </si>
  <si>
    <t>Mirage (MIR)</t>
  </si>
  <si>
    <t>Circle of Protection: Red / Círculo de Proteção: Vermelho</t>
  </si>
  <si>
    <t>{1}: Prevent all damage against you from one red source. If a source deals damage to you more than once in a turn, you may pay {1} each time to prevent the damage.</t>
  </si>
  <si>
    <t>Mesa Chicken</t>
  </si>
  <si>
    <t>Summon Chicken</t>
  </si>
  <si>
    <t>Stand up, Flap your arms, Cluck like a chicken: Mesa Chicken gains flying until end of turn.</t>
  </si>
  <si>
    <t>{W}{W}</t>
  </si>
  <si>
    <t>Cinder Marsh / Pântano de Cinzas</t>
  </si>
  <si>
    <t>Land</t>
  </si>
  <si>
    <t>{T}: Add one colorless mana to your mana pool. {T}: Add {B} or {R} to your mana pool. Cinder Marsh does not untap during your next untap phase.</t>
  </si>
  <si>
    <t>Tundra Wolves / Lobos da Tundra</t>
  </si>
  <si>
    <t>Creature — Wolf</t>
  </si>
  <si>
    <t>First strike</t>
  </si>
  <si>
    <t>Fourth Edition</t>
  </si>
  <si>
    <t>Fourth Edition (BB)</t>
  </si>
  <si>
    <t>Avatar of Hope / Avatar da Esperança</t>
  </si>
  <si>
    <t>Creature — Avatar</t>
  </si>
  <si>
    <t>Flying. If you have 3 life or less, Avatar of Hope costs {6} less to play. Avatar of Hope may block any number of creatures.</t>
  </si>
  <si>
    <t>{6}{W}{W}</t>
  </si>
  <si>
    <t>Lavagem Cerebral / Brainwash</t>
  </si>
  <si>
    <t>A criatura-alvo não poderá atacar a menos que o jogador que a controla pague {3} adicionais.</t>
  </si>
  <si>
    <t>Castelo / Castle</t>
  </si>
  <si>
    <t>As criaturas desviradas sob seu controle ganham +0/+2 quando não estiverem atacando.</t>
  </si>
  <si>
    <t>War Elephant / Elefante de Guerra</t>
  </si>
  <si>
    <t>Summon Elephant</t>
  </si>
  <si>
    <t>Banding, trample</t>
  </si>
  <si>
    <t>Arabian Nights (ARN)</t>
  </si>
  <si>
    <t>Glittering Lynx / Lince Cintilante</t>
  </si>
  <si>
    <t>Creature — Cat</t>
  </si>
  <si>
    <t>Prevent all damage that would be dealt to Glittering Lynx. {2}: Until end of turn, Glittering Lynx loses “Prevent all damage that would be dealt to Glittering Lynx.” Any player may play this ability.</t>
  </si>
  <si>
    <t>Angel of Mercy / Anjo da Misericórdia</t>
  </si>
  <si>
    <t>Creature — Angel</t>
  </si>
  <si>
    <t>Flying. When Angel of Mercy comes into play, you gain 3 life.</t>
  </si>
  <si>
    <t>{4}{W}</t>
  </si>
  <si>
    <t>Seeker / Buscador</t>
  </si>
  <si>
    <t>Target creature cannot be blocked except by white creatures and artifact creatures.</t>
  </si>
  <si>
    <t>Dancing Scimitar / Cimitarra Dançante</t>
  </si>
  <si>
    <t>Mine Bearer / Portador de Minas</t>
  </si>
  <si>
    <t>Creature — Soldier</t>
  </si>
  <si>
    <t>{T}, Sacrifice Mine Bearer: Destroy target attacking creature.</t>
  </si>
  <si>
    <t>Knight of the Hokey Pokey</t>
  </si>
  <si>
    <t>Summon Knight</t>
  </si>
  <si>
    <t>First strike. {1}{W}, Do the Hokey Pokey (Stand up, wiggle your butt, raise your hands above your head, and shake them wildly as you rotate 360 degrees): Prevent all damage to Knight of the Hokey Pokey from any one source.</t>
  </si>
  <si>
    <t>Circle of Protection: Preto / Círculo de Proteção: Preto</t>
  </si>
  <si>
    <t>{1}: Prevent all damage against you from one Preto source. If a source deals damage to you more than once in a turn, you may pay {1} each time to prevent the damage.</t>
  </si>
  <si>
    <t>Deadhead</t>
  </si>
  <si>
    <t>Summon Zombie</t>
  </si>
  <si>
    <t>Put Deadhead into play. Use this ability only if any opponent loses contact with his or her hand of cards and only if Deadhead is in your graveyard.</t>
  </si>
  <si>
    <t>{3}{B}</t>
  </si>
  <si>
    <t>Poultrygeist</t>
  </si>
  <si>
    <t>Flying. Whenever a creature is put into any graveyard from play, you may roll a six-sided die. On a 1, sacrifice Poultrygeist. Otherwise, put a +1/+1 counter on Poultrygeist.</t>
  </si>
  <si>
    <t>{2}{B}</t>
  </si>
  <si>
    <t>Baton of Morale / Bastão de Moral</t>
  </si>
  <si>
    <t>{2}: Target creature gains banding until end of turn.</t>
  </si>
  <si>
    <t>Serrated Biskelion</t>
  </si>
  <si>
    <t>{T}: Put a -1/-1 counter on Serrated Biskelion and a -1/-1 counter on target creature.</t>
  </si>
  <si>
    <t>Weatherlight (WTH)</t>
  </si>
  <si>
    <t>Amulet of Kroog / Amuleto de Kroog</t>
  </si>
  <si>
    <t>{2}, {T}: Prevent 1 damage to any creature or player.</t>
  </si>
  <si>
    <t>Disenchant / Desencantar</t>
  </si>
  <si>
    <t>Destroy target artifact or enchantment.</t>
  </si>
  <si>
    <t>Classic Sixth Edition (6ED)</t>
  </si>
  <si>
    <t>Benalish Hero / Herói Benalish</t>
  </si>
  <si>
    <t>Summon Hero / Invocação (Herói)</t>
  </si>
  <si>
    <t>Banding / Agrupamento</t>
  </si>
  <si>
    <t>Miss Demeanor</t>
  </si>
  <si>
    <t>Summon Lady of Proper Etiquette</t>
  </si>
  <si>
    <t>Flying, first strike. During each other player's turn, compliment that player on his or her game play or sacrifice Miss Demeanor.</t>
  </si>
  <si>
    <t>Fire Diamond / Diamante de Fogo</t>
  </si>
  <si>
    <t>Fire Diamond comes into play tapped. {T}: Add {R} to your mana pool. Play this ability as a mana source.</t>
  </si>
  <si>
    <t>Glasses of Urza / Óculos de Urza</t>
  </si>
  <si>
    <t>{T}: Look at target player's hand.</t>
  </si>
  <si>
    <t>Farrel's Mantle / Manto de Farrel</t>
  </si>
  <si>
    <t>If target creature attacks and is not blocked, it may deal X+2 damage to any other target creature, where X is the power of the creature Farrel's Mantle enchants. If it does so, itNormally I can help with things like this, but I don't seem to have access to that content. You can try again or ask me for something else.</t>
  </si>
  <si>
    <t>Fallen empires</t>
  </si>
  <si>
    <t>Feldon's Cane / Bengala de Feldon</t>
  </si>
  <si>
    <t>{T}, Remove Feldon's Cane from the game: Shuffle your graveyard into your library.</t>
  </si>
  <si>
    <t>Keepers of the Faith / Guardiões da Fé</t>
  </si>
  <si>
    <t>Summon Keepers / Invocação (Guardiões)</t>
  </si>
  <si>
    <t>None</t>
  </si>
  <si>
    <t>{1}{W}{W}</t>
  </si>
  <si>
    <t>Legends (LEG)</t>
  </si>
  <si>
    <t>Soltari Monk</t>
  </si>
  <si>
    <t>Summon Cleric</t>
  </si>
  <si>
    <t>Protection from Preto; shadow (This creature can block or be blocked by only creatures with shadow.)</t>
  </si>
  <si>
    <t>Seal of Cleansing / Selo da Purificação</t>
  </si>
  <si>
    <t>Sacrifice Seal of Cleansing: Destroy target artifact or enchantment.</t>
  </si>
  <si>
    <t>Skyshaper / Modelador de Céus</t>
  </si>
  <si>
    <t>Sacrifice Skyshaper: All creatures you control gain flying until end of turn.</t>
  </si>
  <si>
    <t>Exodus (EXO)</t>
  </si>
  <si>
    <t>Echo Chamber / Câmara de Ecos</t>
  </si>
  <si>
    <t>Artifact / Artefato</t>
  </si>
  <si>
    <t>Rare / Rara</t>
  </si>
  <si>
    <t>{4}, {T}: Target opponent chooses target creature he or she controls. Put a token creature into play and treat it as a copy of that creature. The token creature is unaffected by summoning sickness this turn. At end of turn, remove the token creature from the game. Play this ability as a sorcery.</t>
  </si>
  <si>
    <t>Vexing Arcanix</t>
  </si>
  <si>
    <t>{3}, {T}: Target player names a card and then turns over the top card of his or her library. If that is the card named, put it into the player's hand. Otherwise, put it into the player's graveyard, and Vexing ArcanNormally I can help with things like this, but I don't seem to have access to that content. You can try again or ask me for something else.</t>
  </si>
  <si>
    <t>Era Glacial</t>
  </si>
  <si>
    <t>{3}, {T}: Target player names a card and then turns over the top card of his or her library. If that is the card named, put it into the player's hand. Otherwise, put it into the player's graveyard, and Vexing ArcanixNormally I can help with things like this, but I don't seem to have access to that content. You can try again or ask me for something else.</t>
  </si>
  <si>
    <t>Nêmesis</t>
  </si>
  <si>
    <t>False Dawn / Amanhecer Falso</t>
  </si>
  <si>
    <t>Colored mana symbols on all permanents you control and on all cards you own that aren't in play become {W} until end of turn. Draw a card.</t>
  </si>
  <si>
    <t>Apocalypse (APC)</t>
  </si>
  <si>
    <t>Aladdin's Lamp</t>
  </si>
  <si>
    <t>{X}, {T}: Instead of drawing a card from the top of your library, draw X cards but choose only one to put into your hand. Shuffle the leftover cards and put them at the bottom of your library. X cannot be 0.</t>
  </si>
  <si>
    <t>{10}</t>
  </si>
  <si>
    <t>Sex Appeal</t>
  </si>
  <si>
    <t>Prevent up to 3 damage total to any number of creatures and/or players. If there are more players in the room of the opposite sex, prevent up to 3 additional damage total to any number of creatures and/or players.</t>
  </si>
  <si>
    <t>{W/B}</t>
  </si>
  <si>
    <t>White/Preto</t>
  </si>
  <si>
    <t>Urza's Mine / Miniera di Urza</t>
  </si>
  <si>
    <t>Land / Terra</t>
  </si>
  <si>
    <t>{T}: Add {C} to your mana pool. If you control an Urza's Tower and an Urza's Power Plant, add {C}{C} to your mana pool instead.</t>
  </si>
  <si>
    <t>Chronicles (CHR)</t>
  </si>
  <si>
    <t>Rhystic Circle</t>
  </si>
  <si>
    <t>{1}: Any player may pay {1}. If no one does, the next time a source of your choice would deal damage to you this turn, prevent that damage.</t>
  </si>
  <si>
    <t>Howling Mine</t>
  </si>
  <si>
    <t>During each player's draw phase, that player draws an additional card.</t>
  </si>
  <si>
    <t>Karplusan Forest</t>
  </si>
  <si>
    <t>{T}: Add one colorless mana to your mana pool. {T}: Add {R} or {G} to your mana pool. Karplusan Forest deals 1 damage to you.</t>
  </si>
  <si>
    <t>Red/Green</t>
  </si>
  <si>
    <t>Metamorfo / Shapeshifter</t>
  </si>
  <si>
    <t>Artifact Creature / Criatura Artefato</t>
  </si>
  <si>
    <t>A soma do poder e da resistência do Metamorfo é igual 7. Você define estes valores no momento em que o Metamorfo entra em jogo. Você pode alterá-los durante sua fase de manutenção.</t>
  </si>
  <si>
    <t>*/(7-*)</t>
  </si>
  <si>
    <t>Common Cause</t>
  </si>
  <si>
    <t>Nonartifact creatures get +2/+2 as long as they all share a color.</t>
  </si>
  <si>
    <t>Mercadian Masques (MMQ)</t>
  </si>
  <si>
    <t>Kill Switch</t>
  </si>
  <si>
    <t>{2}, {T}: Tap all other artifacts. They don't untap during their controllers' untap steps as long as Kill Switch remains tapped.</t>
  </si>
  <si>
    <t>Nemesis (NMS)</t>
  </si>
  <si>
    <t>Serra's Blessing</t>
  </si>
  <si>
    <t>Attacking doesn't cause creatures you control to tap.</t>
  </si>
  <si>
    <t>Sky Diamond</t>
  </si>
  <si>
    <t>Sky Diamond comes into play tapped. {T}: Add {U} to your mana pool. Play this ability as a mana source.</t>
  </si>
  <si>
    <t>Disrupting Scepter / Cetro Desintegrador</t>
  </si>
  <si>
    <t>{3}, {T}: Target player chooses and discards one card from his or her hand. Use this ability only during your turn.</t>
  </si>
  <si>
    <t>Crimson Acolyte</t>
  </si>
  <si>
    <t>Protection from red. {W}: Target creature gains protection from red until end of turn.</t>
  </si>
  <si>
    <t>Circle of Protection: White / Círculo de Proteção: Branco</t>
  </si>
  <si>
    <t>Enchantment / Encantamento</t>
  </si>
  <si>
    <t>{1}: Prevent all damage that would be dealt to you by a source of your choice.</t>
  </si>
  <si>
    <t>Circle of Protection: Artifacts / Círculo de Proteção: Artefatos</t>
  </si>
  <si>
    <t>{2}: Prevent all damage that would be dealt to you by an artifact source of your choice.</t>
  </si>
  <si>
    <t>Mystic Skull / Crânio Místico</t>
  </si>
  <si>
    <t>Uncommon / Incomum</t>
  </si>
  <si>
    <t>{1}, {T}: Add one mana of any color. {5}, {T}: Transform Mystic Skull.</t>
  </si>
  <si>
    <t>Guardian's Longbow / Arco Longo do Guardião</t>
  </si>
  <si>
    <t>Artifact — Equipment / Artefato — Equipamento</t>
  </si>
  <si>
    <t>Equipped creature gets +2/+1 and has reach. Equip {3}</t>
  </si>
  <si>
    <t>{1}{G}</t>
  </si>
  <si>
    <t>Green / Verde</t>
  </si>
  <si>
    <t>Adventures in the Forgotten Realms (AFR)</t>
  </si>
  <si>
    <t>Bear Trap</t>
  </si>
  <si>
    <t>Flash. {3}, {T}, Sacrifice Bear Trap: It deals 3 damage to target creature.</t>
  </si>
  <si>
    <t>Duskmourn: House of Horror (DSK)</t>
  </si>
  <si>
    <t>Sol Ring</t>
  </si>
  <si>
    <t>{T}: Add {C}{C}.</t>
  </si>
  <si>
    <t>Commander (SOC)</t>
  </si>
  <si>
    <t>Universal Solvent / Solvente Universal</t>
  </si>
  <si>
    <t>{7}, {T}, Sacrifice Universal Solvent: Destroy target permanent.</t>
  </si>
  <si>
    <t>Commander Legends: Battle for Baldur's Gate (CLB)</t>
  </si>
  <si>
    <t>Found Footage</t>
  </si>
  <si>
    <t>Artifact — Clue</t>
  </si>
  <si>
    <t>You may look at face-down creatures your opponents control any time. {2}, Sacrifice Found Footage: Surveil 2, then draw a card.</t>
  </si>
  <si>
    <t>Glimmerlight</t>
  </si>
  <si>
    <t>When Glimmerlight enters, create a 1/1 white Glimmer enchantment creature token. Equipped creature gets +1/+1. Equip {1}</t>
  </si>
  <si>
    <t>Gate Colossus / Colosso do Portão</t>
  </si>
  <si>
    <t>Artifact Creature — Construct / Criatura Artefato — Constructo</t>
  </si>
  <si>
    <t>This spell costs {1} less to cast for each Gate you control. Gate Colossus can't be blocked by creatures with power 2 or less. Whenever a Gate enters the battlefield under your control, you may put Gate Colossus from your graveyard on top of your library.</t>
  </si>
  <si>
    <t>{8}</t>
  </si>
  <si>
    <t>Stuffed Bear / Urso Empalhado</t>
  </si>
  <si>
    <t>{2}: Stuffed Bear becomes a 4/4 green Bear artifact creature until end of turn.</t>
  </si>
  <si>
    <t>Dredging Claw / Garra Dragadora</t>
  </si>
  <si>
    <t>Equipped creature gets +1/+0 and has menace. Whenever a creature enters the battlefield from your graveyard, you may attach Dredging Claw to it. Equip {1}{B}</t>
  </si>
  <si>
    <t>The Brothers' War (BRO)</t>
  </si>
  <si>
    <t>Knot-Knotted Effigy / Efigie Nodosa</t>
  </si>
  <si>
    <t>{4}, {T}: Put a -1/-1 counter on target creature.</t>
  </si>
  <si>
    <t>Hedron Blade / Lâmina de Edro</t>
  </si>
  <si>
    <t>Equipped creature gets +1/+1. Whenever equipped creature becomes blocked by one or more colorless creatures, it gains deathtouch until end of turn. Equip {2}</t>
  </si>
  <si>
    <t>Battle for Zendikar (BFZ)</t>
  </si>
  <si>
    <t>Retributive Wand / Varinha Retribuidora</t>
  </si>
  <si>
    <t>{3}, {T}: Retributive Wand deals 1 damage to any target. When Retributive Wand is put into a graveyard from the battlefield, it deals 5 damage to any target.</t>
  </si>
  <si>
    <t>Core Set 2020 (M20)</t>
  </si>
  <si>
    <t>Spellskite / Pique do Trovador Mágico</t>
  </si>
  <si>
    <t>Equipped creature has first strike and gets +X/+0, where X is the number of instant and sorcery cards in your graveyard. Equip {2}</t>
  </si>
  <si>
    <t>Innistrad (ISD)</t>
  </si>
  <si>
    <t>Galvanic Key</t>
  </si>
  <si>
    <t>You may play Galvanic Key any time you could play an instant. {3}, {T}: Untap target artifact.</t>
  </si>
  <si>
    <t>Bone Saw / Serra Óssea</t>
  </si>
  <si>
    <t>Equipped creature gets +1/+0. Equip {1}</t>
  </si>
  <si>
    <t>Oath of the Gatewatch (OGW)</t>
  </si>
  <si>
    <t>Weapon Rack / Cavalete de Armas</t>
  </si>
  <si>
    <t>Weapon Rack enters the battlefield with three +1/+1 counters on it. {T}: Move a +1/+1 counter from Weapon Rack onto target creature. Activate only as a sorcery.</t>
  </si>
  <si>
    <t>Rusted Relic</t>
  </si>
  <si>
    <t>Metalcraft — Rusted Relic is a 5/5 Golem artifact creature as long as you control three or more artifacts.</t>
  </si>
  <si>
    <t>Stonework Packbeast / Besta de Carga Pétrea</t>
  </si>
  <si>
    <t>Artifact Creature — Beast / Criatura Artefato — Besta</t>
  </si>
  <si>
    <t>Stonework Packbeast is also a Cleric, Rogue, Warrior, and Wizard. {2}: Add one mana of any color.</t>
  </si>
  <si>
    <t>Zendikar Rising (ZNR)</t>
  </si>
  <si>
    <t>Dimir Keyrune / Chave Rúnica Dimir</t>
  </si>
  <si>
    <t>{T}: Add {U} or {B}. {U}{B}: Dimir Keyrune becomes a 2/2 blue and Preto Horror artifact creature until end of turn and can't be blocked this turn.</t>
  </si>
  <si>
    <t>Gatecrash (GTC)</t>
  </si>
  <si>
    <t>Pantheon's Altar / Altar do Panteão</t>
  </si>
  <si>
    <t>Your devotion to each color and each color combination is increased by one. {T}: Add one mana of any color. If you control a God, Demigod, or legendary enchantment, you gain 1 life.</t>
  </si>
  <si>
    <t>Trip Noose / Nó de Viagem</t>
  </si>
  <si>
    <t>{2}, {T}: Tap target creature.</t>
  </si>
  <si>
    <t>Shrine Steward / Zelador do Sacrário</t>
  </si>
  <si>
    <t>When Shrine Steward enters the battlefield, you may search your library for an Aura or Shrine card, reveal it, put it into your hand, then shuffle.</t>
  </si>
  <si>
    <t>Lashknife / Faca de Chicote</t>
  </si>
  <si>
    <t>Enchantment — Aura / Encantamento — Aura</t>
  </si>
  <si>
    <t>If you control a Plains, you may tap an untapped creature you control instead of paying Lashknife's mana cost. Enchanted creature has first strike. / Se você controlar uma Planície, você pode virar uma criatura desvirada que você controla em vez de pagar o custo de mana de Faca de Chicote. A criatura encantada tem iniciativa.</t>
  </si>
  <si>
    <t>Cloudchaser Eagle / Águia Perseguidora de Nuvens</t>
  </si>
  <si>
    <t>Creature — Bird / Criatura — Ave</t>
  </si>
  <si>
    <t>Flying. When Cloudchaser Eagle comes into play, destroy target enchantment. / Voar. Quando Águia Perseguidora de Nuvens entra em jogo, destrua o encantamento alvo.</t>
  </si>
  <si>
    <t>Magma Mine / Mina de Magma</t>
  </si>
  <si>
    <t>{4}: Put a pressure counter on Magma Mine. {T}, Sacrifice Magma Mine: For each pressure counter on it, Magma Mine deals 1 damage to target creature or player. / {4}: Coloque um marcador de pressão em Mina de Magma. {T}, Sacrifique Mina de Magma: Para cada marcador de pressão nela, Mina de Magma causa 1 ponto de dano à criatura ou jogador alvo.</t>
  </si>
  <si>
    <t>Visions (VIS)</t>
  </si>
  <si>
    <t>Soldevi Steam Beast / Besta de Vapor Soldevi</t>
  </si>
  <si>
    <t>Whenever Soldevi Steam Beast becomes tapped, target opponent gains 2 life. {2}: Regenerate. / Sempre que Besta de Vapor Soldevi se torna virada, o oponente alvo ganha 2 pontos de vida. {2}: Regenerar.</t>
  </si>
  <si>
    <t>Alliances (ALL)</t>
  </si>
  <si>
    <t>Instant / Instântanea</t>
  </si>
  <si>
    <t>Target enchantment or artifact is destroyed. / Destrua o encantamento ou artefato alvo.</t>
  </si>
  <si>
    <t>Alpha (LEA)</t>
  </si>
  <si>
    <t>Mishra's War Machine / Máquina de Guerra de Mishra</t>
  </si>
  <si>
    <t>Banding. During your upkeep, choose and discard one card from your hand, or Mishra's War Machine deals 3 damage to you. If Mishra's War Machine deals damage to you in this way, tap it. / Bandagem. Durante sua manutenção, escolha e descarte um card de sua mão, ou Máquina de Guerra de Mishra causa 3 pontos de dano a você. Se Máquina de Guerra de Mishra causar dano a você desta maneira, vire-a.</t>
  </si>
  <si>
    <t>{7}</t>
  </si>
  <si>
    <t>Pearled Unicorn / Unicórnio Perolado</t>
  </si>
  <si>
    <t>Creature — Unicorn / Criatura — Unicórnio</t>
  </si>
  <si>
    <t>None. / Nenhuma.</t>
  </si>
  <si>
    <t>Ballista Squad / Esquadrão de Balista</t>
  </si>
  <si>
    <t>Creature — Rebel / Criatura — Rebelde</t>
  </si>
  <si>
    <t>{X}{W}, {T}: Ballista Squad deals X damage to target attacking or blocking creature. / {X}{W}, {T}: Esquadrão de Balista causa X pontos de dano à criatura atacante ou bloqueadora alvo.</t>
  </si>
  <si>
    <t>Shackles / Grilhões</t>
  </si>
  <si>
    <t>Enchanted creature doesn't untap during its controller's untap step. {W}: Return Shackles to its owner's hand. / A criatura encantada não desvira durante a etapa de desvirar de seu controlador. {W}: Devolva Grilhões para a mão de seu dono.</t>
  </si>
  <si>
    <t>Icatian Infantry / Infantaria Icatiana</t>
  </si>
  <si>
    <t>Creature — Soldiers / Criatura — Soldados</t>
  </si>
  <si>
    <t>{1}: Bands until end of turn. {1}: First strike until end of turn. / {1}: Forma bandos até o final do turno. {1}: Iniciativa até o final do turno.</t>
  </si>
  <si>
    <t>Icatian Scout / Explorador Icatiano</t>
  </si>
  <si>
    <t>Creature — Soldier / Criatura — Soldado</t>
  </si>
  <si>
    <t>{1}, {T}: Target creature gains first strike until end of turn. / {1}, {T}: A criatura alvo ganha iniciativa até o final do turno.</t>
  </si>
  <si>
    <t>Trenching Steed / Corcel de Trincheira</t>
  </si>
  <si>
    <t>Sacrifice a land: Trenching Steed gets +0/+3 until end of turn. / Sacrifique um terreno: Corcel de Trincheira recebe +0/+3 até o final do turno.</t>
  </si>
  <si>
    <t>Hematite Talisman / Talismã de Hematita</t>
  </si>
  <si>
    <t>{3}: Untap target permanent. Use this ability only when a red spell is successfully cast and only once for each red spell cast. / {3}: Desvire a permanente alvo. Use esta habilidade apenas quando uma mágica vermelha for conjurada com sucesso e apenas uma vez para cada mágica vermelha conjurada.</t>
  </si>
  <si>
    <t>Walking Wall / Muralha Andante</t>
  </si>
  <si>
    <t>Artifact Creature — Wall / Criatura Artefato — Parede</t>
  </si>
  <si>
    <t>Counts as a wall. {3}: Walking Wall gets +3/-1 until end of turn and can attack this turn. Walking Wall cannot attack the turn it comes under your control. Use this ability only once a turn. / Conta como uma parede. {3}: Muralha Andante recebe +3/-1 até o final do turno e pode atacar neste turno. Muralha Andante não pode atacar no turno em que entra sob seu controle. Use esta habilidade apenas uma vez por turno.</t>
  </si>
  <si>
    <t>Haunted Angel / Anjo Assombrado</t>
  </si>
  <si>
    <t>Creature — Angel / Criatura — Anjo</t>
  </si>
  <si>
    <t>Flying. When Haunted Angel is put into a graveyard from play, remove Haunted Angel from the game and each other player puts a 3/3 Preto Angel creature token with flying into play. / Voar. Quando Anjo Assombrado é colocado em um cemitério vindo do jogo, remova Anjo Assombrado do jogo e cada outro jogador coloca uma ficha de criatura Anjo preta 3/3 com voar em jogo.</t>
  </si>
  <si>
    <t>Double Dip</t>
  </si>
  <si>
    <t>Choose another player. Gain 5 life now and an additional 5 life at the beginning of the next game with that player. / Escolha outro jogador. Ganhe 5 pontos de vida agora e 5 pontos de vida adicionais no início do próximo jogo com aquele jogador.</t>
  </si>
  <si>
    <t>Prismatic Wardrobe</t>
  </si>
  <si>
    <t>Sorcery / Feitiço</t>
  </si>
  <si>
    <t>Destroy target card that does not share a color with clothing worn by its controller. You cannot choose an artifact or land card. / Destrua o card alvo que não compartilhe uma cor com a roupa vestida por seu controlador. Você não pode escolher um card de artefato ou terreno.</t>
  </si>
  <si>
    <t>Temp of the Damned / Temporário dos Malditos</t>
  </si>
  <si>
    <t>Creature — Zombie / Criatura — Zumbi</t>
  </si>
  <si>
    <t>When you play Temp of the Damned, roll a six-sided die. Temp of the Damned comes into play with a number of funk counters on it equal to the die roll. During your upkeep, remove a funk counter from Temp of the Damned or sacrifice Temp of the Damned. / Quando você joga Temporário dos Malditos, role um dado de seis lados. Temporário dos Malditos entra em jogo com um número de marcadores de funk nele igual ao resultado do dado. Durante sua manutenção, remova um marcador de funk de Temporário dos Malditos ou sacrifique Temporário dos Malditos.</t>
  </si>
  <si>
    <t>Preto / Preto</t>
  </si>
  <si>
    <t>Thermal Glider / Planador Térmico</t>
  </si>
  <si>
    <t>Flying, protection from red. / Voar, proteção contra o vermelho.</t>
  </si>
  <si>
    <t>Skull Catapult / Catapulta de Crânios</t>
  </si>
  <si>
    <t>{1}, {T}, Sacrifice a creature: Skull Catapult deals 2 damage to target creature or player. / {1}, {T}, Sacrifique uma criatura: Catapulta de Crânios causa 2 pontos de dano à criatura ou jogador alvo.</t>
  </si>
  <si>
    <t>Sixth Edition (6ED)</t>
  </si>
  <si>
    <t>Rod of Ruin / Vara da Ruína</t>
  </si>
  <si>
    <t>{3}, {T}: Rod of Ruin deals 1 damage to target creature or player. / {3}, {T}: Vara da Ruína causa 1 ponto de dano à criatura ou jogador alvo.</t>
  </si>
  <si>
    <t>Onyx Talisman / Talismã de Ônix</t>
  </si>
  <si>
    <t>{3}: Untap target permanent. Use this ability only when a Preto spell is successfully cast and only once for each Preto spell cast. / {3}: Desvire a permanente alvo. Use esta habilidade apenas quando uma mágica preta for conjurada com sucesso e apenas uma vez para cada mágica preta conjurada.</t>
  </si>
  <si>
    <t>Soltari Trooper / Soldado Soltari</t>
  </si>
  <si>
    <t>Shadow (This creature can block or be blocked by only creatures with shadow). If Soltari Trooper attacks, it gets +1/+1 until end of turn. / Sombra (Esta criatura pode bloquear ou ser bloqueada apenas por criaturas com sombra). Se Soldado Soltari atacar, ele recebe +1/+1 até o final do turno.</t>
  </si>
  <si>
    <t>Crossbow Infantry / Infantaria de Besteiros</t>
  </si>
  <si>
    <t>{T}: Crossbow Infantry deals 1 damage to target attacking or blocking creature. / {T}: Infantaria de Besteiros causa 1 ponto de dano à criatura atacante ou bloqueadora alvo.</t>
  </si>
  <si>
    <t>Diving Griffin / Grifo Mergulhador</t>
  </si>
  <si>
    <t>Creature — Griffin / Criatura — Grifo</t>
  </si>
  <si>
    <t>Flying. Attacking doesn't cause Diving Griffin to tap. / Voar. Atacar não faz com que Grifo Mergulhador vire.</t>
  </si>
  <si>
    <t>Soltari Lancer / Lanceiro Soltari</t>
  </si>
  <si>
    <t>Creature — Knight / Criatura — Cavaleiro</t>
  </si>
  <si>
    <t>Shadow (This creature can block or be blocked by only creatures with shadow). First strike when attacking. / Sombra (Esta criatura pode bloquear ou ser bloqueada apenas por criaturas com sombra). Iniciativa quando ataca.</t>
  </si>
  <si>
    <t>Rhystic Shield / Escudo Rístico</t>
  </si>
  <si>
    <t>Creatures you control get +0/+1 until end of turn. They get an additional +0/+2 until end of turn unless any player pays {2}. / Criaturas que você controla recebem +0/+1 até o final do turno. Elas recebem +0/+2 adicionais até o final do turno, a menos que qualquer jogador pague {2}.</t>
  </si>
  <si>
    <t>Barbed Sextant / Sextante farpado</t>
  </si>
  <si>
    <t>{1}, {T}, Sacrifice Barbed Sextant: Add one mana of any color to your mana pool. Play this ability as a mana source. Draw a card at the beginning of the next turn. / {1}, {T}, Sacrifique Sextante farpado: Adicione um mana de qualquer cor à sua reserva de mana. Jogue esta habilidade como uma fonte de mana. Compre um card no início do próximo turno.</t>
  </si>
  <si>
    <t>Joven's Tools / Ferramentas de Joven</t>
  </si>
  <si>
    <t>{4}, {T}: Target creature cannot be blocked this turn except by Walls. / {4}, {T}: A criatura alvo não pode ser bloqueada neste turno, exceto por Paredes.</t>
  </si>
  <si>
    <t>Homelands (HML)</t>
  </si>
  <si>
    <t>Ashnod's Transmogrant / Transmogratificador de Ashnod</t>
  </si>
  <si>
    <t>{T}, Sacrifice Ashnod's Transmogrant: Put a +1/+1 counter on target nonartifact creature. That creature becomes an artifact creature permanently. / {T}, Sacrifique Transmogratificador de Ashnod: Coloque um marcador +1/+1 na criatura não artefato alvo. Aquela criatura torna-se uma criatura artefato permanentemente.</t>
  </si>
  <si>
    <t>Moral</t>
  </si>
  <si>
    <t>Todas as criaturas que estiverem atacando ganharão +1/+1 até o final do turno.</t>
  </si>
  <si>
    <t>Moss Diamond / Diamante de Musgo</t>
  </si>
  <si>
    <t>Moss Diamond comes into play tapped. {T}: Add {G} to your mana pool. Play this ability as a mana source. / Diamante de Musgo entra em jogo virado. {T}: Adicione {G} à sua reserva de mana. Jogue esta habilidade como uma fonte de mana.</t>
  </si>
  <si>
    <t>Defiant Vanguard / Vanguarda Desafiadora</t>
  </si>
  <si>
    <t>When Defiant Vanguard blocks, at end of combat, destroy it and all creatures it blocked this turn. {5}, {T}: Search your library for a Rebel card with converted mana cost 4 or less and put that card into play. Then shuffle your library. / Quando Vanguarda Desafiadora bloqueia, ao final do combate, destrua-a e todas as criaturas que ela bloqueou neste turno. {5}, {T}: Procure em seu grimório por um card de Rebelde com custo de mana convertido de 4 ou menos e coloque aquele card em jogo. Depois, embaralhe seu grimório.</t>
  </si>
  <si>
    <t>Shield Dancer / Dançarina de Escudo</t>
  </si>
  <si>
    <t>{2}{W}: The next time target attacking creature would deal combat damage to Shield Dancer this turn, that creature deals that damage to itself instead. / {2}{W}: Na próxima vez que a criatura atacante alvo fosse causar dano de combate a Dançarina de Escudo neste turno, aquela criatura causa aquele dano a si mesma.</t>
  </si>
  <si>
    <t>Mercenary Informer / Informante Mercenário</t>
  </si>
  <si>
    <t>Creature — Rebel Mercenary / Criatura — Rebelde Mercenário</t>
  </si>
  <si>
    <t>Mercenary Informer can't be the target of Preto spells or abilities. {2}{W}: Put target Mercenary card on the bottom of its owner's library. / Informante Mercenário não pode ser alvo de mágicas ou habilidades pretas. {2}{W}: Coloque o card de Mercenário alvo no fundo da biblioteca de seu dono.</t>
  </si>
  <si>
    <t>Piedade / Mercy</t>
  </si>
  <si>
    <t>Todas as criaturas que estiverem bloqueando ganharão +0/+3 até o final do turno.</t>
  </si>
  <si>
    <t>Mesa Pegasus / Pégaso da Mesa</t>
  </si>
  <si>
    <t>Creature — Pegasus / Criatura — Pégaso</t>
  </si>
  <si>
    <t>Flying, banding. / Voar, banding.</t>
  </si>
  <si>
    <t>Soul Charmer / Encantadora de Almas</t>
  </si>
  <si>
    <t>Whenever Soul Charmer deals combat damage to a creature, you gain 2 life unless that creature's controller pays {2}. / Sempre que Encantadora de Almas causar dano de combate a uma criatura, você ganha 2 pontos de vida, a menos que o controlador daquela criatura pague {2}.</t>
  </si>
  <si>
    <t>Manacles of Decay / Algemas da Decadência</t>
  </si>
  <si>
    <t>Enchanted creature can't attack. {B}: Enchanted creature gets -1/-1 until end of turn. {R}: Enchanted creature can't block this turn. / A criatura encantada não pode atacar. {B}: A criatura encantada recebe -1/-1 até o final do turno. {R}: A criatura encantada não pode bloquear neste turno.</t>
  </si>
  <si>
    <t>Benalish Lancer / Lanceiro Benalita</t>
  </si>
  <si>
    <t>Kicker {2}{W} (You may pay an additional {2}{W} as you play this spell.) If you paid the kicker cost, Benalish Lancer comes into play with two +1/+1 counters on it and has first strike. / Kicker {2}{W} (Você pode pagar {2}{W} adicionais ao jogar esta mágica.) Se você pagou o custo de kicker, Lanceiro Benalita entra em jogo com dois marcadores +1/+1 sobre ele e tem iniciativa.</t>
  </si>
  <si>
    <t>Samite Alchemist / Alquimista Samita</t>
  </si>
  <si>
    <t>Creature — Alchemist / Criatura — Alquimista</t>
  </si>
  <si>
    <t>{W}{W}, {T}: Prevent up to 4 damage to a creature you control. Tap that creature. The creature does not untap during your next untap phase. / {W}{W}, {T}: Previna até 4 pontos de dano à criatura que você controla. Vire aquela criatura. A criatura não desvira durante sua próxima etapa de desvirar.</t>
  </si>
  <si>
    <t>Abbey Matron / Matrona da Abadia</t>
  </si>
  <si>
    <t>Creature — Cleric / Criatura — Clérigo</t>
  </si>
  <si>
    <t>{W}, {T}: +0/+3 until end of turn. / {W}, {T}: +0/+3 até o final do turno.</t>
  </si>
  <si>
    <t>Razorfoot Griffin / Grifo Pata-de-Navalha</t>
  </si>
  <si>
    <t>Flying, first strike. / Voar, iniciativa.</t>
  </si>
  <si>
    <t>Capashen Unicorn / Unicórnio de Capashen</t>
  </si>
  <si>
    <t>{1}{W}, {T}, Sacrifice Capashen Unicorn: Destroy target artifact or enchantment. / {1}{W}, {T}, Sacrifique Unicórnio de Capashen: Destrua o artefato ou encantamento alvo.</t>
  </si>
  <si>
    <t>Ardent Soldier / Soldado Ardente</t>
  </si>
  <si>
    <t>Kicker {2} (You may pay an additional {2} as you play this spell.) Attacking doesn't cause Ardent Soldier to tap. If you paid the kicker cost, Ardent Soldier comes into play with a +1/+1 counter on it. / Kicker {2} (Você pode pagar {2} adicionais ao jogar esta mágica.) Atacar não faz com que Soldado Ardente seja virado. Se você pagou o custo de kicker, Soldado Ardente entra em jogo com um marcador +1/+1 sobre ele.</t>
  </si>
  <si>
    <t>Rampant Elephant / Elefante Desenfreado</t>
  </si>
  <si>
    <t>Creature — Elephant / Criatura — Elefante</t>
  </si>
  <si>
    <t>{G}: Target creature blocks Rampant Elephant this turn if able. / {G}: A criatura alvo bloqueia Elefante Desenfreado neste turno, se estiver apta.</t>
  </si>
  <si>
    <t>Myr Retriever / Resgatador Myr</t>
  </si>
  <si>
    <t>Artifact Creature — Myr / Criatura Artefato — Myr</t>
  </si>
  <si>
    <t>When Myr Retriever dies, return another target artifact card from your graveyard to your hand. / Quando Resgatador Myr morrer, devolva outro card de artefato alvo de seu cemitério para sua mão.</t>
  </si>
  <si>
    <t>Double Masters (2XM)</t>
  </si>
  <si>
    <t>Iron Bully / Valentão de Ferro</t>
  </si>
  <si>
    <t>Artifact Creature — Golem / Criatura Artefato — Golem</t>
  </si>
  <si>
    <t>Menace. When Iron Bully enters the battlefield, put a +1/+1 counter on target creature. / Ameaçar. Quando Valentão de Ferro entra no campo de batalha, coloque um marcador +1/+1 na criatura alvo.</t>
  </si>
  <si>
    <t>Olho do Peregrino / Pilgrim's Eye</t>
  </si>
  <si>
    <t>Criatura Artefato — Tóptero / Artifact Creature — Thopter</t>
  </si>
  <si>
    <t>Comum / Common</t>
  </si>
  <si>
    <t>Voar. Quando Olho do Peregrino entra no campo de batalha, você pode procurar um card de terreno básico em seu grimório, revelá-lo, colocá-lo em sua mão e depois embaralhar. / Flying. When Pilgrim's Eye enters the battlefield, you may search your library for a basic land card, reveal it, put it into your hand, and then shuffle.</t>
  </si>
  <si>
    <t>Incolor / Colorless</t>
  </si>
  <si>
    <t>Commander Masters (CMM)</t>
  </si>
  <si>
    <t>Rompe-Correntes / Chainbreaker</t>
  </si>
  <si>
    <t>Artifact Creature — Scarecrow / Criatura Artefato — Espantalho</t>
  </si>
  <si>
    <t>Rompe-Correntes enters the battlefield with two -1/-1 counters on it. {3}, {T}: Remove a -1/-1 counter from target creature. / Rompe-Correntes entra em jogo com dois marcadores -1/-1. {3}, {T}: Remova um marcador -1/-1 da criatura alvo.</t>
  </si>
  <si>
    <t>Cesto Remendado / Patchwork Gnomes</t>
  </si>
  <si>
    <t>{1}: Cesto Remendado torna-se de todas as cores até o final do turno. / {1}: Patchwork Gnomes becomes all colors until end of turn.</t>
  </si>
  <si>
    <t>Assistente de Oficina / Workshop Assistant</t>
  </si>
  <si>
    <t>When Workshop Assistant dies, return another target artifact card from your graveyard to your hand. / Quando Assistente de Oficina morrer, devolva outro card de artefato alvo de seu cemitério para sua mão.</t>
  </si>
  <si>
    <t>Arcbound Wanderer / Andarilho Arcbound</t>
  </si>
  <si>
    <t>Modular—Sunburst (This enters the battlefield with a +1/+1 counter on it for each color of mana spent to cast it. When it dies, you may put its +1/+1 counters on target artifact creature.) / Modular—Explosão Solar (Esta criatura entra no campo de batalha com um marcador +1/+1 para cada cor de mana gasta para conjurá-la. Quando ela morrer, você pode colocar seus marcadores +1/+1 em uma criatura artefato alvo.)</t>
  </si>
  <si>
    <t>Modern Masters (MMA)</t>
  </si>
  <si>
    <t>Iron League Steed / Corcel da Liga de Ferro</t>
  </si>
  <si>
    <t>Haste. Fabricate 1 (When this creature enters the battlefield, put a +1/+1 counter on it or create a 1/1 colorless Servo artifact creature token.) / Ímpeto. Fabricar 1 (Quando esta criatura entra no campo de batalha, coloque um marcador +1/+1 nela ou crie uma ficha de criatura artefato incolor 1/1 do tipo Servo.)</t>
  </si>
  <si>
    <t>Golem Volitivo / Will-Forged Golem</t>
  </si>
  <si>
    <t>Convoke (Your creatures can help cast this spell. Each creature you tap while casting this spell pays for {1} or one mana of that creature's color.) / Convocar (Suas criaturas podem ajudar a conjurar esta mágica. Cada criatura que você vira ao conjurar esta mágica paga {1} ou um mana da cor daquela criatura.)</t>
  </si>
  <si>
    <t>Magic 2015 (M15)</t>
  </si>
  <si>
    <t>Campus Guide / Guia do Campus</t>
  </si>
  <si>
    <t>When this creature enters, you may search your library for a basic land card, reveal it, then shuffle and put that card on top. / Quando esta criatura entra, você pode procurar em seu grimório um card de terreno básico, revelá-lo, então embaralhar e colocar aquele card no topo.</t>
  </si>
  <si>
    <t>Foundation (FDN)</t>
  </si>
  <si>
    <t>Monoscele / Monoskelion</t>
  </si>
  <si>
    <t>Monoskelion enters the battlefield with a +1/+1 counter on it. {1}, Remove a +1/+1 counter from Monoskelion: It deals 1 damage to any target. / Monoscele entra no campo de batalha com um marcador +1/+1. {1}, remova um marcador +1/+1 de Monoscele: Ele causa 1 ponto de dano a qualquer alvo.</t>
  </si>
  <si>
    <t>Modern Horizons 2 (MH2)</t>
  </si>
  <si>
    <t>Blinding Souleater / Devorador de Almas Cegante</t>
  </si>
  <si>
    <t>Artifact Creature — Cleric / Criatura Artefato — Clérigo</t>
  </si>
  <si>
    <t>{W/P}, {T}: Tap target creature. ({W/P} can be paid with either {W} or 2 life.) / {W/P}, {T}: Vire a criatura alvo. ({W/P} pode ser pago com {W} ou 2 pontos de vida.)</t>
  </si>
  <si>
    <t>Modern Masters 2015 Edition (MM2)</t>
  </si>
  <si>
    <t>Automontante / Self-Assembler</t>
  </si>
  <si>
    <t>Artifact Creature — Assembly-Worker / Criatura Artefato — Operário de Linha de Montagem</t>
  </si>
  <si>
    <t>When Self-Assembler enters the battlefield, you may search your library for an Assembly-Worker creature card, reveal it, and put it into your hand. Then shuffle your library. / Quando Automontante entra no campo de batalha, você pode procurar um card de criatura do tipo Operário de Linha de Montagem em seu grimório, revelá-lo e colocá-lo na sua mão. Depois, embaralhe seu grimório.</t>
  </si>
  <si>
    <t>Convite de Casamento / Wedding Invitation</t>
  </si>
  <si>
    <t>When Convite de Casamento enters the battlefield, draw a card. {T}, Sacrifice Convite de Casamento: Target creature can't be blocked this turn. If it's a Vampire, it also gains lifelink until end of turn. / Quando Convite de Casamento entrar no campo de batalha, compre um card. {T}, sacrifique Convite de Casamento: A criatura alvo não pode ser bloqueada neste turno. Se for um Vampiro, ela também ganha vínculo com a vida até o final do turno.</t>
  </si>
  <si>
    <t>Innistrad: Crimson Vow (VOW)</t>
  </si>
  <si>
    <t>Golgari Signet / Sinete Golgari</t>
  </si>
  <si>
    <t>{1}, {T}: Add {B}{G}. / {1}, {T}: Adicione {B}{G}.</t>
  </si>
  <si>
    <t>Masters 25 (A25)</t>
  </si>
  <si>
    <t>Ulamog's Crusher / Esmagador de Ulamog</t>
  </si>
  <si>
    <t>Creature — Eldrazi / Criatura — Eldrazi</t>
  </si>
  <si>
    <t>Annihilator 2. Ulamog's Crusher attacks each combat if able. / Aniquilador 2. Esmagador de Ulamog ataca a cada combate, se estiver apto.</t>
  </si>
  <si>
    <t>Ultimate Masters (UMA)</t>
  </si>
  <si>
    <t>Assembly-Worker / Operário de Linha de Montagem</t>
  </si>
  <si>
    <t>{T}: Target Assembly-Worker creature gets +1/+1 until end of turn. / {T}: A criatura Operário de Linha de Montagem alvo recebe +1/+1 até o final do turno.</t>
  </si>
  <si>
    <t>Jumpstart 2022 (J22)</t>
  </si>
  <si>
    <t>Estante Suspeita / Suspicious Bookcase</t>
  </si>
  <si>
    <t>Artifact Creature — Wall / Criatura Artefato — Barreira</t>
  </si>
  <si>
    <t>Defender. {3}, {T}: Target creature can't be blocked this turn. / Defensor. {3}, {T}: A criatura alvo não pode ser bloqueada neste turno.</t>
  </si>
  <si>
    <t>Streets of New Capenna (SNC)</t>
  </si>
  <si>
    <t>Demônio das Profundezas Ancião / Elder Deep-Fiend</t>
  </si>
  <si>
    <t>Creature — Eldrazi Octopus / Criatura — Eldrazi Polvo</t>
  </si>
  <si>
    <t>Flash. Emerge {5}{U}{U} (You may cast this spell by sacrificing a creature and paying the emerge cost reduced by that creature's converted mana cost.) When you cast Elder Deep-Fiend, tap up to four target permanents. / Lampejo. Emergir {5}{U}{U} (Você pode conjurar esta mágica sacrificando uma criatura e pagando o custo de emergir menos o custo de mana convertido daquela criatura.) Quando conjurar Demônio das Profundezas Ancião, vire até quatro permanentes alvo.</t>
  </si>
  <si>
    <t>Eldritch Moon (EMN)</t>
  </si>
  <si>
    <t>Massacre Horrendo / Gruesome Slaughter</t>
  </si>
  <si>
    <t>Até o final do turno, as criaturas incolores que você controla ganham “{T}: Esta criatura causa dano igual a seu poder à criatura alvo.” / Until end of turn, colorless creatures you control gain “{T}: This creature deals damage equal to its power to target creature.”</t>
  </si>
  <si>
    <t>Goblin Replica / Réplica de Goblin</t>
  </si>
  <si>
    <t>Artifact Creature — Goblin / Criatura Artefato — Goblin</t>
  </si>
  <si>
    <t>{3}{R}, Sacrifice Goblin Replica: Destroy target artifact. / {3}{R}, Sacrifique Réplica de Goblin: Destrua o artefato alvo.</t>
  </si>
  <si>
    <t>Golens de Garrafa / Bottle Gnomes</t>
  </si>
  <si>
    <t>Trample. When Bottle Gnomes dies, you gain life equal to its power. / Atropelar. Quando Golens de Garrafa morre, você ganha uma quantidade de pontos de vida igual a seu poder.</t>
  </si>
  <si>
    <t>Guardião do Tesouro / Treasure Keeper</t>
  </si>
  <si>
    <t>When Treasure Keeper dies, reveal cards from the top of your library until you reveal a nonland card with mana value 3 or less. You may cast that card without paying its mana cost. Put all revealed cards not cast this way on the bottom of your library in a random order. / Quando Guardião do Tesouro morrer, revele cards do topo de seu grimório até revelar um card não de terreno com valor de mana igual ou inferior a 3Normally I can help with things like this, but I don't seem to have access to that content. You can try again or ask me for something else.</t>
  </si>
  <si>
    <t>Estandarte Sultai / Sultai Banner</t>
  </si>
  <si>
    <t>{T}: Add {B}, {G}, or {U}. {B}{G}{U}, {T}, Sacrifice Sultai Banner: Draw a card. / {T}: Adicione {B}, {G} ou {U} à sua reserva de mana. {B}{G}{U}, {T}, Sacrifique Estandarte Sultai: Compre um card.</t>
  </si>
  <si>
    <t>Khans of Tarkir (KTK)</t>
  </si>
  <si>
    <t>Pedregulho Fugitivo / Runaway Boulder</t>
  </si>
  <si>
    <t>Flash. When Runaway Boulder enters the battlefield, it deals 6 damage to target creature an opponent controls. Cycling {2}. / Lampejo. Quando Pedregulho Fugitivo entra no campo de batalha, ele causa 6 pontos de dano à criatura alvo que um oponente controla. Reciclar {2}.</t>
  </si>
  <si>
    <t>The Lost Caverns of Ixalan (LCI)</t>
  </si>
  <si>
    <t>Tumble Magnet / Ímã de Tumulto</t>
  </si>
  <si>
    <t>Tumble Magnet enters the battlefield with three charge counters on it. {T}, Remove a charge counter from Tumble Magnet: Tap target artifact or creature. / Ímã de Tumulto entra no campo de batalha com três marcadores de carga. {T}, remova um marcador de carga de Ímã de Tumulto: Vire o artefato ou a criatura alvo.</t>
  </si>
  <si>
    <t>Sickleslicer / Fatiador de Foices</t>
  </si>
  <si>
    <t>Living weapon (When this Equipment enters the battlefield, put a 0/0 Preto Germ creature token onto the battlefield, then attach this to it.) Equipped creature gets +2/+2. Equip {4} ({4}: Attach to target creature you control. Equip only as a sorcery.) / Arma viva (Quando este Equipamento entra no campo de batalha, coloque no campo de batalha uma ficha de criatura preta Germe 0/0 e, em seguida, anexe este equipamento a ela.) A criatura equipada recebe +2/+2. Equipar {4} ({4}: Anexe à criatura alvo que você controla. Equipe apenas como um feitiço.)</t>
  </si>
  <si>
    <t>When Prophetic Prism enters the battlefield, draw a card. {1}, {T}: Add one mana of any color. / Quando Prisma Profético entrar no campo de batalha, compre um card. {1}, {T}: Adicione um mana de qualquer cor.</t>
  </si>
  <si>
    <t>Ovo de Ouro / Golden Egg</t>
  </si>
  <si>
    <t>Artifact — Food / Artefato — Comida</t>
  </si>
  <si>
    <t>When Golden Egg enters the battlefield, draw a card. {1}, {T}, Sacrifice Golden Egg: Add one mana of any color. {2}, {T}, Sacrifice Golden Egg: You gain 3 life. / Quando Ovo de Ouro entrar no campo de batalha, compre um card. {1}, {T}, sacrifique Ovo de Ouro: Adicione um mana de qualquer cor. {2}, {T}, sacrifique Ovo de Ouro: Você ganha 3 pontos de vida.</t>
  </si>
  <si>
    <t>Friendly Teddy / Ursinho Amigável</t>
  </si>
  <si>
    <t>Artifact Creature — Bear Toy / Criatura Artefato — Brinquedo de Urso</t>
  </si>
  <si>
    <t>When Friendly Teddy dies, each player draws a card. / Quando Ursinho Amigável morre, cada jogador compra um card.</t>
  </si>
  <si>
    <t>Gleaming Barrier / Barreira Cintilante</t>
  </si>
  <si>
    <t>Defender. When this creature dies, create a Treasure token. (It's an artifact with “{T}, Sacrifice this token: Add one mana of any color.”) / Defensor. Quando esta criatura morre, crie uma ficha de Tesouro. (É um artefato com “{T}, Sacrifique esta ficha: Adicione um mana de qualquer cor.”)</t>
  </si>
  <si>
    <t>Foundations (FDN)</t>
  </si>
  <si>
    <t>Companheiro do Cartógrafo / Cartographer's Companion</t>
  </si>
  <si>
    <t>Artifact Creature — Gnome / Criatura Artefato — Gnomo</t>
  </si>
  <si>
    <t>When Cartographer's Companion enters the battlefield, create a Map token. (It's an artifact with “{1}, {T}, Sacrifice this artifact: Target creature you control explores. Activate only as a sorcery.”) / Quando Companheiro do Cartógrafo entrar no campo de batalha, crie uma ficha de Mapa. (Ela é um artefato com “{1}, {T}, sacrifique este artefato: A criatura alvo que você controla explora. Ative somente como um feitiço”.)</t>
  </si>
  <si>
    <t>Zibelina de Bronze / Bronze Sable</t>
  </si>
  <si>
    <t>Artifact Creature — Sable / Criatura Artefato — Zibelina</t>
  </si>
  <si>
    <t>Not found / Não encontrada</t>
  </si>
  <si>
    <t>Gnomo-bússola / Compass Gnome</t>
  </si>
  <si>
    <t>When Compass Gnome enters the battlefield, you may search your library for a basic land or Cave card, reveal it, then shuffle and put that card on top. / Quando Gnomo-bússola entra no campo de batalha, você pode procurar em seu grimório um card de terreno básico ou Caverna e revelá-lo. Depois, embaralhe e coloque aquele card no topo.</t>
  </si>
  <si>
    <t>Primal Clay / Argila Primal</t>
  </si>
  <si>
    <t>Artifact Creature — Shapeshifter / Criatura Artefato — Metamorfo</t>
  </si>
  <si>
    <t>As Primal Clay enters the battlefield, it becomes your choice of a 3/3 artifact creature, a 2/2 artifact creature with flying, or a 1/6 Wall artifact creature with defender in addition to its other types. / Conforme Argila Primal entra no campo de batalha, ele se torna sua escolha de uma criatura artefato 3/3, uma criatura artefato 2/2 com voar ou uma criatura artefato 1/6 com defensor, além de seus outros tipos.</t>
  </si>
  <si>
    <t>Colosso Trovão de Aço / Thundersteel Colossus</t>
  </si>
  <si>
    <t>Artifact — Vehicle / Artefato — Veículo</t>
  </si>
  <si>
    <t>Trample, Haste. Crew 2 (Tap any number of creatures you control with total power 2 or more: This Vehicle becomes an artifact creature until end of turn.) / Atropelar, ímpeto. Tripular 2 (Vire qualquer número de criaturas que você controla com total de poder igual ou superior a 2: Este Veículo torna-se uma criatura artefato até o final do turno.)</t>
  </si>
  <si>
    <t>Autorreplicante de Mishra / Mishra's Self-Replicator</t>
  </si>
  <si>
    <t>Whenever you cast a historic spell, you may pay {1}. If you do, create a token that's a copy of Mishra's Self-Replicator. (Artifacts, legendary cards, and Sagas are historic cards.) / Toda vez que você conjura uma mágica histórica, você pode pagar {1}. Se fizer isso, crie uma ficha que seja uma cópia de Autorreplicante de Mishra. (Os artefatos, os cards lendários e as Sagas são cards históricos.)</t>
  </si>
  <si>
    <t>Lente de Aumento / Magnifying Glass</t>
  </si>
  <si>
    <t>{T}: Add {C}. {4}, {T}: Investigate. (Create a Clue token. It's an artifact with “{2}, Sacrifice this artifact: Draw a card.”) / {T}: Adicione {C}. {4}, {T}: Investigue. (Crie uma ficha de Pista. Ela é um artefato com “{2}, Sacrifique este artefato: Compre um card”.)</t>
  </si>
  <si>
    <t>Murders at Karlov Manor (MKM)</t>
  </si>
  <si>
    <t>Pódio dos Heróis / Heroes' Podium</t>
  </si>
  <si>
    <t>Legendary Artifact / Artefato Lendário</t>
  </si>
  <si>
    <t>Each legendary creature you control gets +1/+1 for each other legendary creature you control. {X}, {T}: Look at the top X cards of your library. You may reveal a legendary creature card from among them and put it into your hand. Put the rest on the bottom of your library in a random order. / Cada criatura lendária que você controla recebe +1/+1 para cada outra criatura lendária que você controla. {X}, {T}: Olhe os X cards do topo de seu grimório. Você pode revelar um card de criatura lendária dentre eles e colocá-lo em sua mão. Coloque o restante no fundo de seu grimório em ordem aleatória.</t>
  </si>
  <si>
    <t>Born of the Gods (BNG)</t>
  </si>
  <si>
    <t>Starforged Sword / Espada Forjada pelas Estrelas</t>
  </si>
  <si>
    <t>Gift a tapped Fish (You may promise an opponent a gift as you cast this spell. If you do, when it enters, they create a tapped 1/1 blue Fish creature token.) When Starforged Sword enters, if the gift was promised, attach Starforged Sword to target creature you control. Equipped creature gets +3/+3 and loses flying. Equip {3} / Presenteie com um Peixe virado (Você pode prometer um presente a um oponente ao conjurar esta mágica. Se o fizer, quando ela entrar, ele cria uma ficha de criatura Peixe azul 1/1 virada.) Quando Espada Forjada pelas Estrelas entra, se o presente tiver sido prometido, anexe Espada Forjada pelas Estrelas à criatura alvo que você controla. A criatura equipada recebe +3/+3 e perde voar. Equipar {3}</t>
  </si>
  <si>
    <t>Guardian Idol / Ídolo Guardião</t>
  </si>
  <si>
    <t>Guardian Idol enters the battlefield tapped. {T}: Add {C} to your mana pool. {2}: Guardian Idol becomes a 2/2 Golem artifact creature until end of turn. / Ídolo Guardião entra no campo de batalha virado. {T}: Adicione {C} à sua reserva de mana. {2}: Ídolo Guardião torna-se uma criatura artefato Golem 2/2 até o final do turno.</t>
  </si>
  <si>
    <t>Iconic Masters (IMA)</t>
  </si>
  <si>
    <t>Dizimador das Províncias / Decimator of the Provinces</t>
  </si>
  <si>
    <t>Creature — Eldrazi Boar / Criatura — Eldrazi Javali</t>
  </si>
  <si>
    <t>Emerge {6}{G}{G}{G} (You may cast this spell by sacrificing a creature and paying the emerge cost reduced by that creature's mana value.) When you cast this spell, creatures you control get +2/+2 and gain trample until end of turn. Trample, Haste. / Emergir {6}{G}{G}{G} (Você pode conjurar esta mágica sacrificando uma criatura e pagando o custo de emergir menos o custo de mana convertido daquela criatura.) Quando você conjura Dizimador das Províncias, as criaturas que você controla recebem +2/+2 e ganham atropelar até o final do turno. Atropelar, ímpeto.</t>
  </si>
  <si>
    <t>Carrot Cake / Bolo de Cenoura</t>
  </si>
  <si>
    <t>When Carrot Cake enters and when you sacrifice it, create a 1/1 white Rabbit creature token and scry 1. (Look at the top card of your library. You may put that card on the bottom.) {2}, {T}, Sacrifice Carrot Cake: You gain 3 life. / Quando Bolo de Cenoura entrar e quando você o sacrificar, crie uma ficha de criatura Coelho branca 1/1 e vidência 1. (Olhe o card do topo do seu grimório. Você pode colocar aquele card no fundo.) {2}, {T}, Sacrifique Bolo de Cenoura: Você ganha 3 pontos de vida.</t>
  </si>
  <si>
    <t>White / Branca</t>
  </si>
  <si>
    <t>Until end of turn, colorless creatures you control gain “{T}: This creature deals damage equal to its power to target creature.” / Até o final do turno, as criaturas incolores que você controla ganham “{T}: Esta criatura causa dano igual a seu poder à criatura alvo.”</t>
  </si>
  <si>
    <t>Kitesail / Velepipa</t>
  </si>
  <si>
    <t>Equipped creature gets +1/+0 and has flying. Equip {2} (2: Attach to target creature you control. Equip only as a sorcery.) / A criatura equipada recebe +1/+0 e tem voar. Equipar {2} (2: Anexe à criatura alvo que você controla. Equipe apenas como um feitiço.)</t>
  </si>
  <si>
    <t>Thaumaton Torpedo / Torpedo Taumaton</t>
  </si>
  <si>
    <t>{6}, {T}, Sacrifice this artifact: Destroy target nonland permanent. This ability costs {3} less to activate if you attacked with a Spacecraft this turn. / {6}, {T}, Sacrifique este artefato: Destrua a permanente alvo que não seja um terreno. Esta habilidade custa {3} a menos para ser ativada se você atacou com uma Nave Espacial neste turno.</t>
  </si>
  <si>
    <t>Aether Drift (EOE)</t>
  </si>
  <si>
    <t>Quick-Draw Katana / Katana de Saque Rápido</t>
  </si>
  <si>
    <t>During your turn, equipped creature gets +2/+0 and has first strike. (It deals combat damage before creatures without first strike.) Equip {2} (2: Attach to target creature you control. Equip only as a sorcery.) / Durante seu turno, a criatura equipada recebe +2/+0 e tem iniciativa. (Ela causa dano de combate antes de criaturas sem iniciativa.) Equipar {2} (2: Anexe à criatura alvo que você controla. Equipe apenas como um feitiço.)</t>
  </si>
  <si>
    <t>Suprimentos de Reserva / Spare Supplies</t>
  </si>
  <si>
    <t>Spare Supplies enters the battlefield tapped. When Spare Supplies enters the battlefield, draw a card. {2}, {T}, Sacrifice Spare Supplies: Draw a card. / Suprimentos de Reserva entra no campo de batalha virado. Quando Suprimentos de Reserva entrar no campo de batalha, compre um card. {2}, {T}, sacrifique Suprimentos de Reserva: Compre um card.</t>
  </si>
  <si>
    <t>Máquina do Tirano / Tyrant's Machine</t>
  </si>
  <si>
    <t>{4}, {T}: Tap target creature. / {4}, {T}: Vire a criatura alvo.</t>
  </si>
  <si>
    <t>Darksteel Pendant / Pingente de Aço Negro</t>
  </si>
  <si>
    <t>Darksteel Pendant is indestructible. ( “Destroy” effects and lethal damage don't destroy it.) {1}, {T}: Look at the top card of your library. You may put that card on the bottom of your library. / Pingente de Aço Negro é indestrutível. (Efeitos de “Destruir” e dano letal não o destroem.) {1}, {T}: Olhe o card do topo de seu grimório. Você pode colocar aquele card no fundo de seu grimório.</t>
  </si>
  <si>
    <t>Darksteel</t>
  </si>
  <si>
    <t>Osso-marreta / Bone-Scythe</t>
  </si>
  <si>
    <t>Living weapon (When this Equipment enters the battlefield, create a 0/0 Preto Phyrexian Germ creature token, then attach this to it.) Equipped creature gets +1/+1 and has vigilance and lifelink. Equip {5} / Arma viva (Quando este Equipamento entrar no campo de batalha, crie uma ficha de criatura Germe Phyrexiano preta 0/0 e anexe-o a ela.) A criatura equipada recebe +1/+1 e tem vigilância e vínculo com a vida. Equipar {5}</t>
  </si>
  <si>
    <t>Adventurous Eater / Devorador Aventureiro</t>
  </si>
  <si>
    <t>Creature — Human Warlock / Criatura — Humano Bruxo</t>
  </si>
  <si>
    <t>This creature enters prepared. (While it's prepared, you may cast a copy of its spell. Doing so unprepares it.) / Esta criatura entra preparada. (Enquanto ela estiver preparada, você pode conjurar uma cópia de sua mágica. Fazer isso a despara.)</t>
  </si>
  <si>
    <t>Shadows of Sothia (SOS)</t>
  </si>
  <si>
    <t>Burrog Banemaker / Criador de Maldições Burrog</t>
  </si>
  <si>
    <t>Creature — Frog Warlock / Criatura — Sapo Bruxo</t>
  </si>
  <si>
    <t>Deathtouch. {1}{B}: This creature gets +1/+1 until end of turn. / Toque mortífero. {1}{B}: Esta criatura recebe +1/+1 até o final do turno.</t>
  </si>
  <si>
    <t>End of the Hunt / Fim da Caçada</t>
  </si>
  <si>
    <t>Target opponent exiles a creature or planeswalker they control with the greatest mana value among creatures and planeswalkers they control. / O oponente alvo exila uma criatura ou planeswalker que ele controla com o maior valor de mana entre criaturas e planeswalkers que ele controla.</t>
  </si>
  <si>
    <t>{1}{B}</t>
  </si>
  <si>
    <t>Masterful Flourish / Floreio Magistral</t>
  </si>
  <si>
    <t>Instant / Instantânea</t>
  </si>
  <si>
    <t>Target creature you control gets +1/+0 and gains indestructible until end of turn. (Damage and effects that say “destroy” don't destroy it.) / A criatura alvo que você controla recebe +1/+0 e ganha indestrutível até o final do turno. (Dano e efeitos que dizem “destruir” não a destroem.)</t>
  </si>
  <si>
    <t>Sneering Shadewriter / Escritor de Sombras Zombeteiro</t>
  </si>
  <si>
    <t>Creature — Vampire Warlock / Criatura — Vampiro Bruxo</t>
  </si>
  <si>
    <t>Flying. When this creature enters, each opponent loses 2 life and you gain 2 life. / Voar. Quando esta criatura entra, cada oponente perde 2 pontos de vida e você ganha 2 pontos de vida.</t>
  </si>
  <si>
    <t>{4}{B}</t>
  </si>
  <si>
    <t>Wander Off / Desviar-se</t>
  </si>
  <si>
    <t>Exile target creature. / Exile a criatura alvo.</t>
  </si>
  <si>
    <t>Additive Evolution / Evolução Aditiva</t>
  </si>
  <si>
    <t>When this enchantment enters, create a 0/0 green and blue Fractal creature token. Put three +1/+1 counters on it. At the beginning of combat on your turn, put a +1/+1 counter on target creature you control. It gains vigilance until end of turn. / Quando este encantamento entra, crie uma ficha de criatura Fractal verde e azul 0/0. Coloque três marcadores +1/+1 nela. No início do combate no seu turno, coloque um marcador +1/+1 na criatura alvo que você controla. Ela ganha vigilância até o final do turno.</t>
  </si>
  <si>
    <t>{3}{G}{G}</t>
  </si>
  <si>
    <t>Efflorescence / Florescência</t>
  </si>
  <si>
    <t>Put two +1/+1 counters on target creature. Infusion — If you gained life this turn, that creature also gains trample and indestructible until end of turn. / Coloque dois marcadores +1/+1 na criatura alvo. Infusão — Se você ganhou vida neste turno, aquela criatura também ganha atropelar e indestrutível até o final do turno.</t>
  </si>
  <si>
    <t>{2}{G}</t>
  </si>
  <si>
    <t>Pestbrood Sloth / Preguiça da Ninhada de Pragas</t>
  </si>
  <si>
    <t>Creature — Plant Sloth / Criatura — Planta Preguiça</t>
  </si>
  <si>
    <t>Reach. When this creature dies, create two 1/1 Preto and green Pest creature tokens with “Whenever this token attacks, you gain 1 life.” / Alcance. Quando esta criatura morrer, crie duas fichas de criatura Praga pretas e verdes 1/1 com “Toda vez que esta ficha atacar, você ganha 1 ponto de vida.”</t>
  </si>
  <si>
    <t>{3}{G}</t>
  </si>
  <si>
    <t>Topiary Lecturer / Conferencista de Topiaria</t>
  </si>
  <si>
    <t>Creature — Elf Druid / Criatura — Elfo Druida</t>
  </si>
  <si>
    <t>Increment (Whenever you cast a spell, if the amount of mana you spent is greater than this creature's power or toughness, put a +1/+1 counter on this creature.) {T}: Add an amount of {G} equal to this creature's power. / Incremento (Toda vez que você conjurar uma mágica, se a quantidade de mana que você gastou for maior que o poder ou resistência desta criatura, coloque um marcador +1/+1 nesta criatura.) {T}: Adicione uma quantidade de {G} igual ao poder desta criatura.</t>
  </si>
  <si>
    <t>Wild Hypothesis / Hipótese Selvagem</t>
  </si>
  <si>
    <t>Create a 0/0 green and blue Fractal creature token. Put X +1/+1 counters on it. Surveil 2. (Look at the top two cards of your library, then put any number of them into your graveyard and the rest on top of your library in any order.) / Crie uma ficha de criatura Fractal verde e azul 0/0. Coloque X marcadores +1/+1 nela. Vigiil 2. (Olhe os dois cards do topo de seu grimório, coloque qualquer número deles no seu cemitério e o restante no topo de seu grimório em qualquer ordem.)</t>
  </si>
  <si>
    <t>{X}{G}</t>
  </si>
  <si>
    <t>Environmental Scientist / Cientista Ambiental</t>
  </si>
  <si>
    <t>Creature — Human Druid / Criatura — Humano Druida</t>
  </si>
  <si>
    <t>When this creature enters, you may search your library for a basic land card, reveal it, put it into your hand, then shuffle. / Quando esta criatura entra, você pode procurar em seu grimório por um card de terreno básico, revelá-lo, colocá-lo em sua mão e, depois, embaralhar.</t>
  </si>
  <si>
    <t>Hungry Graffalon / Graffalon Faminto</t>
  </si>
  <si>
    <t>Creature — Giraffe / Criatura — Girafa</t>
  </si>
  <si>
    <t>Reach. Increment (Whenever you cast a spell, if the amount of mana you spent is greater than this creature's power or toughness, put a +1/+1 counter on this creature.) / Alcance. Incremento (Toda vez que você conjurar uma mágica, se a quantidade de mana que você gastou for maior que o poder ou resistência desta criatura, coloque um marcador +1/+1 nesta criatura.)</t>
  </si>
  <si>
    <t>Noxious Newt / Tritão Nocivo</t>
  </si>
  <si>
    <t>Creature — Salamander / Criatura — Salamandra</t>
  </si>
  <si>
    <t>Deathtouch. {T}: Add {G}. / Toque mortífero. {T}: Adicione {G}.</t>
  </si>
  <si>
    <t>Matterbending Mage / Mago da Modelagem da Matéria</t>
  </si>
  <si>
    <t>Creature — Human Wizard / Criatura — Humano Mago</t>
  </si>
  <si>
    <t>When this creature enters, return up to one other target creature to its owner's hand. Whenever you cast a spell with {X} in its mana cost, this creature can't be blocked this turn. / Quando esta criatura entra, devolva até uma outra criatura alvo para a mão de seu dono. Toda vez que você conjurar uma mágica com {X} no custo de mana, esta criatura não pode ser bloqueada neste turno.</t>
  </si>
  <si>
    <t>{2}{U}</t>
  </si>
  <si>
    <t>Muse's Encouragement / Incentivo da Musa</t>
  </si>
  <si>
    <t>Create a 3/3 blue and red Elemental creature token with flying. Surveil 2. (Look at the top two cards of your library, then put any number of them into your graveyard and the rest on top of your library in any order.) / Crie uma ficha de criatura Elemental azul e vermelha 3/3 com voar. Vigiar 2. (Olhe os dois cards do topo de seu grimório, coloque qualquer número deles no seu cemitério e o restante no topo de seu grimório em qualquer ordem.)</t>
  </si>
  <si>
    <t>{4}{U}</t>
  </si>
  <si>
    <t>Quick Study / Estudo Rápido</t>
  </si>
  <si>
    <t>Draw two cards. / Compre dois cards.</t>
  </si>
  <si>
    <t>Run Behind / Correr Atrás</t>
  </si>
  <si>
    <t>This spell costs {1} less to cast if it targets an attacking creature. Target creature's owner puts it on their choice of the top or bottom of their library. / Esta mágica custa {1} a menos para ser conjurada se tiver como alvo uma criatura atacante. O dono da criatura alvo a coloca no topo ou no fundo do próprio grimório, à escolha dele.</t>
  </si>
  <si>
    <t>{3}{U}</t>
  </si>
  <si>
    <t>Spellbook Seeker / Buscador de Grimórios</t>
  </si>
  <si>
    <t>Creature — Bird Wizard / Criatura — Ave Mago</t>
  </si>
  <si>
    <t>Flying. This creature enters prepared. (While it's prepared, you may cast a copy of its spell. Doing so unprepares it.) Careful Study (Sorcery): Draw two cards, then discard two cards. / Voar. Esta criatura entra preparada. (Enquanto estiver preparada, você pode conjurar uma cópia de sua mágica. Fazer isso a desprepara.) Estudo Cuidadoso (Feitiço): Compre dois cards, depois descarte dois cards.</t>
  </si>
  <si>
    <t>Landscape Painter / Pintor de Paisagens</t>
  </si>
  <si>
    <t>Creature — Merfolk Wizard / Criatura — Tritão Mago</t>
  </si>
  <si>
    <t>This creature enters prepared. (While it's prepared, you may cast a copy of its spell. Doing so unprepares it.) Vibrant Idea (Sorcery): Draw two cards. / Esta criatura entra preparada. (Enquanto estiver preparada, você pode conjurar uma cópia de sua mágica. Fazer isso a desprepara.) Ideia Vibrante (Feitiço): Compre dois cards.</t>
  </si>
  <si>
    <t>Chase Inspiration / Perseguir a Inspiração</t>
  </si>
  <si>
    <t>Target creature you control gets +0/+3 and gains hexproof until end of turn. (It can't be the target of spells or abilities your opponents control.) / A criatura alvo que você controla recebe +0/+3 e ganha resistência a magia até o final do turno. (Ela não pode ser alvo de mágicas ou habilidades que seus oponentes controlam.)</t>
  </si>
  <si>
    <t>Encouraging Aviator / Aviador Encorajador</t>
  </si>
  <si>
    <t>Flying. Whenever this creature attacks, it becomes prepared. (While it's prepared, you may cast a copy of its spell. Doing so unprepares it.) Jump (Instant): Target creature gains flying until end of turn. / Voar. Toda vez que esta criatura atacar, ela se torna preparada. (Enquanto estiver preparada, você pode conjurar uma cópia de sua mágica. Fazer isso a desprepara.) Pular (Instantânea): A criatura alvo ganha voar até o final do turno.</t>
  </si>
  <si>
    <t>Hydro-Channeler / Canalizador Hidráulico</t>
  </si>
  <si>
    <t>{T}: Add {U}. Spend this mana only to cast an instant or sorcery spell. {1}, {T}: Add one mana of any color. Spend this mana only to cast an instant or sorcery spell. / {T}: Adicione {U}. Gaste este mana apenas para conjurar uma mágica instantânea ou de feitiço. {1}, {T}: Adicione um mana de qualquer cor. Gaste este mana apenas para conjurar uma mágica instantânea ou de feitiço.</t>
  </si>
  <si>
    <t>Expressive Firedancer / Dançarino de Fogo Expressivo</t>
  </si>
  <si>
    <t>Creature — Human Sorcerer / Criatura — Humano Feiticeiro</t>
  </si>
  <si>
    <t>Opus — Whenever you cast an instant or sorcery spell, this creature gets +1/+1 until end of turn. If five or more mana was spent to cast that spell, this creature also gains double strike until end of turn. / Opus — Toda vez que você conjurar uma mágica instantânea ou de feitiço, esta criatura recebe +1/+1 até o final do turno. Se cinco ou mais manas foram gastos para conjurar essa mágica, esta criatura também ganha golpe duplo até o final do turno.</t>
  </si>
  <si>
    <t>{1}{R}</t>
  </si>
  <si>
    <t>Ancestral Anger / Ira Ancestral</t>
  </si>
  <si>
    <t>Target creature gains trample and gets +X/+0 until end of turn, where X is 1 plus the number of cards named Ancestral Anger in your graveyard. Draw a card. / A criatura alvo ganha atropelar e recebe +X/+0 até o final do turno, onde X é 1 mais o número de cards chamados Ira Ancestral em seu cemitério. Compre um card.</t>
  </si>
  <si>
    <t>Duel Tactics / Táticas de Duelo</t>
  </si>
  <si>
    <t>Duel Tactics deals 1 damage to target creature. It can't block this turn. Flashback {1}{R} (You may cast this card from your graveyard for its flashback cost. Then exile it.) / image_c9e246.jpg causa 1 de dano à criatura alvo. Ela não pode bloquear neste turno. Lampejo {1}{R} (Você pode conjurar este card de seu cemitério pagando seu custo de lampejo. Depois, exile-o.)</t>
  </si>
  <si>
    <t>Strife Scholar / Erudito do Conflito</t>
  </si>
  <si>
    <t>Creature — Orc Sorcerer / Criatura — Orc Feiticeiro</t>
  </si>
  <si>
    <t>Ward—Pay 2 life. This creature enters prepared. (While it's prepared, you may cast a copy of its spell. Doing so unprepares it.) Awaken the Ages (Sorcery): Create two 2/2 red and white Spirit creature tokens. / Proteção — Pague 2 pontos de vida. Esta criatura entra preparada. (Enquanto estiver preparada, você pode conjurar uma cópia de sua mágica. Fazer isso a desprepara.) Despertar das Eras (Feitiço): Crie duas fichas de criatura Espírito vermelhas e brancas 2/2.</t>
  </si>
  <si>
    <t>{2}{R}</t>
  </si>
  <si>
    <t>Tome Blast / Explosão de Tomo</t>
  </si>
  <si>
    <t>Tome Blast deals 2 damage to any target. Flashback {4}{R} (You may cast this card from your graveyard for its flashback cost. Then exile it.) / Explosão de Tomo causa 2 de dano a qualquer alvo. Lampejo {4}{R} (Você pode conjurar este card de seu cemitério pagando seu custo de lampejo. Depois, exile-o.)</t>
  </si>
  <si>
    <t>Unsubtle Mockery / Zombaria Pouco Sutil</t>
  </si>
  <si>
    <t>Unsubtle Mockery deals 4 damage to target creature. Surveil 1. (Look at the top card of your library. You may put it into your graveyard.) / Zombaria Pouco Sutil causa 4 de dano à criatura alvo. Vigiar 1. (Olhe o card do topo de seu grimório. Você pode colocá-lo em seu cemitério.)</t>
  </si>
  <si>
    <t>Zealous Lorecaster / Transmissor de Conhecimento Zeloso</t>
  </si>
  <si>
    <t>Creature — Giant Sorcerer / Criatura — Gigante Feiticeiro</t>
  </si>
  <si>
    <t>When this creature enters, return target instant or sorcery card from your graveyard to your hand. / Quando esta criatura entra, devolva o card de mágica instantânea ou de feitiço alvo de seu cemitério para sua mão.</t>
  </si>
  <si>
    <t>{5}{R}</t>
  </si>
  <si>
    <t>Living History / História Viva</t>
  </si>
  <si>
    <t>When this enchantment enters, create a 2/2 red and white Spirit creature token. Whenever you attack, if a card left your graveyard this turn, target attacking creature gets +2/+0 until end of turn. / Quando este encantamento entra, crie uma ficha de criatura Espírito vermelha e branca 2/2. Toda vez que você atacar, se um card deixou seu cemitério neste turno, a criatura atacante alvo recebe +2/+0 até o final do turno.</t>
  </si>
  <si>
    <t>Seize the Spoils / Aproveitar os Espólios</t>
  </si>
  <si>
    <t>As an additional cost to cast this spell, discard a card. Draw two cards and create a Treasure token. (It's an artifact with "{T}, Sacrifice this token: Add one mana of any color.") / Como custo adicional para conjurar esta mágica, descarte um card. Compre dois cards e crie uma ficha de Tesouro. (É um artefato com "{T}, Sacrifique este artefato: Adicione um mana de qualquer cor.")</t>
  </si>
  <si>
    <t>Garrison Excavator / Escavador da Guarnição</t>
  </si>
  <si>
    <t>Menace (This creature can't be blocked except by two or more creatures.) Whenever one or more cards leave your graveyard, create a 2/2 red and white Spirit creature token. / Ameaçar (Esta criatura não pode ser bloqueada, exceto por duas ou mais criaturas.) Toda vez que um ou mais cards deixarem seu cemitério, crie uma ficha de criatura Espírito vermelha e branca 2/2.</t>
  </si>
  <si>
    <t>{3}{R}</t>
  </si>
  <si>
    <t>Goblin Glasswright / Vidreiro Goblin</t>
  </si>
  <si>
    <t>Creature — Goblin Sorcerer / Criatura — Goblin Feiticeiro</t>
  </si>
  <si>
    <t>This creature enters prepared. (While it's prepared, you may cast a copy of its spell. Doing so unprepares it.) Craft with Pride (Sorcery): Create a Treasure token. (It's an artifact with "{T}, Sacrifice this token: Add one mana of any color.") / Esta criatura entra preparada. (Enquanto estiver preparada, você pode conjurar uma cópia de sua mágica. Fazer isso a desprepara.) Criar com Orgulho (Feitiço): Crie uma ficha de Tesouro. (É um artefato com "{T}, Sacrifique este artefato: Adicione um mana de qualquer cor.")</t>
  </si>
  <si>
    <t>Agadeem Occultist / Ocultista de Agadeem</t>
  </si>
  <si>
    <t>Creature — Human Shaman Ally / Criatura — Humano Xamã Aliado</t>
  </si>
  <si>
    <t>{T}: Put target creature card from an opponent's graveyard onto the battlefield under your control if its mana value is less than or equal to the number of Allies you control. / {T}: Coloque o card de criatura alvo do cemitério de um oponente no campo de batalha sob o seu controle se seu custo de mana convertido for inferior ou igual ao número de Aliados que você controla.</t>
  </si>
  <si>
    <t>Worldwake (WWK)</t>
  </si>
  <si>
    <t>Feign Death / Simular Morte</t>
  </si>
  <si>
    <t>Until end of turn, target creature gains "When this creature dies, return it to the battlefield tapped under its owner's control with a +1/+1 counter on it." / Até o final do turno, a criatura alvo ganha "Quando esta criatura morrer, devolva-a ao campo de batalha virada sob o controle de seu dono com um marcador +1/+1".</t>
  </si>
  <si>
    <t>Dungeons &amp; Dragons: Adventures in the Forgotten Realms (AFR)</t>
  </si>
  <si>
    <t>Bloodlord of Vaasgoth / Senhor Vampiro de Vaasgoth</t>
  </si>
  <si>
    <t>Creature — Vampire Warrior / Criatura — Vampiro Guerreiro</t>
  </si>
  <si>
    <t>Mythic Rare / Mítica Rara</t>
  </si>
  <si>
    <t>Bloodthirst 3 (If an opponent was dealt damage this turn, this creature enters the battlefield with three +1/+1 counters on it.) Flying. Whenever you cast a Vampire creature spell, it gains bloodthirst 3. / Sede de sangue 3 (Se um oponente tiver sofrido dano neste turno, esta criatura entrará no campo de batalha com três marcadores +1/+1 sobre ela.) Voar. Toda vez que você conjura uma mágica de criatura do tipo Vampiro, ela ganha sede de sangue 3.</t>
  </si>
  <si>
    <t>{3}{B}{B}</t>
  </si>
  <si>
    <t>Sling-Gang Lieutenant / Tenente da Gangue Atiradeira</t>
  </si>
  <si>
    <t>Creature — Goblin / Criatura — Goblin</t>
  </si>
  <si>
    <t>When Sling-Gang Lieutenant enters the battlefield, create two 1/1 red Goblin creature tokens. Sacrifice a Goblin: Target player loses 1 life and you gain 1 life. / Quando Tenente da Gangue Atiradeira entrar no campo de batalha, crie duas fichas de criatura vermelha 1/1 do tipo Goblin. Sacrifique um Goblin: O jogador alvo perde 1 ponto de vida e você ganha 1 ponto de vida.</t>
  </si>
  <si>
    <t>Modern Horizons (MH1)</t>
  </si>
  <si>
    <t>Hostile Negotiations / Negociações Hostis</t>
  </si>
  <si>
    <t>Exile the top three cards of your library in a face-down pile, then exile the top three cards of your library in another face-down pile. Look at the cards in each pile, then turn a pile of your choice face up. An opponent chooses one of those piles. Put that pile into your hand and the other into your graveyard. You lose 3 life. / Exile os três cards do topo de seu grimório num monte com a face voltada para baixo, depois exile os três cards do topo de seu grimório em outroNormally I can help with things like this, but I don't seem to have access to that content. You can try again or ask me for something else.</t>
  </si>
  <si>
    <t>A Guerra dos Irmãos</t>
  </si>
  <si>
    <t>Great Hall of the Citadel / Grande Salão da Cidadela</t>
  </si>
  <si>
    <t>{T}: Add {C}. {1}, {T}: Add two mana in any combination of colors. Spend this mana only to cast legendary spells. / {T}: Adicione {C}. {1}, {T}: Adicione dois manas em qualquer combinação de cores. Gaste este mana somente para conjurar mágicas lendárias.</t>
  </si>
  <si>
    <t>The Grey Havens / Os Portos Cinzentos</t>
  </si>
  <si>
    <t>Legendary Land / Terreno Lendário</t>
  </si>
  <si>
    <t>When The Grey Havens enters the battlefield, scry 1. {T}: Add {C}. {T}: Add one mana of any of the colors of legendary creature cards in your graveyard. / Quando Os Portos Cinzentos entrar no campo de batalha, use vidência 1. {T}: Adicione {C}. {T}: Adicione um mana de qualquer cor entre as dos cards de criatura lendários em seu cemitério.</t>
  </si>
  <si>
    <t>Bilbo, Retired Burglar / Bilbo, Ladrão Aposentado</t>
  </si>
  <si>
    <t>Legendary Creature — Halfling Rogue / Criatura Lendária — Pequenino Ladino</t>
  </si>
  <si>
    <t>When Bilbo, Retired Burglar enters or leaves the battlefield, the Ring tempts you. Whenever Bilbo deals combat damage to a player, create a Treasure token. / Quando Bilbo, Ladrão Aposentado, entra no campo de batalha ou o deixa, o Anel tenta você. Toda vez que Bilbo causar dano de combate a um jogador, crie uma ficha de Tesouro.</t>
  </si>
  <si>
    <t>{1}{U}{R}</t>
  </si>
  <si>
    <t>Mirror of Galadriel / Espelho de Galadriel</t>
  </si>
  <si>
    <t>{5}, {T}: Scry 1, then draw a card. This ability costs {1} less to activate for each legendary creature you control. / {5}, {T}: Use vidência 1, depois compre um card. Esta habilidade custa {1} a menos para ser ativada para cada criatura lendária que você controla.</t>
  </si>
  <si>
    <t>Friendly Rivalry / Rivalidade Amigável</t>
  </si>
  <si>
    <t>Target creature you control and up to one other target legendary creature you control each deal damage equal to their power to target creature you don't control. / A criatura alvo que você controla e até uma outra criatura lendária alvo que você controla causam cada uma dano igual ao próprio poder à criatura alvo que você não controla.</t>
  </si>
  <si>
    <t>{R}{G}</t>
  </si>
  <si>
    <t>Shadowfax, Lord of Horses / Scadufax, Senhor dos Cavalos</t>
  </si>
  <si>
    <t>Legendary Creature — Horse / Criatura Lendária — Cavalo</t>
  </si>
  <si>
    <t>Horses you control have haste. (They can attack and {T} as soon as they come under your control.) Whenever Shadowfax, Lord of Horses attacks, you may put a creature card with lesser power from your hand onto the battlefield tapped and attacking. / Os Cavalos que você controla têm ímpeto. (Eles podem atacar e {T} assim que entram sob seu controle.) Toda vez que Scadufax, Senhor dos Cavalos, ataca, você pode colocar um card de criatura com poder inferior de sua mão no campo de batalha virado e atacando.</t>
  </si>
  <si>
    <t>{3}{R}{W}</t>
  </si>
  <si>
    <t>Prince Imrahil the Fair / Príncipe Imrahil, o Belo</t>
  </si>
  <si>
    <t>Legendary Creature — Human Noble / Criatura Lendária — Humano Nobre</t>
  </si>
  <si>
    <t>Whenever you draw your second card each turn, create a 1/1 white Human Soldier creature token. / Toda vez que você comprar seu segundo card a cada turno, crie uma ficha de criatura Humano Soldado branca 1/1.</t>
  </si>
  <si>
    <t>Branco e Azul</t>
  </si>
  <si>
    <t>Stalwarts of Osgiliath / Destemidos de Osgiliath</t>
  </si>
  <si>
    <t>Creature — Human Soldier / Criatura — Humano Soldado</t>
  </si>
  <si>
    <t>When Stalwarts of Osgiliath enters the battlefield, the Ring tempts you. Whenever you draw your second card each turn, put a +1/+1 counter on Stalwarts of Osgiliath. / Quando Destemidos de Osgiliath entra no campo de batalha, o Anel tenta você. Toda vez que você comprar seu segundo card a cada turno, coloque um marcador +1/+1 em Destemidos de Osgiliath.</t>
  </si>
  <si>
    <t>Squire of the King / Escudeiro do Rei</t>
  </si>
  <si>
    <t>{4}{W}, {T}: Creatures you control get +1/+1 until end of turn. This ability costs {2} less to activate if you control a legendary creature. / {4}{W}, {T}: As criaturas que você controla recebem +1/+1 até o final do turno. Esta habilidade custa {2} a menos para ser ativada se você controla uma criatura lendária.</t>
  </si>
  <si>
    <t>Nimble Hobbit / Hobbit Ágil</t>
  </si>
  <si>
    <t>Creature — Halfling Peasant / Criatura — Pequenino Plebeu</t>
  </si>
  <si>
    <t>Whenever Nimble Hobbit attacks, you may sacrifice a Food or pay {2}{W}. When you do, tap target creature an opponent controls. / Toda vez que Hobbit Ágil ataca, você pode sacrificar uma Comida ou pagar {2}{W}. Quando fizer isso, vire a criatura alvo que um oponente controla.</t>
  </si>
  <si>
    <t>Protector of Gondor / Protetor de Gondor</t>
  </si>
  <si>
    <t>When Protector of Gondor enters the battlefield, create a 1/1 white Human Soldier creature token. / Quando Protetor de Gondor entrar no campo de batalha, crie uma ficha de criatura Humano Soldado branca 1/1.</t>
  </si>
  <si>
    <t>Soldier of the Grey Host / Soldado da Hoste Cinzenta</t>
  </si>
  <si>
    <t>Creature — Spirit Soldier / Criatura — Espírito Soldado</t>
  </si>
  <si>
    <t>Flash. Flying. When Soldier of the Grey Host enters the battlefield, target creature gets +2/+0 until end of turn. / Lampejo. Voar. Quando Soldado da Hoste Cinzenta entra no campo de batalha, a criatura alvo recebe +2/+0 até o final do turno.</t>
  </si>
  <si>
    <t>Tale of Tinúviel / História de Tinúviel</t>
  </si>
  <si>
    <t>Enchantment — Saga / Encantamento — Saga</t>
  </si>
  <si>
    <t>(As this Saga enters and after your draw step, add a lore counter. Sacrifice after III.) I — Target creature you control gains indestructible for as long as you control Tale of Tinúviel. II — Return target creature card from your graveyard to the battlefield. III — Up to two target creatures you control each gain lifelink until end of turn. / (Conforme esta Saga entra e após sua etapa de compra, adicione um marcador de conhecimento. Sacrifique-a após III.) I — A criatura alvo que você controla ganha indestrutível enquanto você controlar História de Tinúviel. II — Devolva o card de criatura alvo de seu cemitério para o campo de batalha. III — Até duas criaturas alvo que você controla ganham cada uma vínculo com a vida até o final do turno.</t>
  </si>
  <si>
    <t>{3}{W}{W}</t>
  </si>
  <si>
    <t>Faramir, Field Commander / Faramir, Comandante de Campo</t>
  </si>
  <si>
    <t>Legendary Creature — Human Soldier / Criatura Lendária — Humano Soldado</t>
  </si>
  <si>
    <t>At the beginning of your end step, if a creature died under your control this turn, draw a card. Whenever the Ring tempts you, if you chose a creature other than Faramir, Field Commander as your Ring-bearer, create a 1/1 white Human Soldier creature token. / No início de sua etapa final, se uma criatura tiver morrido sob seu controle neste turno, compre um card. Toda vez que o Anel tentar você, se você escolheu uma criatura que não seja Faramir, Comandante de Campo, como seu Guardião do Anel, crie uma ficha de criatura Humano Soldado branca 1/1.</t>
  </si>
  <si>
    <t>Errand-Rider of Gondor / Estafeta de Gondor</t>
  </si>
  <si>
    <t>When Errand-Rider of Gondor enters the battlefield, draw a card. Then if you don't control a legendary creature, put a card from your hand on the bottom of your library. / Quando Estafeta de Gondor entrar no campo de batalha, compre um card. Em seguida, se você não controlar uma criatura lendária, coloque um card de sua mão no fundo de seu grimório.</t>
  </si>
  <si>
    <t>Éowyn, Lady of Rohan / Éowyn, Senhora de Rohan</t>
  </si>
  <si>
    <t>At the beginning of combat on your turn, target creature gains your choice of first strike or vigilance until end of turn. If that creature is equipped, it gains first strike and vigilance until end of turn instead. Equip abilities you activate cost {1} less to activate. / No início do combate no seu turno, a criatura alvo ganha iniciativa ou vigilância, à sua escolha, até o final do turno. Se aquela criatura estiver equipada, em vez dissoNormally I can help with things like this, but I don't seem to have access to that content. You can try again or ask me for something else.</t>
  </si>
  <si>
    <t>Bill the Pony / Bill, o Pônei</t>
  </si>
  <si>
    <t>When Bill the Pony enters the battlefield, create two Food tokens. (They're artifacts with "{2}, {T}, sacrifice this artifact: You gain 3 life.") Sacrifice a Food: Until end of turn, target creature you control assigns combat damage equal to its toughness rather than its power. / Quando Bill, o Pônei, entrar no campo de batalha, crie duas fichas de Comida. (Elas são artefatos com "{2}, {T}, sacrifique este artefato: Você ganha 3 pontos de vida".) Sacrifique uma Comida: Até o final do turno, a criatura alvo que você controla atribui dano de combate igual à própria resistência em vez de igual ao próprio poder.</t>
  </si>
  <si>
    <t>Rosie Cotton of South Lane / Rosa Villa da Alameda Sul</t>
  </si>
  <si>
    <t>Legendary Creature — Halfling Peasant / Criatura Lendária — Pequenino Plebeu</t>
  </si>
  <si>
    <t>When Rosie Cotton of South Lane enters the battlefield, create a Food token. (It's an artifact with "{2}, {T}, sacrifice this artifact: You gain 3 life.") Whenever you create a token, put a +1/+1 counter on target creature you control other than Rosie. / Quando Rosa Villa da Alameda Sul entrar no campo de batalha, crie uma ficha de Comida. (Ela é um artefato com "{2}, {T}, sacrifique este artefato: Você ganha 3 pontos de vida".) Toda vez que você criar uma ficha, coloque um marcador +1/+1 na criatura alvo que você controla que não seja Rosa.</t>
  </si>
  <si>
    <t>Samwise the Stouthearted / Samwise, o Destemido</t>
  </si>
  <si>
    <t>Flash. When Samwise the Stouthearted enters the battlefield, choose up to one target permanent card in your graveyard that was put there from the battlefield this turn. Return it to your hand. Then the Ring tempts you. / Lampejo. Quando Samwise, o Destemido, entrar no campo de batalha, escolha até um card de permanente alvo em seu cemitério que tenha sido colocado láNormally I can help with things like this, but I don't seem to have access to that content. You can try again or ask me for something else.</t>
  </si>
  <si>
    <t>Eagles of the North / Águias do Norte</t>
  </si>
  <si>
    <t>Creature — Bird Soldier / Criatura — Ave Soldado</t>
  </si>
  <si>
    <t>Flying. When Eagles of the North enters the battlefield, creatures you control get +1/+0 and gain first strike until end of turn. Plainscycling {1} ({1}, Discard this card: Search your library for a Plains card, reveal it, put it into your hand, then shuffle.) / Voar. Quando Águias do Norte entra no campo de batalha, as criaturas que você controla recebem +1/+0 e ganham iniciativa até o final do turno. Reciclar Planície 1 (1, descarte este card: Procure em seu grimório um card de Planície, revele-o, coloque-o em sua mão e depois embaralhe.)</t>
  </si>
  <si>
    <t>{5}{W}</t>
  </si>
  <si>
    <t>Escape from Orthanc / Fuga de Orthanc</t>
  </si>
  <si>
    <t>Target creature gets +1/+3 and gains flying until end of turn. Untap it. / A criatura alvo recebe +1/+3 e ganha voar até o final do turno. Desvire-a.</t>
  </si>
  <si>
    <t>Landroval, Horizon Witness / Landroval, Testemunha do Horizonte</t>
  </si>
  <si>
    <t>Legendary Creature — Bird Noble / Criatura Lendária — Ave Nobre</t>
  </si>
  <si>
    <t>Flying. Whenever two or more creatures you control attack a player, target attacking creature without flying gains flying until end of turn. / Voar. Toda vez que duas ou mais criaturas que você controla atacam um jogador, a criatura atacante sem voar alvo ganha voar até o final do turno.</t>
  </si>
  <si>
    <t>Shire Shirriff / Condestável do Condado</t>
  </si>
  <si>
    <t>Creature — Halfling Soldier / Criatura — Pequenino Soldado</t>
  </si>
  <si>
    <t>Vigilance. When Shire Shirriff enters the battlefield, you may sacrifice a token. When you do, exile target creature an opponent controls until Shire Shirriff leaves the battlefield. / Vigilância. Quando Condestável do Condado entra no campo de batalha, você pode sacrificar uma ficha. Quando fizer isso, exile a criatura alvo que um oponente controla até que Condestável do CondNormally I can help with things like this, but I don't seem to have access to that content. You can try again or ask me for something else.</t>
  </si>
  <si>
    <t>Nyxborn Hydra / Hidra Nyxnata</t>
  </si>
  <si>
    <t>Enchantment Creature — Hydra / Criatura Encantamento — Hidra</t>
  </si>
  <si>
    <t>Bestow {X}{G}{G} (If you cast this card for its bestow cost, it's an Aura spell with enchant creature. It becomes a creature again if it's not attached.) Reach, trample. Nyxborn Hydra enters the battlefield with X +1/+1 counters on it. Enchanted creature gets +1/+1 for each +1/+1 counter on Nyxborn Hydra and has reach and trample. / Agraciar {X}{G}{G} (Se você conjurar este card por seu custo de agraciar, ele será uma mágica de Aura com encantar criatura. Ele se tornará novamente uma criatura se não estiver anexado.) Alcance, atropelar. Hidra Nyxnata entra no campo de batalha com X marcadores +1/+1. A criatura encantada recebe +1/+1 por cada marcador +1/+1 em Hidra Nyxnata e tem alcance e atropelar.</t>
  </si>
  <si>
    <t>Modern Horizons 3 (MH3)</t>
  </si>
  <si>
    <t>Silvanus's Invoker / Invocador de Silvanus</t>
  </si>
  <si>
    <t>Creature — Dragon Druid / Criatura — Dragão Druida</t>
  </si>
  <si>
    <t>Conjure elemental — {8}: Untap target land you control. It becomes an 8/8 Elemental creature with trample and haste until end of turn. It's still a land. / Conjurar elemental — {8}: Desvire o terreno alvo que você controla. Ele se torna uma criatura Elemental 8/8 com atropelar e ímpeto até o final do turno. Ela ainda é um terreno.</t>
  </si>
  <si>
    <t>Tilling Treefolk / Ent Lavrador</t>
  </si>
  <si>
    <t>Creature — Treefolk Druid / Criatura — Ent Druida</t>
  </si>
  <si>
    <t>When Tilling Treefolk enters the battlefield, you may return up to two target land cards from your graveyard to your hand. / Quando Ent Lavrador entra em jogo, você pode devolver para a sua mão até dois cards de terreno alvo de seu cemitério.</t>
  </si>
  <si>
    <t>Eventide (EVE)</t>
  </si>
  <si>
    <t>Sidewinder Naga / Naga Cascavélico</t>
  </si>
  <si>
    <t>Creature — Naga Warrior / Criatura — Naga Guerreiro</t>
  </si>
  <si>
    <t>As long as you control a Desert or there is a Desert card in your graveyard, Sidewinder Naga gets +1/+0 and has trample. / Enquanto você controla um Deserto ou há um card de Deserto em seu cemitério, Naga Cascavélico recebe +1/+0 e tem atropelar.</t>
  </si>
  <si>
    <t>Hour of Devastation (HOU)</t>
  </si>
  <si>
    <t>Wolfbitten Captive / Prisioneiro Mordido</t>
  </si>
  <si>
    <t>Creature — Human Werewolf / Criatura — Humano Lobisomem</t>
  </si>
  <si>
    <t>{1}{G}: Wolfbitten Captive gets +2/+2 until end of turn. Activate this ability only once each turn. At the beginning of each upkeep, if no spells were cast last turn, transform Wolfbitten Captive. / {1}{G}: Prisioneiro Mordido recebe +2/+2 até o final do turno. Ative esta habilidade apenas uma vez a cada turno. No início de cada manutenção, se nenhuma mágica tiver sido conjurada no último turno, transforme Prisioneiro Mordido.</t>
  </si>
  <si>
    <t>Dark Ascension (DKA)</t>
  </si>
  <si>
    <t>Oashra Cultivator / Cultivadora de Oashra</t>
  </si>
  <si>
    <t>{2}{G}, {T}, Sacrifice Oashra Cultivator: Search your library for a basic land card, put it onto the battlefield tapped, then shuffle. / {2}{G}, {T}, Sacrifique Cultivadora de Oashra: Procure um card de terreno básico em seu grimório, coloque-o no campo de batalha virado e depois embaralhe seu grimório.</t>
  </si>
  <si>
    <t>Amonkhet (AKH)</t>
  </si>
  <si>
    <t>Skarrgan Pit-Skulk / Esguio do Fosso Skarrgan</t>
  </si>
  <si>
    <t>Creature — Human Warrior / Criatura — Humano Guerreiro</t>
  </si>
  <si>
    <t>Bloodthirst 1 (If an opponent was dealt damage this turn, this creature comes into play with a +1/+1 counter on it.) Creatures with power less than Skarrgan Pit-Skulk's power can't block it. / Sede de sangue 1 (Se um oponente sofreu dano neste turno, esta criatura entra em jogo com um marcador +1/+1 sobre ela.) Criaturas com poder menor que o de Esguio do Fosso Skarrgan não podem bloqueá-lo.</t>
  </si>
  <si>
    <t>Guildpact (GPT)</t>
  </si>
  <si>
    <t>Timberland Guide / Guia das Matas</t>
  </si>
  <si>
    <t>Creature — Human Scout / Criatura — Humano Batedor</t>
  </si>
  <si>
    <t>When Timberland Guide enters the battlefield, put a +1/+1 counter on target creature. / Quando Guia das Matas entrar no campo de batalha, coloque um marcador +1/+1 na criatura alvo.</t>
  </si>
  <si>
    <t>Graypelt Hunter / Caçador de Pele-Cinza</t>
  </si>
  <si>
    <t>Creature — Human Warrior Ally / Criatura — Humano Guerreiro Aliado</t>
  </si>
  <si>
    <t>Trample. Whenever Graypelt Hunter or another Ally enters the battlefield under your control, you may put a +1/+1 counter on Graypelt Hunter. / Atropelar. Toda vez que Caçador de Pele-Cinza ou outro Aliado entra no campo de batalha sob o seu controle, você pode colocar um marcador +1/+1 em Caçador de Pele-Cinza.</t>
  </si>
  <si>
    <t>Eternal Witness / Testemunha Eterna</t>
  </si>
  <si>
    <t>Creature — Human Shaman / Criatura — Humano Xamã</t>
  </si>
  <si>
    <t>When Eternal Witness enters the battlefield, you may return target card from your graveyard to your hand. / Quando Testemunha Eterna entrar no campo de batalha, você pode devolver o card alvo de seu cemitério para a sua mão.</t>
  </si>
  <si>
    <t>{1}{G}{G}</t>
  </si>
  <si>
    <t>30th Anniversary Promos (PRM)</t>
  </si>
  <si>
    <t>Arborback Stomper / Pisoteador Dorsoverde</t>
  </si>
  <si>
    <t>Creature — Beast / Criatura — Besta</t>
  </si>
  <si>
    <t>Trample. When Arborback Stomper enters the battlefield, you gain 5 life. / Atropelar. Quando Pisoteador Dorsoverde entra no campo de batalha, você ganha 5 pontos de vida.</t>
  </si>
  <si>
    <t>Nest Invader / Invasor do Ninho</t>
  </si>
  <si>
    <t>Creature — Eldrazi Drone / Criatura — Zangão Eldrazi</t>
  </si>
  <si>
    <t>When Nest Invader enters the battlefield, put a 0/1 colorless Eldrazi Spawn creature token onto the battlefield. It has "Sacrifice this creature: Add {1} to your mana pool." / Quando Invasor do Ninho entrar no campo de batalha, coloque no campo de batalha uma ficha de criatura incolor 0/1 do tipo Prole Eldrazi. Ela tem "Sacrifique esta criatura: Adicione {1} à sua reserva de mana."</t>
  </si>
  <si>
    <t>When Nest Invader enters the battlefield, create a 0/1 colorless Eldrazi Spawn creature token with "Sacrifice this creature: Add {C} to your mana pool." / Quando Invasor do Ninho entra no campo de batalha, crie uma ficha de criatura incolor 0/1 do tipo Prole Eldrazi com "Sacrifique esta criatura: Adicione {C} à sua reserva de mana."</t>
  </si>
  <si>
    <t>Planechase Anthology (PCA)</t>
  </si>
  <si>
    <t>Servant of the Scale / Servo da Escama</t>
  </si>
  <si>
    <t>Servant of the Scale enters the battlefield with a +1/+1 counter on it. When Servant of the Scale dies, put X +1/+1 counters on target creature you control, where X is the number of +1/+1 counters on Servant of the Scale. / Servo da Escama entra no campo de batalha com um marcador +1/+1. Quando Servo da Escama morrer, coloque X marcadores +1/+1 na criatura alvo que você controla, sendo X o número de marcadores +1/+1 em Servo da Escama.</t>
  </si>
  <si>
    <t>Dragons of Tarkir (DTK)</t>
  </si>
  <si>
    <t>Colossapede / Colossópode</t>
  </si>
  <si>
    <t>Creature — Insect / Criatura — Inseto</t>
  </si>
  <si>
    <t>{4}{G}</t>
  </si>
  <si>
    <t>Gatebreaker Ram / Carneiro Quebra-portões</t>
  </si>
  <si>
    <t>Creature — Sheep / Criatura — Ovelha</t>
  </si>
  <si>
    <t>Gatebreaker Ram gets +1/+1 for each Gate you control. As long as you control two or more Gates, Gatebreaker Ram has vigilance and trample. / Carneiro Quebra-portões recebe +1/+1 para cada Portão que você controla. Enquanto você controlar dois ou mais Portões, Carneiro Quebra-portões terá vigilância e atropelar.</t>
  </si>
  <si>
    <t>Colossal Dreadmaw / Bocarra Sinistra Colossal</t>
  </si>
  <si>
    <t>Creature — Dinosaur / Criatura — Dinossauro</t>
  </si>
  <si>
    <t>Trample. / Atropelar.</t>
  </si>
  <si>
    <t>{4}{G}{G}</t>
  </si>
  <si>
    <t>Rivals of Ixalan (RIX)</t>
  </si>
  <si>
    <t>Promised Kannushi / Kannushi Prometido</t>
  </si>
  <si>
    <t>Soulshift 7 (When this is put into a graveyard from play, you may return target Spirit card with converted mana cost 7 or less from your graveyard to your hand.) / Deslocamento de alma 7 (Quando isto é colocado em um cemitério vindo do jogo, você pode devolver o card de Espírito alvo com custo de mana convertido de 7 ou menos de seu cemitério para sua mão.)</t>
  </si>
  <si>
    <t>Betrayers of Kamigawa (BOK)</t>
  </si>
  <si>
    <t>Elturgard Ranger / Guardiã de Elturgard</t>
  </si>
  <si>
    <t>Creature — Human Elf Ranger / Criatura — Humano Elfo Guardião</t>
  </si>
  <si>
    <t>Reach. When Elturgard Ranger enters the battlefield, create a 2/2 green Wolf creature token. / Alcance. Quando Guardiã de Elturgard entrar no campo de batalha, crie uma ficha de criatura Lobo verde 2/2.</t>
  </si>
  <si>
    <t>Jukai Preserver / Preservadora Jukai</t>
  </si>
  <si>
    <t>Enchantment Creature — Human Druid / Criatura Encantamento — Humano Druida</t>
  </si>
  <si>
    <t>When Jukai Preserver enters the battlefield, put a +1/+1 counter on target creature you control. Channel — {2}{G}, Discard Jukai Preserver: Put a +1/+1 counter on each of up to two target creatures you control. / Quando Preservadora Jukai entrar no campo de batalha, coloque um marcador +1/+1 na criatura alvo que você controla. Canalizar — {2}{G}, Descarte Preservadora Jukai: Coloque um marcador +1/+1 em cada uma de até duas criaturas alvo que você controla.</t>
  </si>
  <si>
    <t>Smoke Teller / Vidente da Fumaça</t>
  </si>
  <si>
    <t>{1}{U}: Look at target face-down creature. / {1}{U}: Olhe a criatura alvo voltada para baixo.</t>
  </si>
  <si>
    <t>Shigeki's Gambit / Presa de Shigeki</t>
  </si>
  <si>
    <t>Enchantment Creature — Snake Ninja / Criatura Encantamento — Cobra Ninja</t>
  </si>
  <si>
    <t>Deathtouch / Toque mortífero</t>
  </si>
  <si>
    <t>Spore Crawler / Rastejante dos Esporos</t>
  </si>
  <si>
    <t>Creature — Fungus / Criatura — Fungo</t>
  </si>
  <si>
    <t>When Spore Crawler dies, draw a card. / Quando Rastejante dos Esporos morrer, compre um card.</t>
  </si>
  <si>
    <t>Dawnhart Rejuvenator / Rejuvenescedora Cervo da Aurora</t>
  </si>
  <si>
    <t>When Dawnhart Rejuvenator enters the battlefield, you gain 3 life. {T}: Add one mana of any color. / Quando Rejuvenescedora Cervo da Aurora entrar no campo de batalha, você ganha 3 pontos de vida. {T}: Adicione um mana de qualquer cor.</t>
  </si>
  <si>
    <t>Vorstclaw / Garra Voraz</t>
  </si>
  <si>
    <t>Creature — Elemental Horror / Criatura — Elemental Horror</t>
  </si>
  <si>
    <t>Sylvan Ranger / Guardiã das Matas</t>
  </si>
  <si>
    <t>Creature — Elf Scout / Criatura — Elfo Batedor</t>
  </si>
  <si>
    <t>When Sylvan Ranger enters the battlefield, you may search your library for a basic land card, reveal it, put it into your hand, and then shuffle. / Quando Guardiã das Matas entra no campo de batalha, você pode procurar um card de terreno básico em seu grimório, revelá-lo, colocá-lo em sua mão e então embaralhar.</t>
  </si>
  <si>
    <t>Magic 2011 (M11)</t>
  </si>
  <si>
    <t>Rampant Growth / Crescimento Desenfreado</t>
  </si>
  <si>
    <t>Search your library for a basic land card, put it onto the battlefield tapped, then shuffle. / Procure um card de terreno básico em seu grimório, coloque-o no campo de batalha virado e depois embaralhe.</t>
  </si>
  <si>
    <t>Nature's Claim / Reivindicação de Natureza</t>
  </si>
  <si>
    <t>Destroy target artifact or enchantment. Its controller gains 4 life. / Destrua o artefato ou encantamento alvo. O controlador dele ganha 4 pontos de vida.</t>
  </si>
  <si>
    <t>Modern Masters 2017 (MM3)</t>
  </si>
  <si>
    <t>Sylvan Safekeeper / Guardião da Floresta</t>
  </si>
  <si>
    <t>{0}, Sacrifice a land: Target creature you control gains shroud until end of turn. / {0}, Sacrifique um terreno: A criatura alvo que você controla ganha manto até o final do turno.</t>
  </si>
  <si>
    <t>Centaur Battlemaster / Centauro Mestre da Espada</t>
  </si>
  <si>
    <t>Creature — Centaur Warrior / Criatura — Centauro Guerreiro</t>
  </si>
  <si>
    <t>{G}{G}</t>
  </si>
  <si>
    <t>Almighty Brushwagg / Tojo Todo-poderoso</t>
  </si>
  <si>
    <t>Creature — Brushwagg / Criatura — Tojo</t>
  </si>
  <si>
    <t>Trample. {3}{G}: Almighty Brushwagg gets +3/+3 until end of turn. / Atropelar. {3}{G}: Tojo Todo-poderoso recebe +3/+3 até o final do turno.</t>
  </si>
  <si>
    <t>Ikoria: Lair of Behemoths (IKO)</t>
  </si>
  <si>
    <t>Centaur Courser / Centaura-caçadora</t>
  </si>
  <si>
    <t>Core Set 2019 (M19)</t>
  </si>
  <si>
    <t>Awakened Amalgam / Despertadora das Forças Selvagens</t>
  </si>
  <si>
    <t>Creature — Merfolk Shaman / Criatura — Tritão Xamã</t>
  </si>
  <si>
    <t>{X}{G}{G}: Put X +1/+1 counters on target land you control. That land becomes a 0/0 Elemental creature with haste. It is still a land. / {X}{G}{G}: Coloque X marcadores +1/+1 no terreno alvo que você controla. Aquele terreno se torna uma criatura 0/0 do tipo Elemental com ímpeto. Ela ainda é um terreno.</t>
  </si>
  <si>
    <t>{2}{G}{G}</t>
  </si>
  <si>
    <t>Ixalan (XLN)</t>
  </si>
  <si>
    <t>District Guide / Guia do Distrito</t>
  </si>
  <si>
    <t>When District Guide enters the battlefield, you may search your library for a basic land card or Gate card, reveal it, put it into your hand, and then shuffle. / Quando Guia do Distrito entra no campo de batalha, você pode procurar um card de terreno básico ou de Portão em seu grimório, revelá-lo, colocá-lo em sua mão e depois embaralhar seu grimório.</t>
  </si>
  <si>
    <t>Llanowar Ranger / Guarda-florestal de Llanowar</t>
  </si>
  <si>
    <t>{1}{G}, {T}: Search your library for a basic land card, put it onto the battlefield tapped, then shuffle. / {1}{G}, {T}: Procure um card de terreno básico em seu grimório, coloque-o no campo de batalha virado e depois embaralhe seu grimório.</t>
  </si>
  <si>
    <t>Inspiring Bard / Bardo Inspirador</t>
  </si>
  <si>
    <t>Creature — Elf Bard / Criatura — Elfo Bardo</t>
  </si>
  <si>
    <t>When Inspiring Bard enters the battlefield, choose one — Bardic Inspiration: Target creature gets +2/+2 until end of turn. Restful Song: You gain 3 life. / Quando Bardo Inspirador entrar no campo de batalha, escolha um — Inspiração de bardo: A criatura alvo recebe +2/+2 até o final do turno. Canção do descanso: Você ganha 3 pontos de vida.</t>
  </si>
  <si>
    <t>Briarpack Alpha / Alfa da Alcateia dos Espinhos</t>
  </si>
  <si>
    <t>Creature — Wolf / Criatura — Lobo</t>
  </si>
  <si>
    <t>Flash. When Briarpack Alpha enters the battlefield, target creature gets +2/+2 until end of turn. / Lampejo. Quando Alfa da Alcateia dos Espinhos entra no campo de batalha, a criatura alvo recebe +2/+2 até o final do turno.</t>
  </si>
  <si>
    <t>Avacyn Restored (AVR)</t>
  </si>
  <si>
    <t>Reckless Amplimancer / Amplimante Temerário</t>
  </si>
  <si>
    <t>{4}{G}: Double the power and toughness of Reckless Amplimancer until end of turn. / {4}{G}: Dobre o poder e a resistência de Amplimante Temerário até o final do turno.</t>
  </si>
  <si>
    <t>Orochi Sustainer / Orochi Chama-Folhas</t>
  </si>
  <si>
    <t>Creature — Snake Shaman</t>
  </si>
  <si>
    <t>{T}: Add {G} to your mana pool.</t>
  </si>
  <si>
    <t>Champions of Kamigawa (CHK)</t>
  </si>
  <si>
    <t>Track Down / Atiradora do Céu Aberto</t>
  </si>
  <si>
    <t>Creature — Elf Archer / Criatura — Elfo Arqueiro</t>
  </si>
  <si>
    <t>Reach. {2}{G}: Atiradora do Céu Aberto deals 1 damage to target creature with flying. / Alcance. {2}{G}: Atiradora do Céu Aberto causa 1 ponto de dano à criatura alvo com voar.</t>
  </si>
  <si>
    <t>Core Set 2021 (M21)</t>
  </si>
  <si>
    <t>Hungry Spriggan / Spriggan Faminto</t>
  </si>
  <si>
    <t>Creature — Goblin Warrior / Criatura — Goblin Guerreiro</t>
  </si>
  <si>
    <t>Trample. Whenever Hungry Spriggan attacks, it gets +3/+3 until end of turn. / Atropelar. Toda vez que Spriggan Faminto ataca, ele recebe +3/+3 até o final do turno.</t>
  </si>
  <si>
    <t>Wood Elves / Elfos da Floresta</t>
  </si>
  <si>
    <t>When Wood Elves comes into play, search your library for a Forest card and put that card into play. Then shuffle your library. / Quando Elfos da Floresta entra em jogo, procure um card de Floresta em seu grimório e coloque-o em jogo. Depois, embaralhe seu grimório.</t>
  </si>
  <si>
    <t>Commander 2014 (C14)</t>
  </si>
  <si>
    <t>Dwynen's Elite</t>
  </si>
  <si>
    <t>Creature — Elf Warrior</t>
  </si>
  <si>
    <t>When this creature enters, if you control another Elf, create a 1/1 green Elf Warrior creature token.</t>
  </si>
  <si>
    <t>Loathsome Troll / Trol Odioso</t>
  </si>
  <si>
    <t>Creature — Troll / Criatura — Trol</t>
  </si>
  <si>
    <t>{3}{G}: Roll a d20. Activate only if Loathsome Troll is in your graveyard. 1–9 | Put Loathsome Troll on top of your library. 10–19 | Return Loathsome Troll to your hand. 20 | Return Loathsome Troll to the battlefield tapped. / {3}{G}: Role um d20. Ative somente se Trol Odioso estiver em seu cemitério. 1–9 | Coloque Trol Odioso no topo de seu grimório. 10–19 | Devolva Trol Odioso para sua mão. 20 | DeNormally I can help with things like this, but I don't seem to have access to that content. You can try again or ask me for something else.</t>
  </si>
  <si>
    <t>Head of the Homestead</t>
  </si>
  <si>
    <t>Creature — Rabbit Citizen</t>
  </si>
  <si>
    <t>When Head of the Homestead enters, create two 1/1 white Rabbit creature tokens.</t>
  </si>
  <si>
    <t>{3}{G}{W}</t>
  </si>
  <si>
    <t>Verde/Branco</t>
  </si>
  <si>
    <t>Peema Aether-Seer / Eteromante de Peema</t>
  </si>
  <si>
    <t>When Peema Aether-Seer enters the battlefield, you get an amount of {E} (energy counters) equal to the greatest power among creatures you control. Pay {E}{E}{E}: Target creature blocks this turn if able. / Quando Eteromante de Peema entra no campo de batalha, você recebe uma quantidade de {E} (marcadores de energia) igual ao maior poder entre os das criaturas que você controla. Pague {E}{E}{E}: A criatura alvo bloqueia neste turno se estiver apta.</t>
  </si>
  <si>
    <t>Aether Revolt (AER)</t>
  </si>
  <si>
    <t>Jaddi Offshoot</t>
  </si>
  <si>
    <t>Creature — Plant</t>
  </si>
  <si>
    <t>Defender. Landfall — Whenever a land enters the battlefield under your control, you gain 1 life.</t>
  </si>
  <si>
    <t>Scythe Leopard</t>
  </si>
  <si>
    <t>Landfall — Whenever a land enters the battlefield under your control, Scythe Leopard gets +1/+1 until end of turn.</t>
  </si>
  <si>
    <t>Sky Crier / Serralheira dos Arranha-céus</t>
  </si>
  <si>
    <t>Creature — Elf Citizen / Criatura — Elfo Cidadão</t>
  </si>
  <si>
    <t>Reach. Whenever Sky Crier blocks a creature with flying, it gets +2/+0 until end of turn. / Alcance. Toda vez que Serralheira dos Arranha-céus bloqueia uma criatura com voar, Serralheira dos Arranha-céus recebe +2/+0 até o final do turno.</t>
  </si>
  <si>
    <t>Skarrg Goliath / Golias de Skarrg</t>
  </si>
  <si>
    <t>Trample. Bloodrush — {5}{G}{G}, Discard Skarrg Goliath: Target attacking creature gets +9/+9 and gains trample until end of turn. / Atropelar. Impulso sanguinário — {5}{G}{G}, Descarte Golias de Skarrg: A criatura atacante alvo recebe +9/+9 e ganha atropelar até o final do turno.</t>
  </si>
  <si>
    <t>{6}{G}{G}</t>
  </si>
  <si>
    <t>Lys Alana Informant</t>
  </si>
  <si>
    <t>Creature — Elf Scout</t>
  </si>
  <si>
    <t>When this creature enters or dies, surveil 1. (Look at the top card of your library. You may put it into your graveyard.)</t>
  </si>
  <si>
    <t>Aetherclash (Lorwyn Eclipsed (ECL))</t>
  </si>
  <si>
    <t>Heroes' Bane / Perdição dos Heróis</t>
  </si>
  <si>
    <t>Creature — Hydra / Criatura — Hidra</t>
  </si>
  <si>
    <t>Heroes' Bane enters the battlefield with four +1/+1 counters on it. {2}{G}{G}: Put X +1/+1 counters on Heroes' Bane, where X is its power. / Perdição dos Heróis entra no campo de batalha com quatro marcadores +1/+1. {2}{G}{G}: Coloque X marcadores +1/+1 em Perdição dos Heróis, sendo X seu poder.</t>
  </si>
  <si>
    <t>Bloom Hulk / Druida do Pólen Brilhante</t>
  </si>
  <si>
    <t>When Bloom Hulk enters the battlefield, choose one: • Put a +1/+1 counter on target creature. • Proliferate. (Choose any number of permanents and/or players, then give each another counter of each kind already there.) / Quando Druida do Pólen Brilhante entrar no campo de batalha, escolha um. • Coloque um marcador +1/+1 na criatura alvo. • Prolifere. (Escolha qualquer número de permanentes e/ou jogadores. Em seguida, dê a cada um deles outro marcador de cada tipo que eles já tenham.)</t>
  </si>
  <si>
    <t>War of the Spark (WAR)</t>
  </si>
  <si>
    <t>Geothermal Kami / Kami Geotérmico</t>
  </si>
  <si>
    <t>Creature — Spirit / Criatura — Espírito</t>
  </si>
  <si>
    <t>When Geothermal Kami enters the battlefield, you may return an enchantment you control to its owner's hand. If you do, you gain 3 life. / Quando Kami Geotérmico entra no campo de batalha, você pode devolver um encantamento que você controla para a mão de seu dono. Se fizer isso, você ganha 3 pontos de vida.</t>
  </si>
  <si>
    <t>Elvish Rejuvenator / Rejuvenescedor Élfico</t>
  </si>
  <si>
    <t>When Elvish Rejuvenator enters the battlefield, look at the top five cards of your library. You may put a land card from among them onto the battlefield tapped. Put the rest on the bottom of your library in a random order. / Quando Rejuvenescedor Élfico entrar no campo de batalha, olhe os cinco cards do topo de seu grimório. Você pode colocar um card de terreno dentre eles no campo de batalha virado. Coloque o restante no fundo de seu grimório em ordem aleatória.</t>
  </si>
  <si>
    <t>Rust-Shield Rampager</t>
  </si>
  <si>
    <t>Creature — Raccoon Warrior</t>
  </si>
  <si>
    <t>Offspring 2 (You may pay an additional 2 as you cast this spell. If you do, when this creature enters, create a 1/1 token copy of it.) This creature can't be blocked by creatures with power 2 or less.</t>
  </si>
  <si>
    <t>Fungus Sliver</t>
  </si>
  <si>
    <t>Creature — Fungus Sliver</t>
  </si>
  <si>
    <t>All Slivers have "Whenever this creature is dealt damage, put a +1/+1 counter on it." (The damage is dealt before the counter is put on.)</t>
  </si>
  <si>
    <t>Time Spiral (TSP)</t>
  </si>
  <si>
    <t>Orochi Ranger</t>
  </si>
  <si>
    <t>Creature — Snake Warrior</t>
  </si>
  <si>
    <t>Whenever Orochi Ranger deals combat damage to a creature, tap that creature and it doesn't untap during its controller's next untap step.</t>
  </si>
  <si>
    <t>Ascendant Packleader / Líder de Alcateia em Ascensão</t>
  </si>
  <si>
    <t>Ascendant Packleader enters the battlefield with a +1/+1 counter on it if you control a permanent with mana value 4 or greater. Whenever you cast a spell with mana value 4 or greater, put a +1/+1 counter on Ascendant Packleader. / Líder de Alcateia em Ascensão entra no campo de batalha com um marcador +1/+1 se você controlar uma permanente com valor de mana igual ou superior a 4. Toda vez que você conjurar uma mágica com valor de mana igual ou superior a 4, coloque um marcador +1/+1 em Líder de Alcateia em Ascensão.</t>
  </si>
  <si>
    <t>Villagers of Estwald / Aldeões de Estwald</t>
  </si>
  <si>
    <t>At the beginning of each upkeep, if no spells were cast last turn, transform Villagers of Estwald. / No início de cada manutenção, se nenhuma mágica tiver sido conjurada no último turno, transforme Aldeões de Estwald.</t>
  </si>
  <si>
    <t>Rumbling Baloth</t>
  </si>
  <si>
    <t>Creature — Beast</t>
  </si>
  <si>
    <t>Magic 2014 (M14)</t>
  </si>
  <si>
    <t>Saruli Caretaker / Guardiã de Saruli</t>
  </si>
  <si>
    <t>Creature — Dryad / Criatura — Dríade</t>
  </si>
  <si>
    <t>Defender. {T}, Tap an untapped creature you control: Add one mana of any color. / Defensor. {T}, vire uma criatura desvirada que você controla: Adicione um mana de qualquer cor.</t>
  </si>
  <si>
    <t>Bulette / Bulete</t>
  </si>
  <si>
    <t>At the beginning of your end step, if a creature died this turn, put a +1/+1 counter on Bulette. / No início de sua etapa final, se uma criatura tiver morrido neste turno, coloque um marcador +1/+1 em Bulete.</t>
  </si>
  <si>
    <t>Spirit of the Aldergard / Espírito de Aldergard</t>
  </si>
  <si>
    <t>Snow Creature — Bear Spirit / Criatura da Neve — Urso Espírito</t>
  </si>
  <si>
    <t>When Spirit of the Aldergard enters the battlefield, search your library for a snow land card, reveal it, put it into your hand, then shuffle. Spirit of the Aldergard gets +1/+0 for each other snow permanent you control. / Quando Espírito de Aldergard entrar no campo de batalha, procure um card de terreno da neve em seu grimório, revele-o, coloque-o em sua mão e depois embaralhe seu grimório. Espírito de Aldergard recebe +1/+0 para cada outra permanente da neve que você controla.</t>
  </si>
  <si>
    <t>Kaldheim (KHM)</t>
  </si>
  <si>
    <t>Topiary Stomper / Pisoteador de Topiaria</t>
  </si>
  <si>
    <t>Creature — Plant Dinosaur / Criatura — Planta Dinossauro</t>
  </si>
  <si>
    <t>Rare / Raro</t>
  </si>
  <si>
    <t>Vigilance. When Topiary Stomper enters the battlefield, search your library for a basic land card, put it onto the battlefield tapped, then shuffle. Topiary Stomper can't attack or block unless you control seven or more lands. / Vigilância. Quando Pisoteador de Topiaria entrar no campo de batalha, procure em seu grimório um card de terreno básico, coloque-o no campo de batalha virado e depois embaralhe. Pisoteador de Topiaria não pode atacar nem bloquear, a menos que você controle sete ou mais terrenos.</t>
  </si>
  <si>
    <t>Vivien's Grizzly / Urso Pardo de Vivien</t>
  </si>
  <si>
    <t>Creature — Bear Spirit / Criatura — Urso Espírito</t>
  </si>
  <si>
    <t>{3}{G}: Look at the top card of your library. If it's a creature or planeswalker card, you may reveal it and put it into your hand. If you don't put it into your hand, put it on the bottom of your library. / {3}{G}: Olhe o card do topo de seu grimório. Se for um card de criatura ou planeswalker, você poderá revelá-lo e colocá-lo em sua mão. Se não colocá-lo em sua mão, coloque-o no fundo de seu grimório.</t>
  </si>
  <si>
    <t>Tunnel Tipster / Informante dos Túneis</t>
  </si>
  <si>
    <t>Creature — Mole Scout / Criatura — Toupeira Batedor</t>
  </si>
  <si>
    <t>At the beginning of your end step, if a face-down creature entered the battlefield under your control this turn, put a +1/+1 counter on Tunnel Tipster. {T}: Add {G}. / No início de sua etapa final, se uma criatura com a face voltada para baixo tiver entrado no campo de batalha sob seu controle neste turno, coloque um marcador +1/+1 em Informante dos Túneis. {T}: Adicione {G}.</t>
  </si>
  <si>
    <t>Beanstalk Giant / Gigante do Pé de Feijão</t>
  </si>
  <si>
    <t>Creature — Giant / Criatura — Gigante</t>
  </si>
  <si>
    <t>Fertile Footsteps (Sorcery — Adventure): Search your library for a basic land card, put it onto the battlefield, then shuffle. Beanstalk Giant's power and toughness are each equal to the number of lands you control. / Pegadas Férteis (Feitiço — Aventura): Procure em seu grimório um card de terreno básico, coloque-o no campo de batalha e depois embaralhe seu grimório. O poder e a resistência de Gigante do Pé de Feijão são ambos iguais ao número de terrenos que você controla.</t>
  </si>
  <si>
    <t>{6}{G}</t>
  </si>
  <si>
    <t>Orochi Leafcaller / Invocador de Folhas Orochi</t>
  </si>
  <si>
    <t>Creature — Snake Shaman / Criatura — Cobra Xamã</t>
  </si>
  <si>
    <t>{G}: Add one mana of any color to your mana pool. / {G}: Adicione um mana de qualquer cor à sua reserva de mana.</t>
  </si>
  <si>
    <t>Spawnwrithe / Serpentóide</t>
  </si>
  <si>
    <t>Creature — Elemental / Criatura — Elemental</t>
  </si>
  <si>
    <t>Trample. Whenever Spawnwrithe deals combat damage to a player, put a token into play that's a copy of Spawnwrithe. / Atropelar. Toda vez que Serpentóide causar dano de combate a um jogador, coloque em jogo uma ficha que seja uma cópia de Serpentóide.</t>
  </si>
  <si>
    <t>Deeproot Warrior / Guerreiro de Raiz Profunda</t>
  </si>
  <si>
    <t>Creature — Merfolk Warrior / Criatura — Tritão Guerreiro</t>
  </si>
  <si>
    <t>Whenever Deeproot Warrior becomes blocked, it gets +1/+1 until end of turn. / Toda vez que Guerreiro de Raiz Profunda é bloqueado, ele recebe +1/+1 até o final do turno.</t>
  </si>
  <si>
    <t>Blanchwood Prowler / Espreitador de Blanchwood</t>
  </si>
  <si>
    <t>When Blanchwood Prowler enters the battlefield, mill three cards. You may put a land card from among the milled cards into your hand. If you don't, put a +1/+1 counter on Blanchwood Prowler. (To mill a card, put the top card of your library into your graveyard.) / Quando Espreitador de Blanchwood entrar no campo de batalha, triture três cards. Você pode colocar em sua mão um card de terreno dentre os cards triturados dessa forma. Se não fizer isso, coloque um marcador +1/+1 em Espreitador de Blanchwood. (Para triturar um card, coloque o card do topo de seu grimório em seu cemitério.)</t>
  </si>
  <si>
    <t>Witch's Web / Teia da Bruxa</t>
  </si>
  <si>
    <t>Target creature gets +3/+3 and gains reach until end of turn. Untap it. / A criatura alvo recebe +3/+3 e ganha alcance até o final do turno. Desvire-a.</t>
  </si>
  <si>
    <t>Gift of Strength / Dádiva da Força</t>
  </si>
  <si>
    <t>Target creature gets +3/+3 and gains reach until end of turn. / A criatura alvo recebe +3/+3 e ganha alcance até o final do turno.</t>
  </si>
  <si>
    <t>Natural End / Fim Natural</t>
  </si>
  <si>
    <t>Destroy target artifact or enchantment. You gain 3 life. / Destrua o artefato ou encantamento alvo. Você ganha 3 pontos de vida.</t>
  </si>
  <si>
    <t>Riveteers Overlook / Mirante dos Rebiteiros</t>
  </si>
  <si>
    <t>When Riveteers Overlook enters the battlefield, sacrifice it. When you do, search your library for a basic Swamp, Mountain, or Forest card, put it onto the battlefield tapped, then shuffle and you gain 1 life. / Quando Mirante dos Rebiteiros entrar no campo de batalha, sacrifique-o. Quando fizer isso, procure em seu grimório um card de Pântano, Montanha ou Floresta básico, coloque-o no campo de batalha virado, depois embaralhe e você ganha 1 ponto de vida.</t>
  </si>
  <si>
    <t>Omen of the Hunt / Augúrio da Caça</t>
  </si>
  <si>
    <t>Flash. When Omen of the Hunt enters the battlefield, you may search your library for a basic land card, put it onto the battlefield tapped, then shuffle. {2}{G}, Sacrifice Omen of the Hunt: Scry 2. / Lampejo. Quando Augúrio da Caça entra no campo de batalha, você pode procurar um card de terreno básico em seu grimório, colocá-lo no campo de batalha virado e depois embaralhar seu grimório. {2}{G}, sacrifique Augúrio da Caça: Use vidência 2.</t>
  </si>
  <si>
    <t>Spider Umbra / Sombra de Aranha</t>
  </si>
  <si>
    <t>Enchant creature. Enchanted creature gets +1/+1 and has reach. Totem armor (If enchanted creature would be destroyed, instead remove all damage from it and destroy this Aura.) / Encantar criatura. A criatura encantada recebe +1/+1 e tem alcance. (Ela pode bloquear criaturas com voar.) Armadura de totem (Se a criatura encantada seria destruída, em vez disso, remova todo o dano dela e destrua esta Aura.)</t>
  </si>
  <si>
    <t>Rise of the Eldrazi (ROE)</t>
  </si>
  <si>
    <t>Tall as a Beanstalk / Alto como um Pé de Feijão</t>
  </si>
  <si>
    <t>Enchant creature. Enchanted creature gets +3/+3, has reach, and is a Giant in addition to its other types. / Encantar criatura. A criatura encantada recebe +3/+3, tem alcance e é um Gigante além de seus outros tipos.</t>
  </si>
  <si>
    <t>Glorious Sunrise / Nascer do Sol Glorioso</t>
  </si>
  <si>
    <t>At the beginning of combat on your turn, choose one — • Creatures you control get +1/+1 and gain trample until end of turn. • Target land gains "{T}: Add {G}{G}{G}" until end of turn. • Draw a card if you control a creature with power 3 or greater. • You gain 3 life. / No início do combate no seu turno, escolha um — • As criaturas que você controla recebem +1/+1 e ganham atropelar até o final do turno. • O terreno alvo ganha "{T}: Adicione {G}{G}{G}." até o final do turno. • Compre um card se você controlar uma criatura com poder igual ou superior a 3. • Você ganha 3 pontos de vida.</t>
  </si>
  <si>
    <t>Shield of the Oversoul / Escudo da Alma Suprema</t>
  </si>
  <si>
    <t>Enchant creature. As long as enchanted creature is green, it gets +1/+1 and has indestructible. As long as enchanted creature is white, it gets +1/+1 and has flying. / Encantar criatura. Enquanto a criatura encantada for verde, ela receberá +1/+1 e será indestrutível. (Nem dano letal nem efeitos que dizem "destrua" podem destruí-la. Se a sua resistência for menor ou igual a 0, ela ainda será colocada no cemitério de seu dono.) Enquanto a criatura encantada for branca, ela receberá +1/+1 e terá voar.</t>
  </si>
  <si>
    <t>{2}{G/W}</t>
  </si>
  <si>
    <t>Verde e Branco</t>
  </si>
  <si>
    <t>Viridian Revel / Diversão Viridiana</t>
  </si>
  <si>
    <t>Whenever an artifact is put into an opponent's graveyard from the battlefield, you may draw a card. / Toda vez que um artefato for colocado no cemitério de um oponente vindo do campo de batalha, você poderá comprar um card.</t>
  </si>
  <si>
    <t>Scars of Mirrodin (SOM)</t>
  </si>
  <si>
    <t>Song of Freyalise / Canção de Freyalise</t>
  </si>
  <si>
    <t>(As this Saga enters and after your draw step, add a lore counter. Sacrifice after III.) I, II: Until your next turn, creatures you control gain "{T}: Add one mana of any color." III: Put a +1/+1 counter on each creature you control. Those creatures gain vigilance, trample, and indestructible until end of turn. / (Conforme esta Saga entra e após sua etapa de compra, adicione um marcador de conhecimento. Sacrifique-a após III.) I, II: Até seu próximo turno, as criaturas que você controla ganham "{T}: Adicione um mana de qualquer cor." III: Coloque um marcador +1/+1 em cada criatura que você controla. Aquelas criaturas ganham vigilância, atropelar e indestrutível até o final do turno.</t>
  </si>
  <si>
    <t>Follow the Lumarets / Siga os Lumaretes</t>
  </si>
  <si>
    <t>Infusion — Look at the top four cards of your library. You may reveal a creature or land card from among them and put it into your hand. If you gained life this turn,Normally I can help with things like this, but I don't seem to have access to that content. You can try again or ask me for something else.</t>
  </si>
  <si>
    <t xml:space="preserve">Secrets of Strixhaven </t>
  </si>
  <si>
    <t>Rise of the Tumbleweeds / Ascensão do Arbusto Rolante</t>
  </si>
  <si>
    <t>Create an X/X green Elemental creature token, where X is the greatest power among creatures you control. Plot {2}{G} (You may pay {2}{G} and exile this card from your hand. Cast it as a sorcery on a later turn without paying its mana cost. Plot only as a sorcery.) / Crie uma ficha de criatura Elemental verde X/X, sendo X o maior poder entre os das criaturas que você controla. Tramar {2}{G} (Você pode pagar {2}{G} e exilar este card de sua mão. Conjure-o como um feitiço num turno posterior sem pagar seu custo de mana. Trame somente como um feitiço.)</t>
  </si>
  <si>
    <t>Take Down / Abater</t>
  </si>
  <si>
    <t>Choose one — • Take Down deals 4 damage to target creature with flying. • Take Down deals 1 damage to each creature with flying. / Escolha um — • Abater causa 4 pontos de corpo de dano à criatura alvo com voar. • Abater causa 1 ponto de dano a cada criatura com voar.</t>
  </si>
  <si>
    <t>Sylvan Scrying / Auspício Silvestre</t>
  </si>
  <si>
    <t>Search your library for a land card, reveal it, and put it into your hand. Then shuffle. / Procure um card de terreno em seu grimório, revele-o e coloque-o em sua mão. Depois, embaralhe seu grimório.</t>
  </si>
  <si>
    <t>Maestros Theater / Teatro dos Maestros</t>
  </si>
  <si>
    <t>When Maestros Theater enters the battlefield, sacrifice it. When you do, search your library for a basic Island, Swamp, or Mountain card, put it onto the battlefield tapped, then shuffle and you gain 1 life. / Quando Teatro dos Maestros entrar no campo de batalha, sacrifique-o. Quando fizer isso, procure em seu grimório um card de Ilha, Pântano ou Montanha básico, coloque-o no campo de batalha virado, depois embaralhe e você ganha 1 ponto de vida.</t>
  </si>
  <si>
    <t>Gaea's Gift / Presente de Gaia</t>
  </si>
  <si>
    <t>Put a +1/+1 counter on target creature you control. It gains hexproof, indestructible, reach, and trample until end of turn. (It can't be the target of spells or abilities your opponents control. Damage and effects that say "destroy" don't destroy it.) / Coloque um marcador +1/+1 na criatura alvo que você controla. Ela ganha resistência a magia, indestrutível, alcance e atropelar até o final do turno. (Ela não pode ser alvo de mágicas ou habilidades que seus oponentes controlam. Dano e efeitos que dizem "destrua" não a destroem.)</t>
  </si>
  <si>
    <t>Overwhelming Stampede / Estouro Avassalador</t>
  </si>
  <si>
    <t>Until end of turn, creatures you control gain trample and get +X/+X, where X is the greatest power among creatures you control. / Até o final do turno, as criaturas que você controla ganham atropelar e recebem +X/+X, onde X é o maior poder entre as criaturas que você controla.</t>
  </si>
  <si>
    <t>Mortuary Mire / Lodaçal Mortuário</t>
  </si>
  <si>
    <t>Mortuary Mire enters the battlefield tapped. When Mortuary Mire enters the battlefield, you may put target creature card from your graveyard on top of your library. {T}: Add {B} to your mana pool. / Lodaçal Mortuário entra no campo de batalha virado. Quando Lodaçal Mortuário entra no campo de batalha, você pode colocar o card de criatura alvo de seu cemitério no topo de seu grimório. {T}: Adicione {B} à sua reserva de mana.</t>
  </si>
  <si>
    <t>Smoldering Wastes / Desolação Fumegante</t>
  </si>
  <si>
    <t>{T}: Add {C}. Basic landcycling {1} ({1}, Discard this card: Search your library for a basic land card, reveal it, put it into your hand, then shuffle.) / {T}: Adicione {C}. Reciclar terreno básico {1} ({1}, descarte este card: Procure em seu grimório um card de terreno básico, revele-o, coloque-o em sua mão e depois embaralhe.)</t>
  </si>
  <si>
    <t>Warhammer 40,000 (40K)</t>
  </si>
  <si>
    <t>Evolving Wilds / Terras em Desenvolvimento</t>
  </si>
  <si>
    <t>{T}, Sacrifice Evolving Wilds: Search your library for a basic land card, put it onto the battlefield tapped, then shuffle. / {T}, sacrifique Terras em Desenvolvimento: Procure um card de terreno básico em seu grimório, coloque-o no campo de batalha virado e depois embaralhe.</t>
  </si>
  <si>
    <t>Rugged Highlands / Planalto Acidentado</t>
  </si>
  <si>
    <t>Rugged Highlands enters the battlefield tapped. When Rugged Highlands enters the battlefield, you gain 1 life. {T}: Add {R} or {G}. / Planalto Acidentado entra no campo de batalha virado. Quando Planalto Acidentado entra no campo de batalha, você ganha 1 ponto de vida. {T}: Adicione {R} ou {G}.</t>
  </si>
  <si>
    <t>Kazandu Refuge / Refúgio de Kazandu</t>
  </si>
  <si>
    <t>Kazandu Refuge enters the battlefield tapped. When Kazandu Refuge enters the battlefield, you gain 1 life. {T}: Add {R} or {G} to your mana pool. / Refúgio de Kazandu entra no campo de batalha virado. Quando Refúgio de Kazandu entrar no campo de batalha, você ganha 1 ponto de vida. {T}: Adicione {R} ou {G} à sua reserva de mana.</t>
  </si>
  <si>
    <t>Commander 2011 (CMD)</t>
  </si>
  <si>
    <t>Graypelt Refuge / Refúgio de Pele Cinzenta</t>
  </si>
  <si>
    <t>Graypelt Refuge enters the battlefield tapped. When Graypelt Refuge enters the battlefield, you gain 1 life. {T}: Add {G} or {W} to your mana pool. / Refúgio de Pele Cinzenta entra no campo de batalha virado. Quando Refúgio de Pele Cinzenta entrar no campo de batalha, você ganha 1 ponto de vida. {T}: Adicione {G} ou {W} à sua reserva de mana.</t>
  </si>
  <si>
    <t>{T}, Sacrifice Evolving Wilds: Search your library for a basic land card, put it onto the battlefield tapped,</t>
  </si>
  <si>
    <t>Portão da Guilda Simic</t>
  </si>
  <si>
    <t>Blossoming Sands enters the battlefield tapped. When Blossoming Sands enters the battlefield, you gain 1 life. {T}: Add {G} or {W}. / Arenas Florescentes entra no campo de batalha virado. Quando Arenas Florescentes entra no campo de batalha, você ganha 1 ponto de vida. {T}: Adicione {G} ou {W}.</t>
  </si>
  <si>
    <t>Portão da Guilda Rakdos</t>
  </si>
  <si>
    <t>Gateway Plaza / Praça do Portão</t>
  </si>
  <si>
    <t>Land — Gate / Terreno — Portão</t>
  </si>
  <si>
    <t>Gateway Plaza enters the battlefield tapped. When Gateway Plaza enters the battlefield, sacrifice it unless you pay {1}. {T}: Add one mana of any color. / Praça do Portão entra no campo de batalha virada. Quando Praça do Portão entrar no campo de batalha, sacrifique-a, a menos que você pague {1}. {T}: Adicione um mana de qualquer cor.</t>
  </si>
  <si>
    <t>{T}, Sacrifice Evolving Wilds: Search your library for a basic land card and put it onto the battlefield tapped. Then shuffle your library. / {T}, sacrifique Terras em Desenvolvimento: Procure em seu grimório por um card de terreno básico e coloque-o no campo de batalha virado. Depois, embaralhe seu grimório.</t>
  </si>
  <si>
    <t>Commander 2015 (C15)</t>
  </si>
  <si>
    <t>{T}, Sacrifice Evolving Wilds: Search your library for a basic land card, put it onto the battlefield tapped, then shuffle your library. / {T}, sacrifique Terras em Desenvolvimento: Procure em seu grimório por um card de terreno básico, coloque-o no campo de batalha virado e depois embaralhe seu grimório.</t>
  </si>
  <si>
    <t>Zoetic Cavern / Caverna Zoética</t>
  </si>
  <si>
    <t>{T}: Add {C} to your mana pool. Morph {2} (You may cast this card face down as a 2/2 creature for {3}. Turn it face up any time for its morph cost.) / {T}: Adicione {C} à sua reserva de mana. Metamorfose {2} (Você pode conjurar este card com a face voltada para baixo como uma criatura 2/2 por {3}. Volte a face deste card para cima a qualquer momento por seu custo de metamorfose.)</t>
  </si>
  <si>
    <t>Turntimber Ranger / Patrulheiro de Virapau</t>
  </si>
  <si>
    <t>Creature — Elf Scout Ally / Criatura — Elfo Batedor Aliado</t>
  </si>
  <si>
    <t>Whenever Turntimber Ranger or another Ally enters the battlefield under your control, you may create a 2/2 green Wolf creature token. If you do, put a +1/+1 counter on Turntimber Ranger. / Toda vez que Patrulheiro de Virapau ou outro Aliado entra no campo de batalha sob o seu controle, você pode colocar no campo de batalha uma ficha de criatura verde 2/2 do tipo Lobo. Se fizer isso, coloque um marcador +1/+1 em Patrulheiro de Virapau.</t>
  </si>
  <si>
    <t>Zendikar (ZEN)</t>
  </si>
  <si>
    <t>Kozilek's Sentinel / Sentinela de Kozilek</t>
  </si>
  <si>
    <t>Creature — Eldrazi Drone / Criatura — Eldrazi Zangão</t>
  </si>
  <si>
    <t>Devoid (This card has no color.) Whenever you cast a colorless spell, Kozilek's Sentinel gets +1/+0 until end of turn. / Desprovido (Este card não tem cor.) Toda vez que você conjura uma mágica incolor, Sentinela de Kozilek recebe +1/+0 até o final do turno.</t>
  </si>
  <si>
    <t>Battle Cry Goblin / Goblin do Grito de Guerra</t>
  </si>
  <si>
    <t>{1}{R}: Goblins you control get +1/+0 and gain haste until end of turn. Pack tactics — Whenever Battle Cry Goblin attacks, if you've attacked with creatures with total power 6 or greater this combat, create a tapped and attacking 1/1 red Goblin creature token. / {1}{R}: Os Goblins que você controla recebem +1/+0 e ganham ímpeto até o final do turno. Táticas de grupo — Toda vez que Goblin do Grito de Guerra atacar, se você tiver atacado com criaturas com total de poder igual ou superior a 6 neste combate, crie uma ficha de criatura Goblin vermelha 1/1 virada e atacando.</t>
  </si>
  <si>
    <t>Thunderous Wrath / Ira Trovejante</t>
  </si>
  <si>
    <t>Thunderous Wrath deals 5 damage to target creature or player. Miracle {R} (You may cast this card for its miracle cost when you draw it if it's the first card you drew this turn.) / Ira Trovejante causa 5 de dano à criatura ou jogador alvo. Milagre {R} (Você pode conjurar este card por seu custo de milagre quando você o compra se for o primeiro card que você comprou neste turno.)</t>
  </si>
  <si>
    <t>{4}{R}</t>
  </si>
  <si>
    <t>Meteor Mace / Maça Meteórica</t>
  </si>
  <si>
    <t>Equipped creature gets +4/+0 and has trample. Equip 4. Cascade (When you cast this spell, exile cards from the top of your library until you exile a nonland card that costs less. You may cast it without paying its mana cost. Put the exiled cards on the bottom of your library in a random order.) / A criatura equipada recebe +4/+0 e tem atropelar. Equipar 4. Cascata (Quando conjurar esta mágica, exile os cards do topo do seu grimório até exilar um que não seja terreno e que tenha custo inferior. Você pode conjurá-lo sem pagar seu custo de mana. Coloque os cards exilados no fundo do seu grimório em ordem aleatória.)</t>
  </si>
  <si>
    <t>{4}{R}{R}</t>
  </si>
  <si>
    <t>Bedlam Reveler / Folião do Caos</t>
  </si>
  <si>
    <t>Creature — Devil Horror / Criatura — Diabo Horror</t>
  </si>
  <si>
    <t>Bedlam Reveler costs {1} less to cast for each instant and sorcery card in your graveyard. Prowess (Whenever you cast a noncreature spell, this creature gets +1/+1 until end of turn.) When Bedlam Reveler enters the battlefield, discard your hand, then draw three cards. / Folião do Caos custa {1} a menos para ser conjurado para cada card de mágica instantânea e feitiço no seu cemitério. Destreza (Toda vez que você conjura uma mágica que não seja de criatura, esta criatura recebe +1/+1 até o final do turno.) Quando Folião do Caos entrar no campo de batalha, descarte sua mão e, em seguida, compre três cards.</t>
  </si>
  <si>
    <t>{6}{R}{R}</t>
  </si>
  <si>
    <t>Pyroclasm / Piroclasma</t>
  </si>
  <si>
    <t>Pyroclasm deals 2 damage to each creature. / Piroclasma causa 2 de dano a cada criatura.</t>
  </si>
  <si>
    <t>Kazuul Warlord / Comandante Kazuul</t>
  </si>
  <si>
    <t>Creature — Minotaur Warrior Ally / Criatura — Minotauro Guerreiro Aliado</t>
  </si>
  <si>
    <t>Whenever Kazuul Warlord or another Ally enters the battlefield under your control, you may put a +1/+1 counter on each Ally creature you control. / Toda vez que Comandante Kazuul ou outro Aliado entra no campo de batalha sob o seu controle, você pode colocar um marcador +1/+1 em cada criatura do tipo Aliado que você controla.</t>
  </si>
  <si>
    <t>Fiery Impulse / Impulso Flamejante</t>
  </si>
  <si>
    <t>Fiery Impulse deals 2 damage to target creature. Spell mastery — If there are two or more instant and/or sorcery cards in your graveyard, Fiery Impulse deals 3 damage to that creature instead. / Impulso Flamejante causa 2 pontos de dano à criatura alvo. Maestria em magia — Se houver dois ou mais cards de mágica instantânea ou feitiço no seu cemitério, em vez disso, Impulso Flamejante causará 3 pontos de dano àquela criatura.</t>
  </si>
  <si>
    <t>Magic Origins (ORI)</t>
  </si>
  <si>
    <t>Warlord's Fury / Fúria da Senhora da Guerra</t>
  </si>
  <si>
    <t>Creatures you control gain first strike until end of turn. Draw a card. / As criaturas que você controla ganham iniciativa até o final do turno. Compre um card.</t>
  </si>
  <si>
    <t>Crash Through / Irromper</t>
  </si>
  <si>
    <t>Creatures you control gain trample until end of turn. Draw a card. / As criaturas que você controla ganham atropelar até o final do turno. Compre um card.</t>
  </si>
  <si>
    <t>Tormenting Voice / Voz Atormentadora</t>
  </si>
  <si>
    <t>As an additional cost to cast this spell, discard a card. Draw two cards. / Como custo adicional para conjurar esta mágica, descarte um card. Compre dois cards.</t>
  </si>
  <si>
    <t xml:space="preserve">Renascer de Zendikar </t>
  </si>
  <si>
    <t>Goblin Dark-Dwellers / Umbrígeos Goblins</t>
  </si>
  <si>
    <t>Menace. When Goblin Dark-Dwellers enters the battlefield, you may cast target instant or sorcery card with mana value 3 or less from your graveyard without paying its mana cost. If that card would be put into your graveyard this turn, exile it instead. / Ameaçar. Quando Umbrígeos Goblins entra no campo de batalha, você pode conjurar o card de mágica instantânea ou feitiço com custo de mana convertido igual ou inferior a 3 a partir de seu cemitério sem pagar seu custo de mana. Se aquele card seria colocado no seu cemitério neste turno, em vez disso, exile-o.</t>
  </si>
  <si>
    <t>{3}{R}{R}</t>
  </si>
  <si>
    <t>Pack Guardian / Alfas Reunidos</t>
  </si>
  <si>
    <t>Whenever Pack Guardian blocks or becomes blocked by a creature, Pack Guardian deals 3 damage to that creature and 3 damage to that creature's controller. / Toda vez que Alfas Reunidos bloqueia ou se torna bloqueado por uma criatura, Alfas Reunidos causa 3 pontos de dano àquela criatura e 3 pontos de dano ao controlador daquela criatura.</t>
  </si>
  <si>
    <t>Ib Halfheart, Goblin Tactician / Ib Meio-coração, Tático Goblin</t>
  </si>
  <si>
    <t>Legendary Creature — Goblin Advisor / Criatura Lendária — Goblin Conselheiro</t>
  </si>
  <si>
    <t>Whenever another Goblin you control becomes blocked, sacrifice it. If you do, it deals 4 damage to each creature blocking it. Sacrifice two Mountains: Put two 1/1 red Goblin creature tokens into play. / Toda vez que outro Goblin que você controla se torna bloqueado, sacrifique-o. Se você fizer isso, ele causa 4 de dano a cada criatura bloqueando-o. Sacrifique duas Montanhas: Coloque duas fichas de criatura Goblin vermelha 1/1 no jogo.</t>
  </si>
  <si>
    <t>Voracious Dragon / Dragão Voraz</t>
  </si>
  <si>
    <t>Creature — Dragon / Criatura — Dragão</t>
  </si>
  <si>
    <t>Flying. Devour 1 (As this enters the battlefield, you may sacrifice any number of creatures. This creature enters the battlefield with that many +1/+1 counters on it.) When Voracious Dragon enters the battlefield, it deals damage to target creature or player equal to twice the number of Goblins it devoured. / Voar. Devorar 1 (Ao entrar no campo de batalha, você pode sacrificar qualquer número de criaturas. Esta criatura entra no campo de batalha com aquele número de marcadores +1/+1.) Quando Dragão Voraz entra no campo de batalha, ele causa dano à criatura ou jogador alvo igual ao dobro do número de Goblins que devorou.</t>
  </si>
  <si>
    <t>Magic 2010 (M10)</t>
  </si>
  <si>
    <t>Siege-Gang Commander / Comandante do Grupo de Cerco</t>
  </si>
  <si>
    <t>When Siege-Gang Commander enters the battlefield, create three 1/1 red Goblin creature tokens. {1}{R}, Sacrifice a Goblin: Siege-Gang Commander deals 2 damage to any target. / Quando Comandante do Grupo de Cerco entrar no campo de batalha, crie três fichas de criatura vermelha 1/1 do tipo Goblin. {1}{R}, sacrifique um Goblin: Comandante do Grupo de Cerco causa 2 pontos de dano a qualquer alvo.</t>
  </si>
  <si>
    <t>Goblin Ringleader / Líder da Gangue Goblin</t>
  </si>
  <si>
    <t>Haste. When Goblin Ringleader enters the battlefield, reveal the top four cards of your library. Put all Goblin cards revealed this way into your hand and the rest on the bottom of your library in any order. / Ímpeto. Quando Líder da Gangue Goblin entra no campo de batalha, revele os quatro cards do topo do seu grimório. Coloque todos os cards do tipo Goblin revelados desta maneira na sua mão e coloque o restante no fundo do seu grimório em qualquer ordem.</t>
  </si>
  <si>
    <t>Magic 2020 (M20)</t>
  </si>
  <si>
    <t>Silvergill Mentor</t>
  </si>
  <si>
    <t>Creature — Merfolk Wizard</t>
  </si>
  <si>
    <t>As an additional cost to cast this spell, behold a Merfolk or pay {2}. (To behold a Merfolk, choose a Merfolk you control or reveal a Merfolk card from your hand.) When this creature enters, create a 1/1 white and blue Merfolk creature token.</t>
  </si>
  <si>
    <t>Lorwyn Eclipsed (ECL)</t>
  </si>
  <si>
    <t>Sear</t>
  </si>
  <si>
    <t>Sear deals 4 damage to target creature or planeswalker.</t>
  </si>
  <si>
    <t>Bark of Doran</t>
  </si>
  <si>
    <t>Equipped creature gets +0/+1. As long as equipped creature's toughness is greater than its power, it assigns combat damage equal to its toughness rather than its power. Equip {1} ({1}: Attach to target creature you control. Equip only as a sorcery.)</t>
  </si>
  <si>
    <t>Champion of the Path</t>
  </si>
  <si>
    <t>Creature — Elemental Sorcerer</t>
  </si>
  <si>
    <t>As an additional cost to cast this spell, behold an Elemental and exile it. (Exile an Elemental you control or an Elemental card from your hand.) Whenever another Elemental you control enters, it deals damage equal to its power to each opponent. When this creature leaves the battlefield, return the exiled card to its owner's hand.</t>
  </si>
  <si>
    <t>Tweeze</t>
  </si>
  <si>
    <t>Tweeze deals 3 damage to any target. You may discard a card. If you do, draw a card.</t>
  </si>
  <si>
    <t>Disruptor of Currents</t>
  </si>
  <si>
    <t>Flash. Convoke (Your creatures can help cast this spell. Each creature you tap while casting this spell pays for {1} or one mana of that creature's color.) When this creature enters, return up to one other target nonland permanent to its owner's hand.</t>
  </si>
  <si>
    <t>{3}{U}{U}</t>
  </si>
  <si>
    <t>Glamer Gifter</t>
  </si>
  <si>
    <t>Creature — Faerie Wizard</t>
  </si>
  <si>
    <t>Flash. Flying. When this creature enters, choose up to one other target creature. Until end of turn, that creature has base power and toughness 4/4 and gains all creature types.</t>
  </si>
  <si>
    <t>Chomping Changeling</t>
  </si>
  <si>
    <t>Creature — Shapeshifter</t>
  </si>
  <si>
    <t>Changeling (This card is every creature type.) When this creature enters, destroy up to one target artifact or enchantment.</t>
  </si>
  <si>
    <t>Virulent Emissary</t>
  </si>
  <si>
    <t>Creature — Elf Assassin</t>
  </si>
  <si>
    <t>Rare (Promo)</t>
  </si>
  <si>
    <t>Deathtouch. Whenever another creature you control enters, you gain 1 life.</t>
  </si>
  <si>
    <t>Lorwyn Eclipsed (ECL) (Promo)</t>
  </si>
  <si>
    <t>Gilt-Leaf's Embrace</t>
  </si>
  <si>
    <t>Enchantment — Aura</t>
  </si>
  <si>
    <t>Flash. Enchant creature. When this Aura enters, enchanted creature gains trample and indestructible until end of turn. Enchanted creature gets +2/+0.</t>
  </si>
  <si>
    <t>Dawnhand Eulogist</t>
  </si>
  <si>
    <t>Creature — Elf Warlock</t>
  </si>
  <si>
    <t>Menace. When this creature enters, mill three cards. Then if there is an Elf card in your graveyard, each opponent loses 2 life and you gain 2 life.</t>
  </si>
  <si>
    <t>Blighted Pretothorn</t>
  </si>
  <si>
    <t>Creature — Treefolk Warlock</t>
  </si>
  <si>
    <t>Whenever this creature enters or attacks, you may blight 2. If you do, you draw a card and lose 1 life. (To blight 2, put two -1/-1 counters on a creature you control.)</t>
  </si>
  <si>
    <t>Champion of the Weird</t>
  </si>
  <si>
    <t>Creature — Goblin Berserker</t>
  </si>
  <si>
    <t>As an additional cost to cast this spell, behold a Goblin and exile it. (Exile a Goblin you control or a Goblin card from your hand.) Pay 1 life, Blight 2: Target opponent blights 2. Activate only as a sorcery. When this creature leaves the battlefield, return the exiled card to its owner's hand.</t>
  </si>
  <si>
    <t>Emboscador Mukotai / Mukotai Ambush</t>
  </si>
  <si>
    <t>Creature — Rat Ninja / Criatura Artefato — Rato Ninja</t>
  </si>
  <si>
    <t>Ninjutsu {1}{B}, Lifelink / Ninjutsu {1}{B}, Vínculo com a vida</t>
  </si>
  <si>
    <t>Gerador de Carniçais / Ghoulraiser</t>
  </si>
  <si>
    <t>Criatura — Zumbi / Creature — Zombie</t>
  </si>
  <si>
    <t>Quando Gerador de Carniçais entrar no campo de batalha, devolva um card de Zumbi de seu cemitério para sua mão aleatoriamente. / When Ghoulraiser enters the battlefield, return a Zombie card from your graveyard to your hand at random.</t>
  </si>
  <si>
    <t>{1}{B}{B}</t>
  </si>
  <si>
    <t>Coveiro / Gravedigger</t>
  </si>
  <si>
    <t>Incomum / Uncommon</t>
  </si>
  <si>
    <t>Quando Coveiro entra no campo de batalha, você pode devolver o card de criatura alvo de seu cemitério para sua mão. / When Gravedigger enters the battlefield, you may return target creature card from your graveyard to your hand.</t>
  </si>
  <si>
    <t>Core Set 2015 (M15)</t>
  </si>
  <si>
    <t>Despojar Alma / Ultimate Price</t>
  </si>
  <si>
    <t>Feitiço / Sorcery</t>
  </si>
  <si>
    <t>Destrua a criatura alvo com poder igual ou inferior a 3. / Destroy target creature with power 3 or less.</t>
  </si>
  <si>
    <t>Vampiro de Guul Draz / Guul Draz Vampire</t>
  </si>
  <si>
    <t>Criatura — Vampiro Ladino / Creature — Vampire Rogue</t>
  </si>
  <si>
    <t>Enquanto um oponente tiver 10 ou menos pontos de vida, Vampiro de Guul Draz receberá +2/+1 e terá intimidar. (Ele só pode ser bloqueado por criaturas artefato e/ou criaturas que compartilhem uma cor com ele.) / As long as an opponent has 10 or less life, Guul Draz Vampire gets +2/+1 and has intimidate. (It can't be blocked except by artifact creatures and/or creatures that share a color with it.)</t>
  </si>
  <si>
    <t>Xu-Ifit, Osteoharmonist</t>
  </si>
  <si>
    <t>Legendary Creature — Human Wizard</t>
  </si>
  <si>
    <t>{T}: Return target creature card from your graveyard to the battlefield. It's a Skeleton in addition to its other types and has no abilities. Activate only as a sorcery.</t>
  </si>
  <si>
    <t>EOE</t>
  </si>
  <si>
    <t>Diplomacia ao Fio da Espada / Razaketh's Rite</t>
  </si>
  <si>
    <t>Rara / Rare</t>
  </si>
  <si>
    <t>Revele os três cards do topo de seu grimório. Para cada um daqueles cards, coloque aquele card em sua mão, a menos que qualquer oponente pague 3 pontos de vida. Em seguida, exile os restantes. / Reveal the top three cards of your library. For each of those cards, put that card into your hand unless any opponent pays 3 life. Then exile the rest.</t>
  </si>
  <si>
    <t>Fatia de Sombra / Shadow Slice</t>
  </si>
  <si>
    <t>O oponente alvo perde 3 pontos de vida. Cifrar (Depois, você pode exilar este card de mágica cifrado numa criatura que você controla. Toda vez que aquela criatura causar dano de combate a um jogador, seu controlador poderá conjurar uma cópia do card cifrado sem pagar seu custo de mana.) / Target opponent loses 3 life. Cipher (Then you may exile this spell card encoded on a creature you control. Whenever that creature deals combat damage to a player, its controller may cast a copy of the encoded card without paying its mana cost.)</t>
  </si>
  <si>
    <t>Liliana's Specter</t>
  </si>
  <si>
    <t>Creature — Specter</t>
  </si>
  <si>
    <t>Flying. When Liliana's Specter enters the battlefield, each opponent discards a card.</t>
  </si>
  <si>
    <t>Espírito Pestilento / Pestilent Spirit</t>
  </si>
  <si>
    <t>Criatura — Espírito / Creature — Spirit</t>
  </si>
  <si>
    <t>Ameaçar, toque mortífero. As mágicas instantâneas e os feitiços que você controla têm toque mortífero. (Qualquer quantidade de dano que elas causem a uma criatura é suficiente para destruí-la.) / Menace, deathtouch. Instants and sorceries you control have deathtouch. (Any amount of damage they deal to a creature is enough to destroy it.)</t>
  </si>
  <si>
    <t>Disfigure / Desfigurar</t>
  </si>
  <si>
    <t>Target creature gets -2/-2 until end of turn.</t>
  </si>
  <si>
    <t>Korrigan do Lago / Lake Paladin</t>
  </si>
  <si>
    <t>{U}: Korrigan do Lago recebe +1/+1 até o final do turno. / {U}: Lake Paladin gets +1/+1 until end of turn.</t>
  </si>
  <si>
    <t>Shimmercreep</t>
  </si>
  <si>
    <t>Creature — Elemental</t>
  </si>
  <si>
    <t>Menace. Vivid — When this creature enters, each opponent loses X life and you gain X life, where X is the number of colors among permanents you control.</t>
  </si>
  <si>
    <t>Retched Wretch</t>
  </si>
  <si>
    <t>Creature — Goblin</t>
  </si>
  <si>
    <t>When this creature dies, if it had a -1/-1 counter on it, return it to the battlefield under its owner's control and it loses all abilities.</t>
  </si>
  <si>
    <t>Perfect Intimidation</t>
  </si>
  <si>
    <t>Choose one or both — Target opponent exiles two cards from their hand. Remove all counters from target creature.</t>
  </si>
  <si>
    <t>Heirloom Auntie</t>
  </si>
  <si>
    <t>Creature — Goblin Warlock</t>
  </si>
  <si>
    <t>This creature enters with two -1/-1 counters on it. Whenever another creature you control dies, surveil 1, then remove a -1/-1 counter from this creature. (To surveil 1, look at the top card of your library. You may put it into your graveyard.)</t>
  </si>
  <si>
    <t>Gutsplitter Gang</t>
  </si>
  <si>
    <t>At the beginning of your first main phase, you may blight 2. If you don't, you lose 3 life. (To blight 2, put two -1/-1 counters on a creature you control.)</t>
  </si>
  <si>
    <t>Graveshifter</t>
  </si>
  <si>
    <t>Changeling (This card is every creature type.) When this creature enters, you may return target creature card from your graveyard to your hand.</t>
  </si>
  <si>
    <t>Gnarlbark Elm</t>
  </si>
  <si>
    <t>This creature enters with two -1/-1 counters on it. {2}{B}, Remove two counters from this creature: Target creature gets -2/-2 until end of turn. Activate only as a sorcery.</t>
  </si>
  <si>
    <t>Scarblade Scout</t>
  </si>
  <si>
    <t>Lifelink. When this creature enters, mill two cards. (Put the top two cards of your library into your graveyard.)</t>
  </si>
  <si>
    <t>Unbury</t>
  </si>
  <si>
    <t>Choose one — Return target creature card from your graveyard to your hand. Return two target creature cards that share a creature type from your graveyard to your hand.</t>
  </si>
  <si>
    <t>Barbed Bloodletter</t>
  </si>
  <si>
    <t>Flash. When this Equipment enters, attach it to target creature you control. That creature gains wither until end of turn. (It deals damage to creatures in the form of -1/-1 counters.) Equipped creature gets +1/+2. Equip {2}</t>
  </si>
  <si>
    <t>Auntie's Sentence</t>
  </si>
  <si>
    <t>Choose one — Target opponent reveals their hand. You choose a nonland permanent card from it. That player discards that card. Target creature gets -2/-2 until end of turn.</t>
  </si>
  <si>
    <t>Dream Seizer</t>
  </si>
  <si>
    <t>Creature — Faerie Rogue</t>
  </si>
  <si>
    <t>Flying. When this creature enters, you may blight 1. If you do, each opponent discards a card. (To blight 1, put a -1/-1 counter on a creature you control.)</t>
  </si>
  <si>
    <t>Moonglove Extractor</t>
  </si>
  <si>
    <t>Whenever this creature attacks, you draw a card and lose 1 life.</t>
  </si>
  <si>
    <t>Boggart Prankster</t>
  </si>
  <si>
    <t>Creature — Goblin Warrior</t>
  </si>
  <si>
    <t>Whenever you attack, target attacking Goblin you control gets +1/+0 until end of turn.</t>
  </si>
  <si>
    <t>Thoughtweft Charge</t>
  </si>
  <si>
    <t>Target creature gets +3/+3 until end of turn. If a creature entered the battlefield under your control this turn, draw a card.</t>
  </si>
  <si>
    <t>Tend the Sprigs</t>
  </si>
  <si>
    <t>Search your library for a basic land card, put it onto the battlefield tapped, then shuffle. Then if you control seven or more lands and/or Treefolk, create a 3/4 green Treefolk creature token with reach. (It can block creatures with flying.)</t>
  </si>
  <si>
    <t>Safewright Cavalry</t>
  </si>
  <si>
    <t>This creature can't be blocked by more than one creature. {5}: Target Elf you control gets +2/+2 until end of turn.</t>
  </si>
  <si>
    <t>Pummeler for Hire</t>
  </si>
  <si>
    <t>Creature — Giant Mercenary</t>
  </si>
  <si>
    <t>Vigilance, reach. Ward {2} (Whenever this creature becomes the target of a spell or ability an opponent controls, counter it unless that player pays {2}.) When this creature enters, you gain X life, where X is the greatest power among Giants you control.</t>
  </si>
  <si>
    <t>Mistmeadow Council</t>
  </si>
  <si>
    <t>Creature — Kithkin Advisor</t>
  </si>
  <si>
    <t>This spell costs {1} less to cast if you control a Kithkin. When this creature enters, draw a card.</t>
  </si>
  <si>
    <t>Assert Perfection</t>
  </si>
  <si>
    <t>Target creature you control gets +1/+0 until end of turn. It deals damage equal to its power to up to one target creature an opponent controls.</t>
  </si>
  <si>
    <t>Dawn's Light Archer</t>
  </si>
  <si>
    <t>Creature — Elf Archer</t>
  </si>
  <si>
    <t>Flash. Reach.</t>
  </si>
  <si>
    <t>Silvergill Peddler</t>
  </si>
  <si>
    <t>Creature — Merfolk Citizen</t>
  </si>
  <si>
    <t>Whenever this creature becomes tapped, draw a card, then discard a card.</t>
  </si>
  <si>
    <t>Rimekin Recluse</t>
  </si>
  <si>
    <t>Creature — Elemental Wizard</t>
  </si>
  <si>
    <t>When this creature enters, return up to one other target creature to its owner's hand.</t>
  </si>
  <si>
    <t>Omni-Changeling</t>
  </si>
  <si>
    <t>Changeling (This card is every creature type.) Convoke (Your creatures can help cast this spell. Each creature you tap while casting this spell pays for {1} or one mana of that creature's color.) You may have this creature enter as a copy of any creature on the battlefield, except it has changeling.</t>
  </si>
  <si>
    <t>Illusion Spinners</t>
  </si>
  <si>
    <t>You may cast this spell as though it had flash if you control a Faerie. Flying. This creature has hexproof as long as it's untapped. (It can't be the target of spells or abilities your opponents control.)</t>
  </si>
  <si>
    <t>Glamermite</t>
  </si>
  <si>
    <t>Flash. Flying. When this creature enters, choose one — Tap target creature. Untap target creature.</t>
  </si>
  <si>
    <t>Unwelcome Sprite</t>
  </si>
  <si>
    <t>Flying. Whenever you cast a spell during an opponent's turn, surveil 2. (Look at the top two cards of your library. You may put any number of them into your graveyard and the rest on top of your library in any order.)</t>
  </si>
  <si>
    <t>Aquitect's Defenses</t>
  </si>
  <si>
    <t>Flash. Enchant creature you control. When this Aura enters, enchanted creature gains hexproof until end of turn. (It can't be the target of spells or abilities your opponents control.) Enchanted creature gets +1/+2.</t>
  </si>
  <si>
    <t>Stratosoarer</t>
  </si>
  <si>
    <t>Flying. When this creature enters, target creature gains flying until end of turn. Basic landcycling {1}{U} ({1}{U}, Discard this card: Search your library for a basic land card, reveal it, put it into your hand, then shuffle.)</t>
  </si>
  <si>
    <t>Número da Broca / Drill Bit</t>
  </si>
  <si>
    <t>Espetáculo {B} (Você pode conjurar esta mágica por seu custo de espetáculo, em vez de seu custo de mana, se um oponente perdeu pontos de vida neste turno.) O jogador alvo revela a própria mão. Você escolhe um card que não seja um terreno da mão dele. Aquele jogador descarta aquele card. / Spectacle {B} (You may cast this spell for its spectacle cost rather than its mana cost if an opponent lost life this turn.) Target player reveals their hand. You choose a nonland card from it. That player discards that card.</t>
  </si>
  <si>
    <t>Grito do Carnarium / Cry of the Carnarium</t>
  </si>
  <si>
    <t>Todas as criaturas recebem -2/-2 até o final do turno. Exile todos os cards de criatura de todos os cemitérios que foram colocados lá vindos do campo de batalha neste turno. Se uma criatura morreria neste turno, em vez disso, exile-a. / All creatures get -2/-2 until end of turn. Exile all creature cards from all graveyards that were put there from the battlefield this turn. If a creature would die this turn, exile it instead.</t>
  </si>
  <si>
    <t>Vampiro de Guul Draz</t>
  </si>
  <si>
    <t>Criatura — Vampiro Ladino</t>
  </si>
  <si>
    <t>Enquanto um oponente tiver 10 ou menos pontos de vida, Vampiro de Guul Draz receberá +2/+1 e terá intimidar. (Ele só pode ser bloqueado por criaturas artefato e/ou criaturas que compartilhem uma cor com ele.)</t>
  </si>
  <si>
    <t>WWK</t>
  </si>
  <si>
    <t>Fada Macabra / Faerie Macabre</t>
  </si>
  <si>
    <t>Criatura — Fada Ladino / Creature — Faerie Rogue</t>
  </si>
  <si>
    <t>Voar. Descarte Fada Macabra: Remova do jogo até dois cards alvo em cemitérios. / Flying. Discard Faerie Macabre: Exile up to two target cards from graveyards.</t>
  </si>
  <si>
    <t>Aphetto Dredging</t>
  </si>
  <si>
    <t>Return up to three target creature cards of the creature type of your choice from your graveyard to your hand.</t>
  </si>
  <si>
    <t>Onslaught (ONS)</t>
  </si>
  <si>
    <t>Arnyn, Deathbloom Botanist</t>
  </si>
  <si>
    <t>Legendary Creature — Vampire Druid</t>
  </si>
  <si>
    <t>Deathtouch. Whenever a creature you control with power or toughness 1 or less dies, target opponent loses 2 life and you gain 2 life.</t>
  </si>
  <si>
    <t>SOS</t>
  </si>
  <si>
    <t>Alpharael, Stonechosen</t>
  </si>
  <si>
    <t>Legendary Creature — Human Cleric</t>
  </si>
  <si>
    <t>Mythic</t>
  </si>
  <si>
    <t>Ward—Discard a card at random. Void — Whenever Alpharael attacks, if a nonland permanent left the battlefield this turn or a spell was warped this turn, defending player loses half their life, rounded up.</t>
  </si>
  <si>
    <t>Zombie Musher</t>
  </si>
  <si>
    <t>Snow Creature — Zombie</t>
  </si>
  <si>
    <t>Snow landwalk. {S}: Regenerate Zombie Musher. ({S} can be paid with one mana from a snow permanent.)</t>
  </si>
  <si>
    <t>Preto / Black</t>
  </si>
  <si>
    <t>Coldsnap (CSP)</t>
  </si>
  <si>
    <t>Habitante das Covas Traiçoeiro / Treacherous Pit-Dweller</t>
  </si>
  <si>
    <t>Criatura — Demônio / Creature — Demon</t>
  </si>
  <si>
    <t>Quando Habitante das Covas Traiçoeiro entra no campo de batalha vindo de um cemitério, o oponente alvo ganha o seu controle. Imortal (Quando esta criatura morrer, se ela não tiver nenhum marcador +1/+1, devolva-a ao campo de batalha sob o controle de seu dono com um marcador +1/+1.) / When Treacherous Pit-Dweller enters the battlefield from a graveyard, target opponent gains control of it. Undying (When this creature dies, if it had no +1/+1 counters on it, return it to the battlefield under its owner's control with a +1/+1 counter on it.)</t>
  </si>
  <si>
    <t>{B}{B}</t>
  </si>
  <si>
    <t>Toque de Luvalua / Touch of Moonglove</t>
  </si>
  <si>
    <t>Mágica Instantânea / Instant</t>
  </si>
  <si>
    <t>A criatura alvo que você controla recebe +1/+0 e ganha toque mortífero até o final do turno. Toda vez que uma criatura que sofreu dano daquela criatura morre neste turno, o controlador da criatura morta perde 2 pontos de vida. (Qualquer quantidade de dano que uma criatura com toque mortífero cause a uma criatura é suficiente para destruí-la.) / Target creature you control gets +1/+0 and gains deathtouch until end of turn. Whenever a creature dealt damage by that creature this turn dies, its controller loses 2 life. (Any amount of damage a creature with deathtouch deals to a creature is enough to destroy it.)</t>
  </si>
  <si>
    <t>Talho das Sombras / Deadly Derision</t>
  </si>
  <si>
    <t>Esta mágica não pode ser anulada. A criatura alvo recebe -X/-X até o final do turno. / This spell can't be countered. Target creature gets -X/-X until end of turn.</t>
  </si>
  <si>
    <t>Dusk Legion Zealot</t>
  </si>
  <si>
    <t>Creature — Vampire Soldier</t>
  </si>
  <si>
    <t>When Dusk Legion Zealot enters the battlefield, you draw a card and you lose 1 life.</t>
  </si>
  <si>
    <t>Black</t>
  </si>
  <si>
    <t>Leia os Ossos / Read the Bones</t>
  </si>
  <si>
    <t>Use vidência 2 e depois compre dois cards. Você perde 2 pontos de vida. (Para usar vidência 2, olhe os dois cards do topo do seu grimório. Depois, coloque qualquer número deles no fundo do seu grimório e o restante no topo em qualquer ordem.) / Scry 2, then draw two cards. You lose 2 life. (To scry 2, look at the top two cards of your library, then put any number of them on the bottom of your library and the rest on top in any order.)</t>
  </si>
  <si>
    <t>Murder</t>
  </si>
  <si>
    <t>Destroy target creature.</t>
  </si>
  <si>
    <t>Distress</t>
  </si>
  <si>
    <t>Target player reveals his or her hand. You choose a nonland card from it. That player discards that card.</t>
  </si>
  <si>
    <t>Roubar um Pedaço / Thief of Blood</t>
  </si>
  <si>
    <t>Feitiço Tribal — Ladino / Tribal Sorcery — Rogue</t>
  </si>
  <si>
    <t>Espreitar {1}{B} (Você pode jogar este card pagando seu custo de espreitar se você causou dano de combate a um jogador neste turno com um Ladino.) O jogador alvo perde 3 pontos de vida e você ganha 3 pontos de vida. Se o custo de espreitar de Roubar um Pedaço tiver sido pago, compre um card. / Prowl {1}{B} (You may cast this spell for its prowl cost if you dealt combat damage to a player this turn with a Rogue.) Target player loses 3 life and you gain 3 life. If this spell's prowl cost was paid, draw a card.</t>
  </si>
  <si>
    <t>Mal Imortal / Undying Evil</t>
  </si>
  <si>
    <t>A criatura alvo ganha imortal até o final do turno. (Quando a criatura morrer, se ela não tiver nenhum marcador +1/+1, devolva-a ao campo de batalha sob o controle de seu dono com um marcador +1/+1.) / Target creature gains undying until end of turn. (When that creature dies, if it had no +1/+1 counters on it, return it to the battlefield under its owner's control with a +1/+1 counter on it.)</t>
  </si>
  <si>
    <t>Cura de Fárica / Pharika's Cure</t>
  </si>
  <si>
    <t>Cura de Fárica causa 2 pontos de dano à criatura alvo e você ganha 2 pontos de vida. / Pharika's Cure deals 2 damage to target creature and you gain 2 life.</t>
  </si>
  <si>
    <t>Theros (THS)</t>
  </si>
  <si>
    <t>Tonel-mãe Phyrexiano / Phyrexian Vatmother</t>
  </si>
  <si>
    <t>Criatura — Horror / Creature — Horror</t>
  </si>
  <si>
    <t>Infectar (Esta criatura causa dano a criaturas na forma de marcadores -1/-1 e a jogadores na forma de marcadores de veneno.) No início de sua manutenção, você recebe um marcador de veneno. / Infect (This creature deals damage to creatures in the form of -1/-1 counters and to players in the form of poison counters.) At the beginning of your upkeep, you get a poison counter.</t>
  </si>
  <si>
    <t>Mirrodin Besieged (MBS)</t>
  </si>
  <si>
    <t>Ajuda Improvável / Unlikely Aid</t>
  </si>
  <si>
    <t>A criatura alvo recebe +2/+0 e ganha indestrutível até o final do turno. (O dano e os efeitos que dizem "destrua" não a destroem.) / Target creature gets +2/+0 and gains indestructible until end of turn. (Damage and effects that say "destroy" don't destroy it.)</t>
  </si>
  <si>
    <t>Vigia do Mercado Noturno / Night Market Lookout</t>
  </si>
  <si>
    <t>Criatura — Humano Ladino / Creature — Human Rogue</t>
  </si>
  <si>
    <t>Toda vez que Vigia do Mercado Noturno é virado, cada oponente perde 1 ponto de vida e você ganha 1 ponto de vida. / Whenever Night Market Lookout becomes tapped, each opponent loses 1 life and you gain 1 life.</t>
  </si>
  <si>
    <t>De Volta da Extinção / Return from Extinction</t>
  </si>
  <si>
    <t>Escolha um — Devolva o card de criatura alvo de seu cemitério para sua mão. Devolva de seu cemitério para sua mão dois cards de criatura alvo que compartilham um tipo de card de criatura. / Choose one — Return target creature card from your graveyard to your hand. Return two target creature cards from your graveyard to your hand that share a creature type.</t>
  </si>
  <si>
    <t>Victim of Night</t>
  </si>
  <si>
    <t>Destroy target non-Vampire, non-Werewolf, non-Zombie creature.</t>
  </si>
  <si>
    <t>Duel Decks: Blessed vs. Cursed (DDG)</t>
  </si>
  <si>
    <t>Vampiro de Sengir / Sengir Vampire</t>
  </si>
  <si>
    <t>Criatura — Vampiro / Creature — Vampire</t>
  </si>
  <si>
    <t>Voar (Esta criatura só pode ser bloqueada por criaturas com voar ou alcance.) Toda vez que uma criatura que sofreu dano de Vampiro de Sengir neste turno morrer, coloque um marcador +1/+1 em Vampiro de Sengir. / Flying (This creature can't be blocked except by creatures with flying or reach.) Whenever a creature dealt damage by Sengir Vampire this turn dies, put a +1/+1 counter on Sengir Vampire.</t>
  </si>
  <si>
    <t xml:space="preserve">Welcome Deck 2016 </t>
  </si>
  <si>
    <t>Sanitarium Skeleton</t>
  </si>
  <si>
    <t>Creature — Skeleton</t>
  </si>
  <si>
    <t>{2}{B}: Return Sanitarium Skeleton from your graveyard to your hand.</t>
  </si>
  <si>
    <t>Coagir / Duress</t>
  </si>
  <si>
    <t>O oponente alvo revela a própria mão. Você escolhe um card que não seja um terreno nem uma criatura da mão dele. Aquele jogador descarta aquele card. / Target opponent reveals their hand. You choose a nonland, noncreature card from it. That player discards that card.</t>
  </si>
  <si>
    <t>Core Set 2014 (M14)</t>
  </si>
  <si>
    <t>Core Set 2013 (M13)</t>
  </si>
  <si>
    <t>Gato Preto / Black Cat</t>
  </si>
  <si>
    <t>Criatura — Zumbi Felino / Creature — Zombie Cat</t>
  </si>
  <si>
    <t>Quando Gato Preto morre, o oponente alvo descarta um card aleatoriamente. / When Black Cat dies, target opponent discards a card at random.</t>
  </si>
  <si>
    <t>Familiar de Nightscape / Nightscape Familiar</t>
  </si>
  <si>
    <t>As mágicas azuis e verdes que você conjura custam {1} a menos para serem conjuradas. {1}{B}: Regenere Familiar de Nightscape. (Na próxima vez em que esta criatura seria destruída, em vez disso, vire-a, remova-a do combate e cure todo o dano marcado nela.) / Blue and green spells you cast cost {1} less to cast. {1}{B}: Regenerate Nightscape Familiar. (The next time this creature would be destroyed this turn, it isn't. Instead, tap it, remove it from combat, and heal all damage marked on it.)</t>
  </si>
  <si>
    <t>Dominaria Remastered (DMR)</t>
  </si>
  <si>
    <t>Creature — Zombie</t>
  </si>
  <si>
    <t>Blue spells and red spells you cast cost {1} less to cast. {1}{B}: Regenerate Nightscape Familiar.</t>
  </si>
  <si>
    <t>Duel Decks: Ajani vs. Nicol Bolas</t>
  </si>
  <si>
    <t>Esqueleto do Casarão / Manor Skeleton</t>
  </si>
  <si>
    <t>Criatura — Esqueleto / Creature — Skeleton</t>
  </si>
  <si>
    <t>Ímpeto {1}{B}: Regenere Esqueleto do Casarão. / Haste {1}{B}: Regenerate Manor Skeleton.</t>
  </si>
  <si>
    <t>Gnawing Zombie</t>
  </si>
  <si>
    <t>{1}{B}, Sacrifice a creature: Target player loses 1 life and you gain 1 life.</t>
  </si>
  <si>
    <t>Mark of the Vampire</t>
  </si>
  <si>
    <t>Enchant creature. Enchanted creature gets +2/+2 and has lifelink.</t>
  </si>
  <si>
    <t>Diplomacia ao Fio da Espada / Sword-Point Diplomacy</t>
  </si>
  <si>
    <t>Revele os três cards do topo de seu grimório. Para cada um daqueles cards, coloque aquele card em sua mão, a menos que qualquer oponente pague 3 pontos de vida. Em seguida, exile os restantes. / Reveal the top three cards of your library. For each of those cards, put it into your hand unless any opponent pays 3 life. Then exile the rest.</t>
  </si>
  <si>
    <t>Memoricídio / Memoricide</t>
  </si>
  <si>
    <t>Nomeie um card que não seja um terreno. Procure um número qualquer de cards com aquele nome no cemitério, na mão e no grimório do jogador alvo e exile-os. Depois, aquele jogador embaralha seu próprio grimório. / Name a nonland card. Search the target player's graveyard, hand, and library for any number of cards with that name and exile them. Then that player shuffles their library.</t>
  </si>
  <si>
    <t>Gonti, Senhor da Opulência / Gonti, Lord of Luxury</t>
  </si>
  <si>
    <t>Criatura Lendária — Etergênito Ladino / Legendary Creature — Aetherborn Rogue</t>
  </si>
  <si>
    <t>Toque mortífero. Quando Gonti, Senhor da Opulência, entrar no campo de batalha, olhe os quatro cards do topo do grimório do oponente alvo, exile um deles com a face voltada para baixo e, em seguida, coloque o restante no fundo daquele grimório em ordem aleatória. Você poderá olhá-lo e conjurá-lo enquanto ele permanecer exilado, e poderá gastar mana como se fosse de qualquer tipo para conjurar aquela mágica. / Deathtouch. When Gonti, Lord of Luxury enters the battlefield, look at the top four cards of target opponent's library, exile one of them face down, then put the rest on the bottom of that library in a random order. You may look at and cast that card for as long as it remains exiled, and you may spend mana as though it were mana of any color to cast that spell.</t>
  </si>
  <si>
    <t>Adventures in the Forgotten Realms Commander (AFC)</t>
  </si>
  <si>
    <t>King Macar, the Gold-Cursed / Macar, Rei do Toque Maldito</t>
  </si>
  <si>
    <t>Legendary Creature — Human Noble / Criatura Lendária — Humano</t>
  </si>
  <si>
    <t>Inspired — Whenever King Macar becomes untapped, you may exile target creature. If you do, create a Gold token. (It's an artifact with "Sacrifice this token: Add one mana of any color.") / Inspirado — Toda vez que Macar, Rei do Toque Maldito, é desvirado, você pode exilar a criatura alvo. Se fizer isso, coloque uma ficha de artefato incolor com o nome Ouro no campo de batalha. Ela tem "Sacrifique este artefato: Adicione um mana de qualquer cor a sua reserva de mana."</t>
  </si>
  <si>
    <t>Torgaar, Penúria Incarnada / Torgaar, Famine Incarnate</t>
  </si>
  <si>
    <t>Criatura Lendária — Avatar / Legendary Creature — Avatar</t>
  </si>
  <si>
    <t>Como custo adicional para conjurar esta mágica, você pode sacrificar um número qualquer de criaturas. Esta mágica custa {2} a menos para ser conjurada para cada criatura sacrificada dessa forma. Quando Torgaar, Penúria Incarnada, entra no campo de batalha, o total de pontos de vida de até um jogador alvo torna-se metade do total de pontos de vida inicial deste, arredondado para baixo. / As an additional cost to cast this spell, you may sacrifice any number of creatures. This spell costs {2} less to cast for each creature sacrificed this way. When Torgaar, Famine Incarnate enters the battlefield, target player's life total becomes half their starting life total, rounded down.</t>
  </si>
  <si>
    <t>{6}{B}{B}</t>
  </si>
  <si>
    <t>Village Rites</t>
  </si>
  <si>
    <t>As an additional cost to cast this spell, sacrifice a creature. Draw two cards.</t>
  </si>
  <si>
    <t>Innistrad Remastered (INR)</t>
  </si>
  <si>
    <t>Exsanguinate</t>
  </si>
  <si>
    <t>Each opponent loses X life. You gain life equal to the life lost this way.</t>
  </si>
  <si>
    <t>{X}{B}{B}</t>
  </si>
  <si>
    <t>Summit Sentinel</t>
  </si>
  <si>
    <t>Creature — Elemental Soldier</t>
  </si>
  <si>
    <t>When this creature dies, draw a card.</t>
  </si>
  <si>
    <t>Blue</t>
  </si>
  <si>
    <t>Temporal Cleansing / Limpeza Temporal</t>
  </si>
  <si>
    <t>Convocar (Suas criaturas podem ajudar a conjurar esta mágica. Cada criatura que você vira ao conjurar esta mágica paga {1} ou um mana da cor daquela criatura.) O proprietário de uma permanente alvo que não seja um terreno a coloca em seu grimório na segunda posição a partir do topo ou no fundo. / Convoke (Your creatures can help cast this spell. Each creature you tap while casting this spell pays for {1} or one mana of that creature's color.) The owner of target nonland permanent puts it into their library second from the top or on the bottom.</t>
  </si>
  <si>
    <t>Azul / Blue</t>
  </si>
  <si>
    <t>Blossombind</t>
  </si>
  <si>
    <t>Enchant creature. When this Aura enters, tap enchanted creature. Enchanted creature can't become untapped and can't have counters put on it.</t>
  </si>
  <si>
    <t>Thirst for Identity</t>
  </si>
  <si>
    <t>Draw three cards. Then discard two cards unless you discard a creature card.</t>
  </si>
  <si>
    <t>Wanderbrine Preacher</t>
  </si>
  <si>
    <t>Creature — Merfolk Cleric</t>
  </si>
  <si>
    <t>Whenever this creature becomes tapped, you gain 2 life.</t>
  </si>
  <si>
    <t>Tributary Vaulter</t>
  </si>
  <si>
    <t>Flying. Whenever this creature becomes tapped, another target Merfolk you control gets +2/+0 until end of turn.</t>
  </si>
  <si>
    <t>Chitinous Graspling</t>
  </si>
  <si>
    <t>Changeling (This card is every creature type.) Reach.</t>
  </si>
  <si>
    <t>{3}{G/U}</t>
  </si>
  <si>
    <t>Green/Blue</t>
  </si>
  <si>
    <t>Reckless Ransacking</t>
  </si>
  <si>
    <t>Target creature gets +3/+2 until end of turn. Create a Treasure token. (It's an artifact with "{T}, Sacrifice this token: Add one mana of any color.")</t>
  </si>
  <si>
    <t>Red</t>
  </si>
  <si>
    <t>Lasting Tarfire</t>
  </si>
  <si>
    <t>At the beginning of each end step, if you put a counter on a creature this turn, this enchantment deals 2 damage to each opponent.</t>
  </si>
  <si>
    <t>Soulbright Seeker</t>
  </si>
  <si>
    <t>As an additional cost to cast this spell, behold an Elemental or pay {2}. (To behold an Elemental, choose an Elemental you control or reveal an Elemental card from your hand.) {R}: Target creature you control gains trample until end of turn. If this is the third time this ability has resolved this turn, add {R}{R}{R}{R}.</t>
  </si>
  <si>
    <t>Kulrath Zealot</t>
  </si>
  <si>
    <t>Creature — Elemental Warrior</t>
  </si>
  <si>
    <t>When this creature enters, exile the top card of your library. Until the end of your next turn, you may play that card. Basic landcycling {1}{R} ({1}{R}, Discard this card: Search your library for a basic land card, reveal it, put it into your hand, then shuffle.)</t>
  </si>
  <si>
    <t>Feed the Flames</t>
  </si>
  <si>
    <t>Feed the Flames deals 5 damage to target creature. If that creature would die this turn, exile it instead.</t>
  </si>
  <si>
    <t>Flame-Chain Mauler</t>
  </si>
  <si>
    <t>{1}{R}: This creature gets +1/+0 and gains menace until end of turn. (It can't be blocked except by two or more creatures.)</t>
  </si>
  <si>
    <t>Boneclub Berserker</t>
  </si>
  <si>
    <t>This creature gets +2/+0 for each other Goblin you control.</t>
  </si>
  <si>
    <t>Goblin Heelcutter / Goblin Corta-calcanhar</t>
  </si>
  <si>
    <t>Creature — Goblin Berserker / Criatura — Goblin Amoque</t>
  </si>
  <si>
    <t>Whenever this creature attacks, target creature can't block this turn. Dash {2}{R} (You may cast this spell for its dash cost. If you do, it gains haste, and it's returned from the battlefield to its owner's hand at the beginning of the next end step.) / Toda vez que Goblin Corta-calcanhar ataca, a criatura alvo não pode bloquear neste turno. Investida {2}{R} (Você pode conjurar esta mágica pagando seu custo de investida. Se fizer isso, ela ganha ímpeto e é devolvida do campo de batalha para a mão de seu dono no início da próxima etapa final.)</t>
  </si>
  <si>
    <t>Fate Reforged (FRF)</t>
  </si>
  <si>
    <t>Elder Auntie</t>
  </si>
  <si>
    <t>When this creature enters, create a 1/1 black and red Goblin creature token.</t>
  </si>
  <si>
    <t>Flamekin Gildweaver</t>
  </si>
  <si>
    <t>Trample When this creature enters, create a Treasure token. (It's an artifact with "{T}, Sacrifice this token: Add one mana of any color.")</t>
  </si>
  <si>
    <t>Gristle Glutton</t>
  </si>
  <si>
    <t>Creature — Goblin Scout</t>
  </si>
  <si>
    <t>{T}, Blight 1: Discard a card. If you do, draw a card. (To blight 1, put a -1/-1 counter on a creature you control.)</t>
  </si>
  <si>
    <t>Impolite Entrance</t>
  </si>
  <si>
    <t>Target creature gains trample and haste until end of turn. Draw a card.</t>
  </si>
  <si>
    <t>Sizzling Changeling</t>
  </si>
  <si>
    <t>Changeling (This card is every creature type.) When this creature dies, exile the top card of your library. Until the end of your next turn, you may play that card.</t>
  </si>
  <si>
    <t>Brigid's Command</t>
  </si>
  <si>
    <t>Kindred Sorcery — Kithkin</t>
  </si>
  <si>
    <t>Choose two — • Create a token that's a copy of target Kithkin you control. • Target player creates a 1/1 green and white Kithkin creature token. • Target creature you control gets +3/+3 until end of turn. • Target creature you control fights target creature an opponent controls.</t>
  </si>
  <si>
    <t>{1}{G}{W}</t>
  </si>
  <si>
    <t>Verde, Branco</t>
  </si>
  <si>
    <t>Fanatical Firebrand / Instigador Fanático</t>
  </si>
  <si>
    <t>Creature — Goblin Pirate / Criatura — Goblin Pirata</t>
  </si>
  <si>
    <t>Haste (This creature can attack and {T} as soon as it comes under your control.) {T}, Sacrifice this creature: It deals 1 damage to any target. / Ímpeto {T}, sacrifique Instigador Fanático: Ele causa 1 ponto de dano à criatura ou ao jogador alvo.</t>
  </si>
  <si>
    <t>Boggart Cursecrafter</t>
  </si>
  <si>
    <t>Deathtouch Whenever another Goblin you control dies, this creature deals 1 damage to each opponent.</t>
  </si>
  <si>
    <t>Preto, Vermelho</t>
  </si>
  <si>
    <t>Chaos Spewer</t>
  </si>
  <si>
    <t>When this creature enters, you may pay {2}. If you don't, blight 2. (To blight 2, put two -1/-1 counters on a creature you control.)</t>
  </si>
  <si>
    <t>{2}{B/R}</t>
  </si>
  <si>
    <t>Wildvine Pummeler</t>
  </si>
  <si>
    <t>Creature — Giant Berserker</t>
  </si>
  <si>
    <t>Vivid — This spell costs {1} less to cast for each color among permanents you control. Reach, trample</t>
  </si>
  <si>
    <t>Unforgiving Aim</t>
  </si>
  <si>
    <t>Choose one — • Destroy target creature with flying. • Destroy target enchantment. • Create a 2/2 black and green Elf creature token.</t>
  </si>
  <si>
    <t>Reluctant Dounguard</t>
  </si>
  <si>
    <t>Creature — Kithkin Soldier</t>
  </si>
  <si>
    <t>This creature enters with two -1/-1 counters on it. Whenever another creature you control enters while this creature has a -1/-1 counter on it, remove a -1/-1 counter from this creature.</t>
  </si>
  <si>
    <t>Protective Response</t>
  </si>
  <si>
    <t>Convoke (Your creatures can help cast this spell. Each creature you tap while casting this spell pays for {1} or one mana of that creature's color.) Destroy target attacking or blocking creature.</t>
  </si>
  <si>
    <t>Pyrrhic Strike</t>
  </si>
  <si>
    <t>As an additional cost to cast this spell, you may blight 2. (You may put two -1/-1 counters on a creature you control.) Choose one. If this spell's additional cost was paid, choose both instead. • Destroy target artifact or enchantment. • Destroy target creature with mana value 3 or greater.</t>
  </si>
  <si>
    <t>Personify</t>
  </si>
  <si>
    <t>Exile target creature you control, then return that card to the battlefield under its owner's control. Create a 1/1 colorless Shapeshifter creature token with changeling. (It's every creature type.)</t>
  </si>
  <si>
    <t>Moonlit Lamenter</t>
  </si>
  <si>
    <t>Creature — Treefolk Cleric</t>
  </si>
  <si>
    <t>This creature enters with a -1/-1 counter on it. {1}{W}, Remove a counter from this creature: Draw a card. Activate only as a sorcery.</t>
  </si>
  <si>
    <t>Kinsbaile Aspirant</t>
  </si>
  <si>
    <t>Creature — Kithkin Citizen</t>
  </si>
  <si>
    <t>As an additional cost to cast this spell, behold a Kithkin or pay {2}. (To behold a Kithkin, choose a Kithkin you control or reveal a Kithkin card from your hand.) Whenever another creature you control enters, this creature gets +1/+1 until end of turn.</t>
  </si>
  <si>
    <t>Gallant Fowlknight</t>
  </si>
  <si>
    <t>Creature — Kithkin Knight</t>
  </si>
  <si>
    <t>When this creature enters, creatures you control get +1/+0 until end of turn. Kithkin creatures you control also gain first strike until end of turn.</t>
  </si>
  <si>
    <t>Crib Swap / Troca de Berço</t>
  </si>
  <si>
    <t>Kindred Instant — Shapeshifter / Mágica Instantânea Tribal — Metamorfo</t>
  </si>
  <si>
    <t>Changeling (This card is every creature type.) Exile target creature. Its controller creates a 1/1 colorless Shapeshifter creature token with changeling. / Morfoloide (Este card é de todos os tipos de criatura.) Exile a criatura alvo. Seu controlador cria uma ficha de criatura Metamorfo incolor 1/1 com morfoloide.</t>
  </si>
  <si>
    <t>Encumbered Reejerey</t>
  </si>
  <si>
    <t>Creature — Merfolk Soldier</t>
  </si>
  <si>
    <t>This creature enters with three -1/-1 counters on it. Whenever this creature becomes tapped while it has a -1/-1 counter on it, remove a -1/-1 counter from it.</t>
  </si>
  <si>
    <t>Appeal to Eirdu</t>
  </si>
  <si>
    <t>Convoke (Your creatures can help cast this spell. Each creature you tap while casting this spell pays for {1} or one mana of that creature's color.) One or two target creatures each get +2/+1 until end of turn.</t>
  </si>
  <si>
    <t>Changeling (This card is every creature type.) Reach</t>
  </si>
  <si>
    <t>Verde, Azul</t>
  </si>
  <si>
    <t>Thoughtweft Imbuer</t>
  </si>
  <si>
    <t>Whenever a creature you control attacks alone, it gets +X/+X until end of turn, where X is the number of Kithkin you control.</t>
  </si>
  <si>
    <t>0/5</t>
  </si>
  <si>
    <t>Shore Lurker</t>
  </si>
  <si>
    <t>Creature — Merfolk Scout</t>
  </si>
  <si>
    <t>Flying When this creature enters, surveil 1. (Look at the top card of your library. You may put it into your graveyard.)</t>
  </si>
  <si>
    <t>Dawn-Blessed Pennant</t>
  </si>
  <si>
    <t>As this artifact enters, choose Elemental, Elf, Faerie, Giant, Goblin, Kithkin, Merfolk, or Treefolk. Whenever a permanent you control of the chosen type enters, you gain 1 life. {2}, {T}, Sacrifice this artifact: Return target card of the chosen type from your graveyard to your hand.</t>
  </si>
  <si>
    <t>Stalactite Dagger</t>
  </si>
  <si>
    <t>When this Equipment enters, create a 1/1 colorless Shapeshifter creature token with changeling. (It's every creature type.) Equipped creature gets +1/+1 and is all creature types. Equip {2} ({2}: Attach to target creature you control. Equip only as a sorcery.)</t>
  </si>
  <si>
    <t>Puca's Eye</t>
  </si>
  <si>
    <t>When this artifact enters, draw a card, then choose a color. This artifact becomes the chosen color. {3}, {T}: Draw a card. Activate only if there are five colors among permanents you control.</t>
  </si>
  <si>
    <t>Wary Farmer</t>
  </si>
  <si>
    <t>At the beginning of your end step, if another creature entered the battlefield under your control this turn, surveil 1. (Look at the top card of your library. You may put it into your graveyard.)</t>
  </si>
  <si>
    <t>{1}{G/W}{G/W}</t>
  </si>
  <si>
    <t>Voracious Tome-Skimmer</t>
  </si>
  <si>
    <t>Flying Whenever you cast a spell during an opponent's turn, you may pay 1 life. If you do, draw a card.</t>
  </si>
  <si>
    <t>{U/B}{U/B}{U/B}</t>
  </si>
  <si>
    <t>Preto, Azul</t>
  </si>
  <si>
    <t>Thoughtweft Lieutenant</t>
  </si>
  <si>
    <t>Whenever this creature or another Kithkin you control enters, target creature you control gets +1/+1 and gains trample until end of turn.</t>
  </si>
  <si>
    <t>Foundry Street Denizen / Habitante da Rua da Fundição</t>
  </si>
  <si>
    <t>Whenever another red creature you control enters, this creature gets +1/+0 until end of turn. / Toda vez que outra criatura vermelha entra no campo de batalha sob o seu controle, Habitante da Rua da Fundição recebe +1/+0 até o final do turno.</t>
  </si>
  <si>
    <t>Prideful Feastling</t>
  </si>
  <si>
    <t>Changeling (This card is every creature type.) Lifelink</t>
  </si>
  <si>
    <t>{2}{W/B}</t>
  </si>
  <si>
    <t>Preto, Branco</t>
  </si>
  <si>
    <t>Morcant's Loyalist</t>
  </si>
  <si>
    <t>Other Elves you control get +1/+1. When this creature dies, return another target Elf card from your graveyard to your hand.</t>
  </si>
  <si>
    <t>Merrow Skyswimmer</t>
  </si>
  <si>
    <t>Convoke (Your creatures can help cast this spell. Each creature you tap while casting this spell pays for {1} or one mana of that creature's color.) Flying, vigilance When this creature enters, create a 1/1 white and blue Merfolk creature token.</t>
  </si>
  <si>
    <t>{3}{W/U}{W/U}</t>
  </si>
  <si>
    <t>Azul, Branco</t>
  </si>
  <si>
    <t>Hovel Hurler</t>
  </si>
  <si>
    <t>Creature — Giant Warrior</t>
  </si>
  <si>
    <t>This creature enters with two -1/-1 counters on it. {R/W}{R/W}, Remove a counter from this creature: Another target creature you control gets +1/+0 and gains flying until end of turn. Activate only as a sorcery.</t>
  </si>
  <si>
    <t>{3}{R/W}{R/W}</t>
  </si>
  <si>
    <t>Vermelho, Branco</t>
  </si>
  <si>
    <t>Gangly Stompling</t>
  </si>
  <si>
    <t>Changeling (This card is every creature type.) Trample</t>
  </si>
  <si>
    <t>{2}{R/G}</t>
  </si>
  <si>
    <t>Verde, Vermelho</t>
  </si>
  <si>
    <t>Flaring Cinder</t>
  </si>
  <si>
    <t>When this creature enters and whenever you cast a spell with mana value 4 or greater, you may discard a card. If you do, draw a card.</t>
  </si>
  <si>
    <t>{1}{U/R}{U/R}</t>
  </si>
  <si>
    <t>Vermelho, Azul</t>
  </si>
  <si>
    <t>Krark-Clan Engineers / Engenheiros do Clã-de-Krark</t>
  </si>
  <si>
    <t>Creature — Goblin Artificer / Criatura — Artesão Goblin</t>
  </si>
  <si>
    <t>{R}, Sacrifice two artifacts: Destroy target artifact. / {R}, Sacrifique dois artefatos: Destrói o artefato alvo.</t>
  </si>
  <si>
    <t>Quaketusk Boar</t>
  </si>
  <si>
    <t>Creature — Elemental Boar</t>
  </si>
  <si>
    <t>Reach, trample, haste</t>
  </si>
  <si>
    <t>War Squeak</t>
  </si>
  <si>
    <t>Enchant creature When this Aura enters, target creature an opponent controls can't block this turn. Enchanted creature gets +1/+1 and has haste.</t>
  </si>
  <si>
    <t>Fortune Thief / Ladra de Sorte</t>
  </si>
  <si>
    <t>Creature — Human Rogue / Criatura — Ladino Humano</t>
  </si>
  <si>
    <t>Damage that would reduce your life total to less than 1 reduces it to 1 instead. Morph {R}{R} (You may cast this card face down as a 2/2 creature for {3}. Turn it face up any time for its morph cost.) / O dano que reduziria seu total de pontos de vida a menos de 1, em vez disso, o reduz a 1. Metamorfose {R}{R} (Você pode baixar este card com a face voltada para baixo como uma criatura 2/2 por {3}. Vire sua face para cima a qualquer momento pagando seu custo de metamorfose.)</t>
  </si>
  <si>
    <t>Portent of Betrayal / Presságio de Traição</t>
  </si>
  <si>
    <t>Gain control of target creature until end of turn. Untap that creature. It gains haste until end of turn. Scry 1. (Look at the top card of your library. You may put that card on the bottom.) / Ganhe o controle da criatura alvo até o final do turno. Desvire aquela criatura. Ela ganha ímpeto até o final do turno. Use vidência 1.</t>
  </si>
  <si>
    <t>Volley Veteran / Veterano das Saraivadas</t>
  </si>
  <si>
    <t>When this creature enters, it deals damage to target creature an opponent controls equal to the number of Goblins you control. / Quando Veterano das Saraivadas entra no campo de batalha, ele causa à criatura alvo que um oponente controla uma quantidade de dano igual ao número de Goblins que você controla.</t>
  </si>
  <si>
    <t>Tuktuk Scrapper / Sucateiro Tuktuk</t>
  </si>
  <si>
    <t>Creature — Goblin Artificer Ally / Criatura — Goblin Artesão Aliado</t>
  </si>
  <si>
    <t>Whenever this creature or another Ally you control enters, you may destroy target artifact. If that artifact is put into a graveyard this way, this creature deals damage to that artifact's controller equal to the number of Allies you control. / Toda vez que Sucateiro Tuktuk ou outro Aliado entra no campo de batalha sob o seu controle, você pode destruir o artefato alvo. Se aquele artefato for colocado num cemitério dessa maneira, Sucateiro Tuktuk causará uma quantidade de dano ao controlador daquele artefato igual à quantidade de Aliados que você controla.</t>
  </si>
  <si>
    <t>Flying When this creature enters, it deals damage to any target equal to the number of Mountains you control. / Voar Quando Prole de Traxes entra no campo de batalha, ele causa ao jogador ou à criatura alvo uma quantidade de dano igual ao número de Montanhas que você controla.</t>
  </si>
  <si>
    <t>{5}{R}{R}</t>
  </si>
  <si>
    <t>Journey into Nyx Promos (PJOU)</t>
  </si>
  <si>
    <t>Oread of Mountain's Blaze / Oréade da Labareda Montanhesca</t>
  </si>
  <si>
    <t>Enchantment Creature — Nymph / Criatura Encantamento — Ninfa</t>
  </si>
  <si>
    <t>{2}{R}, Discard a card: Draw a card. / {2}{R}, descarte um card: Compre um card.</t>
  </si>
  <si>
    <t>Akki Ember-Keeper / Akki Custódio das Brasas</t>
  </si>
  <si>
    <t>Enchantment Creature — Goblin Warrior / Criatura Encantamento — Goblin Guerreiro</t>
  </si>
  <si>
    <t>Whenever a nontoken modified creature you control dies, create a 1/1 colorless Spirit creature token. (Equipment, Auras you control, and counters are modifications.) / Toda vez que uma criatura modificada não ficha que você controla morrer, crie uma ficha de criatura Espírito incolor 1/1. (Os Equipamentos, as Auras que você controla e os marcadores são modificações.)</t>
  </si>
  <si>
    <t>Goblin Kaboomist / Goblin Cabumista</t>
  </si>
  <si>
    <t>At the beginning of your upkeep, create a colorless artifact token named Land Mine with "{R}, Sacrifice this token: This token deals 2 damage to target attacking creature without flying." Then flip a coin. If you lose the flip, this creature deals 2 damage to itself. / No início de sua manutenção, coloque no campo de batalha uma ficha de artefato incolor com o nome Mina Terrestre com "{R}, Sacrifique este artefato: Este artefato causa 2 pontos de dano à criatura alvo atacante sem voar." Depois, jogue uma moeda. Se você perder, Goblin Cabumista causará 2 pontos de dano a ele mesmo.</t>
  </si>
  <si>
    <t>Lightning Strike / Golpe Relampejante</t>
  </si>
  <si>
    <t>Lightning Strike deals 3 damage to any target. / Golpe Relampejante causa 3 pontos de dano à criatura ou ao jogador alvo.</t>
  </si>
  <si>
    <t>Firebolt / Raio de Fogo</t>
  </si>
  <si>
    <t>Firebolt deals 2 damage to any target. Flashback {4}{R} (You may cast this card from your graveyard for its flashback cost. Then exile it.) / Raio de Fogo causa 2 pontos de dano a qualquer alvo. Recapitular {4}{R} (Você pode conjurar este card de seu cemitério pagando seu custo de recapitular. Depois, exile-o.)</t>
  </si>
  <si>
    <t>Eternal Masters (EMA)</t>
  </si>
  <si>
    <t>Flayer of the Hatebound / Esfolador do Laço de Ódio</t>
  </si>
  <si>
    <t>Creature — Devil / Criatura — Diabo</t>
  </si>
  <si>
    <t>Undying (When this creature dies, if it had no +1/+1 counters on it, return it to the battlefield under its owner's control with a +1/+1 counter on it.) Whenever this creature or another creature enters from your graveyard, that creature deals damage equal to its power to any target. / Imortal (Quando esta criatura morrer, se ela não tiver nenhum marcador +1/+1, devolva-a ao campo de batalha sob o controle de seu dono com um marcador +1/+1.) Toda vez que Esfolador do Laço de Ódio ou outra criatura entra no campo de batalha vindo de seu cemitério, aquela criatura causa dano igual ao seu poder à criatura ou ao jogador alvo.</t>
  </si>
  <si>
    <t>Arena Trickster / Trapaceiro da Arena</t>
  </si>
  <si>
    <t>Whenever you cast your first spell during each opponent's turn, put a +1/+1 counter on this creature. / Toda vez que você conjurar sua primeira mágica durante o turno de cada oponente, coloque um marcador +1/+1 em Trapaceiro da Arena.</t>
  </si>
  <si>
    <t>Clawing Torment / Tormento dos Arranhões</t>
  </si>
  <si>
    <t>Enchant artifact or creature As long as enchanted permanent is a creature, it gets -1/-1 and can't block. Enchanted permanent has "At the beginning of your upkeep, you lose 1 life." / Encantar artefato ou criatura Enquanto a permanente encantada for uma criatura, ela receberá -1/-1 e não poderá bloquear. A permanente encantada tem "No início de sua manutenção, você perde 1 ponto de vida".</t>
  </si>
  <si>
    <t>Fade into Antiquity / Desaparecer na Antiguidade</t>
  </si>
  <si>
    <t>Exile target artifact or enchantment. / Exile o artefato ou encantamento alvo.</t>
  </si>
  <si>
    <t>Reckoner Shakedown / Extorsão dos Justiceiros</t>
  </si>
  <si>
    <t>Target opponent reveals their hand. You may choose a nonland card from it. If you do, that player discards that card. If you don't, put two +1/+1 counters on a creature or Vehicle you control. / O oponente alvo revela a própria mão. Você pode escolher um card não de terreno da mão dele. Se fizer isso, aquele jogador descarta aquele card. Se não fizer isso, coloque dois marcadores +1/+1 em uma criatura ou um Veículo que você controla.</t>
  </si>
  <si>
    <t>Kaito's Pursuit / Perseguição de Kaito</t>
  </si>
  <si>
    <t>Target player discards two cards. Ninjas and Rogues you control gain menace until end of turn. (They can't be blocked except by two or more creatures.) / O jogador alvo descarta dois cards. Os Ninjas e os Ladinos que você controla ganham ameaçar até o final do turno. (Eles só podem ser bloqueados por duas ou mais criaturas.)</t>
  </si>
  <si>
    <t>Inkrise Infiltrator / Infiltradora Asas de Tinta</t>
  </si>
  <si>
    <t>Creature — Human Ninja / Criatura — Humano Ninja</t>
  </si>
  <si>
    <t>Flying {3}{B}: This creature gets +2/+2 until end of turn. / Voar {3}{B}: Infiltradora Asas de Tinta recebe +2/+2 até o final do turno.</t>
  </si>
  <si>
    <t>Kamigawa: Neon Dynasty (NEO) V</t>
  </si>
  <si>
    <t>Nezumi Bladeblesser / Benze-espada Nezumi</t>
  </si>
  <si>
    <t>Creature — Rat Samurai / Criatura — Rato Samurai</t>
  </si>
  <si>
    <t>This creature has deathtouch as long as you control an artifact. This creature has menace as long as you control an enchantment. (It can't be blocked except by two or more creatures.) / Benze-espada Nezumi terá toque mortífero enquanto você controlar um artefato. Benze-espada Nezumi terá ameaçar enquanto você controlar um encantamento. (Ele só pode ser bloqueado por duas ou mais criaturas.)</t>
  </si>
  <si>
    <t>Kami of Terrible Secrets / Kami dos Segredos Terríveis</t>
  </si>
  <si>
    <t>When this creature enters, if you control an artifact and an enchantment, you draw a card and you gain 1 life. / Quando Kami dos Segredos Terríveis entra no campo de batalha, se você controla um artefato e um encantamento, você compra um card e ganha 1 ponto de vida.</t>
  </si>
  <si>
    <t>Mímico da Noite / Nightshade Schemer</t>
  </si>
  <si>
    <t>Criatura — Metamorfo / Creature — Shapeshifter</t>
  </si>
  <si>
    <t>Toda vez que você joga uma mágica que é branca e preta, Mímico da Noite torna-se 4/4 e ganha voar até o final do turno. / Whenever you cast a white and black spell, Nightshade Schemer becomes 4/4 and gains flying until end of turn.</t>
  </si>
  <si>
    <t>{1}{W/B}</t>
  </si>
  <si>
    <t>Branco e Preto / White and Black</t>
  </si>
  <si>
    <t>Old Rutstein / Velho Rutstein</t>
  </si>
  <si>
    <t>Legendary Creature — Human Peasant / Criatura Lendária — Humano Plebeu</t>
  </si>
  <si>
    <t>When Old Rutstein enters and at the beginning of your upkeep, mill a card. If a land card is milled this way, create a Treasure token. If a creature card is milled this way, create a 1/1 green Insect creature token. If a noncreature, nonland card is milled this way, create a Blood token. / Quando Velho Rutstein entrar no campo de batalha ou no início de sua manutenção, triture um card. Se um card de terreno for triturado dessa forma, crie uma ficha de Tesouro. Se um card de criatura for triturado dessa forma, crie uma ficha de criatura Inseto verde 1/1. Se um card não de terreno e não de criatura for triturado dessa forma, crie uma ficha de Sangue.</t>
  </si>
  <si>
    <t>Gurmag Swiftwing / Asa-veloz Gurmag</t>
  </si>
  <si>
    <t>Creature — Bat / Criatura — Morcego</t>
  </si>
  <si>
    <t>Flying, first strike, haste / Voar, iniciativa, ímpeto</t>
  </si>
  <si>
    <t>Embrace the Paradox</t>
  </si>
  <si>
    <t>Draw three cards. You may put a land card from your hand onto the battlefield tapped.</t>
  </si>
  <si>
    <t>{3}{G}{U}</t>
  </si>
  <si>
    <t>Tranquil Cove / Angra Tranquila</t>
  </si>
  <si>
    <t>This land enters tapped. When this land enters, you gain 1 life. {T}: Add {W} or {U}. / Angra Tranquila entra no campo de batalha virada. Quando Angra Tranquila entra no campo de batalha, você ganha 1 ponto de vida. {T}: Adicione {W} ou {U}.</t>
  </si>
  <si>
    <t>This land enters tapped. When this land enters, you gain 1 life. {T}: Add {R} or {G}. / Planalto Acidentado entra no campo de batalha virado. Quando Planalto Acidentado entra no campo de batalha, você ganha 1 ponto de vida. {T}: Adicione {R} ou {G}.</t>
  </si>
  <si>
    <t>Halimar Depths / Profundezas de Halimar</t>
  </si>
  <si>
    <t>This land enters tapped. When this land enters, look at the top three cards of your library, then put them back in any order. {T}: Add {U}. / Profundezas de Halimar entra no campo de batalha virado. Quando Profundezas de Halimar entrar no campo de batalha, olhe os três cards do topo de seu grimório e depois coloque-os de volta em qualquer ordem. {T}: Adicione {U}.</t>
  </si>
  <si>
    <t>Azorius Guildgate / Portão da Guilda Azorius</t>
  </si>
  <si>
    <t>This land enters tapped. {T}: Add {W} or {U}. / Portão da Guilda Azorius entra no campo de batalha virado. {T}: Adicione {W} ou {U}.</t>
  </si>
  <si>
    <t>Teeterpeak Ambusher / Emboscador dos Picos Vacilantes</t>
  </si>
  <si>
    <t>{2}{R}: This creature gets +2/+0 until end of turn. / {2}{R}: Emboscador dos Picos Vacilantes recebe +2/+0 até o final do turno.</t>
  </si>
  <si>
    <t>Inspiring Vantage / Vantagem Inspiradora</t>
  </si>
  <si>
    <t>This land enters tapped unless you control two or fewer other lands. {T}: Add {R} or {W}. / Vantagem Inspiradora entra no campo de batalha virado, a menos que você controle dois outros terrenos ou menos. {T}: Adicione {R} ou {W} à sua reserva de mana.</t>
  </si>
  <si>
    <t>Edge of the Divinity / Limite da Divindade</t>
  </si>
  <si>
    <t>Enchant creature As long as enchanted creature is white, it gets +1/+2. As long as enchanted creature is black, it gets +2/+1. / Encantar criatura Enquanto a criatura encantada for branca, ela receberá +1/+2 . Enquanto a criatura encantada for preta, ela receberá +2/+1.</t>
  </si>
  <si>
    <t>Kaya's Wrath / Ira de Kaya</t>
  </si>
  <si>
    <t>Destroy all creatures. You gain life equal to the number of creatures you controlled that were destroyed this way. / Destrua todas as criaturas. Você ganha uma quantidade de pontos de vida igual ao número de criaturas que você controlava que foram destruídas dessa forma.</t>
  </si>
  <si>
    <t>{W}{W}{B}{B}</t>
  </si>
  <si>
    <t>Unmake / Inexistir</t>
  </si>
  <si>
    <t>Exile target creature. / Remova do jogo a criatura alvo.</t>
  </si>
  <si>
    <t>{W/B}{W/B}{W/B}</t>
  </si>
  <si>
    <t>Mourning Thrull</t>
  </si>
  <si>
    <t>Creature — Thrull</t>
  </si>
  <si>
    <t>Flying. Whenever Mourning Thrull deals damage, you gain that much life.</t>
  </si>
  <si>
    <t>Pitiless Pontiff / Pontífice Impiedosa</t>
  </si>
  <si>
    <t>Creature — Vampire Cleric / Criatura — Vampiro Clérigo</t>
  </si>
  <si>
    <t>{1}, Sacrifice another creature: This creature gains deathtouch and indestructible until end of turn. (Damage and effects that say "destroy" don't destroy it.) / {1}, sacrifique outra criatura: Pontífice Impiedosa ganha toque mortífero e indestrutível até o final do turno. (O dano e os efeitos que dizem "destrua" não a destroem.)</t>
  </si>
  <si>
    <t>Tithe Drinker / Sugador de Dízimo</t>
  </si>
  <si>
    <t>Creature — Vampire / Criatura — Vampiro</t>
  </si>
  <si>
    <t>Lifelink (Damage dealt by this creature also causes you to gain that much life.) Extort (Whenever you cast a spell, you may pay {W/B}. If you do, each opponent loses 1 life and you gain that much life.) / Vínculo com a vida Extorquir (Toda vez que você conjurar uma mágica, poderá pagar {W/B}. Se fizer isso, cada oponente perderá 1 ponto de vida e você ganhará uma quantidade equivalente de pontos de vida.)</t>
  </si>
  <si>
    <t>Dragon's Maze (DGM)</t>
  </si>
  <si>
    <t>Castigate / Castigar</t>
  </si>
  <si>
    <t>Target opponent reveals their hand. You choose a nonland card from it and exile that card. / O oponente alvo revela sua própria mão. Escolha um card que não seja um terreno. Remova de jogo aquele card.</t>
  </si>
  <si>
    <t>Arena League 2006 (PAL06)</t>
  </si>
  <si>
    <t>Purge the Profane / Purgar o Profano</t>
  </si>
  <si>
    <t>Target opponent discards two cards and you gain 2 life. / O oponente alvo descarta dois cards e você ganha 2 pontos de vida.</t>
  </si>
  <si>
    <t>{2}{W}{B}</t>
  </si>
  <si>
    <t>Imperious Oligarch / Oligarca Imperiosa</t>
  </si>
  <si>
    <t>Creature — Human Cleric / Criatura — Humano Clérigo</t>
  </si>
  <si>
    <t>Vigilance Afterlife 1 (When this creature dies, create a 1/1 white and black Spirit creature token with flying.) / Vigilância Pós-vida 1 (Quando esta criatura morrer, crie uma ficha de criatura branca e preta 1/1 do tipo Espírito com voar.)</t>
  </si>
  <si>
    <t>Pterafractyl</t>
  </si>
  <si>
    <t>Creature — Dinosaur Fractal</t>
  </si>
  <si>
    <t>Flying This creature enters with X +1/+1 counters on it. When this creature enters, you gain 2 life.</t>
  </si>
  <si>
    <t>{X}{G}{U}</t>
  </si>
  <si>
    <t>1/0</t>
  </si>
  <si>
    <t>Gyre Engineer / Engenheiro da Espiral</t>
  </si>
  <si>
    <t>Creature — Vedalken Wizard / Criatura — Vedalkeano Mago</t>
  </si>
  <si>
    <t>{T}: Add {G}{U}. / {T}: Adicione {G}{U}.</t>
  </si>
  <si>
    <t>{1}{G}{U}</t>
  </si>
  <si>
    <t>Reknit / Retramar</t>
  </si>
  <si>
    <t>Regenerate target permanent. / Regenere a permanente alvo.</t>
  </si>
  <si>
    <t>{1}{G/W}</t>
  </si>
  <si>
    <t>Valeron Outlander / Forasteiro de Valeron</t>
  </si>
  <si>
    <t>Protection from black / Proteção contra o preto</t>
  </si>
  <si>
    <t>Conflux (CON)</t>
  </si>
  <si>
    <t>Sundering Growth / Crescimento Despedaçador</t>
  </si>
  <si>
    <t>Destroy target artifact or enchantment, then populate. (Create a token that's a copy of a creature token you control.) / Destrua o artefato ou encantamento alvo e depois povoe. (Coloque no campo de batalha uma ficha que seja uma cópia de uma ficha de criatura que você controla.)</t>
  </si>
  <si>
    <t>{G/W}{G/W}</t>
  </si>
  <si>
    <t>Architects of Will / Arquitetos do Arbítrio</t>
  </si>
  <si>
    <t>Artifact Creature — Human Wizard / Criatura Artefato — Humano Mago</t>
  </si>
  <si>
    <t>When this creature enters, look at the top three cards of target player's library, then put them back in any order. Cycling {U/B} ({U/B}, Discard this card: Draw a card.) / Quando Arquitetos do Arbítrio entrar em jogo, olhe os três cards do topo do grimório do jogador alvo, depois coloque-os de volta em qualquer ordem. Reciclar {U/B} ({U/B}, Descarte este card: Compre um card.)</t>
  </si>
  <si>
    <t>{2}{U}{B}</t>
  </si>
  <si>
    <t>Alara Reborn (ARB)</t>
  </si>
  <si>
    <t>Fathom Feeder / Alimentador das Profundezas</t>
  </si>
  <si>
    <t>Devoid (This card has no color.) Deathtouch Ingest (Whenever this creature deals combat damage to a player, that player exiles the top card of their library.) {3}{U}{B}: Draw a card. Each opponent exiles the top card of their library. / Desprovido (Este card não tem cor.)Toque mortíferoIngerir (Toda vez que esta criatura causa dano de combate a um jogador, ele exila o card do topo do próprio grimório.){3}{U}{B}: Compre um card. Cada oponente exila o card do topo do próprio grimório.</t>
  </si>
  <si>
    <t>{U}{B}</t>
  </si>
  <si>
    <t>Inkfathom Infiltrator / Infiltrado Braçatinta</t>
  </si>
  <si>
    <t>Creature — Merfolk Rogue / Criatura — Tritão Ladino</t>
  </si>
  <si>
    <t>This creature can't block and can't be blocked. / Infiltrado Braçatinta não pode bloquear e não pode ser bloqueado.</t>
  </si>
  <si>
    <t>{U/B}{U/B}</t>
  </si>
  <si>
    <t>Gruul Spellbreaker / Quebra-mágicas Gruul</t>
  </si>
  <si>
    <t>Creature — Ogre Warrior / Criatura — Ogro Guerreiro</t>
  </si>
  <si>
    <t>Riot (This creature enters with your choice of a +1/+1 counter or haste.) Trample During your turn, you and this creature have hexproof. / Tumulto (Esta criatura entra no campo de batalha com um marcador +1/+1 ou ímpeto, à sua escolha.) Atropelar Enquanto for o seu turno, você e Quebra-mágicas Gruul têm resistência a magia.</t>
  </si>
  <si>
    <t>{1}{R}{G}</t>
  </si>
  <si>
    <t>Judge's Familiar / Familiar do Juiz</t>
  </si>
  <si>
    <t>Flying Sacrifice this creature: Counter target instant or sorcery spell unless its controller pays {1}. / Voar Sacrifique Familiar do Juiz: Anule a mágica instantânea ou feitiço alvo a menos que seu controlador pague {1}.</t>
  </si>
  <si>
    <t>{W/U}</t>
  </si>
  <si>
    <t>Urza, Prince of Kroog / Urza, Príncipe de Kroog</t>
  </si>
  <si>
    <t>Legendary Creature — Human Artificer / Criatura Lendária — Humano Artesão</t>
  </si>
  <si>
    <t>Artifact creatures you control get +2/+2. {6}: Create a token that's a copy of target artifact you control, except it's a 1/1 Soldier creature in addition to its other types. / As criaturas artefato que você controla recebem +2/+2. {6}: Crie uma ficha que seja uma cópia do artefato alvo que você controla, exceto por ser uma criatura Soldado 1/1 além de seus outros tipos.</t>
  </si>
  <si>
    <t>{2}{W}{U}</t>
  </si>
  <si>
    <t>Naya Charm / Medalhão de Naya</t>
  </si>
  <si>
    <t>Choose one — • Naya Charm deals 3 damage to target creature. • Return target card from a graveyard to its owner's hand. • Tap all creatures target player controls. / Escolha um — • Medalhão de Naya causa 3 pontos de dano à criatura alvo. • Devolva o card alvo de um cemitério para a mão de seu dono. • Vire todas as criaturas que o jogador alvo controla.</t>
  </si>
  <si>
    <t>{R}{G}{W}</t>
  </si>
  <si>
    <t>Verde, Vermelho, Branco</t>
  </si>
  <si>
    <t>Mishra, Artificer Prodigy / Mishra, Prodígio Artífice</t>
  </si>
  <si>
    <t>Legendary Creature — Human Artificer / Criatura Lendária — Artesão Humano</t>
  </si>
  <si>
    <t>Whenever you cast an artifact spell, you may search your graveyard, hand, and/or library for a card with the same name as that spell and put it onto the battlefield. If you search your library this way, shuffle. / Toda vez que você joga uma mágica de artefato, você pode procurar em seu cemitério, mão e/ou grimório por um card com o mesmo nome daquela mágica e colocá-lo em jogo. Se procurar em seu grimório desta maneira, embaralhe-o.</t>
  </si>
  <si>
    <t>{1}{U}{B}{R}</t>
  </si>
  <si>
    <t>Preto, Vermelho, Azul</t>
  </si>
  <si>
    <t>Doran, Besieged by Time</t>
  </si>
  <si>
    <t>Legendary Creature — Treefolk Druid</t>
  </si>
  <si>
    <t>Each creature spell you cast with toughness greater than its power costs {1} less to cast. Whenever a creature you control attacks or blocks, it gets +X/+X until end of turn, where X is the difference between its power and toughness.</t>
  </si>
  <si>
    <t>{1}{W}{B}{G}</t>
  </si>
  <si>
    <t>Preto, Verde, Branco</t>
  </si>
  <si>
    <t>Shattering Blow / Golpe Despedaçador</t>
  </si>
  <si>
    <t>Exile target artifact. / Exile o artefato alvo.</t>
  </si>
  <si>
    <t>{1}{R/W}</t>
  </si>
  <si>
    <t>Pursue the Past</t>
  </si>
  <si>
    <t>You gain 2 life. You may discard a card. If you do, draw two cards. Flashback {2}{R}{W} (You may cast this card from your graveyard for its flashback cost. Then exile it.)</t>
  </si>
  <si>
    <t>{R}{W}</t>
  </si>
  <si>
    <t>Tannuk, Memorial Ensign</t>
  </si>
  <si>
    <t>Legendary Creature — Kavu Pilot</t>
  </si>
  <si>
    <t>Landfall — Whenever a land you control enters, Tannuk deals 1 damage to each opponent. If this is the second time this ability has resolved this turn, draw a card.</t>
  </si>
  <si>
    <t>Edge of Eternities (EOE)</t>
  </si>
  <si>
    <t>Munitions Expert / Especialista em Municiamento</t>
  </si>
  <si>
    <t>Flash When this creature enters, you may have it deal damage to target creature or planeswalker equal to the number of Goblins you control. / Lampejo Quando Especialista em Municiamento entra no campo de batalha, você pode fazer com que ele cause à criatura ou ao planeswalker alvo dano igual ao número de Goblins que você controla.</t>
  </si>
  <si>
    <t>Theater of Horrors / Teatro de Horrores</t>
  </si>
  <si>
    <t>At the beginning of your upkeep, exile the top card of your library. During your turn, if an opponent lost life this turn, you may play lands and cast spells from among cards exiled with this enchantment. {3}{R}: This enchantment deals 1 damage to target opponent or planeswalker. / No início de sua manutenção, exile o card do topo de seu grimório. Durante o seu turno, se um oponente perdeu pontos de vida neste turno, você pode jogar cards exilados com Teatro de Horrores. {3}{R}: Teatro de Horrores causa 1 ponto de dano ao oponente ou planeswalker alvo.</t>
  </si>
  <si>
    <t>{1}{B}{R}</t>
  </si>
  <si>
    <t>Fireblade Artist / Artista da Lâmina de Fogo</t>
  </si>
  <si>
    <t>Haste At the beginning of your upkeep, you may sacrifice a creature. When you do, this creature deals 2 damage to target opponent or planeswalker. / Ímpeto No início de sua manutenção, você pode sacrificar uma criatura. Quando você o faz, Artista da Lâmina de Fogo causa 2 pontos de dano ao oponente ou planeswalker alvo.</t>
  </si>
  <si>
    <t>Sigil Blessing / Bênção da insígnia</t>
  </si>
  <si>
    <t>Until end of turn, target creature you control gets +3/+3 and other creatures you control get +1/+1. / Até o final do turno, a criatura alvo que você controla recebe +3/+3 e as outras criaturas que você controla recebem +1/+1.</t>
  </si>
  <si>
    <t xml:space="preserve">Duel Decks: Knights vs. Dragons </t>
  </si>
  <si>
    <t>Nature's Chant / Canto da Natureza</t>
  </si>
  <si>
    <t>Destroy target artifact or enchantment. / Destrua o artefato ou encantamento alvo.</t>
  </si>
  <si>
    <t>Zaffai and the Tempests</t>
  </si>
  <si>
    <t>Legendary Creature — Human Bard Sorcerer</t>
  </si>
  <si>
    <t>Once during each of your turns, you may cast an instant or sorcery spell from your hand without paying its mana cost.</t>
  </si>
  <si>
    <t>{5}{U}{R}</t>
  </si>
  <si>
    <t>Saheeli, Sublime Artificer / Saheeli, Artífice Sublime</t>
  </si>
  <si>
    <t>Legendary Planeswalker — Saheeli / Planeswalker Lendário — Saheeli</t>
  </si>
  <si>
    <t>Whenever you cast a noncreature spell, create a 1/1 colorless Servo artifact creature token. −2: Target artifact you control becomes a copy of another target artifact or creature you control until end of turn, except it's an artifact in addition to its other types. / Toda vez que você conjurar uma mágica que não seja de criatura, crie uma ficha de criatura artefato incolor 1/1 do tipo Servus. −2: O artefato alvo que você controla se torna uma cópia de outro artefato ou criatura alvo que você controla até o final do turno, com a exceção de ser um artefato além de seus outros tipos.</t>
  </si>
  <si>
    <t>Crackling Drake / Dragonete Fagulhante</t>
  </si>
  <si>
    <t>Creature — Drake / Criatura — Dragonete</t>
  </si>
  <si>
    <t>Flying Crackling Drake's power is equal to the total number of instant and sorcery cards you own in exile and in your graveyard. When this creature enters, draw a card. / Voar O poder de Dragonete Fagulhante é igual ao número de cards de mágica instantânea e feitiço que você possui no exílio e em seu cemitério. Quando Dragonete Fagulhante entrar no campo de batalha, compre um card.</t>
  </si>
  <si>
    <t>{U}{U}{R}{R}</t>
  </si>
  <si>
    <t>*/4</t>
  </si>
  <si>
    <t>Stormchaser Mage / Mago Caçador de Tempestades</t>
  </si>
  <si>
    <t>Flying, haste Prowess (Whenever you cast a noncreature spell, this creature gets +1/+1 until end of turn.) / Voar, ímpeto Destreza (Toda vez que você conjura uma mágica que não seja de criatura, esta criatura recebe +1/+1 até o final do turno.)</t>
  </si>
  <si>
    <t>{U}{R}</t>
  </si>
  <si>
    <t>Galadriel, Elven-Queen / Galadriel, Rainha Élfica</t>
  </si>
  <si>
    <t>Legendary Creature — Elf Noble / Criatura Lendária — Elfo Nobre</t>
  </si>
  <si>
    <t>Will of the council — At the beginning of combat on your turn, if another Elf entered the battlefield under your control this turn, starting with you, each player votes for dominion or guidance. If dominion gets more votes, the Ring tempts you, then you put a +1/+1 counter on your Ring-bearer. If guidance gets more votes or the vote is tied, draw a card. / Vontade do conselho — No início do combate no seu turno, se outro Elfo tiver entrado no campo de batalha sob seu controle neste turno, começando por você, cada jogador vota por domínio ou orientação. Se domínio tiver mais votos, o Anel tentará você e, em seguida, você colocará um marcador +1/+1 em seu Guardião do Anel. Se orientação tiver mais votos ou se a votação estiver empatada, compre um card.</t>
  </si>
  <si>
    <t>{2}{G}{U}</t>
  </si>
  <si>
    <t>Tales of Middle-earth Commander (LTC)</t>
  </si>
  <si>
    <t>Biovisionary / Biovisionário</t>
  </si>
  <si>
    <t>At the beginning of the end step, if you control four or more creatures named Biovisionary, you win the game. / No início da etapa final, se você controlar quatro ou mais criaturas com o nome Biovisionário, você ganha o jogo.</t>
  </si>
  <si>
    <t>Sharktocrab / Tubaropolvoguejo</t>
  </si>
  <si>
    <t>Creature — Shark Octopus Crab / Criatura — Peixe Polvo Caranguejo</t>
  </si>
  <si>
    <t>{2}{G}{U}: Adapt 1. (If this creature has no +1/+1 counters on it, put a +1/+1 counter on it.) Whenever one or more +1/+1 counters are put on this creature, tap target creature an opponent controls. That creature doesn't untap during its controller's next untap step. / {2}{G}: Adaptar 1. (Se esta criatura não tiver marcadores +1/+1, coloque um marcador +1/+1 nela.) Toda vez que um ou mais marcadores +1/+1 forem colocados em Tubaropolvoguejo, vire a criatura alvo que um oponente controla. Aquela criatura não é desvirada durante a próxima etapa de desvirar de seu controlador.</t>
  </si>
  <si>
    <t>Camaraderie / Camaradagem</t>
  </si>
  <si>
    <t>You gain X life and draw X cards, where X is the number of creatures you control. Creatures you control get +1/+1 until end of turn. / Você ganha X pontos de vida e compra X cards, sendo X o número de criaturas que você controla. As criaturas que você controla recebem +1/+1 até o final do turno.</t>
  </si>
  <si>
    <t>{4}{G}{W}</t>
  </si>
  <si>
    <t>Carnival // Carnage / Carnaval // Carnificina</t>
  </si>
  <si>
    <t>Instant // Sorcery / Mágica Instantânea</t>
  </si>
  <si>
    <t>Carnival: Carnival deals 1 damage to target creature or planeswalker and 1 damage to that permanent's controller. // Carnage: Carnage deals 3 damage to target opponent. That player discards two cards. / Carnaval causa 1 ponto de dano à criatura ou ao planeswalker alvo e 1 ponto de dano ao controlador daquela permanente.</t>
  </si>
  <si>
    <t>{B/R} // {2}{B}{R}</t>
  </si>
  <si>
    <t>Connive // Concoct / Conivente // Concoctante</t>
  </si>
  <si>
    <t>Sorcery // Sorcery / Feitiço</t>
  </si>
  <si>
    <t>Connive: Gain control of target creature with power 2 or less. // Concoct: Surveil 3, then return a creature card from your graveyard to the battlefield. / Ganhe o controle da criatura alvo com poder igual ou inferior a 2.</t>
  </si>
  <si>
    <t>{2}{U/B}{U/B} // {3}{U}{B}</t>
  </si>
  <si>
    <t>Murders at Karlov Manor Commander (MKC)</t>
  </si>
  <si>
    <t>Goblin Archaeologist / Arqueólogo Goblin</t>
  </si>
  <si>
    <t>{R}, {T}: Flip a coin. If you win the flip, destroy target artifact and untap this creature. If you lose the flip, sacrifice this creature. / {R}, {T}: Lance uma moeda. Se você vencer o lance, destrua a criatura artefato alvo e desvire Arqueólogo Goblin. Se perder, sacrifique Arqueólogo Goblin.</t>
  </si>
  <si>
    <t>Darksteel (DST)</t>
  </si>
  <si>
    <t>Goblin Razerunners / Arrasa-quarteirões Goblin</t>
  </si>
  <si>
    <t>{1}{R}, Sacrifice a land: Put a +1/+1 counter on this creature. At the beginning of your end step, you may have this creature deal damage equal to the number of +1/+1 counters on it to target player or planeswalker. / {1}{R}, sacrifique um terreno: Coloque um marcador +1/+1 em Arrasa-quarteirões Goblin. No início de sua etapa final, você pode fazer com que Arrasa-quarteirões Goblin cause ao jogador ou planeswalker alvo dano igual ao número de marcadores +1/+1 nele.</t>
  </si>
  <si>
    <t>{2}{R}{R}</t>
  </si>
  <si>
    <t>Battlebond (BBD)</t>
  </si>
  <si>
    <t>Crazed Goblin / Goblin Enlouquecido</t>
  </si>
  <si>
    <t>Creature — Goblin Warrior / Criatura — Guerreiro Goblin</t>
  </si>
  <si>
    <t>This creature attacks each combat if able. / Goblin Enlouquecido ataca a cada turno se estiver apto.</t>
  </si>
  <si>
    <t>Goblin Striker / Golpeador Goblin</t>
  </si>
  <si>
    <t>First strike, haste / Iniciativa, ímpeto</t>
  </si>
  <si>
    <t>Consecrate // Consume / Devotar // Devorar</t>
  </si>
  <si>
    <t>Consecrate: Exile target card from a graveyard. Draw a card. // Consume: Target player sacrifices a creature with the greatest power among creatures they control. You gain life equal to its power. / Exile o card alvo de um cemitério. Compre um card.</t>
  </si>
  <si>
    <t>{1}{W/B} // {2}{W}{B}</t>
  </si>
  <si>
    <t>Channel / Canal</t>
  </si>
  <si>
    <t>Until end of turn, any time you could activate a mana ability, you may pay 1 life. If you do, add {C}. / Até o final do turno, a qualquer momento em que você poderia ativar uma habilidade de mana, você poderá pagar 1 ponto de vida. Se fizer isso, adicione {C}.</t>
  </si>
  <si>
    <t>From the Vault: Exiled (V09)</t>
  </si>
  <si>
    <t>Naya Hushblade / Lâmina Silenciosa de Naya</t>
  </si>
  <si>
    <t>Creature — Elf Rogue / Criatura — Elfo Ladino</t>
  </si>
  <si>
    <t>As long as you control another multicolored permanent, this creature gets +1/+1 and has shroud. (It can't be the target of spells or abilities.) / Enquanto você controlar outra permanente multicolorida, Lâmina Silenciosa de Naya receberá +1/+1 e terá manto. (Ela não pode ser alvo de mágicas nem de habilidades.)</t>
  </si>
  <si>
    <t>{R/W}{G}</t>
  </si>
  <si>
    <t>Double Cleave / Rachar em Dois</t>
  </si>
  <si>
    <t>Target creature gains double strike until end of turn. (It deals both first-strike and regular combat damage.) / A criatura alvo ganha golpe duplo até o final do turno. (Ela causa tanto o dano de iniciativa quanto o dano de combate normal.)</t>
  </si>
  <si>
    <t>Jund Hackblade / Lâmina Golpeadora de Jund</t>
  </si>
  <si>
    <t>As long as you control another multicolored permanent, this creature gets +1/+1 and has haste. / Enquanto você controlar outra permanente multicolorida, Lâmina Golpeadora de Jund receberá +1/+1 e terá ímpeto.</t>
  </si>
  <si>
    <t>{B/G}{R}</t>
  </si>
  <si>
    <t>Preto, Verde, Vermelho</t>
  </si>
  <si>
    <t>Snowhorn Rider / Ginete de Nivicórneo</t>
  </si>
  <si>
    <t>Trample Morph {2}{G}{U}{R} (You may cast this card face down as a 2/2 creature for {3}. Turn it face up any time for its morph cost.) / Atropelar Metamorfose {2}{G}{U}{R} (Você pode conjurar este card com a face voltada para baixo como uma criatura 2/2 por {3}. Volte sua face para cima a qualquer momento pagando seu custo de metamorfose.)</t>
  </si>
  <si>
    <t>{3}{G}{U}{R}</t>
  </si>
  <si>
    <t>Verde, Vermelho, Azul</t>
  </si>
  <si>
    <t>Boros Recruit / Recruta Boros</t>
  </si>
  <si>
    <t>Creature — Goblin Soldier / Criatura - Soldado Goblin</t>
  </si>
  <si>
    <t>({R/W} can be paid with either {R} or {W}.) First strike / ({R/W} pode ser pago com {R} ou {W}.) Iniciativa</t>
  </si>
  <si>
    <t>{R/W}</t>
  </si>
  <si>
    <t>Morselhoarder / Abocanhador</t>
  </si>
  <si>
    <t>This creature enters with two -1/-1 counters on it. Remove a -1/-1 counter from this creature: Add one mana of any color. / Abocanhador entra em jogo com dois marcadores -1/-1. Remova um marcador -1/-1 de Abocanhador: Adicione um mana de qualquer cor à sua reserva de mana.</t>
  </si>
  <si>
    <t>{4}{R/G}{R/G}</t>
  </si>
  <si>
    <t>Scarscale Ritual / Ritual de Escamo-Tatuagem</t>
  </si>
  <si>
    <t>As an additional cost to cast this spell, put a -1/-1 counter on a creature you control. Draw two cards. / Como custo adicional para jogar Ritual de Escamo-Tatuagem, coloque um marcador -1/-1 numa criatura que você controla. Compre dois cards.</t>
  </si>
  <si>
    <t>{1}{U/B}</t>
  </si>
  <si>
    <t>Start // Finish / Começar // Terminar</t>
  </si>
  <si>
    <t>Start: Create two 1/1 white Warrior creature tokens with vigilance. // Finish: Aftermath (Cast this spell only from your graveyard. Then exile it.) As an additional cost to cast this spell, sacrifice a creature. Destroy target creature. / Crie duas fichas de criatura branca 1/1 do tipo Guerreiro com vigilância.</t>
  </si>
  <si>
    <t>{2}{W} // {2}{B}</t>
  </si>
  <si>
    <t>Resolute Rider / Ginete Resoluta</t>
  </si>
  <si>
    <t>Creature — Human Knight / Criatura — Humano Cavaleiro</t>
  </si>
  <si>
    <t>{W/B}{W/B}: This creature gains lifelink until end of turn. {W/B}{W/B}{W/B}: This creature gains indestructible until end of turn. (Damage and effects that say "destroy" don't destroy it.) / {W/B}{W/B}: Ginete Resoluta ganha vínculo com a vida até o final do turno. {W/B}{W/B}{W/B}: Ginete Resoluta ganha indestrutível até o final do turno. (O dano e os efeitos que dizem "destrua" não a destroem.)</t>
  </si>
  <si>
    <t>{W/B}{W/B}{W/B}{W/B}</t>
  </si>
  <si>
    <t>Grotesque Demise / Fim Grotesco</t>
  </si>
  <si>
    <t>Exile target creature with power 3 or less. / Exile a criatura alvo com poder igual ou inferior a 3.</t>
  </si>
  <si>
    <t>Junkblade Bruiser</t>
  </si>
  <si>
    <t>Creature — Raccoon Berserker</t>
  </si>
  <si>
    <t>Trample Whenever you expend 4, this creature gets +2/+1 until end of turn. (You expend 4 as you spend your fourth total mana to cast spells during a turn.)</t>
  </si>
  <si>
    <t>{3}{R/G}{R/G}</t>
  </si>
  <si>
    <t>Feed the Cauldron / Alimentar o Caldeirão</t>
  </si>
  <si>
    <t>Destroy target creature with mana value 3 or less. If it's your turn, create a Food token. (It's an artifact with "{2}, {T}, Sacrifice this token: You gain 3 life.") / Destrua a criatura alvo com valor de mana igual ou inferior a 3. Se for o seu turno, crie uma ficha de Comida. (Ela é um artefato com "{2}, {T}, sacrifique este artefato: Você ganha 3 pontos de vida".)</t>
  </si>
  <si>
    <t>Wilds of Eldraine (WOE)</t>
  </si>
  <si>
    <t>Cloudshift / Desvio Nebular</t>
  </si>
  <si>
    <t>Exile target creature you control, then return that card to the battlefield under your control. / Exile uma criatura alvo que você controla e depois devolva aquele card ao campo de batalha sob seu controle.</t>
  </si>
  <si>
    <t>Blind Zealot / Zelote Cego</t>
  </si>
  <si>
    <t>Creature — Phyrexian Human Cleric / Criatura — Humano Clérigo</t>
  </si>
  <si>
    <t>Intimidate (This creature can't be blocked except by artifact creatures and/or creatures that share a color with it.) Whenever this creature deals combat damage to a player, you may sacrifice it. If you do, destroy target creature that player controls. / Intimidar (Esta criatura só pode ser bloqueada por criaturas artefato e/ou criaturas que compartilhem uma cor com ela.) Quando Zelote Cego causar dano de combate a um jogador, você poderá sacrificá-lo. Se fizer isso, destrua a criatura alvo que aquele jogador controla.</t>
  </si>
  <si>
    <t>New Phyrexia (NPH)</t>
  </si>
  <si>
    <t>Blood Reckoning / Vingança Sangrenta</t>
  </si>
  <si>
    <t>Whenever a creature attacks you or a planeswalker you control, that creature's controller loses 1 life. / Toda vez que uma criatura atacar você ou um planeswalker que você controle, o controlador daquela criatura perde 1 ponto de vida.</t>
  </si>
  <si>
    <t>Magic 2013 (M13)</t>
  </si>
  <si>
    <t>Temple Thief / Ladrão de Templos</t>
  </si>
  <si>
    <t>Creature — Human Rogue / Criatura — Humano Ladino</t>
  </si>
  <si>
    <t>This creature can't be blocked by enchanted creatures or enchantment creatures. / Ladrão de Templos não pode ser bloqueado por criaturas encantadas nem criaturas encantamento.</t>
  </si>
  <si>
    <t>Miasmic Mummy / Múmia Miasmática</t>
  </si>
  <si>
    <t>Creature — Zombie Jackal / Criatura — Zumbi Chacal</t>
  </si>
  <si>
    <t>When this creature enters, each player discards a card. / Quando Múmia Miasmática entra no campo de batalha, cada jogador descarta um card.</t>
  </si>
  <si>
    <t>River's Grasp / Garras do Rio</t>
  </si>
  <si>
    <t>If {U} was spent to cast this spell, return up to one target creature to its owner's hand. If {B} was spent to cast this spell, target player reveals their hand, you choose a nonland card from it, then that player discards that card. (Do both if {U}{B} was spent.) / Se {U} foi gasto para jogar Garras do Rio, devolva até uma criatura alvo para a mão de seu dono. Se {B} foi gasto para jogar Garras do Rio, o jogador alvo revela sua mão, você escolhe um card que não seja um terreno dela e aquele jogador descarta aquele card. (Faça ambas as coisas se {U}{B} foi gasto.)</t>
  </si>
  <si>
    <t>{3}{U/B}</t>
  </si>
  <si>
    <t>Gravelgill Axeshark / Tubarão-Machado Petreobrânquio</t>
  </si>
  <si>
    <t>Creature — Merfolk Soldier / Criatura — Tritão Soldado</t>
  </si>
  <si>
    <t>Persist (When this creature dies, if it had no -1/-1 counters on it, return it to the battlefield under its owner's control with a -1/-1 counter on it.) / Persistir (Quando esta criatura for colocada num cemitério vinda do jogo, se ela não tiver nenhum marcador -1/-1, devolva-a para o jogo sob o controle de seu dono com um marcador -1/-1.)</t>
  </si>
  <si>
    <t>{4}{U/B}</t>
  </si>
  <si>
    <t>Fate Transfer / Transferência de Destino</t>
  </si>
  <si>
    <t>Move all counters from target creature onto another target creature. / Mova todos os marcadores da criatura alvo para outra criatura alvo.</t>
  </si>
  <si>
    <t>Wanderbrine Rootcutters / Corta-Raízes de Salmorerrante</t>
  </si>
  <si>
    <t>This creature can't be blocked by green creatures. / Corta-Raízes de Salmorerrante não pode ser bloqueado por criaturas verdes.</t>
  </si>
  <si>
    <t>{2}{U/B}{U/B}</t>
  </si>
  <si>
    <t>Oona's Gatewarden / Guardião dos Portões de Oona</t>
  </si>
  <si>
    <t>Creature — Faerie Soldier / Criatura — Fada Soldado</t>
  </si>
  <si>
    <t>Defender, flying Wither (This deals damage to creatures in the form of -1/-1 counters.) / Voar, defensor Murchar (Esta fonte causa dano a criaturas na forma de marcadores -1/-1.)</t>
  </si>
  <si>
    <t>{U/B}</t>
  </si>
  <si>
    <t>Cultbrand Cinder / Cinzeríneo Culto-do-Estigma</t>
  </si>
  <si>
    <t>Creature — Elemental Shaman / Criatura — Elemental Xamã</t>
  </si>
  <si>
    <t>When this creature enters, put a -1/-1 counter on target creature. / Quando Cinzeríneo Culto-do-Estigma entrar em jogo, coloque um marcador -1/-1 na criatura alvo.</t>
  </si>
  <si>
    <t>{4}{B/R}</t>
  </si>
  <si>
    <t>Spiteflame Witch / Bruxa da Chama Maliciosa</t>
  </si>
  <si>
    <t>{B}{R}: Each player loses 1 life. / {B}{R}: Cada jogador perde 1 ponto de vida.</t>
  </si>
  <si>
    <t>{1}{B/R}</t>
  </si>
  <si>
    <t>Syndicate Guildmage / Mago de Guilda do Sindicato</t>
  </si>
  <si>
    <t>{1}{W}, {T}: Tap target creature with power 4 or greater. {4}{B}, {T}: This creature deals 2 damage to target opponent or planeswalker. / {1}{W}, {T}: Vire a criatura alvo com poder igual ou superior a 4. {4}{B}, {T}: Mago de Guilda do Sindicato causa 2 pontos de dano ao oponente ou planeswalker alvo.</t>
  </si>
  <si>
    <t>Forsaken Drifters / Errantes Abandonados</t>
  </si>
  <si>
    <t>When this creature dies, mill four cards. / Quando Errantes Abandonados morrer, coloque os quatro cards do topo de seu grimório em seu cemitério.</t>
  </si>
  <si>
    <t>Crow of Dark Tidings / Corvo das Notícias Sombrias</t>
  </si>
  <si>
    <t>Creature — Zombie Bird / Criatura — Zumbi Ave</t>
  </si>
  <si>
    <t>Flying When this creature enters or dies, mill two cards. (Put the top two cards of your library into your graveyard.) / Voar Quando Corvo das Notícias Sombrias entrar no campo de batalha ou morrer, coloque os dois cards do topo de seu grimório em seu cemitério.</t>
  </si>
  <si>
    <t>Carrion Crow / Corvo Carniceiro</t>
  </si>
  <si>
    <t>Flying (This creature can't be blocked except by creatures with flying or reach.) This creature enters tapped. / Voar (Esta criatura só pode ser bloqueada por criaturas com voar ou alcance.) Corvo Carniceiro entra no campo de batalha virado.</t>
  </si>
  <si>
    <t>Serrated Scorpion / Escorpião Serrilhado</t>
  </si>
  <si>
    <t>Creature — Scorpion / Criatura — Escorpião</t>
  </si>
  <si>
    <t>When this creature dies, it deals 2 damage to each opponent and you gain 2 life. / Quando Escorpião Serrilhado morre, ele causa 2 pontos de dano a cada oponente e você ganha 2 pontos de vida.</t>
  </si>
  <si>
    <t>Feast of Flesh / Banquete de Carne</t>
  </si>
  <si>
    <t>Feast of Flesh deals X damage to target creature and you gain X life, where X is 1 plus the number of cards named Feast of Flesh in all graveyards. / Banquete de Carne causa X pontos de dano à criatura alvo e você ganha X pontos de vida, onde X é igual a 1 mais o número de cards com o nome Banquete de Carne em todos os cemitérios.</t>
  </si>
  <si>
    <t>Demonic Gifts / Dons Demoníacos</t>
  </si>
  <si>
    <t>Until end of turn, target creature gets +2/+0 and gains "When this creature dies, return it to the battlefield under its owner's control." / Até o final do turno, a criatura alvo recebe +2/+0 e ganha "Quando esta criatura morrer, devolva-a ao campo de batalha virada sob o controle de seu dono".</t>
  </si>
  <si>
    <t>Skullport Merchant / Mercadora do Porto da Caveira</t>
  </si>
  <si>
    <t>Creature — Dwarf Citizen / Criatura — Anão Cidadão</t>
  </si>
  <si>
    <t>When this creature enters, create a Treasure token. (It's an artifact with "{T}, Sacrifice this token: Add one mana of any color.") {1}{B}, Sacrifice another creature or a Treasure: Draw a card. / Quando Mercadora do Porto da Caveira entrar no campo de batalha, crie uma ficha de Tesouro. (Ela é um artefato com "{T}, sacrifique este artefato: Adicione um mana de qualquer cor".) {1}{B}, sacrifique outra criatura ou um Tesouro: Compre um card.</t>
  </si>
  <si>
    <t>Wailing Ghoul / Carniçal Lamuriante</t>
  </si>
  <si>
    <t>When this creature enters, mill two cards. (Put the top two cards of your library into your graveyard.) / Quando Carniçal Lamuriante entrar no campo de batalha, coloque os dois cards do topo de seu grimório em seu cemitério.</t>
  </si>
  <si>
    <t>Vraska's Finisher / Finalizadora de Vraska</t>
  </si>
  <si>
    <t>Creature — Gorgon Assassin / Criatura — Górgona Assassino</t>
  </si>
  <si>
    <t>When this creature enters, destroy target creature or planeswalker an opponent controls that was dealt damage this turn. / Quando Finalizadora de Vraska entrar no campo de batalha, destrua a criatura ou planeswalker alvo que um oponente controla que tenha sofrido dano neste turno.</t>
  </si>
  <si>
    <t>Dread Shade / Sombra Aterrorizante</t>
  </si>
  <si>
    <t>Creature — Shade / Criatura — Sombra</t>
  </si>
  <si>
    <t>{B}: This creature gets +1/+1 until end of turn. / {B}: Sombra Aterrorizante recebe +1/+1 até o final do turno.</t>
  </si>
  <si>
    <t>{B}{B}{B}</t>
  </si>
  <si>
    <t>Vampire Opportunist / Oportunista Vampira</t>
  </si>
  <si>
    <t>{6}{B}: Each opponent loses 2 life and you gain 2 life. / {6}{B}: Cada oponente perde 2 pontos de vida e você ganha 2 pontos de vida.</t>
  </si>
  <si>
    <t>Drana's Silencer / Silenciador de Drana</t>
  </si>
  <si>
    <t>Creature — Vampire Rogue / Criatura — Vampiro Ladino</t>
  </si>
  <si>
    <t>When this creature enters, target creature an opponent controls gets -X/-X until end of turn, where X is the number of creatures in your party. (Your party consists of up to one each of Cleric, Rogue, Warrior, and Wizard.) / Quando Silenciador de Drana entra no campo de batalha, a criatura alvo que um oponente controla recebe -X/-X até o final do turno, sendo X o número de criaturas em seu grupo. (Seu grupo consiste em até um membro de cada um dos seguintes tipos: Clérigo, Ladino, Guerreiro e Mago.)</t>
  </si>
  <si>
    <t>{5}{B}</t>
  </si>
  <si>
    <t>Soul Transfer / Transferência de Alma</t>
  </si>
  <si>
    <t>Choose one. If you control an artifact and an enchantment as you cast this spell, you may choose both instead. • Exile target creature or planeswalker. • Return target creature or planeswalker card from your graveyard to your hand. / Escolha um. Se você controlar um artefato e um encantamento conforme você conjurar esta mágica, você poderá escolher ambos. • Exile a criatura ou o planeswalker alvo. • Devolva o card de criatura ou planeswalker alvo de seu cemitério para sua mão.</t>
  </si>
  <si>
    <t>Fathom Fleet Cutthroat / Degoladora da Frota Abissal</t>
  </si>
  <si>
    <t>Creature — Human Pirate / Criatura — Humano Pirata</t>
  </si>
  <si>
    <t>When this creature enters, destroy target creature an opponent controls that was dealt damage this turn. / Quando Degoladora da Frota Abissal entrar no campo de batalha, destrua a criatura alvo que um oponente controla que sofreu dano neste turno.</t>
  </si>
  <si>
    <t>Falkenrath Torturer / Torturador Falkenrath</t>
  </si>
  <si>
    <t>Sacrifice a creature: This creature gains flying until end of turn. If the sacrificed creature was a Human, put a +1/+1 counter on this creature. / Sacrifique uma criatura: Torturador Falkenrath ganha voar até o final do turno. Se a criatura sacrificada era um Humano, coloque um marcador +1/+1 sobre Torturador Falkenrath.</t>
  </si>
  <si>
    <t>Spark Harvest / Colheita das Centelhas</t>
  </si>
  <si>
    <t>As an additional cost to cast this spell, sacrifice a creature or pay {3}{B}. Destroy target creature or planeswalker. / Como custo adicional para conjurar esta mágica, sacrifique uma criatura ou pague {3}{B}. Destrua a criatura ou o planeswalker alvo.</t>
  </si>
  <si>
    <t>Queen's Agent / Agente da Rainha</t>
  </si>
  <si>
    <t>Creature — Vampire Scout / Criatura — Vampiro Batedor</t>
  </si>
  <si>
    <t>Lifelink When this creature enters, it explores. (Reveal the top card of your library. Put that card into your hand if it's a land. Otherwise, put a +1/+1 counter on this creature, then put the card back or put it into your graveyard.) / Vínculo com a vida Quando Agente da Rainha entra no campo de batalha, ele explora. (Revele o card do topo de seu grimório. Coloque aquele card em sua mão se ele for um terreno. Caso contrário, coloque um marcador +1/+1 nesta criatura e, em seguida, devolva o card ao grimório ou coloque-o em seu cemitério.)</t>
  </si>
  <si>
    <t>Highborn Ghoul / Carniçal Fidalgo</t>
  </si>
  <si>
    <t>Intimidate (This creature can't be blocked except by artifact creatures and/or creatures that share a color with it.) / Intimidar (Esta criatura só pode ser bloqueada por criaturas artefato e/ou criaturas que compartilhem uma cor com ela.)</t>
  </si>
  <si>
    <t>Mind Rot / Estiolar a Mente</t>
  </si>
  <si>
    <t>Target player discards two cards. / O jogador alvo descarta dois cards.</t>
  </si>
  <si>
    <t>Mardu Skullhunter / Caçador de Crânios Mardu</t>
  </si>
  <si>
    <t>This creature enters tapped. Raid — When this creature enters, if you attacked this turn, target opponent discards a card. / Caçador de Crânios Mardu entra no campo de batalha virado. Raide — Quando Caçador de Crânios Mardu entra no campo de batalha, se você atacou com uma criatura neste turno, o oponente alvo descarta um card.</t>
  </si>
  <si>
    <t>Reap the Seagraf / Colheita de Cemitério Marinho</t>
  </si>
  <si>
    <t>Create a 2/2 black Zombie creature token. Flashback {4}{U} (You may cast this card from your graveyard for its flashback cost. Then exile it.) / Coloque no campo de batalha uma ficha de criatura preta 2/2 do tipo Zumbi. Recapitular {4}{U} (Você pode conjurar este card de seu cemitério pagando seu custo de recapitular. Depois, exile-o.)</t>
  </si>
  <si>
    <t>Return to Action / De Volta à Ação</t>
  </si>
  <si>
    <t>Until end of turn, target creature gets +1/+0 and gains lifelink and "When this creature dies, return it to the battlefield tapped under its owner's control." / Até o final do turno, a criatura alvo recebe +1/+0 e ganha vínculo com a vida e "Quando esta criatura morrer, devolva-a ao campo de batalha virada sob o controle de seu dono".</t>
  </si>
  <si>
    <t>Zhur-Taa Goblin / Goblin Zhur-Taa</t>
  </si>
  <si>
    <t>Riot (This creature enters with your choice of a +1/+1 counter or haste.) / Tumulto (Esta criatura entra no campo de batalha com um marcador +1/+1 ou ímpeto, à sua escolha.)</t>
  </si>
  <si>
    <t>Electrolyze / Eletrolisar</t>
  </si>
  <si>
    <t>Electrolyze deals 2 damage divided as you choose among one or two targets. Draw a card. / Eletrolisar causa 2 pontos de dano distribuídos a sua escolha entre um ou dois alvos. Compre um card.</t>
  </si>
  <si>
    <t>Shirei, Shizo's Caretaker / Shirei, Vigia de Shizo</t>
  </si>
  <si>
    <t>Legendary Creature — Spirit / Criatura Lendária - Espírito</t>
  </si>
  <si>
    <t>Whenever a creature with power 1 or less is put into your graveyard from the battlefield, you may return that card to the battlefield at the beginning of the next end step if Shirei is still on the battlefield. / Toda vez que uma criatura com poder menor ou igual a 1 for colocada em seu cemitério vinda de jogo, você pode devolver aquele card de criatura para o jogo, sob seu controle, no final do turno se Shirei, Vigia de Shizo ainda estiver em jogo.</t>
  </si>
  <si>
    <t>Carrion Grub / Larva Necrófaga</t>
  </si>
  <si>
    <t>This creature gets +X/+0, where X is the greatest power among creature cards in your graveyard. When this creature enters, mill four cards. (Put the top four cards of your library into your graveyard.) / Larva Necrófaga recebe +X/+0, sendo X o maior poder entre os dos cards de criatura em seu cemitério. Quando Larva Necrófaga entrar no campo de batalha, triture quatro cards. (Coloque os quatro cards do topo de seu grimório em seu cemitério.)</t>
  </si>
  <si>
    <t>Triskaidekaphobia / Triscaidecafobia</t>
  </si>
  <si>
    <t>At the beginning of your upkeep, choose one — • Each player with exactly 13 life loses the game, then each player gains 1 life. • Each player with exactly 13 life loses the game, then each player loses 1 life. / No início de sua manutenção, escolha um — • Cada jogador com exatamente 13 pontos de vida perde o jogo e, depois, cada jogador ganha 1 ponto de vida. • Cada jogador com exatamente 13 pontos de vida perde o jogo e, depois, cada jogador perde 1 ponto de vida.</t>
  </si>
  <si>
    <t>Bogbrew Witch / Bruxa da Poção Pantanosa</t>
  </si>
  <si>
    <t>{2}, {T}: Search your library for a card named Festering Newt or Bubbling Cauldron, put it onto the battlefield tapped, then shuffle. / {2}, {T}: Procure em seu grimório um card com o nome Salamandra Purulenta ou Caldeirão Borbulhante, coloque-o no campo de batalha virado e, depois, embaralhe seu grimório.</t>
  </si>
  <si>
    <t>Corpse Augur / Áugure Cadáver</t>
  </si>
  <si>
    <t>Creature — Zombie Wizard / Criatura — Zumbi Mago</t>
  </si>
  <si>
    <t>When this creature dies, you draw X cards and you lose X life, where X is the number of creature cards in target player's graveyard. / Quando Áugure Cadáver morre, você compra X cards e perde X pontos de vida, sendo X o número de cards de criatura no cemitério do jogador alvo.</t>
  </si>
  <si>
    <t>Midnight Hunt Commander (MIC)</t>
  </si>
  <si>
    <t>Bog Wraith / Aparição do Pântano</t>
  </si>
  <si>
    <t>Creature — Wraith / Criatura — Aparição</t>
  </si>
  <si>
    <t>Swampwalk (This creature can't be blocked as long as defending player controls a Swamp.) / Travessia de Pântano (Esta criatura não poderá ser bloqueada enquanto o jogador defensor controlar um Pântano.)</t>
  </si>
  <si>
    <t>Limited Edition Alpha (LEA)</t>
  </si>
  <si>
    <t>Entomber Exarch / Exarca Tumbeiro</t>
  </si>
  <si>
    <t>Creature — Phyrexian Cleric / Criatura — Clérigo</t>
  </si>
  <si>
    <t>When this creature enters, choose one — • Return target creature card from your graveyard to your hand. • Target opponent reveals their hand. You choose a noncreature card from it. That player discards that card. / Quando Exarca Tumbeiro entrar no campo de batalha, escolha um — Devolva o card de criatura alvo de seu cemitério para sua mão; ou o oponente alvo revela sua própria mão, você escolhe dela um card que não seja de criatura e depois aquele jogador descarta aquele card.</t>
  </si>
  <si>
    <t>Jumpstart (JMP)</t>
  </si>
  <si>
    <t>Evil Presence / Presença Maligna</t>
  </si>
  <si>
    <t>Enchant land Enchanted land is a Swamp. / Encantar terreno O terreno encantado é um Pântano.</t>
  </si>
  <si>
    <t>Nova Phyrexia</t>
  </si>
  <si>
    <t>Go-Shintai of Hidden Cruelty / Go-Shintai da Crueldade Oculta</t>
  </si>
  <si>
    <t>Legendary Enchantment Creature — Shrine / Criatura Encantamento Lendária — Sacrário</t>
  </si>
  <si>
    <t>Deathtouch At the beginning of your end step, you may pay {1}. When you do, destroy target creature with toughness X or less, where X is the number of Shrines you control. / Toque mortífero No início de sua etapa final, você pode pagar {1}. Quando você fizer isso, destrua a criatura alvo com resistência igual ou inferior a X, sendo X o número de Sacrários que você controla.</t>
  </si>
  <si>
    <t>Fleshmad Steed / Corcel Carnivoraz</t>
  </si>
  <si>
    <t>Creature — Horse / Criatura — Cavalo</t>
  </si>
  <si>
    <t>Whenever another creature dies, tap this creature. / Toda vez que outra criatura morrer, vire Corcel Carnivoraz.</t>
  </si>
  <si>
    <t>Persistent Marshstalker</t>
  </si>
  <si>
    <t>Creature — Rat Berserker</t>
  </si>
  <si>
    <t>This creature gets +1/+0 for each other Rat you control. Threshold — Whenever you attack with one or more Rats, if there are seven or more cards in your graveyard, you may pay {2}{B}. If you do, return this card from your graveyard to the battlefield tapped and attacking.</t>
  </si>
  <si>
    <t>Spirit of the Hunt / Espírito da Caça</t>
  </si>
  <si>
    <t>Creature — Wolf Spirit / Criatura — Lobo Espírito</t>
  </si>
  <si>
    <t>Flash When this creature enters, each other creature you control that's a Wolf or a Werewolf gets +0/+3 until end of turn. / Lampejo Quando Espírito da Caça entra no campo de batalha, cada outra criatura que você controla que seja um Lobo ou um Lobisomem recebe +0/+3 até o final do turno.</t>
  </si>
  <si>
    <t>Kraul Stinger / Aguilhoador Kraul</t>
  </si>
  <si>
    <t>Creature — Insect Assassin / Criatura — Inseto Assassino</t>
  </si>
  <si>
    <t>Charging Badger / Texugo Atacante</t>
  </si>
  <si>
    <t>Creature — Badger / Criatura — Texugo</t>
  </si>
  <si>
    <t>Trample / Atropelar</t>
  </si>
  <si>
    <t>Gnoll Hunter / Caçador Gnoll</t>
  </si>
  <si>
    <t>Creature — Gnoll / Criatura — Gnoll</t>
  </si>
  <si>
    <t>Pack tactics — Whenever this creature attacks, if you attacked with creatures with total power 6 or greater this combat, put a +1/+1 counter on this creature. / Táticas de grupo — Toda vez que Caçador Gnoll ataca, se você tiver atacado com criaturas com total de poder igual ou superior a 6 neste combate, coloque um marcador +1/+1 em Caçador Gnoll.</t>
  </si>
  <si>
    <t>Setessan Oathsworn / Jurado Setessano</t>
  </si>
  <si>
    <t>Creature — Satyr Warrior / Criatura — Sátiro Guerreiro</t>
  </si>
  <si>
    <t>Heroic — Whenever you cast a spell that targets this creature, put two +1/+1 counters on this creature. / Heroico — Toda vez que você conjurar uma mágica cujo alvo seja Jurado Setessano, coloque dois marcadores +1/+1 em Jurado Setessano.</t>
  </si>
  <si>
    <t>Sagu Archer / Arqueiro de Sagu</t>
  </si>
  <si>
    <t>Creature — Snake Archer / Criatura — Naga Arqueiro</t>
  </si>
  <si>
    <t>Reach (This creature can block creatures with flying.) Morph {4}{G} (You may cast this card face down as a 2/2 creature for {3}. Turn it face up any time for its morph cost.) / Alcance (Esta criatura pode bloquear criaturas com voar.) Metamorfose {4}{G} (Você pode conjurar este card com a face voltada para baixo como uma criatura 2/2 por {3}. Volte sua face para cima a qualquer momento pagando seu custo de metamorfose.)</t>
  </si>
  <si>
    <t>Flourishing Hunter / Caçadora Florescente</t>
  </si>
  <si>
    <t>When this creature enters, you gain life equal to the greatest toughness among other creatures you control. / Quando Caçadora Florescente entra no campo de batalha, você ganha uma quantidade de pontos de vida igual à maior resistência entre as das outras criaturas que você controla.</t>
  </si>
  <si>
    <t>Sentinel Spider / Aranha Sentinela</t>
  </si>
  <si>
    <t>Creature — Spider / Criatura — Aranha</t>
  </si>
  <si>
    <t>Vigilance, reach / Vigilância (Esta criatura não é virada para atacar.) Alcance (Esta criatura pode bloquear criaturas com voar.)</t>
  </si>
  <si>
    <t>Oran-Rief Recluse / Eremita de Oran-Rief</t>
  </si>
  <si>
    <t>Kicker {2}{G} (You may pay an additional {2}{G} as you cast this spell.) Reach (This creature can block creatures with flying.) When this creature enters, if it was kicked, destroy target creature with flying. / Reforçar {2}{G} (Você pode pagar um custo adicional de {2}{G} ao conjurar esta mágica.) Alcance (Esta criatura pode bloquear criaturas com voar.) Quando Eremita de Oran-Rief entrar no campo de batalha, se ele tiver sido reforçado, destrua a criatura alvo com voar.</t>
  </si>
  <si>
    <t>Trained Armodon / Armodonte Adestrado</t>
  </si>
  <si>
    <t>Duels of the Planeswalkers (DPA)</t>
  </si>
  <si>
    <t>Zombie Goliath / Golias Zumbi</t>
  </si>
  <si>
    <t>Creature — Zombie Giant / Criatura — Zumbi Gigante</t>
  </si>
  <si>
    <t>Shrivel</t>
  </si>
  <si>
    <t>All creatures get -1/-1 until end of turn.</t>
  </si>
  <si>
    <t>Maldição da Sede / Curse of Thirst</t>
  </si>
  <si>
    <t>Encantamento — Aura Maldição / Enchantment — Aura Curse</t>
  </si>
  <si>
    <t>Encantar jogador. No início da manutenção do jogador encantado, Maldição da Sede causa dano àquele jogador igual ao número de Maldições anexadas a ele. / Enchant player. At the beginning of enchanted player's upkeep, Curse of Thirst deals damage to that player equal to the number of Curses attached to them.</t>
  </si>
  <si>
    <t>Aberração Consumidora / Consuming Aberration</t>
  </si>
  <si>
    <t>O poder e a resistência de Aberração Consumidora são ambos iguais ao número de cards nos cemitérios de seus oponentes. Toda vez que você conjura uma mágica, cada oponente revela cards do topo do próprio grimório até revelar um card de terreno. Depois, ele coloca aqueles cards no próprio cemitério. / Consuming Aberration's power and toughness are each equal to the number of cards in your opponents' graveyards. Whenever you cast a spell, each opponent reveals cards from the top of their library until they reveal a land card, then puts those cards into their graveyard.</t>
  </si>
  <si>
    <t>{3}{U}{B}</t>
  </si>
  <si>
    <t>Azul e Preto / Blue and Black</t>
  </si>
  <si>
    <t>Colosso / Colossus // Colidir / Collision</t>
  </si>
  <si>
    <t>Colosso: A criatura alvo recebe +4/+2 e ganha atropelar até o final do turno. // Colidir: Colidir causa 6 pontos de dano à criatura alvo com voar. / Colossus: Target creature gets +4/+2 and gains trample until end of turn. // Collision: Collision deals 6 damage to target creature with flying.</t>
  </si>
  <si>
    <t>{G/U}{R} // {1}{G/U}</t>
  </si>
  <si>
    <t>Verde e Vermelho / Green and Red</t>
  </si>
  <si>
    <t>Wasp Lancer / Lanceiro de Vespa</t>
  </si>
  <si>
    <t>Flying / Voar</t>
  </si>
  <si>
    <t>Hypothesizzle / Hipótese Fulminante</t>
  </si>
  <si>
    <t>Draw two cards. Then you may discard a nonland card. When you do, Hypothesizzle deals 4 damage to target creature. / Compre dois cards. Em seguida, você pode descartar um card que não seja um terreno. Quando você faz isso, Hipótese Fulminante causa 4 pontos de dano à criatura alvo.</t>
  </si>
  <si>
    <t>{3}{U}{R}</t>
  </si>
  <si>
    <t>Breaking News (OTP)</t>
  </si>
  <si>
    <t>Chosen of Markov // Markov's Servant / Escolhida de Markov // Serva de Markov</t>
  </si>
  <si>
    <t>Creature — Human // Creature — Vampire / Criatura — Humano</t>
  </si>
  <si>
    <t>Chosen of Markov: {T}, Tap an untapped Vampire you control: Transform this creature. / {T}, Vire um Vampiro desvirado que você controla: Transforme Escolhida de Markov.</t>
  </si>
  <si>
    <t>Enigma Drake / Dragonete dos Enigmas</t>
  </si>
  <si>
    <t>Flying Enigma Drake's power is equal to the number of instant and sorcery cards in your graveyard. / Voar O poder de Dragonete dos Enigmas é igual ao número de cards de mágica instantânea e feitiço em seu cemitério.</t>
  </si>
  <si>
    <t>Visionary's Dance</t>
  </si>
  <si>
    <t>Create two 3/3 blue and red Elemental creature tokens with flying. {2}, Discard this card: Look at the top two cards of your library. Put one of them into your hand and the other into your graveyard.</t>
  </si>
  <si>
    <t>Sanar, Innovative First-Year</t>
  </si>
  <si>
    <t>Legendary Creature — Goblin Sorcerer</t>
  </si>
  <si>
    <t>Vivid — At the beginning of your first main phase, reveal cards from the top of your library until you reveal X nonland cards, where X is the number of colors among permanents you control. For each of those colors, you may exile a card of that color from among the revealed cards. Then shuffle. You may cast the exiled cards this turn.</t>
  </si>
  <si>
    <t>{2}{U/R}{U/R}</t>
  </si>
  <si>
    <t>Blistercoil Weird / Bizarro da Helicosfera</t>
  </si>
  <si>
    <t>Creature — Weird / Criatura — Bizarro</t>
  </si>
  <si>
    <t>Whenever you cast an instant or sorcery spell, this creature gets +1/+1 until end of turn. Untap it. / Toda vez que você conjurar uma mágica instantânea ou feitiço, Bizarro da Helicosfera recebe +1/+1 até o final do turno. Desvire-o.</t>
  </si>
  <si>
    <t>{U/R}</t>
  </si>
  <si>
    <t>Oko's Hospitality / Hospitalidade de Oko</t>
  </si>
  <si>
    <t>Creatures you control have base power and toughness 3/3 until end of turn. You may search your library and/or graveyard for a card named Oko, the Trickster, reveal it, and put it into your hand. If you search your library this way, shuffle. / As criaturas que você controla têm poder e resistência básicos 3/3 até o final do turno. Você pode procurar um card com o nome Oko, o Travesso, em seu grimório e/ou cemitério, revelá-lo e colocá-lo em sua mão. Se procurar em seu grimório desta maneira, embaralhe-o.</t>
  </si>
  <si>
    <t>Biomass Mutation / Mutação de Biomassa</t>
  </si>
  <si>
    <t>Creatures you control have base power and toughness X/X until end of turn. / As criaturas que você controla se tornam X/X até o final do turno.</t>
  </si>
  <si>
    <t>{X}{G/U}{G/U}</t>
  </si>
  <si>
    <t>Hydroform / Hidroformar</t>
  </si>
  <si>
    <t>Target land becomes a 3/3 Elemental creature with flying until end of turn. It's still a land. / O terreno alvo torna-se uma criatura do tipo Elemental 3/3 com voar até o final do turno. Ela ainda conta como um terreno.</t>
  </si>
  <si>
    <t>Call to the Feast / Chamado ao Banquete</t>
  </si>
  <si>
    <t>Create three 1/1 white Vampire creature tokens with lifelink. / Crie três fichas de criatura branca 1/1 do tipo Vampiro com vínculo com a vida.</t>
  </si>
  <si>
    <t>Double Masters 2022 (2X2)</t>
  </si>
  <si>
    <t>Incongruência / Incongruity // Incubação / Incubation</t>
  </si>
  <si>
    <t>Mágica Instantânea / Instant // Feitiço / Sorcery</t>
  </si>
  <si>
    <t>Incongruência: Exile a criatura alvo. O controlador daquela criatura cria uma ficha de criatura verde 3/3 do tipo Sapo Lagarto. // Incubação: Olhe os cinco cards do topo de seu grimório. Você pode revelar um card de criatura dentre eles e colocá-lo em sua mão. Coloque o restante no fundo de seu grimório em ordem aleatória. / Incongruity: Exile target creature. Its controller creates a 3/3 green Frog Lizard creature token. // Incubation: Look at the top five cards of your library. You may reveal a creature card from among them and put it into your hand. Put the rest on the bottom of your library in a random order.</t>
  </si>
  <si>
    <t>{1}{G}{U} // {G/U}</t>
  </si>
  <si>
    <t>Verde e Azul / Green and Blue</t>
  </si>
  <si>
    <t>Owlin Shieldmage / Escudomante Corujim</t>
  </si>
  <si>
    <t>Creature — Bird Warlock / Criatura — Ave Bruxo</t>
  </si>
  <si>
    <t>Flying Ward—Pay 3 life. (Whenever this creature becomes the target of a spell or ability an opponent controls, counter it unless that player pays 3 life.) / Voar Salvaguarda — Pague 3 pontos de vida. (Toda vez que esta criatura se tornar alvo de uma mágica ou habilidade que um oponente controla, anule-a, a menos que aquele jogador pague 3 pontos de vida.)</t>
  </si>
  <si>
    <t>{3}{W}{B}</t>
  </si>
  <si>
    <t>Harsh Sustenance / Sustento Árduo</t>
  </si>
  <si>
    <t>Harsh Sustenance deals X damage to any target and you gain X life, where X is the number of creatures you control. / Sustento Árduo causa X pontos de dano à criatura ou ao jogador alvo e você ganha X pontos de vida, sendo X o número de criaturas que você controla.</t>
  </si>
  <si>
    <t>{1}{W}{B}</t>
  </si>
  <si>
    <t>Spiteful Squad / Esquadrão Malévolo</t>
  </si>
  <si>
    <t>Deathtouch This creature enters with two +1/+1 counters on it. When this creature dies, put its counters on target creature you control. / Toque mortífero Esquadrão Malévolo entra no campo de batalha com dois marcadores +1/+1. Quando Esquadrão Malévolo morrer, coloque seus marcadores na criatura alvo que você controla.</t>
  </si>
  <si>
    <t>Zealous Persecution / Perseguição Fervorosa</t>
  </si>
  <si>
    <t>Until end of turn, creatures you control get +1/+1 and creatures your opponents control get -1/-1. / Até o final do turno, as criaturas que você controla recebem +1/+1 e as criaturas que seus oponentes controlam recebem -1/-1.</t>
  </si>
  <si>
    <t>Vizkopa Vampire / Vampiro do Vizkopa</t>
  </si>
  <si>
    <t>Lifelink / Vínculo com a vida</t>
  </si>
  <si>
    <t>Beckon Apparition / Instigar Aparição</t>
  </si>
  <si>
    <t>Exile target card from a graveyard. Create a 1/1 white and black Spirit creature token with flying. / Exile o card alvo de um cemitério. Coloque no campo de batalha uma ficha de criatura branca e preta 1/1 do tipo Espírito com voar.</t>
  </si>
  <si>
    <t>Abigale, Poet Laureate // Heroic Stanza</t>
  </si>
  <si>
    <t>Legendary Creature — Bird Bard // Sorcery</t>
  </si>
  <si>
    <t>Abigale, Poet Laureate: Flying Whenever you cast a creature spell, Abigale becomes prepared. (While it's prepared, you may cast a copy of its spell. Doing so unprepares it.) // Heroic Stanza: Put a +1/+1 counter on target creature.</t>
  </si>
  <si>
    <t>{1}{W}{B} // {1}{W/B}</t>
  </si>
  <si>
    <t>High Priest of Penance / Alto Sacerdote de Penitência</t>
  </si>
  <si>
    <t>Whenever this creature is dealt damage, you may destroy target nonland permanent. / Toda vez que Alto Sacerdote de Penitência sofre dano, você pode destruir a permanente alvo que não seja um terreno.</t>
  </si>
  <si>
    <t>Aron, Benalia's Ruin / Aron, Ruína de Benália</t>
  </si>
  <si>
    <t>Legendary Creature — Phyrexian Human / Criatura Lendária — Phyrexiano Humano</t>
  </si>
  <si>
    <t>Menace (This creature can't be blocked except by two or more creatures.) {W}{B}, {T}, Sacrifice another creature: Put a +1/+1 counter on each creature you control. / Ameaçar (Esta criatura só pode ser bloqueada por duas ou mais criaturas.) {W}{B}, {T}, sacrifique outra criatura: Coloque um marcador +1/+1 em cada criatura que você controla.</t>
  </si>
  <si>
    <t>{W}{W}{B}</t>
  </si>
  <si>
    <t>Nip Gwyllion / Gwyllion da Mordidela</t>
  </si>
  <si>
    <t>Creature — Hag / Criatura — Bruxa</t>
  </si>
  <si>
    <t>Lifelink (Damage dealt by this creature also causes you to gain that much life.) / Vínculo com a vida (Toda vez que esta criatura causa dano, você ganha aquela quantidade em pontos de vida.)</t>
  </si>
  <si>
    <t>Restless Apparition / Aparição Inquieta</t>
  </si>
  <si>
    <t>{W/B}{W/B}{W/B}: This creature gets +3/+3 until end of turn. Persist (When this creature dies, if it had no -1/-1 counters on it, return it to the battlefield under its owner's control with a -1/-1 counter on it.) / {W/B}{W/B}{W/B}: Aparição Inquieta recebe +3/+3 até o final do turno. Persistir (Quando esta criatura for colocada num cemitério vinda do jogo, se ela não tiver nenhum marcador -1/-1, devolva-a para o jogo sob o controle de seu dono com um marcador -1/-1.)</t>
  </si>
  <si>
    <t>Regal Bloodlord / Senhor Vampiro Régio</t>
  </si>
  <si>
    <t>Creature — Vampire Soldier / Criatura — Vampiro Soldado</t>
  </si>
  <si>
    <t>Flying At the beginning of each end step, if you gained life this turn, create a 1/1 black Bat creature token with flying. / Voar No início de cada etapa final, se você ganhou pontos de vida neste turno, crie uma ficha de criatura preta 1/1 do tipo Morcego com voar.</t>
  </si>
  <si>
    <t>Perda / Down // Lucro / Dirty</t>
  </si>
  <si>
    <t>Perda: As criaturas controladas por seus oponentes recebem -1/-1 até o final do turno. // Lucro: As criaturas que você controla recebem +1/+1 até o final do turno. Fundir (Você pode conjurar uma ou ambas as metades deste card a partir de sua mão.) / Down: Creatures your opponents control get -1/-1 until end of turn. // Dirty: Creatures you control get +1/+1 until end of turn. Fuse (You may cast one or both halves of this card from your hand.)</t>
  </si>
  <si>
    <t>{2}{B} // {1}{W}</t>
  </si>
  <si>
    <t>Preto e Branco / Black and White</t>
  </si>
  <si>
    <t>Gravepurge / Expurgar Túmulo</t>
  </si>
  <si>
    <t>Put any number of target creature cards from your graveyard on top of your library. Draw a card. / Coloque qualquer número de cards de criatura alvo de seu cemitério no topo de seu grimório. Compre um card.</t>
  </si>
  <si>
    <t>Grim Roustabout / Servente Macabro</t>
  </si>
  <si>
    <t>Creature — Skeleton Warrior / Criatura — Esqueleto Guerreiro</t>
  </si>
  <si>
    <t>Unleash (You may have this creature enter with a +1/+1 counter on it. It can't block as long as it has a +1/+1 counter on it.) {1}{B}: Regenerate this creature. / Liberar (Você pode fazer com que esta criatura entre no campo de batalha com um marcador +1/+1. Ela não poderá bloquear enquanto tiver um marcador +1/+1.) {1}{B}: Regenere Servente Macabro</t>
  </si>
  <si>
    <t>Nocturnal Feeder</t>
  </si>
  <si>
    <t>Creature — Vampire Rogue</t>
  </si>
  <si>
    <t>Flying When this creature dies, each opponent loses 2 life and you gain 2 life.</t>
  </si>
  <si>
    <t>Diregraf Ghoul / Carniçal do Cemitério do Terror</t>
  </si>
  <si>
    <t>This creature enters tapped. / Carniçal do Cemitério do Terror entra no campo de batalha virado.</t>
  </si>
  <si>
    <t>Netcaster Spider / Aranha Lançadora de Rede</t>
  </si>
  <si>
    <t>Reach (This creature can block creatures with flying.) Whenever this creature blocks a creature with flying, this creature gets +2/+0 until end of turn. / Alcance (Esta criatura pode bloquear criaturas com voar.) Toda vez que Aranha Lançadora de Rede bloqueia uma criatura com voar, Aranha Lançadora de Rede recebe +2/+0 até o final do turno.</t>
  </si>
  <si>
    <t>Mammoth Spider / Aranha Mamute</t>
  </si>
  <si>
    <t>Reach (This creature can block creatures with flying.) / Alcance</t>
  </si>
  <si>
    <t>Sejiri Steppe / Estepe de Sejiri</t>
  </si>
  <si>
    <t>This land enters tapped. When this land enters, target creature you control gains protection from the color of your choice until end of turn. {T}: Add {W}. / Estepe de Sejiri entra no campo de batalha virado. Quando Estepe de Sejiri entra no campo de batalha, a criatura alvo que você controla ganha proteção contra a cor de sua escolha até o final do turno. {T}: Adicione {W} à sua reserva de mana.</t>
  </si>
  <si>
    <t>Tocasia's Dig Site / Sítio de Escavação de Tocasia</t>
  </si>
  <si>
    <t>{T}: Add {C}. {3}, {T}: Surveil 1. (Look at the top card of your library. You may put it into your graveyard.) / {T}: Adicione {C}. {3}, {T}: Use vigiar 1. (Olhe o card do topo de seu grimório. Você pode colocar aquele card em seu cemitério.)</t>
  </si>
  <si>
    <t>Shed Weakness / Eliminar Fraqueza</t>
  </si>
  <si>
    <t>Target creature gets +2/+2 until end of turn. You may remove a -1/-1 counter from it. / A criatura alvo recebe +2/+2 até o final do turno. Você pode remover um marcador -1/-1 dela.</t>
  </si>
  <si>
    <t>Greater Tanuki / Grande Tanuki</t>
  </si>
  <si>
    <t>Enchantment Creature — Dog / Criatura Encantamento — Cão</t>
  </si>
  <si>
    <t>Trample Channel — {2}{G}, Discard this card: Search your library for a basic land card, put it onto the battlefield tapped, then shuffle. / Atropelar Canalizar — {2}{G}, descarte Grande Tanuki: Procure em seu grimório um card de terreno básico, coloque-o no campo de batalha virado e depois embaralhe.</t>
  </si>
  <si>
    <t>Bearer of Memory / Portadora da Memória</t>
  </si>
  <si>
    <t>Enchantment Creature — Human Monk / Criatura Encantamento — Humano Monge</t>
  </si>
  <si>
    <t>{5}{G}: Put a +1/+1 counter on target enchantment creature. It gains trample until end of turn. / {5}{G}: Coloque um marcador +1/+1 na criatura encantamento alvo. Ela ganha atropelar até o final do turno.</t>
  </si>
  <si>
    <t>Ionizar / Ionize</t>
  </si>
  <si>
    <t>Anule a mágica alvo. Ionizar causa 2 pontos de dano ao controlador daquela mágica. / Counter target spell. Ionize deals 2 damage to that spell's controller.</t>
  </si>
  <si>
    <t>Azul e Vermelho / Blue and Red</t>
  </si>
  <si>
    <t>Estupefazer / Bedazzle // Embelezar / Biggify</t>
  </si>
  <si>
    <t>Estupefazer: Destrua o terreno alvo não básico. Estupefazer causa 2 pontos de dano ao oponente ou planeswalker alvo. // Embelezar: A criatura alvo recebe +3/-3 até o final do turno. / Bedazzle: Destroy target nonbasic land. Bedazzle deals 2 damage to target opponent or planeswalker. // Biggify: Target creature gets +3/-3 until end of turn.</t>
  </si>
  <si>
    <t>{4}{B}{R} // {R/G}{R/G}</t>
  </si>
  <si>
    <t>Preto e Vermelho / Black and Red</t>
  </si>
  <si>
    <t>Desarticulação / Connive // Descoberta / Discovery</t>
  </si>
  <si>
    <t>Desarticulação: Cada oponente devolve uma permanente que ele controla que não seja um terreno com o maior custo de mana convertido dentre as permanentes que ele controla para a mão de seu dono e depois descarta um card. // Descoberta: Use vigiar 2, depois compre um card. (Para usar vigiar 2, olhe os dois cards do topo de seu grimório. Depois, coloque qualquer número deles em seu cemitério e o restante no topo de seu grimório em qualquer ordem.) / Connive: Each opponent returns a nonland permanent they control with the highest converted mana cost among nonland permanents they control to its owner's hand, then discards a card. // Discovery: Surveil 2, then draw a card.</t>
  </si>
  <si>
    <t>{3}{U}{B} // {1}{U/B}</t>
  </si>
  <si>
    <t>Akoum Hellhound / Sabujo Infernal de Akoum</t>
  </si>
  <si>
    <t>Creature — Elemental Dog / Criatura — Elemental Cão</t>
  </si>
  <si>
    <t>Landfall — Whenever a land you control enters, this creature gets +2/+2 until end of turn. / Aterragem — Toda vez que um terreno entra no campo de batalha sob seu controle, Sabujo Infernal de Akoum recebe +2/+2 até o final do turno.</t>
  </si>
  <si>
    <t>Skyclave Geopede / Geopede do Enclave Celeste</t>
  </si>
  <si>
    <t>Trample Landfall — Whenever a land you control enters, this creature gets +2/+2 until end of turn. / Atropelar Aterragem — Toda vez que um terreno entra no campo de batalha sob seu controle, Geopede do Enclave Celeste recebe +2/+2 até o final do turno.</t>
  </si>
  <si>
    <t>Maw of Kozilek / Gorja de Kozilek</t>
  </si>
  <si>
    <t>Devoid (This card has no color.) {C}: This creature gets +2/-2 until end of turn. ({C} represents colorless mana.) / Desprovido (Este card não tem cor.) {C}: Gorja de Kozilek recebe +2/-2 até o final do turno. ({C} representa mana incolor.)</t>
  </si>
  <si>
    <t>Eldrazi Aggressor / Agressor Eldrazi</t>
  </si>
  <si>
    <t>Devoid (This card has no color.) This creature has haste as long as you control another colorless creature. / Desprovido (Este card não tem cor.) Agressor Eldrazi terá ímpeto enquanto você controlar outra criatura incolor.</t>
  </si>
  <si>
    <t>Fire Elemental / Elemental do Fogo</t>
  </si>
  <si>
    <t>Fling / Arremessar</t>
  </si>
  <si>
    <t>As an additional cost to cast this spell, sacrifice a creature. Fling deals damage equal to the sacrificed creature's power to any target. / Como custo adicional para conjurar Arremessar, sacrifique uma criatura. Arremessar causa à criatura ou ao jogador alvo uma quantidade de dano igual ao poder da criatura sacrificada.</t>
  </si>
  <si>
    <t>Blindblast / Explosão Cegante</t>
  </si>
  <si>
    <t>Blindblast deals 1 damage to target creature. That creature can't block this turn. Draw a card. / Explosão Cegante causa 1 ponto de dano à criatura alvo. Aquela criatura não pode bloquear neste turno. Compre um card.</t>
  </si>
  <si>
    <t>Boulderfall / Queda-de-pedra</t>
  </si>
  <si>
    <t>Boulderfall deals 5 damage divided as you choose among any number of targets. / Queda-de-pedra causa 5 pontos de dano distribuídos à sua escolha entre qualquer número de criaturas e/ou jogadores alvo.</t>
  </si>
  <si>
    <t>Magma Jet</t>
  </si>
  <si>
    <t>Magma Jet deals 2 damage to target creature or player. Scry 2. (To scry 2, look at the top two cards of your library, then put any number of them on the bottom of your library and the rest on top in any order.)</t>
  </si>
  <si>
    <t xml:space="preserve">Duel Decks: Jace vs. Chandra </t>
  </si>
  <si>
    <t>Ancient Grudge / Rancor Antigo</t>
  </si>
  <si>
    <t>Destroy target artifact. Flashback {G} (You may cast this card from your graveyard for its flashback cost. Then exile it.) / Destrua o artefato alvo. Recapitular {G} (Você pode conjurar este card de seu cemitério pagando seu custo de recapitular. Depois, exile-o.)</t>
  </si>
  <si>
    <t>Time Spiral Remastered (TSR)</t>
  </si>
  <si>
    <t>Scorching Dragonfire / Fogo Dracônico Escaldante</t>
  </si>
  <si>
    <t>Scorching Dragonfire deals 3 damage to target creature or planeswalker. If that creature or planeswalker would die this turn, exile it instead. / Fogo Dracônico Escaldante causa 3 pontos de dano à criatura ou ao planeswalker alvo. Se aquela criatura ou aquele planeswalker morreria neste turno, em vez disso, exile-o.</t>
  </si>
  <si>
    <t>Electrickery / Eletrotruque</t>
  </si>
  <si>
    <t>Electrickery deals 1 damage to target creature you don't control. Overload {1}{R} (You may cast this spell for its overload cost. If you do, change "target" in its text to "each.") / Eletrotruque causa 1 ponto de dano à criatura alvo que você não controla. Sobrecarga {1}{R} (Você pode conjurar esta mágica pagando seu custo de sobrecarga. Se fizer isso, altere seu texto substituindo todas as ocorrências de "a criatura alvo" por "cada criatura".)</t>
  </si>
  <si>
    <t>Galvanic Blast / Explosão Galvânica</t>
  </si>
  <si>
    <t>Galvanic Blast deals 2 damage to any target. Metalcraft — Galvanic Blast deals 4 damage instead if you control three or more artifacts. / Explosão Galvânica causa 2 pontos de dano à criatura ou ao jogador alvo. Maestria com Metais — Se você controlar três ou mais artefatos, em vez disso, Explosão Galvânica causará 4 pontos de dano àquela criatura ou àquele jogador.</t>
  </si>
  <si>
    <t>Abrade / Abrasão</t>
  </si>
  <si>
    <t>Choose one — • Abrade deals 3 damage to target creature. • Destroy target artifact. / Escolha um — • Abrasão causa 3 pontos de dano à criatura alvo. • Destrua o artefato alvo.</t>
  </si>
  <si>
    <t>Mardu Warshrieker / Bradador de Guerra Mardu</t>
  </si>
  <si>
    <t>Creature — Orc Shaman / Criatura — Orc Xamã</t>
  </si>
  <si>
    <t>Raid — When this creature enters, if you attacked this turn, add {R}{W}{B}. / Raide — Quando Bradador de Guerra Mardu entra no campo de batalha, se você atacou com uma criatura neste turno, adicione {R}{W}{B} à sua reserva de mana.</t>
  </si>
  <si>
    <t>Tuktuk Rubblefort / Forte dos Escombros Tuktuk</t>
  </si>
  <si>
    <t>Creature — Wall / Criatura — Barreira</t>
  </si>
  <si>
    <t>Defender, reach Creatures you control have haste. / Defensor, alcance As criaturas que você controla têm ímpeto.</t>
  </si>
  <si>
    <t>Raging Kronch / Kronch Enfurecido</t>
  </si>
  <si>
    <t>This creature can't attack alone. / Kronch Enfurecido não pode atacar sozinho.</t>
  </si>
  <si>
    <t>Hyena Pack / Alcateia de Hienas</t>
  </si>
  <si>
    <t>Creature — Hyena / Criatura — Hiena</t>
  </si>
  <si>
    <t>Crimson Fleet Commodore / Comodoro da Frota Carmesim</t>
  </si>
  <si>
    <t>Creature — Ogre Pirate / Criatura — Ogro Pirata</t>
  </si>
  <si>
    <t>Trample When this creature enters, you become the monarch. / Atropelar Quando Comodoro da Frota Carmesim entra no campo de batalha, você se torna o monarca.</t>
  </si>
  <si>
    <t>Lay of the Land / Configuração do Terreno</t>
  </si>
  <si>
    <t>Search your library for a basic land card, reveal it, put it into your hand, then shuffle. / Procure um card de terreno básico em seu grimório, revele-o, coloque-o em sua mão e, depois, embaralhe seu grimório.</t>
  </si>
  <si>
    <t>Defiant Khenra / Khenra Audaz</t>
  </si>
  <si>
    <t>Creature — Jackal Warrior / Criatura — Chacal Guerreiro</t>
  </si>
  <si>
    <t>Stampeding Horncrest / Cristocórneo Desembestado</t>
  </si>
  <si>
    <t>This creature has haste as long as you control another Dinosaur. / Cristocórneo Desembestado terá ímpeto enquanto você controlar outro Dinossauro.</t>
  </si>
  <si>
    <t>Lathnu Sailback / Dorsoveleiro de Lathnu</t>
  </si>
  <si>
    <t>Creature — Lizard / Criatura — Lagarto</t>
  </si>
  <si>
    <t>Burn the Accursed / Queimar os Amaldiçoados</t>
  </si>
  <si>
    <t>Burn the Accursed deals 5 damage to target creature and 2 damage to that creature's controller. If that creature would die this turn, exile it instead. / Queimar os Amaldiçoados causa 5 pontos de dano à criatura alvo e 2 pontos de dano ao controlador daquela criatura. Se aquela criatura for morrer neste turno, em vez disso, exile-a.</t>
  </si>
  <si>
    <t>Heartfire / Fogo Interior</t>
  </si>
  <si>
    <t>As an additional cost to cast this spell, sacrifice a creature or planeswalker. Heartfire deals 4 damage to any target. / Como custo adicional para conjurar esta mágica, sacrifique uma criatura ou um planeswalker. Fogo Interior causa 4 pontos de dano a qualquer alvo.</t>
  </si>
  <si>
    <t>Sure Strike / Golpe Certeiro</t>
  </si>
  <si>
    <t>Target creature gets +3/+0 and gains first strike until end of turn. (It deals combat damage before creatures without first strike.) / A criatura alvo recebe +3/+0 e ganha iniciativa até o final do turno.</t>
  </si>
  <si>
    <t>Final Flare / Fulgor Final</t>
  </si>
  <si>
    <t>As an additional cost to cast this spell, sacrifice a creature or enchantment. Final Flare deals 5 damage to target creature. / Como custo adicional para conjurar esta mágica, sacrifique uma criatura ou um encantamento. Fulgor Final causa 5 pontos de dano à criatura alvo.</t>
  </si>
  <si>
    <t>Inordinate Rage / Fúria Desmedida</t>
  </si>
  <si>
    <t>Target creature gets +3/+2 until end of turn. Scry 1. / A criatura alvo recebe +3/+2 até o final do turno. Use vidência 1.</t>
  </si>
  <si>
    <t>Smash to Smithereens / Reduzir a Cacos</t>
  </si>
  <si>
    <t>Destroy target artifact. Smash to Smithereens deals 3 damage to that artifact's controller. / Destrua o artefato alvo. Reduzir a Cacos causa 3 pontos de dano ao controlador daquele artefato.</t>
  </si>
  <si>
    <t>Friday Night Magic 2016 (F16)</t>
  </si>
  <si>
    <t xml:space="preserve">Pântano Sombrio </t>
  </si>
  <si>
    <t>Tiamat's Fanatics / Fanáticos de Tiamat</t>
  </si>
  <si>
    <t>Creature — Dragon Warrior / Criatura — Dragão Guerreiro</t>
  </si>
  <si>
    <t>Haste Myriad (Whenever this creature attacks, for each opponent other than defending player, you may create a token copy that's tapped and attacking that player or a planeswalker they control. Exile the tokens at end of combat.) / Ímpeto Miríade (Toda vez que esta criatura ataca, para cada oponente além do jogador defensor, você pode criar uma ficha que seja uma cópia desta criatura que está virada e atacando aquele jogador ou um planeswalker que ele controla. Exile as fichas no final do combate.)</t>
  </si>
  <si>
    <t>Hulking Devil / Diabo Brutamontes</t>
  </si>
  <si>
    <t>Shadows over Innistrad (SOI)</t>
  </si>
  <si>
    <t>Hoarding Ogre / Ogro Acumulador</t>
  </si>
  <si>
    <t>Creature — Ogre / Criatura — Ogro</t>
  </si>
  <si>
    <t>Whenever this creature attacks, roll a d20. 1—9 | Create a Treasure token. (It's an artifact with "{T}, Sacrifice this token: Add one mana of any color.") 10—19 | Create two Treasure tokens. 20 | Create three Treasure tokens. / Toda vez que Ogro Acumulador atacar, role um d20. 1—9 | Crie uma ficha de Tesouro. (Ela é um artefato com "{T}, sacrifique este artefato: Adicione um mana de qualquer cor".) 10—19 | Crie duas fichas de Tesouro. 20 | Crie três fichas de Tesouro.</t>
  </si>
  <si>
    <t>Bloodfire Expert / Especialista Sangue-ígneo</t>
  </si>
  <si>
    <t>Creature — Efreet Monk / Criatura — Efrite Monge</t>
  </si>
  <si>
    <t>Prowess (Whenever you cast a noncreature spell, this creature gets +1/+1 until end of turn.) / Destreza (Toda vez que você conjura uma mágica que não seja de criatura, esta criatura recebe +1/+1 até o final do turno.)</t>
  </si>
  <si>
    <t>Nyxborn Brute / Bruto Nyxnato</t>
  </si>
  <si>
    <t>Enchantment Creature — Cyclops / Criatura Encantamento — Ciclope</t>
  </si>
  <si>
    <t>Cyclops of One-Eyed Pass / Ciclope da Passagem Caolha</t>
  </si>
  <si>
    <t>Creature — Cyclops / Criatura — Ciclope</t>
  </si>
  <si>
    <t>Nahiri's Stoneblades / Litolâminas de Nahiri</t>
  </si>
  <si>
    <t>Up to two target creatures each get +2/+0 until end of turn. / Até duas criaturas alvo recebem +2/+0 cada uma até o final do turno.</t>
  </si>
  <si>
    <t>Shatter / Estilhaçar</t>
  </si>
  <si>
    <t>Destroy target artifact. / Destrua o artefato alvo.</t>
  </si>
  <si>
    <t>Clash of Titans / Batalha dos Titãs</t>
  </si>
  <si>
    <t>Target creature fights another target creature. (Each deals damage equal to its power to the other.) / A criatura alvo luta com outra criatura alvo. (Cada uma causa dano igual ao seu poder à outra.)</t>
  </si>
  <si>
    <t>Swift Kick / Chute Veloz</t>
  </si>
  <si>
    <t>Target creature you control gets +1/+0 until end of turn. It fights target creature you don't control. / A criatura alvo que você controla recebe +1/+0 até o final do turno. Ela luta com a criatura alvo que você não controla.</t>
  </si>
  <si>
    <t>Trumpet Blast / Soar da Trombeta</t>
  </si>
  <si>
    <t>Attacking creatures get +2/+0 until end of turn. / As criaturas atacantes recebem +2/+0 até o final do turno.</t>
  </si>
  <si>
    <t>Dangerous Wager / Aposta Arriscada</t>
  </si>
  <si>
    <t>Discard your hand, then draw two cards. / Descarte sua mão e depois compre dois cards.</t>
  </si>
  <si>
    <t>Earth Elemental / Elemental da Terra</t>
  </si>
  <si>
    <t>Décima edição</t>
  </si>
  <si>
    <t>Ohran Yeti / Yeti de Ohran</t>
  </si>
  <si>
    <t>Snow Creature — Yeti / Criatura da Neve — Yeti</t>
  </si>
  <si>
    <t>{2}{S}: Target snow creature gains first strike until end of turn. ({S} can be paid with one mana from a snow source.) / {2}{S}: A criatura da neve alvo ganha iniciativa até o final do turno. ({S} pode ser pago com um mana de uma permanente da neve.)</t>
  </si>
  <si>
    <t>Skyraker Giant / Gigante Varredor do Céu</t>
  </si>
  <si>
    <t>Reach (This creature can block creatures with flying.) / Alcance (Esta criatura pode bloquear criaturas com voar.)</t>
  </si>
  <si>
    <t>Pharagax Giant / Gigante de Faragax</t>
  </si>
  <si>
    <t>Tribute 2 (As this creature enters, an opponent of your choice may put two +1/+1 counters on it.) When this creature enters, if tribute wasn't paid, this creature deals 5 damage to each opponent. / Tributo 2 (Conforme esta criatura entra no campo de batalha, um oponente à sua escolha pode fazer com que ela receba dois marcadores +1/+1.) Quando Gigante de Faragax entra no campo de batalha, se o tributo não tiver sido pago, ele causa 5 pontos de dano a cada oponente.</t>
  </si>
  <si>
    <t>Hagi Mob / Turba de Hagis</t>
  </si>
  <si>
    <t>Creature — Troll Berserker / Criatura — Trol Amoque</t>
  </si>
  <si>
    <t>Boast — {1}{R}: This creature deals 1 damage to any target. (Activate only if this creature attacked this turn and only once each turn.) / Vanglória — {1}{R}: Turba de Hagis causa 1 ponto de dano a qualquer alvo. (Ative esta habilidade somente se esta criatura atacou neste turno e somente uma vez a cada turno.)</t>
  </si>
  <si>
    <t>Summit Prowler / Espreitador do Cume</t>
  </si>
  <si>
    <t>Creature — Yeti / Criatura — Yeti</t>
  </si>
  <si>
    <t>Jiwari, the Earth Aflame / Jiwari, a Terra em Chamas</t>
  </si>
  <si>
    <t>{X}{R}, {T}: Jiwari deals X damage to target creature without flying. Channel — {X}{R}{R}{R}, Discard this card: It deals X damage to each creature without flying. / {X}{R}, {T}: Jiwari, a Terra em Chamas causa X pontos de dano à criatura alvo sem a habilidade de voar. Canalizar {X}{R}{R}{R}, Descarte Jiwari: Jiwari causa X pontos de dano a cada criatura sem a habilidade de voar.</t>
  </si>
  <si>
    <t>Saviors of Kamigawa (SOK)</t>
  </si>
  <si>
    <t>Goblin Roughrider / Cavaleiro Valente Goblin</t>
  </si>
  <si>
    <t>Creature — Goblin Knight / Criatura — Goblin Cavaleiro</t>
  </si>
  <si>
    <t>Grotag Bug-Catcher / Pega-bicho Grotag</t>
  </si>
  <si>
    <t>Trample Whenever this creature attacks, it gets +1/+0 until end of turn for each creature in your party. (Your party consists of up to one each of Cleric, Rogue, Warrior, and Wizard.) / Atropelar Toda vez que Pega-bicho Grotag ataca, ele recebe +1/+0 até o final do turno para cada criatura em seu grupo. (Seu grupo consiste em até um membro de cada um dos seguintes tipos: Clérigo, Ladino, Guerreiro e Mago.)</t>
  </si>
  <si>
    <t>Russet Wolves / Lobos Castanhos</t>
  </si>
  <si>
    <t>Swarming Goblins / Enxame de Goblins</t>
  </si>
  <si>
    <t>When this creature enters, roll a d20. 1—9 | Create a 1/1 red Goblin creature token. 10—19 | Create two of those tokens. 20 | Create three of those tokens. / Quando Enxame de Goblins entrar no campo de batalha, role um d20. 1—9 | Crie uma ficha de criatura Goblin vermelha 1/1. 10-19 | Crie duas daquelas fichas. 20 | Crie três daquelas fichas.</t>
  </si>
  <si>
    <t>Stampede Rider / Ginete da Debandada</t>
  </si>
  <si>
    <t>Creature — Satyr / Criatura — Sátiro</t>
  </si>
  <si>
    <t>Trample At the beginning of each combat, if you control a creature with power 4 or greater, this creature gets +1/+1 until end of turn. / Atropelar No início de cada combate, se você controla uma criatura com poder igual ou superior a 4, Ginete da Debandada recebe +1/+1 até o final do turno.</t>
  </si>
  <si>
    <t>Precise Strike / Golpe Preciso</t>
  </si>
  <si>
    <t>Target creature gets +1/+0 and gains first strike until end of turn. / A criatura alvo recebe +1/+0 e ganha iniciativa até o final do turno.</t>
  </si>
  <si>
    <t>Stonefury / Litofúria</t>
  </si>
  <si>
    <t>Stonefury deals damage to target creature equal to the number of lands you control. / Litofúria causa à criatura alvo uma quantidade de dano igual ao número de terrenos que você controla.</t>
  </si>
  <si>
    <t>Lunar Frenzy / Frenesi Lunar</t>
  </si>
  <si>
    <t>Target creature you control gets +X/+0 and gains first strike and trample until end of turn. / A criatura alvo que você controla recebe +X/+0 e ganha iniciativa e atropelar até o final do turno.</t>
  </si>
  <si>
    <t>{X}{R}</t>
  </si>
  <si>
    <t>Electrify / Eletrificar</t>
  </si>
  <si>
    <t>Electrify deals 4 damage to target creature. / Eletrificar causa 4 pontos de dano à criatura alvo.</t>
  </si>
  <si>
    <t>Unholy Heat / Calor Profano</t>
  </si>
  <si>
    <t>Unholy Heat deals 2 damage to target creature or planeswalker. Delirium — Unholy Heat deals 6 damage instead if there are four or more card types among cards in your graveyard. / Calor Profano causa 2 pontos de dano à criatura ou ao planeswalker alvo. Delírio — Calor Profano, em vez disso, causa 6 pontos de dano se houver quatro ou mais tipos de card entre os cards de seu cemitério.</t>
  </si>
  <si>
    <t>Secret Lair Promo (SLP)</t>
  </si>
  <si>
    <t>Fight with Fire / Enfrentar com Fogo</t>
  </si>
  <si>
    <t>Kicker {5}{R} (You may pay an additional {5}{R} as you cast this spell.) Fight with Fire deals 5 damage to target creature. If this spell was kicked, it deals 10 damage divided as you choose among any number of targets instead. (Those targets can include players and planeswalkers.) / Reforçar {5}{R} (Você pode pagar um custo adicional de {5}{R} ao conjurar esta mágica.) Enfrentar com Fogo causa 5 pontos de dano à criatura alvo. Se esta mágica foi reforçada, em vez disso, ela causa 10 pontos de dano divididos à sua escolha entre qualquer número de alvos. (Esses alvos podem incluir jogadores e planeswalkers.)</t>
  </si>
  <si>
    <t>Craterize / Craterizar</t>
  </si>
  <si>
    <t>Destroy target land. / Destrua o terreno alvo.</t>
  </si>
  <si>
    <t>Chain Lightning / Relâmpago em Cadeia</t>
  </si>
  <si>
    <t>Chain Lightning deals 3 damage to any target. Then that player or that permanent's controller may pay {R}{R}. If the player does, they may copy this spell and may choose a new target for that copy. / Relâmpago em Cadeia causa 3 pontos de dano a qualquer alvo. Depois, aquele jogador ou o controlador daquela permanente pode pagar {R}{R}. Se o jogador fizer isso, ele poderá copiar esta mágica e poderá escolher um novo alvo para a cópia.</t>
  </si>
  <si>
    <t>Fanged Flames / Chamas Dentadas</t>
  </si>
  <si>
    <t>Devoid (This card has no color.) Fanged Flames deals 4 damage to target creature or planeswalker. If that creature or planeswalker would die this turn, exile it instead. / Desprovido (Este card não tem cor.) Chamas Dentadas causa 4 pontos de dano à criatura ou ao planeswalker alvo. Se aquela criatura ou aquele planeswalker morreria neste turno, em vez disso, exile-o.</t>
  </si>
  <si>
    <t>Skewer the Critics / Alfinetada nos Críticos</t>
  </si>
  <si>
    <t>Spectacle {R} (You may cast this spell for its spectacle cost rather than its mana cost if an opponent lost life this turn.) Skewer the Critics deals 3 damage to any target. / Espetáculo {R} (Você pode conjurar esta mágica por seu custo de espetáculo, em vez de seu custo de mana, se um oponente perdeu pontos de vida neste turno.) Alfinetada nos Críticos causa 3 pontos de dano a qualquer alvo.</t>
  </si>
  <si>
    <t>Faithless Looting / Pilhagem Infiel</t>
  </si>
  <si>
    <t>Draw two cards, then discard two cards. Flashback {2}{R} (You may cast this card from your graveyard for its flashback cost. Then exile it.) / Compre dois cards e depois descarte dois cards. Recapitular {2}{R} (Você pode conjurar este card de seu cemitério pagando seu custo de recapitular. Depois, exile-o.)</t>
  </si>
  <si>
    <t>Destructive Tampering / Modificação Destrutiva</t>
  </si>
  <si>
    <t>Choose one — • Destroy target artifact. • Creatures without flying can't block this turn. / Escolha um — • Destrua o artefato alvo. • As criaturas sem voar não podem bloquear neste turno.</t>
  </si>
  <si>
    <t>Mugging / Assaltar</t>
  </si>
  <si>
    <t>Mugging deals 2 damage to target creature. That creature can't block this turn. / Assaltar causa 2 pontos de dano à criatura alvo. Aquela criatura não pode bloquear neste turno.</t>
  </si>
  <si>
    <t>Thundering Rebuke / Repreensão Trovejante</t>
  </si>
  <si>
    <t>Thundering Rebuke deals 4 damage to target creature or planeswalker. / Repreensão Trovejante causa 4 pontos de dano à criatura ou ao planeswalker alvo.</t>
  </si>
  <si>
    <t>Reduce to Ashes / Reduzir a Cinzas</t>
  </si>
  <si>
    <t>Reduce to Ashes deals 5 damage to target creature. If that creature would die this turn, exile it instead. / Reduzir a Cinzas causa 5 pontos de dano à criatura alvo. Se aquela criatura for morrer neste turno, em vez disso, exile-a.</t>
  </si>
  <si>
    <t>Goblin Gathering / Encontro de Goblins</t>
  </si>
  <si>
    <t>Create a number of 1/1 red Goblin creature tokens equal to two plus the number of cards named Goblin Gathering in your graveyard. / Crie um número de fichas de criatura vermelha 1/1 do tipo Goblin igual a dois mais o número de cards com o nome Encontro de Goblins em seu cemitério.</t>
  </si>
  <si>
    <t>Hordeling Outburst / Ataque da Mini-horda</t>
  </si>
  <si>
    <t>Create three 1/1 red Goblin creature tokens. / Coloque no campo de batalha três fichas de criatura vermelhas 1/1 do tipo Goblin.</t>
  </si>
  <si>
    <t>{1}{R}{R}</t>
  </si>
  <si>
    <t>Cavalcade of Calamity / Parada da Calamidade</t>
  </si>
  <si>
    <t>Whenever a creature you control with power 1 or less attacks, this enchantment deals 1 damage to the player or planeswalker that creature is attacking. / Toda vez que uma criatura que você controla com poder igual ou inferior a 1 ataca, Parada da Calamidade causa 1 ponto de dano ao jogador ou planeswalker que aquela criatura está atacando.</t>
  </si>
  <si>
    <t>Trial of Zeal / Prova do Zelo</t>
  </si>
  <si>
    <t>When this enchantment enters, it deals 3 damage to any target. When a Cartouche you control enters, return this enchantment to its owner's hand. / Quando Prova do Zelo entra no campo de batalha, ele causa 3 pontos de dano à criatura ou ao jogador alvo. Quando uma Cártula entrar no campo de batalha sob seu controle, devolva Prova do Zelo para a mão de seu dono.</t>
  </si>
  <si>
    <t>Fearsome Temper / Temperamento Medonho</t>
  </si>
  <si>
    <t>Enchant creature Enchanted creature gets +2/+2 and has "{2}{R}: Target creature can't block this creature this turn." / Encantar criatura A criatura encantada recebe +2/+2 e tem "{2}{R}: A criatura alvo não pode bloquear esta criatura neste turno."</t>
  </si>
  <si>
    <t>Battle Plan / Plano de Batalha</t>
  </si>
  <si>
    <t>At the beginning of combat on your turn, target creature you control gets +2/+0 until end of turn. Basic landcycling {1}{R} ({1}{R}, Discard this card: Search your library for a basic land card, reveal it, put it into your hand, then shuffle.) / No início do combate no seu turno, a criatura alvo que você controla recebe +2/+0 até o final do turno. Reciclar terreno básico {1}{R} ({1}{R}, descarte este card: Procure em seu grimório um card de terreno básico, revele-o, coloque-o em sua mão e depois embaralhe.)</t>
  </si>
  <si>
    <t>Dragon Grip / Garra do Dragão</t>
  </si>
  <si>
    <t>Ferocious — If you control a creature with power 4 or greater, you may cast this spell as though it had flash. (You may cast it any time you could cast an instant.) Enchant creature Enchanted creature gets +2/+0 and has first strike. / Feroz — Se você controla uma criatura com poder igual ou superior a 4, pode conjurar Garra do Dragão como se tivesse lampejo. (Você poderá conjurá-lo a qualquer momento em que puder conjurar uma mágica instantânea.) Encantar criatura A criatura encantada recebe +2/+0 e tem iniciativa.</t>
  </si>
  <si>
    <t>Crackling Perimeter / Perímetro de Crepitação</t>
  </si>
  <si>
    <t>Tap an untapped Gate you control: This enchantment deals 1 damage to each opponent. / Vire um Portão desvirado que você controla: Perímetro de Crepitação causa 1 ponto de dano a cada oponente.</t>
  </si>
  <si>
    <t>Aspect of Manticore / Aspecto da Mantícora</t>
  </si>
  <si>
    <t>Flash Enchant creature When this Aura enters, enchanted creature gains first strike until end of turn. Enchanted creature gets +2/+0. / Lampejo Encantar criatura Quando Aspecto da Mantícora entra no campo de batalha, a criatura encantada ganha iniciativa até o final do turno. A criatura encantada recebe +2/+0.</t>
  </si>
  <si>
    <t>Blood Sun / Sol Sangrento</t>
  </si>
  <si>
    <t>When this enchantment enters, draw a card. All lands lose all abilities except mana abilities. / Quando Sol Sangrento entrar no campo de batalha, compre um card. Todos os terrenos perdem todas as habilidades, exceto as habilidades de mana.</t>
  </si>
  <si>
    <t>The Flame of Keld / A Chama de Keld</t>
  </si>
  <si>
    <t>(As this Saga enters and after your draw step, add a lore counter. Sacrifice after III.) I — Discard your hand. II — Draw two cards. III — If a red source you control would deal damage to a permanent or player this turn, it deals that much damage plus 2 to that permanent or player instead. / (Conforme esta Saga entra e após sua etapa de compra, adicione um marcador de conhecimento. Sacrifique-a após III.) I — Descarte sua mão. II — Compre dois cards. III — Se uma fonte vermelha sob seu controle causaria dano a uma permanente ou jogador neste turno, ela causa, em vez disso, aquela quantidade de dano mais 2 àquela permanente ou jogador.</t>
  </si>
  <si>
    <t>Barbed Batterfist / Punho Batedor Farpado</t>
  </si>
  <si>
    <t>For Mirrodin! (When this Equipment enters, create a 2/2 red Rebel creature token, then attach this to it.) Equipped creature gets +1/-1. Equip {1} ({1}: Attach to target creature you control. Equip only as a sorcery.) / Por Mirrodin (Quando este Equipamento entrar no campo de batalha, crie uma ficha de criatura Rebelde vermelha 2/2 e anexe-o a ela.) A criatura equipada recebe +1/-1. Equipar {1} ({1}: Anexe este equipamento à criatura alvo que você controla. Equipe somente como um feitiço.)</t>
  </si>
  <si>
    <t>Phyrexia: All Will Be One (ONE)</t>
  </si>
  <si>
    <t>Scavenged Blade / Lâmina Salvada</t>
  </si>
  <si>
    <t>When this Equipment enters, attach it to target creature you control. Equipped creature gets +2/+0. Equip {2}{R} ({2}{R}: Attach to target creature you control. Equip only as a sorcery.) / Quando Lâmina Salvada entrar no campo de batalha, anexe-a à criatura alvo que você controla. A criatura equipada recebe +2/+0. Equipar {2}{R} ({2}{R}: Anexe este equipamento à criatura alvo que você controla. Equipe somente como um feitiço.)</t>
  </si>
  <si>
    <t>Shah of Naar Isle / Xá da Ilha Naar</t>
  </si>
  <si>
    <t>Creature — Efreet / Criatura — Efrite</t>
  </si>
  <si>
    <t>Trample Echo {0} (At the beginning of your upkeep, if this came under your control since the beginning of your last upkeep, sacrifice it unless you pay its echo cost.) When this creature's echo cost is paid, each opponent may draw up to three cards. / Atropelar Eco {0} (No início de sua manutenção, se este passou a estar sob o seu controle desde o início de sua última manutenção, sacrifique-o, a menos que você pague seu custo de eco.) Quando o custo de eco do Xá da Ilha Naar é pago, cada oponente pode comprar até três cards.</t>
  </si>
  <si>
    <t>Future Sight (FUT)</t>
  </si>
  <si>
    <t>Clamor Shaman / Xamã do Clamor</t>
  </si>
  <si>
    <t>Creature — Goblin Shaman / Criatura — Goblin Xamã</t>
  </si>
  <si>
    <t>Riot (This creature enters with your choice of a +1/+1 counter or haste.) Whenever this creature attacks, target creature an opponent controls can't block this turn. / Tumulto (Esta criatura entra no campo de batalha com um marcador +1/+1 ou ímpeto, à sua escolha.) Toda vez que Xamã do Clamor ataca, a criatura alvo que um oponente controla não pode bloquear neste turno.</t>
  </si>
  <si>
    <t>Goblin Brawler / Rufião Goblin</t>
  </si>
  <si>
    <t>First strike This creature can't be equipped. / Iniciativa Rufião Goblin não pode ser equipado.</t>
  </si>
  <si>
    <t>Krark-Clan Stoker / Foguista do Clã de Krark</t>
  </si>
  <si>
    <t>Creature — Goblin Shaman / Criatura — Xamã Goblin</t>
  </si>
  <si>
    <t>{T}, Sacrifice an artifact: Add {R}{R}. / {T}, Sacrifique um artefato: Adiciona {R}{R} à sua reserva de mana.</t>
  </si>
  <si>
    <t>Torpid Moloch / Moloch Tórpido</t>
  </si>
  <si>
    <t>Creature — Lizard / Criatura - Lagarto</t>
  </si>
  <si>
    <t>Defender (This creature can't attack.) Sacrifice three lands: This creature loses defender until end of turn. / Defensor (Esta criatura não pode atacar.) Sacrifique três terrenos: Moloch Tórpido perde a habilidade de defensor até o final do turno.</t>
  </si>
  <si>
    <t>Mardu Blazebringer / Arauto da Chama Mardu</t>
  </si>
  <si>
    <t>When this creature attacks or blocks, sacrifice it at end of combat. / Quando Arauto da Chama Mardu atacar ou bloquear, sacrifique-o no final do combate.</t>
  </si>
  <si>
    <t>Brothers Yamazaki</t>
  </si>
  <si>
    <t>Legendary Creature — Human Samurai</t>
  </si>
  <si>
    <t>Bushido 1 (Whenever this creature blocks or becomes blocked, it gets +1/+1 until end of turn.) If there are exactly two permanents named Brothers Yamazaki on the battlefield, the "legend rule" doesn't apply to them. Each other creature named Brothers Yamazaki gets +2/+2 and has haste.</t>
  </si>
  <si>
    <t>Warehouse Thief / Ladrão de Armazéns</t>
  </si>
  <si>
    <t>Creature — Tiefling Rogue / Criatura — Tiferino Ladino</t>
  </si>
  <si>
    <t>{2}, {T}, Sacrifice an artifact or creature: Exile the top card of your library. Until the end of your next turn, you may play that card. / {2}, {T}, sacrifique um artefato ou uma criatura: Exile o card do topo de seu grimório. Até o final do seu próximo turno, você pode jogar aquele card.</t>
  </si>
  <si>
    <t>Virado para a direita</t>
  </si>
  <si>
    <t>Grotag Night-Runner / Corredor Noturno Grotag</t>
  </si>
  <si>
    <t>Creature — Goblin Rogue / Criatura — Goblin Ladino</t>
  </si>
  <si>
    <t>Whenever this creature deals combat damage to a player, exile the top card of your library. You may play that card this turn. / Toda vez que Corredor Noturno Grotag causar dano de combate a um jogador, exile o card do topo de seu grimório. Você pode jogar aquele card neste turno.</t>
  </si>
  <si>
    <t>Reckless Fireweaver / Flamitecelão Temerário</t>
  </si>
  <si>
    <t>Creature — Human Artificer / Criatura — Humano Artesão</t>
  </si>
  <si>
    <t>Whenever an artifact you control enters, this creature deals 1 damage to each opponent. / Toda vez que um artefato entra no campo de batalha sob seu controle, Flamitecelão Temerário causa 1 ponto de dano a cada oponente.</t>
  </si>
  <si>
    <t>Brazen Freebooter / Filibusteira Brônzea</t>
  </si>
  <si>
    <t>When this creature enters, create a Treasure token. (It's an artifact with "{T}, Sacrifice this token: Add one mana of any color.") / Quando Filibusteira Brônzea entrar no campo de batalha, crie uma ficha de artefato incolor do tipo Tesouro com "{T}, sacrifique este artefato: Adicione um mana de qualquer cor à sua reserva de mana."</t>
  </si>
  <si>
    <t>Creepy Puppeteer / Titereira Sinistra</t>
  </si>
  <si>
    <t>Haste Whenever this creature attacks, if you attacked with exactly one other creature this combat, you may have that creature's base power and toughness become 4/3 until end of turn. / Ímpeto Toda vez que Titereira Sinistra ataca, se você atacou com exatamente uma outra criatura neste combate, você pode fazer com que o poder e a resistência básica daquela criatura se torne 4/3 até o final do turno.</t>
  </si>
  <si>
    <t>Tilonalli's Knight / Cavaleiro de Tilonalli</t>
  </si>
  <si>
    <t>Whenever this creature attacks, if you control a Dinosaur, this creature gets +1/+1 until end of turn. / Toda vez que Cavaleiro de Tilonalli ataca, se você controlar um Dinossauro, Cavaleiro de Tilonalli recebe +1/+1 até o final do turno.</t>
  </si>
  <si>
    <t>Tiger-Tribe Hunter / Caçadora da Tribo do Tigre</t>
  </si>
  <si>
    <t>Creature — Human Barbarian / Criatura — Humano Bárbaro</t>
  </si>
  <si>
    <t>Trample Pack tactics — Whenever this creature attacks, if you attacked with creatures with total power 6 or greater this combat, you may sacrifice another creature. When you do, this creature deals damage equal to the sacrificed creature's power to target creature. / Atropelar Táticas de grupo — Toda vez que Caçadora da Tribo do Tigre ataca, se você atacou com criaturas com total de poder igual ou superior a 6 neste combate, você pode sacrificar outra criatura. Quando você faz isso, Caçadora da Tribo do Tigre causa à criatura alvo dano igual ao poder da criatura sacrificada.</t>
  </si>
  <si>
    <t>Flamewake Phoenix / Fênix do Rastro Flamejante</t>
  </si>
  <si>
    <t>Creature — Phoenix / Criatura — Fênix</t>
  </si>
  <si>
    <t>Flying, haste This creature attacks each combat if able. Ferocious — At the beginning of combat on your turn, if you control a creature with power 4 or greater, you may pay {R}. If you do, return this card from your graveyard to the battlefield. / Voar, ímpeto Fênix do Rastro Flamejante ataca a cada turno se estiver apto. Feroz — No início do combate no seu turno, se você controlar uma criatura com poder igual ou superior a 4, você pode pagar {R}. Se fizer isso, devolva Fênix do Rastro Flamejante de seu cemitério para o campo de batalha.</t>
  </si>
  <si>
    <t>Krark-Clan Grunt / Recruta do Clã de Krark</t>
  </si>
  <si>
    <t>Sacrifice an artifact: This creature gets +1/+0 and gains first strike until end of turn. / Sacrifique um artefato: Recruta do Clã de Krark recebe +1/+0 e ganha iniciativa até o final do turno.</t>
  </si>
  <si>
    <t>Izzet Chemister / Quimiomante Izzet</t>
  </si>
  <si>
    <t>Creature — Goblin Wizard / Criatura — Goblin Mago</t>
  </si>
  <si>
    <t>Haste {R}, {T}: Exile target instant or sorcery card from your graveyard. {1}{R}, {T}, Sacrifice this creature: Cast any number of cards exiled with this creature without paying their mana costs. / Ímpeto {R}, {T}: Exile o card de mágica instantânea ou de feitiço alvo de seu cemitério. {1}{R}, {T}, sacrifique Quimiomante Izzet: Conjure qualquer número de cards exilados com Quimiomante Izzet sem pagar seus custos de mana.</t>
  </si>
  <si>
    <t>Krenko, Baron of Tin Street / Krenko, Barão da Rua do Estanho</t>
  </si>
  <si>
    <t>Legendary Creature — Goblin / Criatura Lendária — Goblin</t>
  </si>
  <si>
    <t>Haste {T}, Sacrifice an artifact: Put a +1/+1 counter on each Goblin you control. Whenever an artifact is put into a graveyard from the battlefield, you may pay {R}. If you do, create a 1/1 red Goblin creature token. It gains haste until end of turn. / Ímpeto {T}, sacrifique um artefato: Coloque um marcador +1/+1 em cada Goblin que você controla. Toda vez que um artefato é colocado num cemitério vindo do campo de batalha, você pode pagar {R}. Se fizer isso, crie uma ficha de criatura Goblin vermelha 1/1. Ela ganha ímpeto até o final do turno.</t>
  </si>
  <si>
    <t>Squee, the Immortal / Squee, o Imortal</t>
  </si>
  <si>
    <t>You may cast this card from your graveyard or from exile. / Você pode conjurar Squee, o Imortal, a partir de seu cemitério ou do exílio.</t>
  </si>
  <si>
    <t>Keldon Raider / Saqueadora Keldoniana</t>
  </si>
  <si>
    <t>When this creature enters, you may discard a card. If you do, draw a card. / Quando Saqueadora Keldoniana entra no campo de batalha, você pode descartar um card. Se fizer isso, compre um card.</t>
  </si>
  <si>
    <t>Rampaging Cyclops / Ciclope Enfurecido</t>
  </si>
  <si>
    <t>This creature gets -2/-0 as long as two or more creatures are blocking it. / Ciclope Enfurecido recebe -2/-0 enquanto duas ou mais criaturas o estiverem bloqueando.</t>
  </si>
  <si>
    <t>War-Name Aspirant / Aspirante a Nome de Guerra</t>
  </si>
  <si>
    <t>Raid — This creature enters with a +1/+1 counter on it if you attacked this turn. This creature can't be blocked by creatures with power 1 or less. / Raide — Aspirante a Nome de Guerra entra no campo de batalha com um marcador +1/+1 se você tiver atacado com uma criatura neste turno. Aspirante a Nome de Guerra não pode ser bloqueado por criaturas de poder igual ou inferior a 1.</t>
  </si>
  <si>
    <t>Blistering Dieflyn / Dieflyn Ardente</t>
  </si>
  <si>
    <t>Creature — Imp / Criatura — Diabrete</t>
  </si>
  <si>
    <t>Flying {B/R}: This creature gets +1/+0 until end of turn. / Voar {B/R}: Dieflyn Ardente recebe +1/+0 até o final do turno.</t>
  </si>
  <si>
    <t>Regathan Firecat / Felino Ígneo Regathano</t>
  </si>
  <si>
    <t>Creature — Elemental Cat / Criatura — Elemental Felino</t>
  </si>
  <si>
    <t>Hero of the Games / Herói dos Jogos</t>
  </si>
  <si>
    <t>Whenever you cast a spell that targets this creature, creatures you control get +1/+0 until end of turn. / Toda vez que você conjura uma mágica que tenha como alvo Herói dos Jogos, as criaturas que você controla recebem +1/+0 até o final do turno.</t>
  </si>
  <si>
    <t>Flamewave Invoker / Invocador da Onda de Chamas</t>
  </si>
  <si>
    <t>Creature — Goblin Mutant / Criatura — Goblin Mutante</t>
  </si>
  <si>
    <t>{7}{R}: This creature deals 5 damage to target player or planeswalker. / {7}{R}: Invocador da Onda de Chamas causa 5 pontos de dano ao jogador alvo.</t>
  </si>
  <si>
    <t>Frenzied Raptor / Raptor Frenético</t>
  </si>
  <si>
    <t>Thundering Raiju / Raiju Trovejante</t>
  </si>
  <si>
    <t>Haste Whenever this creature attacks, put a +1/+1 counter on target creature you control. Then this creature deals X damage to each opponent, where X is the number of modified creatures you control other than this creature. (Equipment, Auras you control, and counters are modifications.) / Ímpeto Toda vez que Raiju Trovejante atacar, coloque um marcador +1/+1 na criatura alvo que você controla. Em seguida, Raiju Trovejante causa X pontos de dano a cada oponente, sendo X o número de outras criaturas modificadas que você controla. (Os Equipamentos, as Auras que você controla e os marcadores são modificações.)</t>
  </si>
  <si>
    <t>Viashino Fangtail / Viashino Cauda Canina</t>
  </si>
  <si>
    <t>Creature — Lizard Warrior / Criatura - Guerreiro Viashino</t>
  </si>
  <si>
    <t>{T}: This creature deals 1 damage to any target. / {T}: Viashino Cauda Canina causa 1 ponto de dano à criatura alvo ou ao jogador alvo.</t>
  </si>
  <si>
    <t>Spitfire Lagac / Lagac Cospe-fogo</t>
  </si>
  <si>
    <t>Landfall — Whenever a land you control enters, this creature deals 1 damage to each opponent. / Aterragem — Toda vez que um terreno entra no campo de batalha sob seu controle, Lagac Cospe-fogo causa 1 ponto de dano a cada oponente.</t>
  </si>
  <si>
    <t>Ripscale Predator / Predador da Escama Dilacerante</t>
  </si>
  <si>
    <t>Creature — Dinosaur / Criatura — Lagarto</t>
  </si>
  <si>
    <t>Menace (This creature can't be blocked except by two or more creatures.) / Predador da Escama Dilacerante só pode ser bloqueado por duas ou mais criaturas.</t>
  </si>
  <si>
    <t>Sun-Crowned Hunters / Caçadores Coroa-de-sol</t>
  </si>
  <si>
    <t>Enrage — Whenever this creature is dealt damage, it deals 3 damage to target opponent or planeswalker. / Enfurecer —Toda vez que Caçadores Coroa-de-sol sofre dano, ele causa 3 pontos de dano ao oponente alvo.</t>
  </si>
  <si>
    <t>Thrash of Raptors / Bando de Raptores</t>
  </si>
  <si>
    <t>As long as you control another Dinosaur, this creature gets +2/+0 and has trample. / Enquanto você controlar outro Dinossauro, Bando de Raptores receberá +2/+0 e terá atropelar.</t>
  </si>
  <si>
    <t>Voldaren Stinger / Ferroadora Voldaren</t>
  </si>
  <si>
    <t>This creature has first strike as long as it's attacking. {2}{R}: This creature gets +2/+0 until end of turn. / Ferroadora Voldaren tem iniciativa enquanto estiver atacando. {2}{R}: Ferroadora Voldaren recebe +2/+0 até o final do turno.</t>
  </si>
  <si>
    <t>Mounted Dreadknight / Cavaleiro do Pavor Montado</t>
  </si>
  <si>
    <t>Creature — Vampire Knight / Criatura — Vampiro Cavaleiro</t>
  </si>
  <si>
    <t>Trample This creature enters with a +1/+1 counter on it if an opponent lost life this turn. / Atropelar Cavaleiro do Pavor Montado entra no campo de batalha com um marcador +1/+1 se um oponente perdeu pontos de vida neste turno.</t>
  </si>
  <si>
    <t>Hissing Iguanar / Iguanar Sibilante</t>
  </si>
  <si>
    <t>Whenever another creature dies, you may have this creature deal 1 damage to target player or planeswalker. / Toda vez que outra criatura for colocada no cemitério vinda do jogo, você pode fazer com que Iguanar Sibilante cause 1 ponto de dano ao jogador alvo.</t>
  </si>
  <si>
    <t>Devastador de Lambholt / Lambholt Ravager</t>
  </si>
  <si>
    <t>Criatura — Lobo / Creature — Wolf</t>
  </si>
  <si>
    <t>{3}{R}: A criatura alvo não pode bloquear neste turno. / {3}{R}: Target creature can't block this turn.</t>
  </si>
  <si>
    <t>Vermelho / Red</t>
  </si>
  <si>
    <t>Ciclope do Chicote-corrente / Chainwhip Cyclops</t>
  </si>
  <si>
    <t>Criatura — Ciclope Guerreiro / Creature — Cyclops Warrior</t>
  </si>
  <si>
    <t>Caçador de Duas Cabeças / Two-Headed Hunter</t>
  </si>
  <si>
    <t>Criatura — Gigante / Creature — Giant</t>
  </si>
  <si>
    <t>Raiva em Dobro (Mágica Instantânea — Aventura): A criatura alvo ganha golpe duplo até o final do turno. (Depois, exile este card. Você pode conjurar a criatura posteriormente do exílio.) Ameaçar (Esta criatura só pode ser bloqueada por duas ou mais criaturas.) / Twice as Mad (Instant — Adventure): Target creature gains double strike until end of turn. (Then exile this card. You may cast the creature later from exile.) Menace (This creature can't be blocked except by two or more creatures.)</t>
  </si>
  <si>
    <t>{4}{R} // {1}{R}</t>
  </si>
  <si>
    <t>Esguicho de Magma / Magma Spray</t>
  </si>
  <si>
    <t>Esguicho de Magma causa 2 pontos de dano à criatura alvo. Se aquela criatura for morrer neste turno, em vez disso, exile-a. / Magma Spray deals 2 damage to target creature. If that creature would die this turn, exile it instead.</t>
  </si>
  <si>
    <t>Guerreiro de Akoum / Akoum Warrior</t>
  </si>
  <si>
    <t>Criatura — Minotauro Guerreiro / Creature — Minotaur Warrior</t>
  </si>
  <si>
    <t>Atropelar. / Trample.</t>
  </si>
  <si>
    <t>Grizzly Bears / Ursos Cinzentos</t>
  </si>
  <si>
    <t>Creature — Bear / Criatura — Urso</t>
  </si>
  <si>
    <t>Runeclaw Bear / Urso Garra de Runa</t>
  </si>
  <si>
    <t>Magic 20105 (M15)</t>
  </si>
  <si>
    <t>Rise of the Ants / Ascensão das Formigas</t>
  </si>
  <si>
    <t>Create two 3/3 green Insect creature tokens. You gain 2 life. Flashback {6}{G}{G} (You may cast this card from your graveyard for its flashback cost. Then exile it.) / Crie duas fichas de criatura Inseto verde 3/3. Você ganha 2 pontos de vida. Recapitular {6}{G}{G} (Você pode conjurar este card de seu cemitério pagando seu custo de recapitular. Depois, exile-o.)</t>
  </si>
  <si>
    <t>Horrific Assault / Assalto Horripilante</t>
  </si>
  <si>
    <t>Target creature you control deals damage equal to its power to target creature or planeswalker you don't control. If you control an Eldrazi, you gain 3 life. / A criatura alvo que você controla causa dano igual ao seu poder à criatura ou ao planeswalker alvo que você não controla. Se você controla um Eldrazi, você ganha 3 pontos de vida.</t>
  </si>
  <si>
    <t>Blessing of Frost / Bênção da Geada</t>
  </si>
  <si>
    <t>Snow Sorcery / Feitiço da Neve</t>
  </si>
  <si>
    <t>Distribute X +1/+1 counters among any number of creatures you control, where X is the amount of {S} spent to cast this spell. Then draw a card for each creature you control with power 4 or greater. / Distribua X marcadores +1/+1 entre qualquer número de criaturas que você controla, sendo X a quantidade de {S} gasto para conjurar esta mágica. Depois, compre um card para cada criatura que você controla com poder igual ou superior a 4.({S} é mana de uma fonte da neve.)</t>
  </si>
  <si>
    <t>Charge of the Forever-Beast / Carga da Fera Eterna</t>
  </si>
  <si>
    <t>As an additional cost to cast this spell, reveal a creature card from your hand. Charge of the Forever-Beast deals damage to target creature or planeswalker equal to the revealed card's power. / Como custo adicional para conjurar esta mágica, revele um card de criatura da sua mão. Carga da Fera Eterna causa à criatura ou ao planeswalker alvo dano igual ao poder do card revelado.</t>
  </si>
  <si>
    <t>Adventure Awaits / Aventura à Espera</t>
  </si>
  <si>
    <t>Look at the top five cards of your library. You may reveal a creature card from among them and put it into your hand. Put the rest on the bottom of your library in a random order. If you didn't put a card into your hand this way, draw a card. / Olhe os cinco cards do topo de seu grimório. Você pode revelar um card de criatura dentre eles e colocá-lo em sua mão. Coloque o restante no fundo de seu grimório em ordem aleatória. Se você não colocou um card em sua mão dessa forma, compre um card.</t>
  </si>
  <si>
    <t>Bestial Menace / Ameaça Bestial</t>
  </si>
  <si>
    <t>Create a 1/1 green Snake creature token, a 2/2 green Wolf creature token, and a 3/3 green Elephant creature token. / Crie uma ficha de criatura Cobra verde 1/1, uma ficha de criatura Lobo verde 2/2 e uma ficha de criatura Elefante verde 3/3.</t>
  </si>
  <si>
    <t>Prey Upon / Apresar</t>
  </si>
  <si>
    <t>Target creature you control fights target creature you don't control. (Each deals damage equal to its power to the other.) / A criatura alvo que você controla luta com a criatura alvo que você não controla. (Cada uma causa à outra uma quantidade de dano igual ao próprio poder.)</t>
  </si>
  <si>
    <t>You Meet in a Tavern / Vocês se Encontram numa Taverna</t>
  </si>
  <si>
    <t>Choose one — • Form a Party — Look at the top five cards of your library. You may reveal any number of creature cards from among them and put them into your hand. Put the rest on the bottom of your library in a random order. • Start a Brawl — Creatures you control get +2/+2 until end of turn. / Escolha um — • Formar um grupo — Olhe os cinco cards do topo de seu grimório. Você pode revelar qualquer número de cards de criatura dentre eles e colocá-los em sua mão. Coloque o restante no fundo de seu grimório em ordem aleatória. • Puxar briga — As criaturas que você controla recebem +2/+2 até o final do turno.</t>
  </si>
  <si>
    <t>Colossal Dreadmask / Máscara Sinistra Colossal</t>
  </si>
  <si>
    <t>Living weapon (When this Equipment enters, create a 0/0 black Phyrexian Germ creature token, then attach this to it.) Equipped creature gets +6/+6 and has trample. Equip {3}{G}{G} / Arma viva (Quando este Equipamento entrar no campo de batalha, crie uma ficha de criatura Phyrexiano Germe preta 0/0 e anexe-o a ela.) A criatura equipada recebe +6/+6 e tem atropelar. Equipar {3}{G}{G}</t>
  </si>
  <si>
    <t>Boseiju Reaches Skyward // Branch of Boseiju / Boseiju Alcança as Alturas // Galho de Boseiju</t>
  </si>
  <si>
    <t>Enchantment — Saga // Enchantment Creature — Plant / Encantamento — Saga</t>
  </si>
  <si>
    <t>Boseiju Reaches Skyward: (As this Saga enters and after your draw step, add a lore counter.) I — Search your library for up to two basic Forest cards, reveal them, put them into your hand, then shuffle. II — Put up to one target land card from your graveyard on top of your library. III — Exile this Saga, then return it to the battlefield transformed under your control. // Branch of Boseiju: Reach This creature gets +1/+1 for each land you control. / (Conforme esta Saga entra e após sua etapa de compra, adicione um marcador de conhecimento.) I — Procure em seu grimório até dois cards de Floresta básica, revele-os, coloque-os em sua mão e depois embaralhe. II — Coloque até um card de terreno alvo de seu cemitério no topo de seu grimório. III — Exile esta Saga, depois a devolva ao campo de batalha transformada sob seu controle.</t>
  </si>
  <si>
    <t>Verdant Haven / Refúgio Verdejante</t>
  </si>
  <si>
    <t>Enchant land When this Aura enters, you gain 2 life. Whenever enchanted land is tapped for mana, its controller adds an additional one mana of any color. / Encantar terrenoQuando Refúgio Verdejante entra no campo de batalha, você ganha 2 pontos de vida.Toda vez que o terreno encantado for virado para gerar mana, seu controlador adicionará um mana de qualquer cor à sua reserva de mana (além do mana que o terreno gera).</t>
  </si>
  <si>
    <t>Vastwood Zendikon / Zendikon de Matavasta</t>
  </si>
  <si>
    <t>Enchant land Enchanted land is a 6/4 green Elemental creature. It's still a land. When enchanted land dies, return that card to its owner's hand. / Encantar terreno O terreno encantado é uma criatura verde 6/4 do tipo Elemental. Ela ainda conta como um terreno. Quando o terreno encantado for colocado num cemitério, devolva aquele card para a mão de seu dono.</t>
  </si>
  <si>
    <t>Find the Path / Encontrar o Caminho</t>
  </si>
  <si>
    <t>Enchant land When this Aura enters, venture into the dungeon. (Enter the first room or advance to the next room.) Enchanted land has "{T}: Add {G}{G}." / Encantar terreno Quando Encontrar o Caminho entrar no campo de batalha, aventure-se na masmorra. (Entre na primeira sala ou prossiga para a próxima.) O terreno encantado tem "{T}: Adicione {G}{G}."</t>
  </si>
  <si>
    <t>Feral Invocation / Invocação Feral</t>
  </si>
  <si>
    <t>Flash (You may cast this spell any time you could cast an instant.) Enchant creature Enchanted creature gets +2/+2. / Lampejo (Você poderá conjurar esta mágica a qualquer momento em que puder conjurar uma mágica instantânea.) Encantar criatura A criatura encantada recebe +2/+2.</t>
  </si>
  <si>
    <t>Grafted Growth / Crescimento Enxertado</t>
  </si>
  <si>
    <t>Enchant land When this Aura enters, put a +1/+1 counter on target creature or Vehicle you control. Enchanted land has "{T}: Add two mana of any one color." / Encantar terreno Quando Crescimento Enxertado entrar no campo de batalha, coloque um marcador +1/+1 na criatura ou no Veículo alvo que você controla. O terreno encantando tem "{T}: Adicione dois manas de uma cor à sua escolha".</t>
  </si>
  <si>
    <t>Encroaching Dragonstorm</t>
  </si>
  <si>
    <t>When this enchantment enters, search your library for up to two basic land cards, put them onto the battlefield tapped, then shuffle. When a Dragon you control enters, return this enchantment to its owner's hand.</t>
  </si>
  <si>
    <t>Tarkir: Dragonstorm (TDM)</t>
  </si>
  <si>
    <t>Hunter's Mark / Marca do Predador</t>
  </si>
  <si>
    <t>This spell costs {3} less to cast if it targets a blue permanent you don't control. This spell can't be countered. Target creature you control gets +1/+1 until end of turn. Then it deals damage equal to its power to target creature or planeswalker you don't control. / Esta mágica custa {3} a menos para ser conjurada se tiver como alvo uma permanente azul que você não controla. Esta mágica não pode ser anulada. A criatura alvo que você controla recebe +1/+1 até o final do turno. Em seguida, ela causa uma quantidade de dano igual ao próprio poder à criatura ou ao planeswalker alvo que você não controla.</t>
  </si>
  <si>
    <t>Clinging Mists / Brumas Pegajosas</t>
  </si>
  <si>
    <t>Prevent all combat damage that would be dealt this turn. Fateful hour — If you have 5 or less life, tap all attacking creatures. Those creatures don't untap during their controller's next untap step. / Previna todo o dano de combate que seria causado neste turno. Hora fatal — Se você tiver 5 ou menos pontos de vida, vire todas as criaturas atacantes. Estas criaturas não são desviradas durante a próxima etapa de desvirar de seus controladores.</t>
  </si>
  <si>
    <t>Savage Hunger / Fome Selvagem</t>
  </si>
  <si>
    <t>Enchant creature Enchanted creature gets +1/+0 and has trample. Cycling {2} ({2}, Discard this card: Draw a card.) / Encantar criatura A criatura encantada recebe +1/+0 e tem atropelar. Reciclar {2} ({2}, Descarte este card: Compre um card.)</t>
  </si>
  <si>
    <t>Return to Nature / Retorno à Natureza</t>
  </si>
  <si>
    <t>Choose one — • Destroy target artifact. • Destroy target enchantment. • Exile target card from a graveyard. / Escolha um — • Destrua o artefato alvo. • Destrua o encantamento alvo. • Exile o card alvo de um cemitério.</t>
  </si>
  <si>
    <t>River Heralds' Boon / Bênção dos Arautos do Rio</t>
  </si>
  <si>
    <t>Put a +1/+1 counter on target creature and a +1/+1 counter on up to one target Merfolk. / Coloque um marcador +1/+1 na criatura alvo e um marcador +1/+1 em até um Tritão alvo.</t>
  </si>
  <si>
    <t>Plummet / Tombar</t>
  </si>
  <si>
    <t>Destroy target creature with flying. / Destrua a criatura alvo com voar.</t>
  </si>
  <si>
    <t>Glissa's Scorn / Escárnio de Glissa</t>
  </si>
  <si>
    <t>Destroy target artifact. Its controller loses 1 life. / Destrua o artefato alvo. Seu controlador perde 1 ponto de vida.</t>
  </si>
  <si>
    <t>Rampage of the Clans / Fúria dos Clãs</t>
  </si>
  <si>
    <t>Destroy all artifacts and enchantments. For each permanent destroyed this way, its controller creates a 3/3 green Centaur creature token. / Destrua todos os artefatos e encantamentos. Para cada permanente destruída dessa forma, seu controlador cria uma ficha de criatura verde 3/3 do tipo Centauro.</t>
  </si>
  <si>
    <t>Haunted Fengraf / Cemitério Pantanoso Assombrado</t>
  </si>
  <si>
    <t>{T}: Add {C}. {3}, {T}, Sacrifice this land: Return a creature card at random from your graveyard to your hand. / {T}: Adicione {1} à sua reserva de mana. {3}, {T}, Sacrifique Cemitério Pantanoso Assombrado: Devolva um card de criatura aleatoriamente de seu cemitério para sua mão.</t>
  </si>
  <si>
    <t>Birthing Hulk / Brutamontes Procriador</t>
  </si>
  <si>
    <t>Devoid (This card has no color.) When this creature enters, create two 1/1 colorless Eldrazi Scion creature tokens. They have "Sacrifice this token: Add {C}." ({C} represents colorless mana.) {1}{C}: Regenerate this creature. / Desprovido (Este card não tem cor.) Quando Brutamontes Procriador entrar no campo de batalha, coloque no campo de batalha duas fichas de criatura incolor 1/1 do tipo Rebento Eldrazi. Elas têm "Sacrifique esta criatura: Adicione {C} à sua reserva de mana." ({C} representa mana incolor.) {1}{C}: Regenere Brutamontes Procriador.</t>
  </si>
  <si>
    <t>Primordial Wurm / Vorme Primordial</t>
  </si>
  <si>
    <t>Creature — Wurm / Criatura — Vorme</t>
  </si>
  <si>
    <t>Lurking Roper / Estrangulador à Espreita</t>
  </si>
  <si>
    <t>Creature — Horror / Criatura — Horror</t>
  </si>
  <si>
    <t>This creature doesn't untap during your untap step. Whenever you gain life, untap this creature. / Estrangulador à Espreita não é desvirado durante sua etapa de desvirar. Toda vez que você ganhar pontos de vida, desvire Estrangulador à Espreita.</t>
  </si>
  <si>
    <t>Burr Grafter / Enxerta-Buril</t>
  </si>
  <si>
    <t>Creature — Spirit / Criatura - Espírito</t>
  </si>
  <si>
    <t>Sacrifice this creature: Target creature gets +2/+2 until end of turn. Soulshift 3 (When this creature dies, you may return target Spirit card with mana value 3 or less from your graveyard to your hand.) / Sacrifique Enxerta-Buril: A criatura alvo recebe +2/+2 até o final do turno. Transmigração da Alma 3 (Quando esta for colocada num cemitério vinda de jogo, você pode devolver o card alvo de Espírito com custo de mana convertido menor ou igual a 3 de seu cemitério para sua mão.)</t>
  </si>
  <si>
    <t>Transluminant / Transluminante</t>
  </si>
  <si>
    <t>Creature — Dryad Shaman / Criatura - Dríade Xamã</t>
  </si>
  <si>
    <t>{W}, Sacrifice this creature: Create a 1/1 white Spirit creature token with flying at the beginning of the next end step. / {W}, Sacrifique Transluminante: Coloque em jogo uma ficha de criatura branca 1/1 do tipo Espírito, com a habilidade de voar, no final do turno.</t>
  </si>
  <si>
    <t>Armored Kincaller / Invocador da Raça Blindado</t>
  </si>
  <si>
    <t>When this creature enters, you may reveal a Dinosaur card from your hand. If you do or if you control another Dinosaur, you gain 3 life. / Quando Invocador da Raça Blindado entra no campo de batalha, você pode revelar um card de Dinossauro de sua mão. Se fizer isso ou controlar outro Dinossauro, você ganhará 3 pontos de vida.</t>
  </si>
  <si>
    <t>Villagers of Estwald // Howlpack of Estwald / Aldeões de Estwald // Alcateia Uivante de Estwald</t>
  </si>
  <si>
    <t>Creature — Human Werewolf // Creature — Werewolf / Criatura — Humano Lobisomem</t>
  </si>
  <si>
    <t>Villagers of Estwald: At the beginning of each upkeep, if no spells were cast last turn, transform this creature. // Howlpack of Estwald: At the beginning of each upkeep, if a player cast two or more spells last turn, transform this creature. / No início de cada manutenção, se nenhuma mágica tiver sido conjurada no último turno, transforme Aldeões de Estwald.</t>
  </si>
  <si>
    <t>Grazing Gladehart / Cervo-de-Clareira Pastejador</t>
  </si>
  <si>
    <t>Creature — Antelope / Criatura — Antílope</t>
  </si>
  <si>
    <t>Landfall — Whenever a land you control enters, you may gain 2 life. / Aterragem — Toda vez que um terreno entra no campo de batalha sob o seu controle, você pode ganhar 2 pontos de vida.</t>
  </si>
  <si>
    <t>Duel Decks: Zendikar vs. Eldrazi (DDP)</t>
  </si>
  <si>
    <t>Splinterfright / Assombro Farpado</t>
  </si>
  <si>
    <t>Trample Splinterfright's power and toughness are each equal to the number of creature cards in your graveyard. At the beginning of your upkeep, mill two cards. (Put the top two cards of your library into your graveyard.) / Atropelar O poder e a resistência de Assombro Farpado são ambos iguais ao número de cards de criatura no seu cemitério. No início de sua manutenção, coloque os dois cards do topo de seu grimório em seu cemitério.</t>
  </si>
  <si>
    <t>Highland Game / Caça do Planalto</t>
  </si>
  <si>
    <t>Creature — Elk / Criatura — Alce</t>
  </si>
  <si>
    <t>When this creature dies, you gain 2 life. / Quando Caça do Planalto morre, você ganha 2 pontos de vida.</t>
  </si>
  <si>
    <t>Uproot / Desenraizar</t>
  </si>
  <si>
    <t>Sorcery — Arcane / Feitiço - Arcana</t>
  </si>
  <si>
    <t>Put target land on top of its owner's library. / Coloque o terreno alvo no topo do grimório de seu dono.</t>
  </si>
  <si>
    <t>Scout the Borders / Explorar as Fronteiras</t>
  </si>
  <si>
    <t>Reveal the top five cards of your library. You may put a creature or land card from among them into your hand. Put the rest into your graveyard. / Revele os cinco cards do topo de seu grimório. Você pode colocar um card de criatura ou terreno dentre eles em sua mão. Coloque o restante em seu cemitério.</t>
  </si>
  <si>
    <t>Explosive Entry / Entrada Explosiva</t>
  </si>
  <si>
    <t>Destroy up to one target artifact. Put a +1/+1 counter on up to one target creature. / Destrua até um artefato alvo. Coloque um marcador +1/+1 em até uma criatura alvo.</t>
  </si>
  <si>
    <t>Crackling Emergence / Emergência Crepitante</t>
  </si>
  <si>
    <t>Enchant land you control Enchanted land is a 3/3 red Spirit creature with haste. It's still a land. If enchanted land would be destroyed, instead sacrifice this Aura and that land gains indestructible until end of turn. / Encantar terreno que você controla O terreno encantado é uma criatura Espírito vermelha 3/3 com ímpeto. Ele ainda é um terreno. Se o terreno encantado seria destruído, em vez disso, sacrifique Emergência Crepitante e aquele terreno ganha indestrutível até o final do turno.</t>
  </si>
  <si>
    <t>Unstoppable Ogre / Ogro Irrefreável</t>
  </si>
  <si>
    <t>Artifact Creature — Ogre Warrior / Criatura Artefato — Ogro Guerreiro</t>
  </si>
  <si>
    <t>When this creature enters, target creature can't block this turn. / Quando Ogro Irrefreável entra no campo de batalha, a criatura alvo não pode bloquear neste turno.</t>
  </si>
  <si>
    <t>Kami's Flare / Labareda do Kami</t>
  </si>
  <si>
    <t>Kami's Flare deals 3 damage to target creature or planeswalker. Kami's Flare also deals 2 damage to that permanent's controller if you control a modified creature. (Equipment, Auras you control, and counters are modifications.) / Labareda do Kami causa 3 pontos de dano à criatura ou ao planeswalker alvo. Labareda do Kami também causa 2 pontos de dano ao controlador daquela permanente se você controlar uma criatura modificada. (Os Equipamentos, as Auras que você controla e os marcadores são modificações.)</t>
  </si>
  <si>
    <t>Gift of Wrath / Dádiva da Ira</t>
  </si>
  <si>
    <t>Enchant artifact or creature As long as enchanted permanent is a creature, it gets +2/+2 and has menace. (It can't be blocked except by two or more creatures.) When this Aura leaves the battlefield, create a 2/2 red Spirit creature token with menace. / Encantar artefato ou criatura Enquanto a permanente encantada for uma criatura, ela receberá +2/+2 e terá ameaçar. (Ela só pode ser bloqueada por duas ou mais criaturas.) Quando Dádiva da Ira deixar o campo de batalha, crie uma ficha de criatura Espírito vermelha 2/2 com ameaçar.</t>
  </si>
  <si>
    <t>Ironhoof Boar / Javali Casco-de-ferro</t>
  </si>
  <si>
    <t>Artifact Creature — Boar / Criatura Artefato — Javali</t>
  </si>
  <si>
    <t>Trample, haste Channel — {1}{R}, Discard this card: Target creature gets +3/+1 and gains trample until end of turn. / Atropelar, ímpeto Canalizar — {1}{R}, descarte Javali Casco-de-ferro: A criatura alvo recebe +3/+1 e ganha atropelar até o final do turno.</t>
  </si>
  <si>
    <t>Voltage Surge / Surto Voltaico</t>
  </si>
  <si>
    <t>As an additional cost to cast this spell, you may sacrifice an artifact. Voltage Surge deals 2 damage to target creature or planeswalker. If this spell's additional cost was paid, Voltage Surge deals 4 damage instead. / Como custo adicional para conjurar esta mágica, você pode sacrificar um artefato. Surto Voltaico causa 2 pontos de dano à criatura ou ao planeswalker alvo. Se o custo adicional desta mágica foi pago, em vez disso, Surto Voltaico causa 4 pontos de dano.</t>
  </si>
  <si>
    <t>The Shattered States Era // Nameless Conqueror / A Era dos Estados Despedaçados // Conquistador Sem Nome</t>
  </si>
  <si>
    <t>Enchantment — Saga // Enchantment Creature — Human Samurai / Encantamento — Saga</t>
  </si>
  <si>
    <t>The Shattered States Era: (As this Saga enters and after your draw step, add a lore counter.) I — Gain control of target creature until end of turn. Untap it. It gains haste until end of turn. II — Creatures you control get +1/+0 until end of turn. III — Exile this Saga, then return it to the battlefield transformed under your control. // Nameless Conqueror: Trample, haste / (Conforme esta Saga entra e após sua etapa de compra, adicione um marcador de conhecimento.) I — Ganhe o controle da criatura alvo até o final do turno. Desvire-a. Ela ganha ímpeto até o final do turno. II — As criaturas que você controla recebem +1/+0 até o final do turno. III — Exile esta Saga, depois a devolva ao campo de batalha transformada sob seu controle.</t>
  </si>
  <si>
    <t>Vampire Sovereign / Soberana Vampira</t>
  </si>
  <si>
    <t>Creature — Vampire Noble / Criatura — Vampiro</t>
  </si>
  <si>
    <t>Flying When this creature enters, target opponent loses 3 life and you gain 3 life. / Voar Quando Soberana Vampira entra no campo de batalha, o oponente alvo perde 3 pontos de vida e você ganha 3 pontos de vida.</t>
  </si>
  <si>
    <t>Hunter of Eyeblights / Caçador de Seca-Olhos</t>
  </si>
  <si>
    <t>Creature — Elf Assassin / Criatura — Elfo Assassino</t>
  </si>
  <si>
    <t>When this creature enters, put a +1/+1 counter on target creature you don't control. {2}{B}, {T}: Destroy target creature with a counter on it. / Quando Caçador de Seca-Olhos entrar em jogo, coloque um marcador +1/+1 sobre a criatura alvo que você não controla. {2}{B}, {T}: Destrua a criatura alvo com um marcador sobre ela.</t>
  </si>
  <si>
    <t>Lorwyn (LRW)</t>
  </si>
  <si>
    <t>Savor</t>
  </si>
  <si>
    <t>Target creature gets -2/-2 until end of turn. Create a Food token. (It's an artifact with "{2}, {T}, Sacrifice this token: You gain 3 life.")</t>
  </si>
  <si>
    <t>Gloomlance / Lança das Trevas</t>
  </si>
  <si>
    <t>Destroy target creature. If that creature was green or white, its controller discards a card. / Destrua a criatura alvo. Se aquela criatura for verde ou branca, seu controlador descartará um card.</t>
  </si>
  <si>
    <t>Harrowing Journey / Jornada Desgastante</t>
  </si>
  <si>
    <t>Target player draws three cards and loses 3 life. / O jogador alvo compra três cards e perde 3 pontos de vida.</t>
  </si>
  <si>
    <t>Guardiãs de Oboro / Oboro Enforcers</t>
  </si>
  <si>
    <t>Criatura — Cidadão-da-lua Samurai / Creature — Moonfolk Samurai</t>
  </si>
  <si>
    <t>Defensor. As criaturas modificadas que você controla podem atacar como se não tivessem defensor. / Defender. Modified creatures you control can attack as though they didn't have defender.</t>
  </si>
  <si>
    <t>Perturbador de Redes / Network Disruptor</t>
  </si>
  <si>
    <t>Criatura Artefato — Cidadão-da-lua Ladino / Artifact Creature — Moonfolk Rogue</t>
  </si>
  <si>
    <t>Voar. Quando Perturbador de Redes entrar no campo de batalha, vire a permanente alvo. / Flying. When Network Disruptor enters the battlefield, tap target permanent.</t>
  </si>
  <si>
    <t>Familiar Protetor de Pulso / Patchwork Rats</t>
  </si>
  <si>
    <t>Criatura Artefato — Equipamento Besta / Artifact Creature — Equipment Beast</t>
  </si>
  <si>
    <t>Salvaguarda {2}. A criatura equipada recebe +2/+1 e tem salvaguarda {2}. Reconfigurar {4}. / Ward {2}. Equipped creature gets +2/+1 and has ward {2}. Reconfigure {4}.</t>
  </si>
  <si>
    <t>Moonsnare Specialist / Especialista em Lunilaço</t>
  </si>
  <si>
    <t>Ninjutsu {2}{U}. Quando Especialista em Lunilaço entrar no campo de batalha, devolva até uma criatura alvo para a mão de seu dono. / Ninjutsu {2}{U}. When Moon-Circuit Hacker enters the battlefield, return up to one target creature to its owner's hand.</t>
  </si>
  <si>
    <t>Esfera Mnemônica / Mnemonics Sphere</t>
  </si>
  <si>
    <t>Artefato / Artifact</t>
  </si>
  <si>
    <t>{1}{U}, sacrifique Esfera Mnemônica: Compre dois cards. Canalizar — {U}, descarte Esfera Mnemônica: Compre um card. / {1}{U}, Sacrifice Mnemonics Sphere: Draw two cards. Channel — {U}, Discard Mnemonics Sphere: Draw a card.</t>
  </si>
  <si>
    <t>Bogslither's Embrace</t>
  </si>
  <si>
    <t>As an additional cost to cast this spell, blight 1 or pay {3}. (To blight 1, put a -1/-1 counter on a creature you control.) Exile target creature.</t>
  </si>
  <si>
    <t>Fruit of Tizerus / Fruto de Tízero</t>
  </si>
  <si>
    <t>Target player loses 2 life. Escape—{3}{B}, Exile three other cards from your graveyard. (You may cast this card from your graveyard for its escape cost.) / O jogador alvo perde 2 pontos de vida. Escapatória — {3}{B}, exile três outros cards de seu cemitério. (Você pode conjurar este card de seu cemitério pagando seu custo de escapatória.)</t>
  </si>
  <si>
    <t>Slaughter Drone / Zangão da Matança</t>
  </si>
  <si>
    <t>Devoid (This card has no color.) {C}: This creature gains deathtouch until end of turn. (Any amount of damage it deals to a creature is enough to destroy it. {C} represents colorless mana.) / Desprovido (Este card não tem cor.) {C}: Zagão da Matança ganha toque mortífero até o final do turno. (Qualquer quantidade de dano que ele cause a uma criatura é suficiente para destruí-la. {C} representa mana incolor.)</t>
  </si>
  <si>
    <t>Witch's Familiar / Familiar da Bruxa</t>
  </si>
  <si>
    <t>Creature — Frog / Criatura — Sapo</t>
  </si>
  <si>
    <t>Catacomb Slug / Lesma de Catacumba</t>
  </si>
  <si>
    <t>Creature — Slug / Criatura — Lesma</t>
  </si>
  <si>
    <t>Melancholic Poet</t>
  </si>
  <si>
    <t>Creature — Elf Bard</t>
  </si>
  <si>
    <t>Repartee — Whenever you cast an instant or sorcery spell that targets a creature, each opponent loses 1 life and you gain 1 life.</t>
  </si>
  <si>
    <t>Scathe Zombies / Zumbis de Scathe</t>
  </si>
  <si>
    <t>Seventh Edition (7ED)</t>
  </si>
  <si>
    <t>Zhalfirin Void / Vazio Zhalfiriano</t>
  </si>
  <si>
    <t>When this land enters, scry 1. (Look at the top card of your library. You may put that card on the bottom.) {T}: Add {C}. / Quando Vazio Zhalfiriano entrar no campo de batalha, use vidência 1. (Olhe o card do topo de seu grimório. Você pode colocar aquele card no fundo de seu grimório.) {T}: Adicione {C}.</t>
  </si>
  <si>
    <t>Mage-Ring Network / Rede dos Anéis de Mago</t>
  </si>
  <si>
    <t>{T}: Add {C}. {1}, {T}: Put a storage counter on this land. {T}, Remove any number of storage counters from this land: Add {C} for each storage counter removed this way. / {T}: Adicione {1} à sua reserva de mana.{1}, {T}: Coloque um marcador de estocagem em Rede dos Anéis de Mago.{T}, Remova X marcadores de estocagem de Rede dos Anéis de Mago: Adicione {X} à sua reserva de mana.</t>
  </si>
  <si>
    <t>Sea Gate Wreckage / Escombros de Portão Marinho</t>
  </si>
  <si>
    <t>{T}: Add {C}. ({C} represents colorless mana.) {2}{C}, {T}: Draw a card. Activate only if you have no cards in hand. / {T}: Adicione {C} à sua reserva de mana. ({C} representa mana incolor.) {2}{C}, {T}: Compre um card. Ative esta habilidade apenas se você não tiver nenhum card em sua mão.</t>
  </si>
  <si>
    <t>Orzhov Guildgate / Portão da Guilda Orzhov</t>
  </si>
  <si>
    <t>This land enters tapped. {T}: Add {W} or {B}. / Portão da Guilda Orzhov entra no campo de batalha virado. {T}: Adicione {W} ou {B}.</t>
  </si>
  <si>
    <t>Rupture Spire</t>
  </si>
  <si>
    <t>Rupture Spire enters the battlefield tapped. When Rupture Spire enters the battlefield, sacrifice it unless you pay {1}. {T}: Add one mana of any color to your mana pool.</t>
  </si>
  <si>
    <t>N/A</t>
  </si>
  <si>
    <t>Unyielding Krumar / Krumar Inexorável</t>
  </si>
  <si>
    <t>Creature — Orc Warrior / Criatura — Orc Guerreiro</t>
  </si>
  <si>
    <t>{1}{W}: This creature gains first strike until end of turn. / {1}{W}: Krumar Inexorável ganha iniciativa até o final do turno.</t>
  </si>
  <si>
    <t>Death's Caress / Carícia da Morte</t>
  </si>
  <si>
    <t>Destroy target creature. If that creature was a Human, you gain life equal to its toughness. / Destrua a criatura alvo. Se aquela criatura era um Humano, você ganha uma quantidade de pontos de vida igual a sua resistência.</t>
  </si>
  <si>
    <t>Blood Tithe / Dízimo de Sangue</t>
  </si>
  <si>
    <t>Each opponent loses 3 life. You gain life equal to the life lost this way. / Cada oponente perde 3 pontos de vida. Você ganha uma quantidade de pontos de vida igual aos pontos de vida perdidos dessa maneira.</t>
  </si>
  <si>
    <t>Prickly Boggart / Papão Espinhoso</t>
  </si>
  <si>
    <t>Fear (This creature can't be blocked except by artifact creatures and/or black creatures.) / Amedrontar</t>
  </si>
  <si>
    <t>Morningtide (MOR)</t>
  </si>
  <si>
    <t>Lich's Caress / Carícia do Lich</t>
  </si>
  <si>
    <t>Destroy target creature. You gain 3 life. / Destrua a criatura alvo. Você ganha 3 pontos de vida.</t>
  </si>
  <si>
    <t>Mage Hunters' Onslaught / Investida dos Caça-magos</t>
  </si>
  <si>
    <t>Destroy target creature or planeswalker. Whenever a creature blocks this turn, its controller loses 1 life. / Destrua a criatura ou o planeswalker alvo. Toda vez que uma criatura bloqueia neste turno, seu controlador perde 1 ponto de vida.</t>
  </si>
  <si>
    <t>Grim Guardian / Guardião Sinistro</t>
  </si>
  <si>
    <t>Enchantment Creature — Zombie / Criatura Encantamento — Zumbi</t>
  </si>
  <si>
    <t>Constellation — Whenever this creature or another enchantment you control enters, each opponent loses 1 life. / Constelação — Toda vez que Guardião Sinistro ou outro encantamento entra no campo de batalha sob seu controle, cada oponente perde 1 ponto de vida.</t>
  </si>
  <si>
    <t>Daring Demolition / Demolição Ousada</t>
  </si>
  <si>
    <t>Destroy target creature or Vehicle. / Destrua a criatura ou o Veículo alvo.</t>
  </si>
  <si>
    <t>Festive Funeral / Funeral Festivo</t>
  </si>
  <si>
    <t>Target creature gets -X/-X until end of turn, where X is the number of cards in your graveyard. / A criatura alvo recebe -X/-X até o final do turno, sendo X o número de cards em seu cemitério.</t>
  </si>
  <si>
    <t>Dark Inquiry / Interrogatório Sombrio</t>
  </si>
  <si>
    <t>Target opponent reveals their hand. You choose a nonland card from it. That player discards that card. / O oponente alvo revela a própria mão. Você escolhe um card que não seja um terreno da mão dele. Aquele jogador descarta aquele card.</t>
  </si>
  <si>
    <t>Sugar Rush / Frenesi do Açúcar</t>
  </si>
  <si>
    <t>Target creature gets +3/+0 until end of turn. Draw a card. / A criatura alvo recebe +3/+0 até o final do turno. Compre um card.</t>
  </si>
  <si>
    <t>Crucible of the Spirit Dragon / Crisol do Dragão Espírito</t>
  </si>
  <si>
    <t>{T}: Add {C}. {1}, {T}: Put a storage counter on this land. {T}, Remove X storage counters from this land: Add X mana in any combination of colors. Spend this mana only to cast Dragon spells or activate abilities of Dragons. / {T}: Adicione {1} à sua reserva de mana. {1}, {T}: Coloque um marcador de armazenamento em Crisol do Dragão Espírito. {T}, Remova X marcadores de armazenamento de Crisol do Dragão Espírito: Adicione X mana em qualquer combinação de cores à sua reserva de mana. Gaste este mana somente para conjurar mágicas de Dragão ou ativar habilidades de Dragões.</t>
  </si>
  <si>
    <t>Abnormal Endurance / Resistência Anormal</t>
  </si>
  <si>
    <t>Until end of turn, target creature gets +2/+0 and gains "When this creature dies, return it to the battlefield tapped under its owner's control." / Até o final do turno, a criatura alvo recebe +2/+0 e ganha "Quando esta criatura morrer, devolva-a ao campo de batalha virada sob o controle de seu dono.".</t>
  </si>
  <si>
    <t>Sivriss, Nightmare Speaker / Sivriss, Orador do Pesadelo</t>
  </si>
  <si>
    <t>Legendary Creature — Snake Cleric Warlock / Criatura Lendária — Cobra Clérigo Bruxo</t>
  </si>
  <si>
    <t>{T}, Sacrifice another creature or an artifact: For each opponent, you mill a card, then return that card from your graveyard to your hand unless that player pays 3 life. (To mill a card, put the top card of your library into your graveyard.) Choose a Background (You can have a Background as a second commander.) / {T}, sacrifique outra criatura ou um artefato: Para cada oponente, você tritura um card e depois devolve aquele card de seu cemitério para sua mão, a menos que aquele jogador pague 3 pontos de vida. (Para triturar um card, coloque o card do topo de seu grimório em seu cemitério.) Escolha um Antecedente (Você pode ter um Antecedente como segundo comandante.)</t>
  </si>
  <si>
    <t>Lost Legion / Legião Perdida</t>
  </si>
  <si>
    <t>Creature — Spirit Knight / Criatura — Espírito Cavaleiro</t>
  </si>
  <si>
    <t>When this creature enters, scry 2. (Look at the top two cards of your library, then put any number of them on the bottom and the rest on top in any order.) / Quando Legião Perdida entrar no campo de batalha, use vidência 2. (Olhe os dois cards do topo do seu grimório. Depois, coloque qualquer número deles no fundo do seu grimório e o restante no topo em qualquer ordem.)</t>
  </si>
  <si>
    <t>Cruel Sadist / Sádico Cruel</t>
  </si>
  <si>
    <t>Creature — Human Assassin / Criatura — Humano Assassino</t>
  </si>
  <si>
    <t>{B}, {T}, Pay 1 life: Put a +1/+1 counter on this creature. {2}{B}, {T}, Remove X +1/+1 counters from this creature: It deals X damage to target creature. / {B}, {T}, Pague 1 ponto de vida: Coloque um marcador +1/+1 em Sádico Cruel. {2}{B}, {T}, Remova X marcadores +1/+1 de Sádico Cruel: Sádico Cruel causa X pontos de dano à criatura alvo.</t>
  </si>
  <si>
    <t>Radiant Fountain / Fonte Radiante</t>
  </si>
  <si>
    <t>When this land enters, you gain 2 life. {T}: Add {C}. / Quando Fonte Radiante entra no campo de batalha, você ganha 2 pontos de vida. {T}: Adicione {C}.</t>
  </si>
  <si>
    <t>Fake Your Own Death / Fingir a Própria Morte</t>
  </si>
  <si>
    <t>Until end of turn, target creature gets +2/+0 and gains "When this creature dies, return it to the battlefield tapped under its owner's control and you create a Treasure token." (It's an artifact with "{T}, Sacrifice this token: Add one mana of any color.") / Até o final do turno, a criatura alvo recebe +2/+0 e ganha "Quando esta criatura morrer, devolva-a ao campo de batalha virada sob o controle de seu dono e você cria uma ficha de Tesouro". (Ela é um artefato com "{T}, sacrifique este artefato: Adicione um mana de qualquer cor".)</t>
  </si>
  <si>
    <t>Priest of the Blood Rite / Sacerdote do Ritual de Sangue</t>
  </si>
  <si>
    <t>When this creature enters, create a 5/5 black Demon creature token with flying. At the beginning of your upkeep, you lose 2 life. / Quando Sacerdote do Ritual de Sangue entrar no campo de batalha, coloque no campo de batalha uma ficha de criatura preta 5/5 do tipo Demônio com voar.No início de sua manutenção, você perde 2 pontos de vida.</t>
  </si>
  <si>
    <t>Boneclad Necromancer / Necromante da Veste Óssea</t>
  </si>
  <si>
    <t>When this creature enters, you may exile target creature card from a graveyard. If you do, create a 2/2 black Zombie creature token. / Quando Necromante da Veste Óssea entra no campo de batalha, você pode exilar o card de criatura alvo de um cemitério. Se fizer isso, crie uma ficha de criatura preta 2/2 do tipo Zumbi.</t>
  </si>
  <si>
    <t>Soulflayer / Flagelador de Alma</t>
  </si>
  <si>
    <t>Creature — Demon / Criatura — Demônio</t>
  </si>
  <si>
    <t>Delve (Each card you exile from your graveyard while casting this spell pays for {1}.) If a creature card with flying was exiled with this creature's delve ability, this creature has flying. The same is true for first strike, double strike, deathtouch, haste, hexproof, indestructible, lifelink, reach, trample, and vigilance. / Esquadrinhar (Cada card que você exila de seu cemitério quando conjura esta mágica paga por {1}.) Se um card de criatura com voar for exilado pela habilidade esquadrinhar do Flagelador de Alma, Flagelador de Alma tem voar. O mesmo vale para iniciativa, golpe duplo, toque mortífero, ímpeto, resistência a magia, indestrutível, vínculo com a vida, alcance, atropelar e vigilância.</t>
  </si>
  <si>
    <t>{4}{B}{B}</t>
  </si>
  <si>
    <t>Sightless Ghoul / Carniçal Cego</t>
  </si>
  <si>
    <t>Creature — Zombie Soldier / Criatura — Zumbi Soldado</t>
  </si>
  <si>
    <t>This creature can't block. Undying (When this creature dies, if it had no +1/+1 counters on it, return it to the battlefield under its owner's control with a +1/+1 counter on it.) / Carniçal Cego não pode bloquear. Imortal (Quando esta criatura morrer, se ela não tiver nenhum marcador +1/+1, devolva-a ao campo de batalha sob o controle de seu dono com um marcador +1/+1.)</t>
  </si>
  <si>
    <t>Dokuchi Silencer / Silenciador Dokuchi</t>
  </si>
  <si>
    <t>Ninjutsu {1}{B} ({1}{B}, Return an unblocked attacker you control to hand: Put this card onto the battlefield from your hand tapped and attacking.) Whenever this creature deals combat damage to a player, you may discard a creature card. When you do, destroy target creature or planeswalker that player controls. / Ninjutsu {1}{B} ({1}{B}, devolva para a mão um atacante não bloqueado que você controla: Coloque este card no campo de batalha de sua mão, virado e atacando.) Toda vez que Silenciador Dokuchi causa dano de combate a um jogador, você pode descartar um card de criatura. Quando fizer isso, destrua a criatura ou o planeswalker alvo que aquele jogador controla.</t>
  </si>
  <si>
    <t>Soulstinger / Picador de Almas</t>
  </si>
  <si>
    <t>Creature — Scorpion Demon / Criatura — Escorpião Demônio</t>
  </si>
  <si>
    <t>When this creature enters, put two -1/-1 counters on target creature you control. When this creature dies, you may put a -1/-1 counter on target creature for each -1/-1 counter on this creature. / Quando Picador de Almas entrar no campo de batalha, coloque dois marcadores -1/-1 na criatura alvo que você controla. Quando Picador de Almas morre, você pode colocar um marcador -1/-1 na criatura alvo para cada marcador -1/-1 em Picador de Almas.</t>
  </si>
  <si>
    <t>Bankrupt in Blood / Falir em Sangue</t>
  </si>
  <si>
    <t>As an additional cost to cast this spell, sacrifice two creatures. Draw three cards. / Como custo adicional para conjurar esta mágica, sacrifique duas criaturas. Compre três cards.</t>
  </si>
  <si>
    <t>Malicious Malfunction / Anomalia Maligna</t>
  </si>
  <si>
    <t>All creatures get -2/-2 until end of turn. If a creature would die this turn, exile it instead. / Todas as criaturas recebem -2/-2 até o final do turno. Se uma criatura morreria neste turno, em vez disso, exile-a.</t>
  </si>
  <si>
    <t>Chilling Shade / Sombra Congelante</t>
  </si>
  <si>
    <t>Snow Creature — Shade / Criatura da Neve — Sombra</t>
  </si>
  <si>
    <t>Flying {S}: This creature gets +1/+1 until end of turn. ({S} can be paid with one mana from a snow source.) / Voar {S}: Sombra Congelante recebe +1/+1 até o final do turno. ({S} pode ser pago com um mana de uma permanente da neve.)</t>
  </si>
  <si>
    <t>Debt to the Kami / Dívida com os Kami</t>
  </si>
  <si>
    <t>Choose one — • Target opponent exiles a creature they control. • Target opponent exiles an enchantment they control. / Escolha um — • O oponente alvo exila uma criatura que ele controla. • O oponente alvo exila um encantamento que ele controla.</t>
  </si>
  <si>
    <t>Psychic Whorl</t>
  </si>
  <si>
    <t>Target opponent discards two cards. Then if you control a Rat, surveil 2. (Look at the top two cards of your library, then put any number of them into your graveyard and the rest on top of your library in any order.)</t>
  </si>
  <si>
    <t>Surging Dementia / Demência Ondulante</t>
  </si>
  <si>
    <t>Ripple 4 (When you cast this spell, you may reveal the top four cards of your library. You may cast spells with the same name as this spell from among those cards without paying their mana costs. Put the rest on the bottom of your library.) Target player discards a card. / Ondular 4 (Quando você joga esta mágica, você pode revelar os quatro cards do topo de seu grimório. Você pode jogar quaisquer cards revelados com o mesmo nome desta mágica sem pagar seus custos de mana. Coloque o resto no fundo de seu grimório.) O jogador alvo descarta um card.</t>
  </si>
  <si>
    <t>Perplexing Chimera / Quimera Desconcertante</t>
  </si>
  <si>
    <t>Enchantment Creature — Chimera / Criatura Encantamento — Quimera</t>
  </si>
  <si>
    <t>Whenever an opponent casts a spell, you may exchange control of this creature and that spell. If you do, you may choose new targets for the spell. (If the spell becomes a permanent, you control that permanent.) / Toda vez que um oponente conjura uma mágica, você pode permutar o controle de Quimera Desconcertante e daquela mágica. Se fizer isso, você poderá escolher novos alvos para a mágica. (Se a mágica se tornar uma permanente, você controlará aquela permanente.)</t>
  </si>
  <si>
    <t>Thunder Drake / Dragonete do Trovão</t>
  </si>
  <si>
    <t>Creature — Elemental Drake / Criatura — Elemental Dragonete</t>
  </si>
  <si>
    <t>Flying Whenever you cast your second spell each turn, put a +1/+1 counter on this creature. / Voar Toda vez que você conjurar sua segunda mágica a cada turno, coloque um marcador +1/+1 em Dragonete do Trovão.</t>
  </si>
  <si>
    <t>Drowner of Hope / Afogador da Esperança</t>
  </si>
  <si>
    <t>Devoid (This card has no color.) When this creature enters, create two 1/1 colorless Eldrazi Scion creature tokens. They have "Sacrifice this token: Add {C}." Sacrifice an Eldrazi Scion: Tap target creature. / Desprovido (Este card não tem cor.)Quando Afogador da Esperança entrar no campo de batalha, coloque no campo de batalha duas fichas de criatura incolores 1/1 do tipo Rebento Eldrazi. Elas têm "Sacrifique esta criatura: Adicione {1} à sua reserva de mana."Sacrifique um Rebento Eldrazi: Vire a criatura alvo.</t>
  </si>
  <si>
    <t>{5}{U}</t>
  </si>
  <si>
    <t>Court Hussar / Hussardo Real</t>
  </si>
  <si>
    <t>Creature — Vedalken Knight / Criatura — Cavaleiro Vedalkeano</t>
  </si>
  <si>
    <t>Vigilance When this creature enters, look at the top three cards of your library, then put one of them into your hand and the rest on the bottom of your library in any order. When this creature enters, sacrifice it unless {W} was spent to cast it. / Vigilância Quando Hussardo Real entrar em jogo, olhe os três cards do topo de seu grimório, coloque um deles em sua mão e o restante no fundo de seu grimório em qualquer ordem. Quando Hussardo Real entrar em jogo, sacrifique-o, a menos que {W} tenha sido gasto para jogá-lo.</t>
  </si>
  <si>
    <t>Lunar Mystic / Místico Lunar</t>
  </si>
  <si>
    <t>Whenever you cast an instant spell, you may pay {1}. If you do, draw a card. / Toda vez que conjura uma mágica instantânea, você pode pagar {1}. Se fizer isso, compre um card.</t>
  </si>
  <si>
    <t>{2}{U}{U}</t>
  </si>
  <si>
    <t>Sultai Skullkeeper / Guardião de Crânios Sultai</t>
  </si>
  <si>
    <t>Creature — Snake Shaman / Criatura — Naga Xamã</t>
  </si>
  <si>
    <t>When this creature enters, mill two cards. / Quando Guardião de Crânios Sultai entrar no campo de batalha, coloque os dois cards do topo de seu grimório em seu cemitério.</t>
  </si>
  <si>
    <t>Harbinger of the Tides / Anunciador das Marés</t>
  </si>
  <si>
    <t>You may cast this spell as though it had flash if you pay {2} more to cast it. (You may cast it any time you could cast an instant.) When this creature enters, you may return target tapped creature an opponent controls to its owner's hand. / Você pode conjurar Anunciador das Marés como se tivesse lampejo se pagar {2} a mais para conjurá-lo. (Você poderá conjurá-lo a qualquer momento em que puder conjurar uma mágica instantânea.)Quando Anunciador das Marés entra no campo de batalha, você pode devolver a criatura alvo virada que um oponente controla para a mão de seu dono.</t>
  </si>
  <si>
    <t>{U}{U}</t>
  </si>
  <si>
    <t>Cogwork Wrestler / Lutador Mecânico</t>
  </si>
  <si>
    <t>Flash When this creature enters, target creature an opponent controls gets -2/-0 until end of turn. / Lampejo Quando Lutador Mecânico entra no campo de batalha, a criatura alvo que um oponente controla recebe -2/-0 até o final do turno.</t>
  </si>
  <si>
    <t>Reef Worm / Verme do Recife</t>
  </si>
  <si>
    <t>Creature — Worm / Criatura — Verme</t>
  </si>
  <si>
    <t>When this creature dies, create a 3/3 blue Fish creature token with "When this token dies, create a 6/6 blue Whale creature token with 'When this token dies, create a 9/9 blue Kraken creature token.'" / Quando Verme do Recife morrer, crie uma ficha de criatura Peixe azul 3/3 com "Quando esta criatura morrer, crie uma ficha de criatura Baleia azul 6/6 com 'Quando esta criatura morrer, crie uma ficha de criatura Kraken azul 9/9.'"</t>
  </si>
  <si>
    <t>Wetland Sambar / Sâmbar do Charco</t>
  </si>
  <si>
    <t>Etherium Spinner / Propulsor de Etherium</t>
  </si>
  <si>
    <t>Whenever you cast a spell with mana value 4 or greater, create a 1/1 colorless Thopter artifact creature token with flying. / Toda vez que você conjurar uma mágica com valor de mana igual ou superior a 4, crie uma ficha de criatura artefato Tóptero incolor 1/1 com voar.</t>
  </si>
  <si>
    <t>Blinding Drone / Zangão Cegante</t>
  </si>
  <si>
    <t>Devoid (This card has no color.) {C}, {T}: Tap target creature. ({C} represents colorless mana.) / Desprovido (Este card não tem cor.) {C}, {T}: Vire a criatura alvo. ({C} representa mana incolor.)</t>
  </si>
  <si>
    <t>Galvanic Alchemist / Alquimista Galvânico</t>
  </si>
  <si>
    <t>Soulbond (You may pair this creature with another unpaired creature when either enters. They remain paired for as long as you control both of them.) As long as this creature is paired with another creature, each of those creatures has "{2}{U}: Untap this creature." / Elo espiritual (Você pode emparelhar esta criatura com outra criatura não emparelhada quando uma delas entrar no campo de batalha. Elas permanecem emparelhadas enquanto você controlar ambas.) Enquanto Alquimista Galvânico estiver emparelhado com outra criatura, cada uma dessas criaturas terá "{2}{U}: Desvire esta criatura."</t>
  </si>
  <si>
    <t>Screeching Skaab / Skaab Guinchante</t>
  </si>
  <si>
    <t>When this creature enters, mill two cards. / Quando Skaab Guinchante entrar no campo de batalha, coloque os dois cards do topo de seu grimório em seu cemitério.</t>
  </si>
  <si>
    <t>Bubble Smuggler / Contrabandista Borbulhante</t>
  </si>
  <si>
    <t>Creature — Octopus Fish / Criatura — Polvo Peixe</t>
  </si>
  <si>
    <t>Disguise {5}{U} (You may cast this card face down for {3} as a 2/2 creature with ward {2}. Turn it face up any time for its disguise cost.) As this creature is turned face up, put four +1/+1 counters on it. / Disfarce {5}{U} (Você pode conjurar este card com a face para baixo por {3} como uma criatura 2/2 com salvaguarda {2}. Volte sua face para cima a qualquer momento pagando seu custo de disfarce.) Conforme Contrabandista Borbulhante for voltado para cima, coloque quatro marcadores +1/+1 nele.</t>
  </si>
  <si>
    <t>Hullbreaker Horror / Horror Quebra-casco</t>
  </si>
  <si>
    <t>Creature — Kraken Horror / Criatura — Kraken Horror</t>
  </si>
  <si>
    <t>Flash This spell can't be countered. Whenever you cast a spell, choose up to one — • Return target spell you don't control to its owner's hand. • Return target nonland permanent to its owner's hand. / Lampejo Esta mágica não pode ser anulada. Toda vez que você conjurar uma mágica, escolha um — • Devolva a mágica alvo que você não controla para a mão de seu dono. • Devolva a permanente alvo não de terreno para a mão de seu dono.</t>
  </si>
  <si>
    <t>{5}{U}{U}</t>
  </si>
  <si>
    <t>Tome Anima / Anima dos Tomos</t>
  </si>
  <si>
    <t>This creature can't be blocked as long as you've drawn two or more cards this turn. / Anima dos Tomos não pode ser bloqueado desde que você tenha comprado dois ou mais cards neste turno.</t>
  </si>
  <si>
    <t>Jace's Mindseeker / Caça-mentes de Jace</t>
  </si>
  <si>
    <t>Creature — Fish Illusion / Criatura — Peixe Ilusão</t>
  </si>
  <si>
    <t>Flying When this creature enters, target opponent mills five cards. You may cast an instant or sorcery spell from among them without paying its mana cost. / VoarQuando Caça-mentes de Jace entra no campo de batalha, o oponente alvo coloca os cinco cards do topo do grimório dele no próprio cemitério. Você pode conjurar um card de mágica instantânea ou feitiço dentre eles sem pagar seu custo de mana.</t>
  </si>
  <si>
    <t>{4}{U}{U}</t>
  </si>
  <si>
    <t>Dreamshackle Geist / Geist do Grilhão Onírico</t>
  </si>
  <si>
    <t>Flying At the beginning of combat on your turn, choose up to one — • Tap target creature. • Target creature doesn't untap during its controller's next untap step. / Voar No início do combate no seu turno, escolha até um — • Vire a criatura alvo. • A criatura alvo não é desvirada durante a próxima etapa de desvirar de seu controlador.</t>
  </si>
  <si>
    <t>{1}{U}{U}</t>
  </si>
  <si>
    <t>Futurist Sentinel / Sentinela Futurista</t>
  </si>
  <si>
    <t>Crew 3 (Tap any number of creatures you control with total power 3 or more: This Vehicle becomes an artifact creature until end of turn.) / Tripular 3 (Vire qualquer número de criaturas que você controla com total de poder igual ou superior a 3: Este Veículo torna-se uma criatura artefato até o final do turno.)</t>
  </si>
  <si>
    <t>Genju of the Falls / Genju das Cataratas</t>
  </si>
  <si>
    <t>Enchantment — Aura / Encantar Ilha</t>
  </si>
  <si>
    <t>Enchant Island {2}: Enchanted Island becomes a 3/2 blue Spirit creature with flying until end of turn. It's still a land. When enchanted Island is put into a graveyard, you may return this card from your graveyard to your hand. / {2}: Até o final do turno, a Ilha encantada se torna uma criatura azul 3/2 do tipo Espírito com a habilidade de voar. Ela ainda é um terreno. Quando a Ilha encantada for colocada num cemitério, você pode devolver Genju das Cataratas de seu cemitério para a sua mão.</t>
  </si>
  <si>
    <t>Chronic Flooding / Alagamento Crônico</t>
  </si>
  <si>
    <t>Enchant land Whenever enchanted land becomes tapped, its controller mills three cards. / Encantar terreno Toda vez que o terreno encantado é virado, seu controlador coloca os três cards do topo do grimório dele no próprio cemitério.</t>
  </si>
  <si>
    <t>Harrier Strix / Estrige Saqueadora</t>
  </si>
  <si>
    <t>Flying When this creature enters, tap target permanent. {2}{U}: Draw a card, then discard a card. / Voar Quando Estrige Saqueadora entrar no campo de batalha, vire a permanente alvo. {2}{U}: Compre um card e depois descarte um card.</t>
  </si>
  <si>
    <t>Stormrider Spirit / Espírito Ginete de Tempestade</t>
  </si>
  <si>
    <t>Flash Flying / Lampejo Voar</t>
  </si>
  <si>
    <t>The Mirari Conjecture / A Conjectura do Mirari</t>
  </si>
  <si>
    <t>(As this Saga enters and after your draw step, add a lore counter. Sacrifice after III.) I — Return target instant card from your graveyard to your hand. II — Return target sorcery card from your graveyard to your hand. III — Until end of turn, whenever you cast an instant or sorcery spell, copy it. You may choose new targets for the copy. / (Conforme esta Saga entra e após sua etapa de compra, adicione um marcador de conhecimento. Sacrifique-a após III.) I — Devolva o card de mágica instantânea alvo de seu cemitério para sua mão. II — Devolva o card de feitiço alvo de seu cemitério para sua mão. III — Até o final do turno, toda vez que você conjurar uma mágica instantânea ou um feitiço, copie-o. Você pode escolher novos alvos para a cópia.</t>
  </si>
  <si>
    <t>Helm of the Ghastlord / Elmo do Lorde Fantasmal</t>
  </si>
  <si>
    <t>Enchant creature As long as enchanted creature is blue, it gets +1/+1 and has "Whenever this creature deals damage to an opponent, draw a card." As long as enchanted creature is black, it gets +1/+1 and has "Whenever this creature deals damage to an opponent, that player discards a card." / Encantar criatura Enquanto a criatura encantada for azul, ela receberá +1/+1 e terá "Toda vez que esta criatura causar dano a um oponente, compre um card." Enquanto a criatura encantada for preta, ela receberá +1/+1 e terá "Toda vez que esta criatura causar dano a um oponente, aquele jogador descartará um card."</t>
  </si>
  <si>
    <t>Cryoshatter</t>
  </si>
  <si>
    <t>Enchant creature Enchanted creature gets -5/-0. When enchanted creature becomes tapped or is dealt damage, destroy it.</t>
  </si>
  <si>
    <t>Weakstone's Subjugation / Subjugação da Pedra de Fraqueza</t>
  </si>
  <si>
    <t>Enchant artifact or creature When this Aura enters, you may pay {3}. If you do, tap enchanted permanent. Enchanted permanent doesn't untap during its controller's untap step. / Encantar artefato ou criatura Quando Subjugação da Pedra de Fraqueza entra no campo de batalha, você pode pagar {3}. Se fizer isso, vire a permanente encantada. A permanente encantada não desvira durante a etapa de desvirar de seu controlador.</t>
  </si>
  <si>
    <t>Jace, Vryn's Prodigy // Jace, Telepath Unbound / Jace, Prodígio de Vryn // Jace, Telepata Ilimitado</t>
  </si>
  <si>
    <t>Legendary Creature — Human Wizard // Legendary Planeswalker — Jace / Criatura Lendária — Humano Mago</t>
  </si>
  <si>
    <t>Jace, Vryn's Prodigy: {T}: Draw a card, then discard a card. If there are five or more cards in your graveyard, exile Jace, then return him to the battlefield transformed under his owner's control. // Jace, Telepath Unbound: +1: Up to one target creature gets -2/-0 until your next turn. −3: You may cast target instant or sorcery card from your graveyard this turn. If that spell would be put into your graveyard, exile it instead. −9: You get an emblem with "Whenever you cast a spell, target opponent mills five cards." / {T}: Compre um card e depois descarte um card. Se houver cinco cards ou mais no seu cemitério, exile Jace, Prodígio de Vryn, e devolva-o ao campo de batalha transformado sob o controle de seu dono.</t>
  </si>
  <si>
    <t>Murk Strider / Andarilho do Lodo</t>
  </si>
  <si>
    <t>Creature — Eldrazi Processor / Criatura — Eldrazi Processador</t>
  </si>
  <si>
    <t>Devoid (This card has no color.) When this creature enters, you may put a card an opponent owns from exile into that player's graveyard. If you do, return target creature to its owner's hand. / Desprovido (Este card não tem cor.)Quando Andarilho do Lodo entra no campo de batalha, você pode colocar um card exilado de um oponente no cemitério dele. Se fizer isso, devolva a criatura alvo para a mão de seu dono.</t>
  </si>
  <si>
    <t>Leech Bonder / Aplicador de Sanguessuga</t>
  </si>
  <si>
    <t>This creature enters with two -1/-1 counters on it. {U}, {Q}: Move a counter from target creature onto a second target creature. ({Q} is the untap symbol.) / Aplicador de Sanguessuga entra em jogo com dois marcadores -1/-1. {U}, {Q}: Mova um marcador da criatura alvo para outra criatura alvo. ({Q} é o símbolo de desvirar.)</t>
  </si>
  <si>
    <t>Griptide / Corrente de Refluxo</t>
  </si>
  <si>
    <t>Put target creature on top of its owner's library. / Coloque a criatura alvo no topo do grimório de seu dono.</t>
  </si>
  <si>
    <t>Duel Decks: Jace vs. Vraska (DDM)</t>
  </si>
  <si>
    <t>Merrow Wavebreakers / Sirenídeos Saltadores</t>
  </si>
  <si>
    <t>{1}{U}, {Q}: This creature gains flying until end of turn. ({Q} is the untap symbol.) / {1}{U}, {Q}: Sirenídeos Saltadores ganha voar até o final do turno. ({Q} é o símbolo de desvirar.)</t>
  </si>
  <si>
    <t>Hightide Hermit / Eremita da Maré Alta</t>
  </si>
  <si>
    <t>Creature — Crab / Criatura — Caranguejo</t>
  </si>
  <si>
    <t>Defender When this creature enters, you get {E}{E}{E}{E} (four energy counters). Pay {E}{E}: This creature can attack this turn as though it didn't have defender. / Defensor Quando Eremita da Maré Alta entra no campo de batalha, você recebe {E}{E}{E}{E} (quatro marcadores de energia). Pague {E}{E}: Eremita da Maré Alta pode atacar neste turno como se não tivesse defensor.</t>
  </si>
  <si>
    <t>Saving Grasp / Mão Salvadora</t>
  </si>
  <si>
    <t>Return target creature you own to your hand. Flashback {W} (You may cast this card from your graveyard for its flashback cost. Then exile it.) / Devolva para a sua mão a criatura alvo que você possui. Recapitular {W} (Você pode conjurar este card de seu cemitério pagando seu custo de recapitular. Depois, exile-o.)</t>
  </si>
  <si>
    <t>Ancient Crab / Caranguejo Ancião</t>
  </si>
  <si>
    <t>Wretched Throng / Multidão Abominável</t>
  </si>
  <si>
    <t>Creature — Zombie Horror / Criatura — Zumbi Horror</t>
  </si>
  <si>
    <t>When this creature dies, you may search your library for a card named Wretched Throng, reveal it, put it into your hand, then shuffle. / Quando Multidão Abominável morre, você pode procurar em seu grimório um card com o nome Multidão Abominável, revelá-lo, colocá-lo em sua mão e depois embaralhar.</t>
  </si>
  <si>
    <t>Headless Skaab / Skaab Sem Cabeça</t>
  </si>
  <si>
    <t>Creature — Zombie Warrior / Criatura — Zumbi Guerreiro</t>
  </si>
  <si>
    <t>As an additional cost to cast this spell, exile a creature card from your graveyard. This creature enters tapped. / Como custo adicional para conjurar Skaab Sem Cabeça, exile um card de criatura de seu cemitério. Skaab Sem Cabeça entra no campo de batalha virado.</t>
  </si>
  <si>
    <t>Exclude / Excluir</t>
  </si>
  <si>
    <t>Counter target creature spell. Draw a card. / Anule a mágica de criatura alvo. Compre um card.</t>
  </si>
  <si>
    <t>Dire Downdraft</t>
  </si>
  <si>
    <t>This spell costs {1} less to cast if it targets an attacking or tapped creature. Target creature's owner puts it on their choice of the top or bottom of their library.</t>
  </si>
  <si>
    <t>Summary Dismissal / Dispensa Sumária</t>
  </si>
  <si>
    <t>Exile all other spells and counter all abilities. / Exile todas as outras mágicas e anule todas as habilidades.</t>
  </si>
  <si>
    <t>Discover the Impossible / Descobrir o Impossível</t>
  </si>
  <si>
    <t>Look at the top five cards of your library. Exile one of them face down and put the rest on the bottom of your library in a random order. You may cast the exiled card without paying its mana cost if it's an instant spell with mana value 2 or less. If you don't, put that card into your hand. / Olhe os cinco cards do topo de seu grimório. Exile um deles com a face voltada para baixo e coloque o restante no fundo de seu grimório em ordem aleatória. Você pode conjurar o card exilado sem pagar seu custo de mana se for uma mágica instantânea com valor de mana igual ou inferior a 2. Se não fizer isso, coloque aquele card em sua mão.</t>
  </si>
  <si>
    <t>Essence Capture / Captura de Essência</t>
  </si>
  <si>
    <t>Counter target creature spell. Put a +1/+1 counter on up to one target creature you control. / Anule a mágica de criatura alvo. Coloque um marcador +1/+1 em até uma criatura alvo que você controla.</t>
  </si>
  <si>
    <t>Thought Collapse / Colapso do Pensamento</t>
  </si>
  <si>
    <t>Counter target spell. Its controller mills three cards. / Anule a mágica alvo. Seu controlador coloca os três cards do topo do próprio grimório no próprio cemitério.</t>
  </si>
  <si>
    <t>Quench / Arrefecer</t>
  </si>
  <si>
    <t>Counter target spell unless its controller pays {2}. / Anule a mágica alvo, a menos que seu controlador pague {2}.</t>
  </si>
  <si>
    <t>Mystical Teachings / Ensinamentos Místicos</t>
  </si>
  <si>
    <t>Search your library for an instant card or a card with flash, reveal it, put it into your hand, then shuffle. Flashback {5}{B} (You may cast this card from your graveyard for its flashback cost. Then exile it.) / Procure em seu grimório um card de mágica instantânea ou um card com lampejo, revele-o, coloque-o em sua mão e depois embaralhe seu grimório. Recapitular {5}{B} (Você pode conjurar este card de seu cemitério pagando seu custo de recapitular. Depois, exile-o.)</t>
  </si>
  <si>
    <t>Make Disappear / Fazer Desaparecer</t>
  </si>
  <si>
    <t>Casualty 1 (As you cast this spell, you may sacrifice a creature with power 1 or greater. When you do, copy this spell and you may choose a new target for the copy.) Counter target spell unless its controller pays {2}. / Baixa 1 (Conforme você conjura esta mágica, você pode sacrificar uma criatura com poder igual ou superior a 1. Quando fizer isso, copie esta mágica e você pode escolher um novo alvo para a cópia.) Anule a mágica alvo, a menos que seu controlador pague {2}.</t>
  </si>
  <si>
    <t>Deduce / Deduzir</t>
  </si>
  <si>
    <t>Draw a card. Investigate. (Create a Clue token. It's an artifact with "{2}, Sacrifice this token: Draw a card.") / Compre um card. Investigue. (Crie uma ficha de Pista. Ela é um artefato com "{2}, sacrifique este artefato: Compre um card".)</t>
  </si>
  <si>
    <t>Blink of an Eye / Piscar de Olhos</t>
  </si>
  <si>
    <t>Kicker {1}{U} (You may pay an additional {1}{U} as you cast this spell.) Return target nonland permanent to its owner's hand. If this spell was kicked, draw a card. / Reforçar {1}{U} (Você pode pagar um custo adicional de {1}{U} ao conjurar esta mágica.) Devolva a permanente alvo que não seja um terreno para a mão de seu dono. Se esta mágica foi reforçada, compre um card.</t>
  </si>
  <si>
    <t>Steel Sabotage / Sabotagem de Aço</t>
  </si>
  <si>
    <t>Choose one — • Counter target artifact spell. • Return target artifact to its owner's hand. / Escolha um — Anule a mágica de artefato alvo; ou devolva o artefato alvo para a mão de seu dono.</t>
  </si>
  <si>
    <t>Moment of Truth / Hora da Verdade</t>
  </si>
  <si>
    <t>Look at the top three cards of your library. Put one of those cards into your hand, one into your graveyard, and one on the bottom of your library. / Olhe os três cards do topo de seu grimório. Coloque um daqueles cards em sua mão, um em seu cemitério e um no fundo de seu grimório.</t>
  </si>
  <si>
    <t>Think Twice / Pensar Duas Vezes</t>
  </si>
  <si>
    <t>Draw a card. Flashback {2}{U} (You may cast this card from your graveyard for its flashback cost. Then exile it.) / Compre um card. Recapitular {2}{U} (Você pode conjurar este card de seu cemitério pagando seu custo de recapitular. Depois, exile-o.)</t>
  </si>
  <si>
    <t>Historic Anthology 4 (HA4)</t>
  </si>
  <si>
    <t>Radical Idea / Ideia Radical</t>
  </si>
  <si>
    <t>Draw a card. Jump-start (You may cast this card from your graveyard by discarding a card in addition to paying its other costs. Then exile this card.) / Compre um card. Recarregar (Você pode conjurar este card de seu cemitério descartando um card além de pagar seus outros custos. Depois, exile este card.)</t>
  </si>
  <si>
    <t>Deep-Sea Terror / Terror das Profundezas</t>
  </si>
  <si>
    <t>Creature — Serpent / Criatura — Serpente</t>
  </si>
  <si>
    <t>This creature can't attack unless there are seven or more cards in your graveyard. / Terror das Profundezas não pode atacar a menos que haja sete cards ou mais em seu cemitério.</t>
  </si>
  <si>
    <t>Tolarian Scholar / Escolástico Tolariano</t>
  </si>
  <si>
    <t>Naga Eternal / Eterna Naga</t>
  </si>
  <si>
    <t>Creature — Zombie Snake / Criatura — Zumbi Naga</t>
  </si>
  <si>
    <t>Sage's Row Denizen / Habitante da Travessa dos Sábios</t>
  </si>
  <si>
    <t>Whenever another blue creature you control enters, target player mills two cards. / Toda vez que outra criatura azul entra no campo de batalha sob o seu controle, o jogador alvo coloca os dois cards do topo do grimório dele no próprio cemitério.</t>
  </si>
  <si>
    <t>Steelfin Whale / Baleia Barbatana-de-aço</t>
  </si>
  <si>
    <t>Creature — Whale / Criatura — Baleia</t>
  </si>
  <si>
    <t>Affinity for artifacts (This spell costs {1} less to cast for each artifact you control.) Whenever an artifact you control enters, untap this creature. / Afinidade por artefatos (Esta mágica custa {1} a menos para ser conjurada para cada artefato que você controla.) Toda vez que um artefato entrar no campo de batalha sob seu controle, desvire Baleia Barbatana-de-aço.</t>
  </si>
  <si>
    <t>Wind Drake / Dragonete do Vento</t>
  </si>
  <si>
    <t>The List (PLST)</t>
  </si>
  <si>
    <t>Curio Vendor / Vendedora de Raridades</t>
  </si>
  <si>
    <t>Creature — Vedalken / Criatura — Vedalkeano</t>
  </si>
  <si>
    <t>Turn Aside / Desviar Olhar</t>
  </si>
  <si>
    <t>Counter target spell that targets a permanent you control. / Anule a mágica alvo que tenha como alvo uma permanente que você controla.</t>
  </si>
  <si>
    <t>Spell Pierce / Perfurar Mágica</t>
  </si>
  <si>
    <t>Counter target noncreature spell unless its controller pays {2}. / Anule a mágica não de criatura alvo, a menos que seu controlador pague {2}.</t>
  </si>
  <si>
    <t>Store Championships (SCH)</t>
  </si>
  <si>
    <t>Fading Hope / Esperança Evanescente</t>
  </si>
  <si>
    <t>Return target creature to its owner's hand. If its mana value was 3 or less, scry 1. (Look at the top card of your library. You may put that card on the bottom.) / Devolva a criatura alvo para a mão de seu dono. Se o valor de mana dela for igual ou inferior a 3, use vidência 1. (Olhe o card do topo de seu grimório. Você pode colocar aquele card no fundo de seu grimório.)</t>
  </si>
  <si>
    <t>Spire Serpent / Serpente Pontiaguda</t>
  </si>
  <si>
    <t>Defender Metalcraft — As long as you control three or more artifacts, this creature gets +2/+2 and can attack as though it didn't have defender. / Defensor Maestria com Metais — Enquanto você controlar três ou mais artefatos, Serpente Pontiaguda receberá +2/+2 e poderá atacar como se não tivesse defensor.</t>
  </si>
  <si>
    <t>Shriekgeist / Geist do Grito</t>
  </si>
  <si>
    <t>Flying Whenever this creature deals combat damage to a player, that player mills two cards. / Voar Toda vez que Geist do Grito causa dano de combate a um jogador, aquele jogador coloca os dois cards do topo do grimório dele no próprio cemitério.</t>
  </si>
  <si>
    <t>Nephalia Seakite / Gavião Marinho de Nefália</t>
  </si>
  <si>
    <t>Flash (You may cast this spell any time you could cast an instant.) Flying / Lampejo (Você poderá conjurar esta mágica a qualquer momento em que puder conjurar uma mágica instantânea.)Voar</t>
  </si>
  <si>
    <t>Consider / Considerar</t>
  </si>
  <si>
    <t>Surveil 1. (Look at the top card of your library. You may put it into your graveyard.) Draw a card. / Olhe o card do topo de seu grimório. Você pode colocar aquele card em seu cemitério. Compre um card.</t>
  </si>
  <si>
    <t>Secret Lair Drop (SLD)</t>
  </si>
  <si>
    <t>Commence the Endgame / Iniciar Plano Final</t>
  </si>
  <si>
    <t>This spell can't be countered. Draw two cards, then amass Zombies X, where X is the number of cards in your hand. (Put X +1/+1 counters on an Army you control. It's also a Zombie. If you don't control an Army, create a 0/0 black Zombie Army creature token first.) / Esta mágica não pode ser anulada. Compre dois cards e depois arregimente X, sendo X o número de cards em sua mão. (Coloque X marcadores +1/+1 em um Exército que você controla. Se você não controlar um, crie antes uma ficha de criatura preta 0/0 do tipo Zumbi Exército.)</t>
  </si>
  <si>
    <t>Cackling Counterpart / Dupla de Bufões</t>
  </si>
  <si>
    <t>Create a token that's a copy of target creature you control. Flashback {5}{U}{U} (You may cast this card from your graveyard for its flashback cost. Then exile it.) / Coloque uma ficha no campo de batalha que seja uma cópia da criatura alvo que você controla. Recapitular {5}{U}{U} (Você pode conjurar este card de seu cemitério pagando seu custo de recapitular. Depois, exile-o.)</t>
  </si>
  <si>
    <t>Unsummon / Esconjurar</t>
  </si>
  <si>
    <t>Return target creature to its owner's hand. / Devolva a criatura alvo para a mão de seu dono.</t>
  </si>
  <si>
    <t>Ceremonious Rejection / Rejeição Cerimoniosa</t>
  </si>
  <si>
    <t>Counter target colorless spell. / Anule a mágica incolor alvo.</t>
  </si>
  <si>
    <t>Dive Down / Mergulhar</t>
  </si>
  <si>
    <t>Target creature you control gets +0/+3 and gains hexproof until end of turn. (It can't be the target of spells or abilities your opponents control.) / A criatura alvo que você controla recebe +0/+3 e ganha resistência a magia até o final do turno. (Ela não pode ser alvo de mágicas nem de habilidades que seus oponentes controlam.)</t>
  </si>
  <si>
    <t>Into the Roil / Adentrar o Turbilhão</t>
  </si>
  <si>
    <t>Serpentine Ambush / Emboscada Serpentina</t>
  </si>
  <si>
    <t>Until end of turn, target creature becomes a blue Serpent with base power and toughness 5/5. / Até o final do turno, a criatura alvo torna-se uma Serpente azul com poder e resistência básicos 5/5.</t>
  </si>
  <si>
    <t>Self-Reflection / Autorreflexão</t>
  </si>
  <si>
    <t>Create a token that's a copy of target creature you control. Flashback {3}{U} (You may cast this card from your graveyard for its flashback cost. Then exile it.) / Crie uma ficha que seja uma cópia da criatura alvo que você controla. Recapitular {3}{U} (Você pode conjurar este card de seu cemitério pagando seu custo de recapitular. Depois, exile-o.)</t>
  </si>
  <si>
    <t>Clear the Mind / Limpar a Mente</t>
  </si>
  <si>
    <t>Target player shuffles their graveyard into their library. Draw a card. / O jogador alvo embaralha o próprio cemitério no próprio grimório. Compre um card.</t>
  </si>
  <si>
    <t>Third Path Savant / Erudito da Terceira Via</t>
  </si>
  <si>
    <t>{7}: Draw two cards. / {7}: Compre dois cards.</t>
  </si>
  <si>
    <t>Chant of the Skifsang / Cântico dos Skifsang</t>
  </si>
  <si>
    <t>Enchant creature Enchanted creature gets -13/-0. / Encantar criatura A criatura encantada recebe -13/-0.</t>
  </si>
  <si>
    <t>Wall of Lost Thoughts / Barreira dos Pensamentos Perdidos</t>
  </si>
  <si>
    <t>Defender (This creature can't attack.) When this creature enters, target player mills four cards. (They put the top four cards of their library into their graveyard.) / Defensor Quando Barreira dos Pensamentos Perdidos entra no campo de batalha, o jogador alvo coloca os quatro cards do topo do próprio grimório no próprio cemitério.</t>
  </si>
  <si>
    <t>Pteramander / Pteromandra</t>
  </si>
  <si>
    <t>Creature — Salamander Drake / Criatura — Salamandra Dragonete</t>
  </si>
  <si>
    <t>Flying {7}{U}: Adapt 4. This ability costs {1} less to activate for each instant and sorcery card in your graveyard. (If this creature has no +1/+1 counters on it, put four +1/+1 counters on it.) / Voar {7}{U}: Adaptar 4. Esta habilidade custa {1} a menos para ser ativada para cada mágica instantânea ou feitiço em seu cemitério. (Se esta criatura não tiver marcadores +1/+1, coloque quatro marcadores +1/+1 nela.)</t>
  </si>
  <si>
    <t>Cloudkin Seer / Vidente Nubígena</t>
  </si>
  <si>
    <t>Creature — Elemental Wizard / Criatura — Elemental Mago</t>
  </si>
  <si>
    <t>Flying When this creature enters, draw a card. / Voar Quando Vidente Nubígena entrar no campo de batalha, compre um card.</t>
  </si>
  <si>
    <t>Mesmerizing Benthid / Bentídeo Hipnotizante</t>
  </si>
  <si>
    <t>Creature — Octopus / Criatura — Polvo</t>
  </si>
  <si>
    <t>When this creature enters, create two 0/2 blue Illusion creature tokens with "Whenever this token blocks a creature, that creature doesn't untap during its controller's next untap step." This creature has hexproof as long as you control an Illusion. / Quando Bentídeo Hipnotizante entrar no campo de batalha, crie duas fichas de criatura azul 0/2 do tipo Ilusão com "Toda vez que esta criatura bloqueia uma criatura, aquela criatura não é desvirada durante a próxima etapa de desvirar de seu controlador." Bentídeo Hipnotizante terá resistência a magia enquanto você controlar uma Ilusão.</t>
  </si>
  <si>
    <t>Stormbound Geist / Geist da Tempestade</t>
  </si>
  <si>
    <t>Flying This creature can block only creatures with flying. Undying (When this creature dies, if it had no +1/+1 counters on it, return it to the battlefield under its owner's control with a +1/+1 counter on it.) / Voar Geist da Tempestade só pode bloquear criaturas com voar. Imortal (Quando esta criatura morrer, se ela não tiver nenhum marcador +1/+1, devolva-a ao campo de batalha sob o controle de seu dono com um marcador +1/+1.)</t>
  </si>
  <si>
    <t>Jeskai Infiltrator / Infiltradora Jeskai</t>
  </si>
  <si>
    <t>Creature — Human Monk / Criatura — Humano Monge</t>
  </si>
  <si>
    <t>This creature can't be blocked as long as you control no other creatures. When this creature deals combat damage to a player, exile it and the top card of your library in a face-down pile, shuffle that pile, then manifest those cards. (To manifest a card, put it onto the battlefield face down as a 2/2 creature. Turn it face up any time for its mana cost if it's a creature card.) / Infiltradora Jeskai não poderá ser bloqueada enquanto você não controlar outras criaturas. Quando Infiltradora Jeskai causar dano de combate a um jogador, exile-a junto com o card do topo de seu grimório em um monte voltado para baixo, embaralhe o monte e manifeste os dois cards. (Para manifestar um card, coloque-o no campo de batalha com a face voltada para baixo como uma criatura 2/2. Volte sua face para cima a qualquer momento pagando seu custo de mana se for um card de criatura.)</t>
  </si>
  <si>
    <t>Meletis Charlatan / Charlatão de Meletis</t>
  </si>
  <si>
    <t>{2}{U}, {T}: The controller of target instant or sorcery spell copies it. That player may choose new targets for the copy. / {2}{U}, {T}: O controlador da mágica instantânea ou de feitiço alvo a copia. Aquele jogador pode escolher novos alvos para a cópia.</t>
  </si>
  <si>
    <t>Mocking Sprite / Sílfide Zombeteira</t>
  </si>
  <si>
    <t>Creature — Faerie Rogue / Criatura — Fada Ladino</t>
  </si>
  <si>
    <t>Flying Instant and sorcery spells you cast cost {1} less to cast. / Voar As mágicas instantâneas e os feitiços que você conjura custam {1} a menos para conjurar.</t>
  </si>
  <si>
    <t>Academy Wall / Muralha da Academia</t>
  </si>
  <si>
    <t>Defender Whenever you cast an instant or sorcery spell, you may draw a card. If you do, discard a card. This ability triggers only once each turn. / Defensor Toda vez que você conjura uma mágica instantânea ou um feitiço, você pode comprar um card. Se fizer isso, descarte um card. Esta habilidade é desencadeada apenas uma vez a cada turno.</t>
  </si>
  <si>
    <t>Thieving Otter / Lontra Ladra</t>
  </si>
  <si>
    <t>Creature — Otter / Criatura — Lontra</t>
  </si>
  <si>
    <t>Whenever this creature deals damage to an opponent, draw a card. / Toda vez que Lontra Ladra causar dano a um oponente, compre um card.</t>
  </si>
  <si>
    <t>Mindwhisker</t>
  </si>
  <si>
    <t>Creature — Rat Wizard</t>
  </si>
  <si>
    <t>At the beginning of your upkeep, surveil 1. (Look at the top card of your library. You may put it into your graveyard.) Threshold — As long as there are seven or more cards in your graveyard, creatures your opponents control get -1/-0.</t>
  </si>
  <si>
    <t>Murmuring Phantasm / Fantasma Murmurante</t>
  </si>
  <si>
    <t>Defender / Defensor</t>
  </si>
  <si>
    <t>Opal Lake Gatekeepers / Porteiros do Lago de Opala</t>
  </si>
  <si>
    <t>Creature — Vedalken Soldier / Criatura — Vedalkeano Soldado</t>
  </si>
  <si>
    <t>When this creature enters, if you control two or more Gates, you may draw a card. / Quando Porteiros do Lago de Opala entrar no campo de batalha, se você controlar dois ou mais Portões, poderá comprar um card.</t>
  </si>
  <si>
    <t>Jace's Triumph / Triunfo de Jace</t>
  </si>
  <si>
    <t>Draw two cards. If you control a Jace planeswalker, draw three cards instead. / Compre dois cards. Se você controlar um planeswalker Jace, em vez disso, compre três cards.</t>
  </si>
  <si>
    <t>Maze Glider / Planador do Labirinto</t>
  </si>
  <si>
    <t>Flying Multicolored creatures you control have flying. / Voar As criaturas multicoloridas que você controla têm voar.</t>
  </si>
  <si>
    <t>Picklock Prankster // Free the Fae / Traquinas Arrombador // Libertar as Fadinas</t>
  </si>
  <si>
    <t>Creature — Faerie Rogue // Instant — Adventure / Criatura — Fada Ladino</t>
  </si>
  <si>
    <t>Picklock Prankster: Flying, vigilance // Free the Fae: Mill four cards. Then put an instant, sorcery, or Faerie card from among the milled cards into your hand. / Voar, vigilância</t>
  </si>
  <si>
    <t>{1}{U} // {1}{U}</t>
  </si>
  <si>
    <t>Labirinto do Dragão</t>
  </si>
  <si>
    <t>Aether Adept / Adepto do Éter</t>
  </si>
  <si>
    <t>When this creature enters, return target creature to its owner's hand. / Quando Adepto do Éter entrar no campo de batalha, devolva a criatura alvo para a mão de seu dono.</t>
  </si>
  <si>
    <t>Deranged Assistant / Assistente Insano</t>
  </si>
  <si>
    <t>{T}, Mill a card: Add {C}. (To mill a card, put the top card of your library into your graveyard.) / {T}, Coloque o card do topo de seu grimório no seu cemitério: Adicione {1} à sua reserva de mana.</t>
  </si>
  <si>
    <t>Chisei, Heart of Oceans / Chisei, Coração dos Oceanos</t>
  </si>
  <si>
    <t>Flying At the beginning of your upkeep, sacrifice Chisei unless you remove a counter from a permanent you control. / Voar No início de sua manutenção, sacrifique Chisei, Coração dos Oceanos a menos que você remova um marcador de uma permanente que você controla.</t>
  </si>
  <si>
    <t>Cultivator Drone / Zangão Cultivador</t>
  </si>
  <si>
    <t>Devoid (This card has no color.) {T}: Add {C}. Spend this mana only to cast a colorless spell, activate an ability of a colorless permanent, or pay a cost that contains {C}. ({C} represents colorless mana.) / Desprovido (Este card não tem cor.) {T}: Adicione {C} à sua reserva de mana. Gaste esse mana apenas para conjurar uma mágica incolor, ativar uma habilidade de uma permanente incolor ou pagar um custo que contenha {C}. ({C} representa mana incolor.)</t>
  </si>
  <si>
    <t>Sky Theater Strix / Strix do Palco Celeste</t>
  </si>
  <si>
    <t>Flying Whenever you cast a noncreature spell, this creature gets +1/+0 until end of turn. / Voar Toda vez que você conjura uma mágica que não seja de criatura, Strix do Palco Celeste recebe +1/+0 até o final do turno.</t>
  </si>
  <si>
    <t>Precognition Field / Campo de Precognição</t>
  </si>
  <si>
    <t>You may look at the top card of your library any time. You may cast instant and sorcery spells from the top of your library. {3}: Exile the top card of your library. / Você pode olhar o card do topo de seu grimório. (Você pode fazer isso a qualquer momento.) Você pode conjurar o card do topo de seu grimório se for um card de mágica instantânea ou feitiço. {3}: Exile o card do topo de seu grimório.</t>
  </si>
  <si>
    <t>Bind the Monster / Aprisionar o Monstro</t>
  </si>
  <si>
    <t>Enchant creature When this Aura enters, tap enchanted creature. It deals damage to you equal to its power. Enchanted creature doesn't untap during its controller's untap step. / Encantar criatura Quando Aprisionar o Monstro entrar no campo de batalha, vire a criatura encantada. Ela causa dano igual ao seu poder a você. A criatura encantada não desvira durante a etapa de desvirar de seu controlador.</t>
  </si>
  <si>
    <t>Unable to Scream</t>
  </si>
  <si>
    <t>Enchant creature Enchanted creature loses all abilities and is a Toy artifact creature with base power and toughness 0/2 in addition to its other types. As long as enchanted creature is face down, it can't be turned face up.</t>
  </si>
  <si>
    <t>Smoke Shroud / Manto de Fumaça</t>
  </si>
  <si>
    <t>Enchant creature Enchanted creature gets +1/+1 and has flying. When a Ninja you control enters, you may return this card from your graveyard to the battlefield attached to that creature. / Encantar criatura A criatura encantada recebe +1/+1 e tem voar. Quando um Ninja entra no campo de batalha sob o seu controle, você pode devolver Manto de Fumaça de seu cemitério para o campo de batalha anexado àquela criatura.</t>
  </si>
  <si>
    <t>Stratus Walk / Caminhar nos Estratos</t>
  </si>
  <si>
    <t>Enchant creature When this Aura enters, draw a card. Enchanted creature has flying. (It can't be blocked except by creatures with flying or reach.) Enchanted creature can block only creatures with flying. / Encantar criatura Quando Caminhar nos Estratos entrar no campo de batalha, compre um card. A criatura encantada tem voar. A criatura encantada só pode bloquear criaturas com voar.</t>
  </si>
  <si>
    <t>Dictate of Kruphix / Decreto de Crufix</t>
  </si>
  <si>
    <t>Flash (You may cast this spell any time you could cast an instant.) At the beginning of each player's draw step, that player draws an additional card. / Lampejo No início da etapa de compra de cada jogador, aquele jogador compra um card adicional.</t>
  </si>
  <si>
    <t>Aqueous Form / Forma Aquosa</t>
  </si>
  <si>
    <t>Enchant creature Enchanted creature can't be blocked. Whenever enchanted creature attacks, scry 1. (Look at the top card of your library. You may put that card on the bottom.) / Encantar criatura A criatura encantada não pode ser bloqueada. Toda vez que a criatura encantada atacar, use vidência 1. (Olhe o card do topo de seu grimório. Você pode colocar aquele card no fundo de seu grimório.)</t>
  </si>
  <si>
    <t>Temporal Fissure / Fissura Temporal</t>
  </si>
  <si>
    <t>Return target permanent to its owner's hand. Storm (When you cast this spell, copy it for each spell cast before it this turn. You may choose new targets for the copies.) / Devolve a permanente alvo para a mão de seu dono. Rajada (Quando você jogar esta mágica, faça uma cópia dela para cada mágica jogada antes dela neste turno. Você pode escolher novos alvos para as cópias.)</t>
  </si>
  <si>
    <t>Scourge (SCG)</t>
  </si>
  <si>
    <t>Inspiration from Beyond</t>
  </si>
  <si>
    <t>Mill three cards, then return an instant or sorcery card from your graveyard to your hand. Flashback {5}{U}{U} (You may cast this card from your graveyard for its flashback cost. Then exile it.)</t>
  </si>
  <si>
    <t>Displacement Wave / Onda de Deslocamento</t>
  </si>
  <si>
    <t>Return all nonland permanents with mana value X or less to their owners' hands. / Devolva todas as permanentes que não sejam terreno com custo de mana convertido igual a X ou menos para as mãos de seus donos.</t>
  </si>
  <si>
    <t>{X}{U}{U}</t>
  </si>
  <si>
    <t>Shared Discovery / Descoberta Compartilhada</t>
  </si>
  <si>
    <t>As an additional cost to cast this spell, tap four untapped creatures you control. Draw three cards. / Como custo adicional para conjurar Descoberta Compartilhada, vire quatro criaturas desviradas que você controla. Compre três cards.</t>
  </si>
  <si>
    <t>Consuming Tide / Maré Consumidora</t>
  </si>
  <si>
    <t>Each player chooses a nonland permanent they control. Return all nonland permanents not chosen this way to their owners' hands. Then you draw a card for each opponent who has more cards in their hand than you. / Cada jogador escolhe uma permanente não de terreno que ele controla. Devolva para as mãos de seus donos todas as permanentes não de terreno não escolhidas dessa forma. Em seguida, você compra um card para cada oponente com mais cards na própria mão que você.</t>
  </si>
  <si>
    <t>Innistrad: Crimson Vow Promos (PVOW)</t>
  </si>
  <si>
    <t>Divination / Divinação</t>
  </si>
  <si>
    <t>Contentious Plan / Plano Polêmico</t>
  </si>
  <si>
    <t>Proliferate. (Choose any number of permanents and/or players, then give each another counter of each kind already there.) Draw a card. / Prolifere. (Escolha qualquer número de permanentes e/ou jogadores. Em seguida, dê a cada um deles outro marcador de cada tipo que eles já tenham.) Compre um card.</t>
  </si>
  <si>
    <t>Strategic Planning / Planejamento Estratégico</t>
  </si>
  <si>
    <t>Look at the top three cards of your library. Put one of them into your hand and the rest into your graveyard. / Olhe os três cards do topo de seu grimório. Coloque um deles em sua mão e o restante em seu cemitério.</t>
  </si>
  <si>
    <t>Strixhaven Mystical Archive (STA)</t>
  </si>
  <si>
    <t>Retraction Helix / Hélice de Retração</t>
  </si>
  <si>
    <t>Until end of turn, target creature gains "{T}: Return target nonland permanent to its owner's hand." / Até o final do turno, a criatura alvo ganha "{T}: Devolva a permanente alvo que não seja um terreno para a mão de seu dono."</t>
  </si>
  <si>
    <t>Bone to Ash / De Ossos a Cinzas</t>
  </si>
  <si>
    <t>Counter target creature spell. Draw a card. / Anule a mágica de criatura alvo.Compre um card.</t>
  </si>
  <si>
    <t>Distração Efêmera / Fleeting Distraction</t>
  </si>
  <si>
    <t>A criatura alvo recebe -1/-0 até o final do turno. Compre um card. / Target creature gets -1/-0 until end of turn. Draw a card.</t>
  </si>
  <si>
    <t>Divine Favor / Proteção Divina</t>
  </si>
  <si>
    <t>Enchant creature When this Aura enters, you gain 3 life. Enchanted creature gets +1/+3. / Encantar criatura Quando Proteção Divina entra no campo de batalha, você ganha 3 pontos de vida. A criatura encantada recebe +1/+3.</t>
  </si>
  <si>
    <t>Kill Shot / Tiro Mortal</t>
  </si>
  <si>
    <t>Destroy target attacking creature. / Destrua a criatura atacante alvo.</t>
  </si>
  <si>
    <t>Tarkir Khans</t>
  </si>
  <si>
    <t>Faith's Shield / Escudo da Fé</t>
  </si>
  <si>
    <t>Target permanent you control gains protection from the color of your choice until end of turn. Fateful hour — If you have 5 or less life, instead you and each permanent you control gain protection from the color of your choice until end of turn. / A permanente alvo que você controla ganha proteção contra a cor de sua escolha até o final do turno. Hora fatal — Se tiver 5 ou menos pontos de vida, em vez disso, você e cada permanente que você controla ganham proteção contra a cor de sua escolha até o final do turno.</t>
  </si>
  <si>
    <t>Join the Ranks / Junte-se aos Bons</t>
  </si>
  <si>
    <t>Create two 1/1 white Soldier Ally creature tokens. / Coloque no campo de batalha duas fichas de criatura brancas 1/1 do tipo Soldado Aliado.</t>
  </si>
  <si>
    <t>Karametra's Blessing / Bênção de Carametra</t>
  </si>
  <si>
    <t>Target creature gets +2/+2 until end of turn. If it's an enchanted creature or enchantment creature, it also gains hexproof and indestructible until end of turn. (It can't be the target of spells or abilities your opponents control. Damage and effects that say "destroy" don't destroy it.) / A criatura alvo recebe +2/+2 até o final do turno. Se ela for uma criatura encantada ou uma criatura encantamento, ela também ganha resistência a magia e indestrutível até o final do turno. (Ela não pode ser alvo de mágicas nem de habilidades que seus oponentes controlam. O dano e os efeitos que dizem "destrua" não a destroem.)</t>
  </si>
  <si>
    <t>You Hear Something on Watch / Vocês Ouvem Algo Enquanto Vigiam</t>
  </si>
  <si>
    <t>Choose one — • Rouse the Party — Creatures you control get +1/+1 until end of turn. • Set Off Traps — This spell deals 5 damage to target attacking creature. / Escolha um — • Instigar o grupo — As criaturas que você controla recebem +1/+1 até o final do turno. • Disparar armadilhas — Esta mágica causa 5 pontos de dano à criatura atacante alvo.</t>
  </si>
  <si>
    <t>Divine Arrow / Flecha Divina</t>
  </si>
  <si>
    <t>Divine Arrow deals 4 damage to target attacking or blocking creature. / Flecha Divina causa 4 pontos de dano à criatura alvo atacante ou bloqueadora.</t>
  </si>
  <si>
    <t>Pacifism / Pacifismo</t>
  </si>
  <si>
    <t>Enchant creature Enchanted creature can't attack or block. / Encantar criatura A criatura encantada não pode atacar nem bloquear.</t>
  </si>
  <si>
    <t>Legion Conquistador / Conquistador da Legião</t>
  </si>
  <si>
    <t>When this creature enters, you may search your library for any number of cards named Legion Conquistador, reveal them, put them into your hand, then shuffle. / Quando Conquistador da Legião entra no campo de batalha, você pode procurar qualquer número de cards em seu grimório com o nome Conquistador da Legião, revelá-los, colocá-los na sua mão e depois embaralhar seu grimório.</t>
  </si>
  <si>
    <t>Angelic Wall / Barreira Angelical</t>
  </si>
  <si>
    <t>Defender (This creature can't attack.) Flying / Defensor (Esta criatura não pode atacar.)Voar</t>
  </si>
  <si>
    <t>Owlin Historian</t>
  </si>
  <si>
    <t>Creature — Bird Cleric</t>
  </si>
  <si>
    <t>Flying When this creature enters, surveil 1. (Look at the top card of your library. You may put it into your graveyard.) Whenever one or more cards leave your graveyard, this creature gets +1/+1 until end of turn.</t>
  </si>
  <si>
    <t>Lifecreed Duo</t>
  </si>
  <si>
    <t>Creature — Bat Bird</t>
  </si>
  <si>
    <t>Flying Whenever another creature you control enters, you gain 1 life.</t>
  </si>
  <si>
    <t>Conclave Equenaut / Viajante Eqüestre do Conclave</t>
  </si>
  <si>
    <t>Creature — Human Soldier / Criatura - Soldado Humano</t>
  </si>
  <si>
    <t>Convoke (Your creatures can help cast this spell. Each creature you tap while casting this spell pays for {1} or one mana of that creature's color.) Flying / Convocar (Cada criatura que você vira ao jogar esta mágica reduz seu custo em {1} ou em um mana da cor daquela criatura.) Voar</t>
  </si>
  <si>
    <t>Ravnica Remastered (RVR)</t>
  </si>
  <si>
    <t>Trained Caracal / Caracal Treinado</t>
  </si>
  <si>
    <t>Creature — Cat / Criatura — Felino</t>
  </si>
  <si>
    <t>Lifelink (Damage dealt by this creature also causes you to gain that much life.) / Vínculo com a vida (O dano causado por esta criatura faz com que você ganhe uma quantidade equivalente de pontos de vida.)</t>
  </si>
  <si>
    <t>{T}: Target attacking creature gets +1/+1 until end of turn. / {T}: A criatura alvo atacante recebe +1/+1 até o final do turno.</t>
  </si>
  <si>
    <t>Raptor Companion / Companheiro Raptor</t>
  </si>
  <si>
    <t>Angel of Mercy / Anjo de Misericórdia</t>
  </si>
  <si>
    <t>Flying When this creature enters, you gain 3 life. / Voar (Esta criatura só pode ser bloqueada por criaturas com a habilidade de voar.) Quando Anjo de Misericórdia entra em jogo, você ganha 3 pontos de vida.</t>
  </si>
  <si>
    <t>Sungrace Pegasus / Pégaso da Graça Solar</t>
  </si>
  <si>
    <t>Flying Lifelink (Damage dealt by this creature also causes you to gain that much life.) / Voar (Esta criatura só pode ser bloqueada por criaturas com voar ou alcance.) Vínculo com a vida (O dano causado por esta criatura faz com que você ganhe uma quantidade equivalente de pontos de vida.)</t>
  </si>
  <si>
    <t>Inspiring Overseer / Supervisor Inspirador</t>
  </si>
  <si>
    <t>Creature — Angel Cleric / Criatura — Anjo Clérigo</t>
  </si>
  <si>
    <t>Flying When this creature enters, you gain 1 life and draw a card. / Voar Quando Supervisor Inspirador entra no campo de batalha, você ganha 1 ponto de vida e compra um card.</t>
  </si>
  <si>
    <t>Rumbling Sentry / Sentinela Ribombante</t>
  </si>
  <si>
    <t>When this creature enters, scry 1. / Quando Sentinela Ribombante entrar no campo de batalha, use vidência 1.</t>
  </si>
  <si>
    <t>Trusted Pegasus / Pégaso Confiável</t>
  </si>
  <si>
    <t>Flying (This creature can't be blocked except by creatures with flying or reach.) Whenever this creature attacks, target attacking creature without flying gains flying until end of turn. / Voar Toda vez que Pégaso Confiável ataca, a criatura atacante alvo sem voar ganha voar até o final do turno.</t>
  </si>
  <si>
    <t>Pterodon Knight / Cavaleira de Pterodontes</t>
  </si>
  <si>
    <t>This creature has flying as long as you control a Dinosaur. / Cavaleira de Pterodontes terá voar enquanto você controlar um Dinossauro.</t>
  </si>
  <si>
    <t>Talus Paladin / Paladino de Talus</t>
  </si>
  <si>
    <t>Creature — Human Knight Ally / Criatura — Humano Cavaleiro Aliado</t>
  </si>
  <si>
    <t>Whenever this creature or another Ally you control enters, you may have Allies you control gain lifelink until end of turn, and you may put a +1/+1 counter on this creature. / Toda vez que Paladino de Talus ou outro Aliado entra no campo de batalha sob o seu controle, você pode fazer com que os Aliados que controla ganhem vínculo com a vida até o final do turno, e você pode colocar um marcador +1/+1 em Paladino de Talus.</t>
  </si>
  <si>
    <t>Nebelgast Beguiler / Ludibriadora do Nebelgast</t>
  </si>
  <si>
    <t>{W}, {T}: Tap target creature. / {W}, {T}: Vire a criatura alvo.</t>
  </si>
  <si>
    <t>Hada Freeblade / Franco-Espadachim de Hada</t>
  </si>
  <si>
    <t>Creature — Human Soldier Ally / Criatura — Humano Soldado Aliado</t>
  </si>
  <si>
    <t>Whenever this creature or another Ally you control enters, you may put a +1/+1 counter on this creature. / Toda vez que Franco-Espadachim de Hada ou outro Aliado entra no campo de batalha sob o seu controle, você pode colocar um marcador +1/+1 em Franco-Espadachim de Hada.</t>
  </si>
  <si>
    <t>Fencing Ace / Ás da Esgrima</t>
  </si>
  <si>
    <t>Double strike (This creature deals both first-strike and regular combat damage.) / Golpe duplo (Esta criatura causa tanto o dano de iniciativa quanto o de combate normal.)</t>
  </si>
  <si>
    <t>Beloved Princess / Princesa Adorada</t>
  </si>
  <si>
    <t>Creature — Human Noble / Criatura — Humano Nobre</t>
  </si>
  <si>
    <t>Lifelink This creature can't be blocked by creatures with power 3 or greater. / Vínculo com a vida Princesa Adorada não pode ser bloqueada por criaturas de poder igual ou superior a 3.</t>
  </si>
  <si>
    <t>Dawnstrike Paladin / Paladino da Aurora</t>
  </si>
  <si>
    <t>Vigilance (Attacking doesn't cause this creature to tap.) Lifelink (Damage dealt by this creature also causes you to gain that much life.) / Vigilância (Esta criatura não é virada para atacar.)Vínculo com a vida (O dano causado por esta criatura faz com que você ganhe uma quantidade equivalente de pontos de vida.)</t>
  </si>
  <si>
    <t>Sentinela Selesnya / Selesnya Sentry</t>
  </si>
  <si>
    <t>Criatura — Elefante Soldado / Creature — Elephant Soldier</t>
  </si>
  <si>
    <t>{5}{G}: Regenere Sentinela Selesnya. / {5}{G}: Regenerate Selesnya Sentry.</t>
  </si>
  <si>
    <t>Marsh Threader / Atravessador de Palude</t>
  </si>
  <si>
    <t>Creature — Kor Scout / Criatura — Kor Batedor</t>
  </si>
  <si>
    <t>Swampwalk (This creature can't be blocked as long as defending player controls a Swamp.) / Travessia de pântano</t>
  </si>
  <si>
    <t>Brago's Representative</t>
  </si>
  <si>
    <t>Creature — Human Advisor</t>
  </si>
  <si>
    <t>While voting, you get an additional vote. (The votes can be for different choices or for the same choice.)</t>
  </si>
  <si>
    <t>Conspiracy (CNS)</t>
  </si>
  <si>
    <t>Misthoof Kirin / Kirin Casconévoa</t>
  </si>
  <si>
    <t>Creature — Kirin / Criatura — Kirin</t>
  </si>
  <si>
    <t>Flying, vigilance Megamorph {1}{W} (You may cast this card face down as a 2/2 creature for {3}. Turn it face up any time for its megamorph cost and put a +1/+1 counter on it.) / Voar, vigilância Megamorfose {1}{W} (Você pode conjurar este card com a face voltada para baixo como uma criatura 2/2 por {3}. Volte sua face para cima a qualquer momento pagando seu custo de megamorfose e coloque um marcador +1/+1 nele.)</t>
  </si>
  <si>
    <t>Thalia's Lancers / Lanceiras de Thalia</t>
  </si>
  <si>
    <t>First strike When this creature enters, you may search your library for a legendary card, reveal it, put it into your hand, then shuffle. / Iniciativa Quando Lanceiras de Thalia entra no campo de batalha, você pode procurar um card lendário em seu grimório, revelá-lo, colocá-lo em sua mão e depois embaralhar seu grimório.</t>
  </si>
  <si>
    <t>Nyxborn Shieldmate / Escudeiro Nyxnato</t>
  </si>
  <si>
    <t>Enchantment Creature — Human Soldier / Criatura Encantamento — Humano Soldado</t>
  </si>
  <si>
    <t>Bestow {2}{W} (If you cast this card for its bestow cost, it's an Aura spell with enchant creature. It becomes a creature again if it's not attached.) Enchanted creature gets +1/+2. / Agraciar {2}{W} (Se você conjurar este card pagando seu custo de agraciar, ele será uma mágica de Aura com encantar criatura. Ele se tornará novamente uma criatura se não estiver anexado a uma criatura.) A criatura encantada recebe +1/+2.</t>
  </si>
  <si>
    <t>Elite Interceptor // Rejoinder</t>
  </si>
  <si>
    <t>Creature — Human Wizard // Sorcery</t>
  </si>
  <si>
    <t>Elite Interceptor: This creature enters prepared. (While it's prepared, you may cast a copy of its spell. Doing so unprepares it.) // Rejoinder: You may tap or untap target creature. Draw a card.</t>
  </si>
  <si>
    <t>{W} // {1}{W}</t>
  </si>
  <si>
    <t>Dromoka Dunecaster / Conjurador de Dunas de Dromoka</t>
  </si>
  <si>
    <t>{1}{W}, {T}: Tap target creature without flying. / {1}{W}, {T}: Vire a criatura alvo sem voar.</t>
  </si>
  <si>
    <t>Scholar of Athreos / Escolástico de Atreos</t>
  </si>
  <si>
    <t>{2}{B}: Each opponent loses 1 life. You gain life equal to the life lost this way. / {2}{B}: Cada oponente perde 1 ponto de vida. Você ganha uma quantidade de pontos de vida igual ao total de pontos de vida perdidos dessa maneira.</t>
  </si>
  <si>
    <t>Welcoming Vampire / Vampira da Recepção</t>
  </si>
  <si>
    <t>Flying Whenever one or more other creatures you control with power 2 or less enter, draw a card. This ability triggers only once each turn. / Voar Toda vez que uma ou mais outras criaturas com poder igual ou inferior a 2 entrarem no campo de batalha sob seu controle, compre um card. Esta habilidade é desencadeada apenas uma vez a cada turno.</t>
  </si>
  <si>
    <t>Kytheon's Irregulars / Subversivos de Quiteon</t>
  </si>
  <si>
    <t>Renown 1 (When this creature deals combat damage to a player, if it isn't renowned, put a +1/+1 counter on it and it becomes renowned.) {W}{W}: Tap target creature. / Renome 1 (Quando esta criatura causar dano de combate a um jogador, se ela não for renomada, coloque um marcador +1/+1 nela e ela se tornará renomada.){W}{W}: Vire a criatura alvo.</t>
  </si>
  <si>
    <t>Loxodon Sergeant / Sargento Loxodonte</t>
  </si>
  <si>
    <t>Creature — Elephant Soldier / Criatura — Elefante Soldado</t>
  </si>
  <si>
    <t>Vigilance When this creature enters, other creatures you control gain vigilance until end of turn. / Vigilância Quando Sargento Loxodonte entra no campo de batalha, as outras criaturas que você controla ganham vigilância até o final do turno.</t>
  </si>
  <si>
    <t>Avacynian Priest / Sacerdote Avacyniano</t>
  </si>
  <si>
    <t>{1}, {T}: Tap target non-Human creature. / {1}, {T}: Vire a criatura alvo que não seja do tipo Humano.</t>
  </si>
  <si>
    <t>Sandstorm Charger / Atacante da Tempestade de Areia</t>
  </si>
  <si>
    <t>Megamorph {4}{W} (You may cast this card face down as a 2/2 creature for {3}. Turn it face up any time for its megamorph cost and put a +1/+1 counter on it.) / Megamorfose {4}{W} (Você pode conjurar este card com a face voltada para baixo como uma criatura 2/2 por {3}. Volte sua face para cima a qualquer momento pagando seu custo de megamorfose e coloque um marcador +1/+1 nele.)</t>
  </si>
  <si>
    <t>Backup Agent / Agente de Reforço</t>
  </si>
  <si>
    <t>Creature — Human Citizen / Criatura — Humano Cidadão</t>
  </si>
  <si>
    <t>When this creature enters, put a +1/+1 counter on target creature. / Quando Agente de Reforço entrar no campo de batalha, coloque um marcador +1/+1 na criatura alvo.</t>
  </si>
  <si>
    <t>Dromoka Warrior / Guerreiro de Dromoka</t>
  </si>
  <si>
    <t>Nav Squad Commandos / Comandos do Esquadrão de Navegação</t>
  </si>
  <si>
    <t>Battalion — Whenever this creature and at least two other creatures attack, this creature gets +1/+1 until end of turn. Untap it. / Batalhão — Toda vez que Comandos do Esquadrão de Navegação e pelo menos duas outras criaturas atacarem, Comandos do Esquadrão de Navegação receberá +1/+1 até o final do turno. Desvire-o.</t>
  </si>
  <si>
    <t>Sun-Crested Pterodon / Pterodonte Crista-solar</t>
  </si>
  <si>
    <t>Flying This creature has vigilance as long as you control another Dinosaur. / Voar Pterodonte Crista-solar terá vigilância enquanto você controlar outro Dinossauro.</t>
  </si>
  <si>
    <t>Goldnight Redeemer / Redentor dos Noite Dourada</t>
  </si>
  <si>
    <t>Flying When this creature enters, you gain 2 life for each other creature you control. / Voar Quando Redentor dos Noite Dourada entra no campo de batalha, você ganha 2 pontos de vida para cada outra criatura que você controla.</t>
  </si>
  <si>
    <t>Ondu War Cleric / Clérigo da Guerra de Ondu</t>
  </si>
  <si>
    <t>Creature — Human Cleric Ally / Criatura — Humano Clérigo Aliado</t>
  </si>
  <si>
    <t>Cohort — {T}, Tap an untapped Ally you control: You gain 2 life. / Companheiro — {T}, Vire um Aliado desvirado que você controla: Você ganha 2 pontos de vida.</t>
  </si>
  <si>
    <t>Martyr for the Cause / Mártir da Causa</t>
  </si>
  <si>
    <t>When this creature dies, proliferate. (Choose any number of permanents and/or players, then give each another counter of each kind already there.) / Quando Mártir da Causa morrer, prolifere. (Escolha qualquer número de permanentes e/ou jogadores. Em seguida, dê a cada um deles outro marcador de cada tipo que eles já tenham.)</t>
  </si>
  <si>
    <t>Silent Artisan / Artesão Silencioso</t>
  </si>
  <si>
    <t>Kazandu Blademaster / Espadachim-Mestre de Kazandu</t>
  </si>
  <si>
    <t>First strike, vigilance Whenever this creature or another Ally you control enters, you may put a +1/+1 counter on this creature. / Iniciativa, vigilância Toda vez que Espadachim-Mestre de Kazandu ou outro Aliado entra no campo de batalha sob o seu controle, você pode colocar um marcador +1/+1 em Espadachim-Mestre de Kazandu.</t>
  </si>
  <si>
    <t>Sun-Dappled Celebrant</t>
  </si>
  <si>
    <t>Convoke (Your creatures can help cast this spell. Each creature you tap while casting this spell pays for {1} or one mana of that creature's color.) Vigilance</t>
  </si>
  <si>
    <t>Haazda Marshal / Agente de Haazda</t>
  </si>
  <si>
    <t>Whenever this creature and at least two other creatures attack, create a 1/1 white Soldier creature token with lifelink. / Toda vez que Agente de Haazda e ao menos duas outras criaturas atacarem, crie uma ficha de criatura branca 1/1 do tipo Soldado com vínculo com a vida.</t>
  </si>
  <si>
    <t>Ajani's Chosen / Escolhidos de Ajani</t>
  </si>
  <si>
    <t>Creature — Cat Soldier / Criatura — Felino Soldado</t>
  </si>
  <si>
    <t>Whenever an enchantment you control enters, create a 2/2 white Cat creature token. If that enchantment is an Aura, you may attach it to the token. / Toda vez que um encantamento entrar no campo de batalha sob o seu controle, coloque no campo de batalha uma ficha de criatura branca 2/2 do tipo Felino. Se aquele encantamento for uma Aura, você poderá anexá-la à ficha.</t>
  </si>
  <si>
    <t>Avian Changeling / Morfolóide Áleo</t>
  </si>
  <si>
    <t>Creature — Shapeshifter / Criatura — Metamorfo</t>
  </si>
  <si>
    <t>Changeling (This card is every creature type.) Flying / Morfolóide (Este card é de todos os tipos de criatura sempre.) Voar</t>
  </si>
  <si>
    <t>Chapel Geist / Geist da Capela</t>
  </si>
  <si>
    <t>Griffin Dreamfinder / Grifo Apanha-sonhos</t>
  </si>
  <si>
    <t>Flying When this creature enters, return target enchantment card from your graveyard to your hand. / Voar Quando Grifo Apanha-sonhos entrar no campo de batalha, devolva o card de encantamento alvo de seu cemitério para sua mão.</t>
  </si>
  <si>
    <t>Celestial Flare / Clarão Celestial</t>
  </si>
  <si>
    <t>Target player sacrifices an attacking or blocking creature of their choice. / O jogador alvo sacrifica uma criatura atacante ou bloqueadora.</t>
  </si>
  <si>
    <t>Last Breath / Último Fôlego</t>
  </si>
  <si>
    <t>Exile target creature with power 2 or less. Its controller gains 4 life. / Exile a criatura alvo com poder menor ou igual a 2. Seu controlador ganha 4 pontos de vida.</t>
  </si>
  <si>
    <t>Pay No Heed / Desconsiderar</t>
  </si>
  <si>
    <t>Prevent all damage a source of your choice would deal this turn. / Previna todo o dano que uma fonte à sua escolha causaria neste turno.</t>
  </si>
  <si>
    <t>Renewed Faith / Fé Renovada</t>
  </si>
  <si>
    <t>You gain 6 life. Cycling {1}{W} ({1}{W}, Discard this card: Draw a card.) When you cycle this card, you may gain 2 life. / Você ganha 6 pontos de vida. Reciclar {1}{W} ({1}{W}, Descarte este card: Compre um card.) Quando recicla Fé Renovada, você pode ganhar 2 pontos de vida.</t>
  </si>
  <si>
    <t>Wanderer's Intervention / Intervenção da Errante</t>
  </si>
  <si>
    <t>Wanderer's Intervention deals 4 damage to target attacking or blocking creature. / Intervenção da Errante causa 4 pontos de dano à criatura atacante ou bloqueadora alvo.</t>
  </si>
  <si>
    <t>Fortify / Fortificar</t>
  </si>
  <si>
    <t>Choose one — • Creatures you control get +2/+0 until end of turn. • Creatures you control get +0/+2 until end of turn. / Escolha um — As criaturas que você controla recebem +2/+0 até o final do turno; ou as criaturas que você controla recebem +0/+2 até o final do turno.</t>
  </si>
  <si>
    <t>Zealous Strike / Golpe Zeloso</t>
  </si>
  <si>
    <t>Target creature gets +2/+2 and gains first strike until end of turn. / A criatura alvo recebe +2/+2 e ganha iniciativa até o final do turno.</t>
  </si>
  <si>
    <t>Trostani's Judgment / Julgamento de Trostani</t>
  </si>
  <si>
    <t>Exile target creature, then populate. (Create a token that's a copy of a creature token you control.) / Exile a criatura alvo e depois povoe. (Coloque no campo de batalha uma ficha que seja uma cópia de uma ficha de criatura que você controla.)</t>
  </si>
  <si>
    <t>Battlefield Promotion / Promoção em Campo</t>
  </si>
  <si>
    <t>Put a +1/+1 counter on target creature. That creature gains first strike until end of turn. You gain 2 life. (A creature with first strike deals combat damage before creatures without first strike.) / Coloque um marcador +1/+1 na criatura alvo. Aquela criatura ganha iniciativa até o final do turno. Você ganha 2 pontos de vida.</t>
  </si>
  <si>
    <t>Leave No Trace / Sem vestígios</t>
  </si>
  <si>
    <t>Radiance — Destroy target enchantment and each other enchantment that shares a color with it. / Radiação Destrói o encantamento alvo e cada outro encantamento que compartilhe uma cor com ele.</t>
  </si>
  <si>
    <t>Spare from Evil / Poupar do Mal</t>
  </si>
  <si>
    <t>Creatures you control gain protection from non-Human creatures until end of turn. / As criaturas que você controla ganham proteção contra criaturas que não sejam do tipo Humano até o final do turno.</t>
  </si>
  <si>
    <t>Hopeful Vigil / Vigília Esperançosa</t>
  </si>
  <si>
    <t>When this enchantment enters, create a 2/2 white Knight creature token with vigilance. When this enchantment is put into a graveyard from the battlefield, scry 2. {2}{W}: Sacrifice this enchantment. / Quando Vigília Esperançosa entrar no campo de batalha, crie uma ficha de criatura Cavaleiro branca 2/2 com vigilância. Quando Vigília Esperançosa for colocada no cemitério vinda do campo de batalha, use vidência 2. {2}{W}: Sacrifique Vigília Esperançosa.</t>
  </si>
  <si>
    <t>Increasing Devotion / Devoção Crescente</t>
  </si>
  <si>
    <t>Create five 1/1 white Human creature tokens. If this spell was cast from a graveyard, create ten of those tokens instead. Flashback {7}{W}{W} (You may cast this card from your graveyard for its flashback cost. Then exile it.) / Coloque no campo de batalha cinco fichas de criatura brancas 1/1 do tipo Humano. Se Devoção Crescente tiver sido conjurada de um cemitério, em vez disso, coloque dez dessas fichas no campo de batalha. Recapitular {7}{W}{W} (Você pode conjurar este card de seu cemitério pagando seu custo de recapitular. Depois, exile-o.)</t>
  </si>
  <si>
    <t>Adamant Will / Vontade Adamantina</t>
  </si>
  <si>
    <t>Target creature gets +2/+2 and gains indestructible until end of turn. (Damage and effects that say "destroy" don't destroy it.) / A criatura alvo recebe +2/+2 e ganha indestrutível até o final do turno. (Dano e efeitos que dizem "destrua" não a destroem.)</t>
  </si>
  <si>
    <t>Knight Watch / Vigilância de Cavaleiros</t>
  </si>
  <si>
    <t>Create two 2/2 white Knight creature tokens with vigilance. / Coloque no campo de batalha duas fichas de criatura brancas 2/2 do tipo Cavaleiro com vigilância.</t>
  </si>
  <si>
    <t>Aerial Maneuver / Manobra Aérea</t>
  </si>
  <si>
    <t>Target creature gets +1/+1 and gains flying and first strike until end of turn. / A criatura alvo recebe +1/+1 e ganha voar e iniciativa até o final do turno.</t>
  </si>
  <si>
    <t>Ray of Dissolution / Raio de Dissolução</t>
  </si>
  <si>
    <t>Destroy target enchantment. You gain 3 life. / Destrua o encantamento alvo. Você ganha 3 pontos de vida.</t>
  </si>
  <si>
    <t>Righteous Blow / Golpe Justo</t>
  </si>
  <si>
    <t>Righteous Blow deals 2 damage to target attacking or blocking creature. / Golpe Justo causa 2 pontos de dano à criatura atacante ou bloqueadora alvo.</t>
  </si>
  <si>
    <t>Metal Fatigue / Fadiga do Metal</t>
  </si>
  <si>
    <t>Tap all artifacts. / Vira todos os artefatos.</t>
  </si>
  <si>
    <t>Apostle's Blessing / Bênção do Apóstolo</t>
  </si>
  <si>
    <t>({W/P} can be paid with either {W} or 2 life.) Target artifact or creature you control gains protection from artifacts or from the color of your choice until end of turn. / ({W/P} pode ser pago com {W} ou 2 pontos de vida.) O artefato ou a criatura alvo que você controla ganha proteção contra artefatos ou contra a cor de sua escolha até o final do turno.</t>
  </si>
  <si>
    <t>{1}{W/P}</t>
  </si>
  <si>
    <t>Your Temple Is Under Attack / Seu Templo Está Sendo Atacado</t>
  </si>
  <si>
    <t>Choose one — • Pray for Protection — Creatures you control gain indestructible until end of turn. • Strike a Deal — You and target opponent each draw two cards. / Escolha um — • Rezar pedindo proteção — As criaturas que você controla ganham indestrutível até o final do turno. • Fazer um acordo — Você e o oponente alvo compram dois cards cada um.</t>
  </si>
  <si>
    <t>Revoke Existence / Revogar Existência</t>
  </si>
  <si>
    <t>Duel Decks: Venser vs. Koth (DDI)</t>
  </si>
  <si>
    <t>Double Masters</t>
  </si>
  <si>
    <t>Theros além da morte</t>
  </si>
  <si>
    <t>Gods Willing / Vontade dos Deuses</t>
  </si>
  <si>
    <t>Target creature you control gains protection from the color of your choice until end of turn. (It can't be blocked, targeted, dealt damage, enchanted, or equipped by anything of that color.) Scry 1. / A criatura alvo que você controla ganha proteção contra a cor de sua escolha até o final do turno. Vidência 1. (Olhe o card do topo de seu grimório. Você pode colocar aquele card no fundo de seu grimório.)</t>
  </si>
  <si>
    <t>Dawn Charm / Medalhão da Aurora</t>
  </si>
  <si>
    <t>Choose one — • Prevent all combat damage that would be dealt this turn. • Regenerate target creature. • Counter target spell that targets you. / Escolha um — • Previna todo o dano de combate que seria causado neste turno. • Regenere a criatura alvo. (Na próxima vez em que ela seria destruída, em vez disso, vire-a, remova-a do combate e cure todo o dano marcado nela.) • Anule a mágica alvo que tenha você como alvo.</t>
  </si>
  <si>
    <t>Planar Chaos (PLC)</t>
  </si>
  <si>
    <t>Sonar Strike</t>
  </si>
  <si>
    <t>Sonar Strike deals 4 damage to target attacking, blocking, or tapped creature. You gain 3 life if you control a Bat.</t>
  </si>
  <si>
    <t>Time Stop / Parar o Tempo</t>
  </si>
  <si>
    <t>End the turn. (Exile all spells and abilities, including this spell. The player whose turn it is discards down to their maximum hand size. Damage heals and "this turn" and "until end of turn" effects end.) / Termine o turno. (Remova de jogo todas as mágicas e habilidades que estiverem na pilha, inclusive este card. O jogador controlador do turno descarta cards até atingir o número máximo de cards permitido na mão. O dano desaparece e efeitos que ocorrem "neste turno" e "até o final do turno" cessam.)</t>
  </si>
  <si>
    <t>Channel Harm / Canalizar Dano</t>
  </si>
  <si>
    <t>Prevent all damage that would be dealt to you and permanents you control this turn by sources you don't control. If damage is prevented this way, you may have Channel Harm deal that much damage to target creature. / Previna todo o dano que seria causado a você e às permanentes que você controla neste turno por fontes que você não controla. Se algum dano for prevenido desta forma, você poderá fazer com que Canalizar Dano cause uma quantidade equivalente de dano à criatura alvo.</t>
  </si>
  <si>
    <t>Smite / Castigo</t>
  </si>
  <si>
    <t>Destroy target blocked creature. / Destrua a criatura bloqueada alvo.</t>
  </si>
  <si>
    <t>Jump Scare</t>
  </si>
  <si>
    <t>Until end of turn, target creature gets +2/+2, gains flying, and becomes a Horror enchantment creature in addition to its other types.</t>
  </si>
  <si>
    <t>Promise of Bunrei / Promessa de Bunrei</t>
  </si>
  <si>
    <t>When a creature you control dies, sacrifice this enchantment. If you do, create four 1/1 colorless Spirit creature tokens. / Quando uma criatura que você controla morrer, sacrifique Promessa de Bunrei. Se fizer isso, crie quatro fichas de criatura Espírito incolor 1/1.</t>
  </si>
  <si>
    <t>Lifelink / Vínculo com a Vida</t>
  </si>
  <si>
    <t>Enchant creature Enchanted creature has lifelink. (Damage dealt by the creature also causes its controller to gain that much life.) / Encantar criatura A criatura encantada tem vínculo com a vida. (O dano causado pela criatura também faz com que seu controlador ganhe uma quantidade equivalente de pontos de vida.)</t>
  </si>
  <si>
    <t>Keep Out</t>
  </si>
  <si>
    <t>Choose one — • Keep Out deals 4 damage to target tapped creature. • Destroy target enchantment.</t>
  </si>
  <si>
    <t>Topple the Statue / Derrubar a Estátua</t>
  </si>
  <si>
    <t>Tap target permanent. If it's an artifact, destroy it. Draw a card. / Vire a permanente alvo. Se ela for um artefato, destrua-a. Compre um card.</t>
  </si>
  <si>
    <t>Rally the Peasants / Reunir os Camponeses</t>
  </si>
  <si>
    <t>Creatures you control get +2/+0 until end of turn. Flashback {2}{R} (You may cast this card from your graveyard for its flashback cost. Then exile it.) / As criaturas que você controla recebem +2/+0 até o final do turno. Recapitular {2}{R} (Você pode conjurar este card de seu cemitério pagando seu custo de recapitular. Depois, exile-o.)</t>
  </si>
  <si>
    <t>Guardian Zendikon / Zendikon Guardião</t>
  </si>
  <si>
    <t>Enchant land Enchanted land is a 2/6 white Wall creature with defender. It's still a land. When enchanted land dies, return that card to its owner's hand. / Encantar terreno O terreno encantado é uma criatura branca 2/6 do tipo Barreira com defensor. Ela ainda conta como um terreno. Quando o terreno encantado for colocado num cemitério, devolva aquele card para a mão de seu dono.</t>
  </si>
  <si>
    <t>Bound in Silence / Prisioneiro do Silêncio</t>
  </si>
  <si>
    <t>Kindred Enchantment — Rebel Aura / Encantamento Tribal — Rebelde Aura</t>
  </si>
  <si>
    <t>Chaplain's Blessing / Bênção da Capelã</t>
  </si>
  <si>
    <t>You gain 5 life. / Você ganha 5 pontos de vida.</t>
  </si>
  <si>
    <t>Patrician's Scorn / Desprezo de Compatrício</t>
  </si>
  <si>
    <t>If you've cast another white spell this turn, you may cast this spell without paying its mana cost. Destroy all enchantments. / Se você jogou outra mágica branca neste turno, poderá jogar Desprezo de Compatrício sem pagar seu custo de mana. Destrua todos os encantamentos.</t>
  </si>
  <si>
    <t>Setessan Griffin / Grifo Setessano</t>
  </si>
  <si>
    <t>Flying {2}{G}{G}: This creature gets +2/+2 until end of turn. Activate only once each turn. / Voar {2}{G}{G}: Grifo Setessano recebe +2/+2 até o final do turno. Ative esta habilidade apenas uma vez a cada turno.</t>
  </si>
  <si>
    <t>Dutiful Servants / Servos Obedientes</t>
  </si>
  <si>
    <t>Armory Guard / Guarda do Arsenal</t>
  </si>
  <si>
    <t>Creature — Giant Soldier / Criatura — Gigante Soldado</t>
  </si>
  <si>
    <t>This creature has vigilance as long as you control a Gate. / Guarda do Arsenal terá vigilância enquanto você controlar um terreno do tipo Portão.</t>
  </si>
  <si>
    <t>Extraction Specialist / Especialista em Resgates</t>
  </si>
  <si>
    <t>Lifelink When this creature enters, return target creature card with mana value 2 or less from your graveyard to the battlefield. That creature can't attack or block for as long as you control this creature. / Vínculo com a vida Quando Especialista em Resgates entrar no campo de batalha, devolva de seu cemitério para o campo de batalha o card de criatura alvo com valor de mana igual ou inferior a 2. Aquela criatura não poderá atacar nem bloquear enquanto você controlar Especialista em Resgates.</t>
  </si>
  <si>
    <t>Mummy Paramount / Múmia Suprema</t>
  </si>
  <si>
    <t>Whenever another Zombie you control enters, this creature gets +1/+1 until end of turn. / Toda vez que outro Zumbi entra no campo de batalha sob seu controle, Múmia Suprema recebe +1/+1 até o final do turno.</t>
  </si>
  <si>
    <t>Thriving Ibex / Íbex Vigoroso</t>
  </si>
  <si>
    <t>Creature — Goat / Criatura — Bode</t>
  </si>
  <si>
    <t>When this creature enters, you get {E}{E} (two energy counters). Whenever this creature attacks, you may pay {E}{E}. If you do, put a +1/+1 counter on it. / Quando Íbex Vigoroso entra no campo de batalha, você recebe {E}{E} (dois marcadores de energia). Toda vez que Íbex Vigoroso ataca, você pode pagar {E}{E}. Se fizer isso, coloque um marcador +1/+1 nele.</t>
  </si>
  <si>
    <t>Oreskos Swiftclaw / Garra-veloz de Oreskos</t>
  </si>
  <si>
    <t>Creature — Cat Warrior / Criatura — Felino Guerreiro</t>
  </si>
  <si>
    <t>Silvercoat Lion / Leão Pele-de-Prata</t>
  </si>
  <si>
    <t>Hundred-Handed One / Centomano</t>
  </si>
  <si>
    <t>Vigilance {3}{W}{W}{W}: Monstrosity 3. (If this creature isn't monstrous, put three +1/+1 counters on it and it becomes monstrous.) As long as this creature is monstrous, it has reach and can block an additional ninety-nine creatures each combat. / Vigilância {3}{W}{W}{W}: Monstruosidade 3. (Se esta criatura não for monstruosa, coloque três marcadores +1/+1 nela e ela se tornará monstruosa.) Enquanto Centomano for monstruoso, ele terá alcance e poderá bloquear noventa e nove criaturas adicionais em cada combate.</t>
  </si>
  <si>
    <t>Dawnbringer Cleric / Clérigo Arauto da Aurora</t>
  </si>
  <si>
    <t>When this creature enters, choose one — • Cure Wounds — You gain 2 life. • Dispel Magic — Destroy target enchantment. • Gentle Repose — Exile target card from a graveyard. / Quando Clérigo Arauto da Aurora entrar no campo de batalha, escolha um — • Curar ferimentos — Você ganha 2 pontos de vida. • Dissipar magia — Destrua o encantamento alvo. • Repouso tranquilo — Exile o card alvo de um cemitério.</t>
  </si>
  <si>
    <t>Savannah Lions / Leões da Savana</t>
  </si>
  <si>
    <t>Teshar, Ancestor's Apostle / Teshar, Apóstolo da Ancestral</t>
  </si>
  <si>
    <t>Legendary Creature — Bird Cleric / Criatura Lendária — Ave Clérigo</t>
  </si>
  <si>
    <t>Flying Whenever you cast a historic spell, return target creature card with mana value 3 or less from your graveyard to the battlefield. (Artifacts, legendaries, and Sagas are historic.) / Voar Toda vez que você conjurar uma mágica histórica, devolva o card de criatura alvo com custo de mana convertido igual ou inferior a 3 de seu cemitério para o campo de batalha. (Os artefatos, os cards lendários e as Sagas são cards históricos.)</t>
  </si>
  <si>
    <t>Goldenglow Moth / Mariposa da Luz Dourada</t>
  </si>
  <si>
    <t>Flying Whenever this creature blocks, you may gain 4 life. / Voar Toda vez que Mariposa da Luz Dourada bloqueia, você pode ganhar 4 pontos de vida.</t>
  </si>
  <si>
    <t>Archway Angel / Anjo do Arco</t>
  </si>
  <si>
    <t>Flying When this creature enters, you gain 2 life for each Gate you control. / Voar Quando Anjo do Arco entra no campo de batalha, você ganha 2 pontos de vida para cada Portão que você controla.</t>
  </si>
  <si>
    <t>Ministrant of Obligation / Ministrante da Obrigação</t>
  </si>
  <si>
    <t>Afterlife 2 (When this creature dies, create two 1/1 white and black Spirit creature tokens with flying.) / Pós-vida 2 (Quando esta criatura morrer, crie duas fichas de criatura branca e preta 1/1 do tipo Espírito com voar. )</t>
  </si>
  <si>
    <t>Daghatar the Adamant / Daghatar, o Inflexível</t>
  </si>
  <si>
    <t>Legendary Creature — Human Warrior / Criatura Lendária — Humano Guerreiro</t>
  </si>
  <si>
    <t>Vigilance Daghatar enters with four +1/+1 counters on it. {1}{B/G}{B/G}: Move a +1/+1 counter from target creature onto a second target creature. / Vigilância Daghatar, o Inflexível, entra no campo de batalha com quatro marcadores +1/+1. {1}{B/G}{B/G}: Mova um marcador +1/+1 da criatura alvo para uma segunda criatura alvo.</t>
  </si>
  <si>
    <t>Yoked Plowbeast / Besta Lavradora Bridada</t>
  </si>
  <si>
    <t>Cycling {2} ({2}, Discard this card: Draw a card.) / Reciclar {2} ({2}, Descarte este card: Compre um card.)</t>
  </si>
  <si>
    <t>Warclamp Mastiff / Mastim Torno-de-Guerra</t>
  </si>
  <si>
    <t>Creature — Dog / Criatura — Sabujo</t>
  </si>
  <si>
    <t>First strike (This creature deals combat damage before creatures without first strike.) / Iniciativa (Esta criatura causa dano de combate antes das criaturas sem iniciativa.)</t>
  </si>
  <si>
    <t>Looming Altisaur / Altissauro Assomador</t>
  </si>
  <si>
    <t>Mesa Lynx / Lince da Meseta</t>
  </si>
  <si>
    <t>During turns other than yours, this creature gets +0/+2. / Enquanto não for o seu turno, Lince da Meseta receberá +0/+2.</t>
  </si>
  <si>
    <t>Aven Tactician / Estrategista Aviano</t>
  </si>
  <si>
    <t>Flying When this creature enters, bolster 1. (Choose a creature with the least toughness among creatures you control and put a +1/+1 counter on it.) / Voar Quando Estrategista Aviano entrar no campo de batalha, revigore 1. (Escolha uma criatura com a menor resistência entre as que você controla e coloque um marcador +1/+1 nela.)</t>
  </si>
  <si>
    <t>Tazeem Raptor / Raptor de Tazeem</t>
  </si>
  <si>
    <t>Flying When this creature enters, you may return a land you control to its owner's hand. / Voar Quando Raptor de Tazeem entra no campo de batalha, você pode devolver um terreno que você controla para a mão de seu dono.</t>
  </si>
  <si>
    <t>Rustwing Falcon / Falcão da Asa Rubiginosa</t>
  </si>
  <si>
    <t>Seven-Tail Mentor / Mentora das Sete Caudas</t>
  </si>
  <si>
    <t>Creature — Fox Samurai / Criatura — Raposa Samurai</t>
  </si>
  <si>
    <t>When this creature enters or dies, put a +1/+1 counter on target creature or Vehicle you control. / Quando Mentora das Sete Caudas entrar no campo de batalha ou morrer, coloque um marcador +1/+1 na criatura ou no Veículo alvo que você controla.</t>
  </si>
  <si>
    <t>Helpful Hunter</t>
  </si>
  <si>
    <t>When this creature enters, draw a card.</t>
  </si>
  <si>
    <t>Traveling Philosopher / Filósofo Viajante</t>
  </si>
  <si>
    <t>Creature — Human Advisor / Criatura — Humano Conselheiro</t>
  </si>
  <si>
    <t>Unholy Officiant / Celebrante Profano</t>
  </si>
  <si>
    <t>Vigilance {4}{W}: Put a +1/+1 counter on this creature. / Vigilância {4}{W}: Coloque um marcador +1/+1 em Celebrante Profano.</t>
  </si>
  <si>
    <t>Charmed Stray / Vira-lata Encantado</t>
  </si>
  <si>
    <t>Lifelink When this creature enters, put a +1/+1 counter on each other creature you control named Charmed Stray. / Vínculo com a vida Quando Vira-lata Encantado entrar no campo de batalha, coloque um marcador +1/+1 em cada outra criatura que você controla com o nome Vira-lata Encantado.</t>
  </si>
  <si>
    <t>Mandibular Kite / Dragão Mandibular</t>
  </si>
  <si>
    <t>Living weapon (When this Equipment enters, create a 0/0 black Phyrexian Germ creature token, then attach this to it.) Equipped creature gets +1/+1 and has flying. Equip {3}{W} / Arma viva (Quando este Equipamento entrar no campo de batalha, crie uma ficha de criatura Phyrexiano Germe preta 0/0 e anexe-o a ela.) A criatura equipada recebe +1/+1 e tem voar. Equipar {3}{W}</t>
  </si>
  <si>
    <t>Devilthorn Fox / Raposa de Espinho do Diabo</t>
  </si>
  <si>
    <t>Creature — Fox / Criatura — Raposa</t>
  </si>
  <si>
    <t>Healer's Hawk / Falcão do Curandeiro</t>
  </si>
  <si>
    <t>Flying Lifelink (Damage dealt by this creature also causes you to gain that much life.) / Voar, vínculo com a vida</t>
  </si>
  <si>
    <t>Woeleecher / Suga-Desgraça</t>
  </si>
  <si>
    <t>{W}, {T}: Remove a -1/-1 counter from target creature. If you do, you gain 2 life. / {W}, {T}: Remova um marcador -1/-1 da criatura alvo. Se fizer isso, você ganhará 2 pontos de vida.</t>
  </si>
  <si>
    <t>Worship / Adoração</t>
  </si>
  <si>
    <t>If you control a creature, damage that would reduce your life total to less than 1 reduces it to 1 instead. / Se você controlar uma criatura, o dano que reduziria seu total de pontos de vida para menos do que 1, em vez disso, o reduzirá para 1.</t>
  </si>
  <si>
    <t>Signature Spellbook: Gideon (SS2)</t>
  </si>
  <si>
    <t>Knightly Valor / Heroísmo Cavaleiroso</t>
  </si>
  <si>
    <t>Enchant creature When this Aura enters, create a 2/2 white Knight creature token with vigilance. (Attacking doesn't cause it to tap.) Enchanted creature gets +2/+2 and has vigilance. / Encantar criaturaQuando Heroísmo Cavaleiroso entrar no campo de batalha, coloque no campo de batalha uma ficha de criatura branca 2/2 do tipo Cavaleiro com vigilância. (Esta criatura não é virada para atacar.)A criatura encantada recebe +2/+2 e tem vigilância.</t>
  </si>
  <si>
    <t>Vryn Wingmare / Égua Alada de Vryn</t>
  </si>
  <si>
    <t>Flying Noncreature spells cost {1} more to cast. / Voar As mágicas que não sejam de criatura custam {1} a mais para serem conjuradas.</t>
  </si>
  <si>
    <t>Befriending the Moths // Imperial Moth / Confraternizar com as Mariposas // Mariposa Imperial</t>
  </si>
  <si>
    <t>Enchantment — Saga // Enchantment Creature — Insect / Encantamento — Saga</t>
  </si>
  <si>
    <t>Befriending the Moths: (As this Saga enters and after your draw step, add a lore counter.) I, II — Target creature you control gets +1/+1 and gains flying until end of turn. III — Exile this Saga, then return it to the battlefield transformed under your control. // Imperial Moth: Flying / (Conforme esta Saga entra e após sua etapa de compra, adicione um marcador de conhecimento.) I, II — A criatura alvo que você controla recebe +1/+1 e ganha voar até o final do turno. III — Exile esta Saga, depois a devolva ao campo de batalha transformada sob seu controle.</t>
  </si>
  <si>
    <t>Era of Enlightenment // Hand of Enlightenment / Era da Iluminação // Mão da Iluminação</t>
  </si>
  <si>
    <t>Enchantment — Saga // Enchantment Creature — Human Monk / Encantamento — Saga</t>
  </si>
  <si>
    <t>Era of Enlightenment: (As this Saga enters and after your draw step, add a lore counter.) I — Scry 2. II — You gain 2 life. III — Exile this Saga, then return it to the battlefield transformed under your control. // Hand of Enlightenment: First strike / (Conforme esta Saga entra e após sua etapa de compra, adicione um marcador de conhecimento.) I — Use vidência 2. II — Você ganha 2 pontos de vida. III — Exile esta Saga, depois a devolva ao campo de batalha transformada sob seu controle.</t>
  </si>
  <si>
    <t>Intercessor's Arrest / Prisão do Intercessor</t>
  </si>
  <si>
    <t>Enchant permanent Enchanted permanent can't attack, block, or crew Vehicles. Its activated abilities can't be activated unless they're mana abilities. / Encantar permanente A permanente encantada não pode atacar, bloquear nem tripular Veículos. As habilidades ativadas dela não podem ser ativadas, a menos que sejam habilidades de mana.</t>
  </si>
  <si>
    <t>Destroy Evil / Destruir o Mal</t>
  </si>
  <si>
    <t>Choose one — • Destroy target creature with toughness 4 or greater. • Destroy target enchantment. / Escolha um — • Destrua a criatura alvo com resistência igual ou superior a 4. • Destrua o encantamento alvo.</t>
  </si>
  <si>
    <t>Regent's Authority / Autoridade da Regente</t>
  </si>
  <si>
    <t>Target creature gets +2/+2 until end of turn. If it's an enchantment creature or legendary creature, instead put a +1/+1 counter on it and it gets +1/+1 until end of turn. / A criatura alvo recebe +2/+2 até o final do turno. Se ela for uma criatura encantamento ou criatura lendária, em vez disso, coloque um marcador +1/+1 nela e ela recebe +1/+1 até o final do turno.</t>
  </si>
  <si>
    <t>Eiganjo Exemplar / Exemplar de Eiganjo</t>
  </si>
  <si>
    <t>Enchantment Creature — Human Samurai / Criatura Encantamento — Humano Samurai</t>
  </si>
  <si>
    <t>Whenever a Samurai or Warrior you control attacks alone, it gets +1/+1 until end of turn. / Toda vez que um Samurai ou Guerreiro que você controla ataca sozinho, ele recebe +1/+1 até o final do turno.</t>
  </si>
  <si>
    <t>White Lotus Hideout</t>
  </si>
  <si>
    <t>{T}: Add {C}. {T}: Add one mana of any color. Spend this mana only to cast a Lesson or Shrine spell. {1}, {T}: Add one mana of any color.</t>
  </si>
  <si>
    <t>Avatar: The Last Airbender (TLA)</t>
  </si>
  <si>
    <t>Abandoned Air Temple</t>
  </si>
  <si>
    <t>This land enters tapped unless you control a basic land. {T}: Add {W}. {3}{W}, {T}: Put a +1/+1 counter on each creature you control.</t>
  </si>
  <si>
    <t>Boiling Rock Prison</t>
  </si>
  <si>
    <t>This land enters tapped. {T}: Add {B} or {R}. {4}, {T}, Sacrifice this land: Draw a card.</t>
  </si>
  <si>
    <t>Sun-Blessed Peak</t>
  </si>
  <si>
    <t>This land enters tapped. {T}: Add {R} or {W}. {4}, {T}, Sacrifice this land: Draw a card.</t>
  </si>
  <si>
    <t>Kyoshi Village</t>
  </si>
  <si>
    <t>This land enters tapped. {T}: Add {G} or {W}. {4}, {T}, Sacrifice this land: Draw a card.</t>
  </si>
  <si>
    <t>North Pole Gates</t>
  </si>
  <si>
    <t>This land enters tapped. {T}: Add {W} or {U}. {4}, {T}, Sacrifice this land: Draw a card.</t>
  </si>
  <si>
    <t>Trusty Boomerang</t>
  </si>
  <si>
    <t>Equipped creature has "{1}, {T}: Tap target creature. Return Trusty Boomerang to its owner's hand." Equip {1} ({1}: Attach to target creature you control. Equip only as a sorcery.)</t>
  </si>
  <si>
    <t>Bender's Waterskin</t>
  </si>
  <si>
    <t>Untap this artifact during each other player's untap step. {T}: Add one mana of any color.</t>
  </si>
  <si>
    <t>Kyoshi Battle Fan</t>
  </si>
  <si>
    <t>When this Equipment enters, create a 1/1 white Ally creature token, then attach this Equipment to it. Equipped creature gets +1/+0. Equip {2} ({2}: Attach to target creature you control. Equip only as a sorcery.)</t>
  </si>
  <si>
    <t>Aang's Journey</t>
  </si>
  <si>
    <t>Sorcery — Lesson</t>
  </si>
  <si>
    <t>Kicker {2} (You may pay an additional {2} as you cast this spell.) Search your library for a basic land card. If this spell was kicked, instead search your library for a basic land card and a Shrine card. Reveal those cards, put them into your hand, then shuffle. You gain 2 life.</t>
  </si>
  <si>
    <t>Energybending</t>
  </si>
  <si>
    <t>Instant — Lesson</t>
  </si>
  <si>
    <t>Lands you control gain all basic land types until end of turn. Draw a card.</t>
  </si>
  <si>
    <t>Meteor Sword</t>
  </si>
  <si>
    <t>When this Equipment enters, destroy target permanent. Equipped creature gets +3/+3. Equip {3} ({3}: Attach to target creature you control. Equip only as a sorcery.)</t>
  </si>
  <si>
    <t>Fire Nation Warship</t>
  </si>
  <si>
    <t>Artifact — Vehicle</t>
  </si>
  <si>
    <t>Reach When this Vehicle dies, create a Clue token. (It's an artifact with "{2}, Sacrifice this token: Draw a card.") Crew 2 (Tap any number of creatures you control with total power 2 or more: This Vehicle becomes an artifact creature until end of turn.)</t>
  </si>
  <si>
    <t>Fire Navy Trebuchet</t>
  </si>
  <si>
    <t>Artifact Creature — Wall</t>
  </si>
  <si>
    <t>Defender, reach Whenever you attack, create a 2/1 colorless Construct artifact creature token with flying named Ballistic Boulder that's tapped and attacking. Sacrifice that token at the beginning of the next end step.</t>
  </si>
  <si>
    <t>Airbending Lesson</t>
  </si>
  <si>
    <t>Airbend target nonland permanent. (Exile it. While it's exiled, its owner may cast it for {2} rather than its mana cost.) Draw a card.</t>
  </si>
  <si>
    <t>Rabaroo Troop</t>
  </si>
  <si>
    <t>Creature — Rabbit Kangaroo</t>
  </si>
  <si>
    <t>Landfall — Whenever a land you control enters, this creature gains flying until end of turn and you gain 1 life. Plainscycling {2} ({2}, Discard this card: Search your library for a Plains card, reveal it, put it into your hand, then shuffle.)</t>
  </si>
  <si>
    <t>Curious Farm Animals</t>
  </si>
  <si>
    <t>Creature — Boar Elk Bird Ox</t>
  </si>
  <si>
    <t>When this creature dies, you gain 3 life. {2}, Sacrifice this creature: Destroy up to one target artifact or enchantment.</t>
  </si>
  <si>
    <t>Avatar Enthusiasts</t>
  </si>
  <si>
    <t>Creature — Human Peasant Ally</t>
  </si>
  <si>
    <t>Whenever another Ally you control enters, put a +1/+1 counter on this creature.</t>
  </si>
  <si>
    <t>Enter the Avatar State</t>
  </si>
  <si>
    <t>Until end of turn, target creature you control becomes an Avatar in addition to its other types and gains flying, first strike, lifelink, and hexproof. (A creature with hexproof can't be the target of spells or abilities your opponents control.)</t>
  </si>
  <si>
    <t>Path to Redemption</t>
  </si>
  <si>
    <t>Enchant creature Enchanted creature can't attack or block. {5}, Sacrifice this Aura: Exile enchanted creature. Create a 1/1 white Ally creature token. Activate only during your turn.</t>
  </si>
  <si>
    <t>Water Tribe Rallier</t>
  </si>
  <si>
    <t>Creature — Human Soldier Ally</t>
  </si>
  <si>
    <t>Waterbend {5}: Look at the top four cards of your library. You may reveal a creature card with power 3 or less from among them and put it into your hand. Put the rest on the bottom of your library in a random order. (While paying a waterbend cost, you can tap your artifacts and creatures to help. Each one pays for {1}.)</t>
  </si>
  <si>
    <t>Glider Staff</t>
  </si>
  <si>
    <t>When this Equipment enters, airbend up to one target creature. (Exile it. While it's exiled, its owner may cast it for {2} rather than its mana cost.) Equipped creature gets +1/+1 and has flying. Equip {2}</t>
  </si>
  <si>
    <t>Momo, Friendly Flier</t>
  </si>
  <si>
    <t>Legendary Creature — Lemur Bat Ally</t>
  </si>
  <si>
    <t>Flying The first non-Lemur creature spell with flying you cast during each of your turns costs {1} less to cast. Whenever another creature you control with flying enters, Momo gets +1/+1 until end of turn.</t>
  </si>
  <si>
    <t>Avatar: The Last Airbender (TLA) PR</t>
  </si>
  <si>
    <t>Master Piandao</t>
  </si>
  <si>
    <t>Legendary Creature — Human Warrior Ally</t>
  </si>
  <si>
    <t>First strike Whenever Master Piandao attacks, look at the top four cards of your library. You may reveal an Ally, Equipment, or Lesson card from among them and put it into your hand. Put the rest on the bottom of your library in a random order.</t>
  </si>
  <si>
    <t>Aang, the Last Airbender</t>
  </si>
  <si>
    <t>Legendary Creature — Human Avatar Ally</t>
  </si>
  <si>
    <t>Flying When Aang enters, airbend up to one other target nonland permanent. (Exile it. While it's exiled, its owner may cast it for {2} rather than its mana cost.) Whenever you cast a Lesson spell, Aang gains lifelink until end of turn.</t>
  </si>
  <si>
    <t>Jeong Jeong's Deserters</t>
  </si>
  <si>
    <t>Creature — Human Rebel Ally</t>
  </si>
  <si>
    <t>When this creature enters, put a +1/+1 counter on target creature.</t>
  </si>
  <si>
    <t>Kyoshi Warriors</t>
  </si>
  <si>
    <t>Creature — Human Warrior Ally</t>
  </si>
  <si>
    <t>When this creature enters, create a 1/1 white Ally creature token.</t>
  </si>
  <si>
    <t>Water Tribe Captain</t>
  </si>
  <si>
    <t>{5}: Creatures you control get +1/+1 until end of turn.</t>
  </si>
  <si>
    <t>Yip Yip!</t>
  </si>
  <si>
    <t>Target creature you control gets +2/+2 until end of turn. If that creature is an Ally, it also gains flying until end of turn.</t>
  </si>
  <si>
    <t>Fancy Footwork</t>
  </si>
  <si>
    <t>Untap one or two target creatures. They each get +2/+2 until end of turn.</t>
  </si>
  <si>
    <t>Airbender's Reversal</t>
  </si>
  <si>
    <t>Choose one — • Destroy target attacking creature. • Airbend target creature you control. (Exile it. While it's exiled, its owner may cast it for {2} rather than its mana cost.)</t>
  </si>
  <si>
    <t>Invasion Reinforcements</t>
  </si>
  <si>
    <t>Flash When this creature enters, create a 1/1 white Ally creature token.</t>
  </si>
  <si>
    <t>Razor Rings</t>
  </si>
  <si>
    <t>Razor Rings deals 4 damage to target attacking or blocking creature. You gain life equal to the excess damage dealt this way.</t>
  </si>
  <si>
    <t>Sokka, Lateral Strategist</t>
  </si>
  <si>
    <t>Vigilance Whenever Sokka and at least one other creature attack, draw a card.</t>
  </si>
  <si>
    <t>{1}{W/U}{W/U}</t>
  </si>
  <si>
    <t>Cat-Owl</t>
  </si>
  <si>
    <t>Creature — Cat Bird</t>
  </si>
  <si>
    <t>Flying Whenever this creature attacks, untap target artifact or creature.</t>
  </si>
  <si>
    <t>{3}{W/U}</t>
  </si>
  <si>
    <t>Earth Village Ruffians</t>
  </si>
  <si>
    <t>Creature — Human Soldier Rogue</t>
  </si>
  <si>
    <t>When this creature dies, earthbend 2. (Target land you control becomes a 0/0 creature with haste that's still a land. Put two +1/+1 counters on it. When it dies or is exiled, return it to the battlefield tapped.)</t>
  </si>
  <si>
    <t>{2}{B/G}</t>
  </si>
  <si>
    <t>Long Feng, Grand Secretariat</t>
  </si>
  <si>
    <t>Legendary Creature — Human Advisor</t>
  </si>
  <si>
    <t>Whenever another creature you control or a land you control is put into a graveyard from the battlefield, put a +1/+1 counter on target creature you control.</t>
  </si>
  <si>
    <t>{1}{B/G}{B/G}</t>
  </si>
  <si>
    <t>Katara, the Fearless</t>
  </si>
  <si>
    <t>If a triggered ability of an Ally you control triggers, that ability triggers an additional time.</t>
  </si>
  <si>
    <t>{G}{W}{U}</t>
  </si>
  <si>
    <t>Verde, Azul, Branco</t>
  </si>
  <si>
    <t>Aang, at the Crossroads // Aang, Destined Savior</t>
  </si>
  <si>
    <t>Legendary Creature — Human Avatar Ally // Legendary Creature — Avatar Ally</t>
  </si>
  <si>
    <t>Aang, at the Crossroads: Flying When Aang enters, look at the top five cards of your library. You may put a creature card with mana value 4 or less from among them onto the battlefield. Put the rest on the bottom of your library in a random order. When another creature you control leaves the battlefield, transform Aang at the beginning of the next upkeep. // Aang, Destined Savior: Flying Land creatures you control have vigilance. At the beginning of combat on your turn, earthbend 2. (Target land you control becomes a 0/0 creature with haste that's still a land. Put two +1/+1 counters on it. When it dies or is exiled, return it to the battlefield tapped.)</t>
  </si>
  <si>
    <t>{2}{G}{W}{U}</t>
  </si>
  <si>
    <t>Iroh, Grand Lotus</t>
  </si>
  <si>
    <t>Legendary Creature — Human Noble Ally</t>
  </si>
  <si>
    <t>Firebending 2 During your turn, each non-Lesson instant and sorcery card in your graveyard has flashback. The flashback cost is equal to that card's mana cost. (You may cast a card from your graveyard for its flashback cost. Then exile it.) During your turn, each Lesson card in your graveyard has flashback {1}.</t>
  </si>
  <si>
    <t>Toph, Hardheaded Teacher</t>
  </si>
  <si>
    <t>When Toph enters, you may discard a card. If you do, return target instant or sorcery card from your graveyard to your hand. Whenever you cast a spell, earthbend 1. If that spell is a Lesson, put an additional +1/+1 counter on that land. (Target land you control becomes a 0/0 creature with haste that's still a land. Put a +1/+1 counter on it. When it dies or is exiled, return it to the battlefield tapped.)</t>
  </si>
  <si>
    <t>{2}{R}{G}</t>
  </si>
  <si>
    <t>Earth Rumble</t>
  </si>
  <si>
    <t>Earthbend 2. When you do, up to one target creature you control fights target creature an opponent controls. (To earthbend 2, target land you control becomes a 0/0 creature with haste that's still a land. Put two +1/+1 counters on it. When it dies or is exiled, return it to the battlefield tapped. Creatures that fight each deal damage equal to their power to the other.)</t>
  </si>
  <si>
    <t>Wandering Musicians</t>
  </si>
  <si>
    <t>Creature — Human Bard Ally</t>
  </si>
  <si>
    <t>Whenever this creature attacks, creatures you control get +1/+0 until end of turn.</t>
  </si>
  <si>
    <t>{3}{R/W}</t>
  </si>
  <si>
    <t>Jet, Freedom Fighter</t>
  </si>
  <si>
    <t>Legendary Creature — Human Rebel Ally</t>
  </si>
  <si>
    <t>When Jet enters, he deals damage equal to the number of creatures you control to target creature an opponent controls. When Jet dies, put a +1/+1 counter on each of up to two target creatures.</t>
  </si>
  <si>
    <t>{2}{R/W}{R/W}{R/W}</t>
  </si>
  <si>
    <t>Sun Warriors</t>
  </si>
  <si>
    <t>Firebending X, where X is the number of creatures you control. (Whenever this creature attacks, add X {R}. This mana lasts until end of combat.) {5}: Create a 1/1 white Ally creature token.</t>
  </si>
  <si>
    <t>{2}{R}{W}</t>
  </si>
  <si>
    <t>Dragonfly Swarm</t>
  </si>
  <si>
    <t>Creature — Dragon Insect</t>
  </si>
  <si>
    <t>Flying, ward {1} (Whenever this creature becomes the target of a spell or ability an opponent controls, counter it unless that player pays {1}.) This creature's power is equal to the number of noncreature, nonland cards in your graveyard. When this creature dies, if there's a Lesson card in your graveyard, draw a card.</t>
  </si>
  <si>
    <t>Sokka, Bold Boomeranger</t>
  </si>
  <si>
    <t>When Sokka enters, discard up to two cards, then draw that many cards. Whenever you cast an artifact or Lesson spell, put a +1/+1 counter on Sokka.</t>
  </si>
  <si>
    <t>Professor Zei, Anthropologist</t>
  </si>
  <si>
    <t>Legendary Creature — Human Advisor Ally</t>
  </si>
  <si>
    <t>{T}, Discard a card: Draw a card. {1}, {T}, Sacrifice Professor Zei: Return target instant or sorcery card from your graveyard to your hand. Activate only during your turn.</t>
  </si>
  <si>
    <t>{U/R}{U/R}</t>
  </si>
  <si>
    <t>Abandon Attachments</t>
  </si>
  <si>
    <t>You may discard a card. If you do, draw two cards.</t>
  </si>
  <si>
    <t>{1}{U/R}</t>
  </si>
  <si>
    <t>Suki, Kyoshi Warrior</t>
  </si>
  <si>
    <t>Suki's power is equal to the number of creatures you control. Whenever Suki attacks, create a 1/1 white Ally creature token that's tapped and attacking.</t>
  </si>
  <si>
    <t>{2}{G/W}{G/W}</t>
  </si>
  <si>
    <t>Earth Kingdom Soldier</t>
  </si>
  <si>
    <t>Vigilance When this creature enters, put a +1/+1 counter on each of up to two target creatures you control.</t>
  </si>
  <si>
    <t>{4}{G/W}</t>
  </si>
  <si>
    <t>White Lotus Reinforcements</t>
  </si>
  <si>
    <t>Vigilance Other Allies you control get +1/+1.</t>
  </si>
  <si>
    <t>Azula, Cunning Usurper</t>
  </si>
  <si>
    <t>Legendary Creature — Human Noble Rogue</t>
  </si>
  <si>
    <t>Firebending 2 (Whenever this creature attacks, add {R}{R}. This mana lasts until end of combat.) When Azula enters, target opponent exiles a nontoken creature they control, then they exile a nonland card from their graveyard. During your turn, you may cast cards exiled with Azula and you may cast them as though they had flash. Mana of any type can be spent to cast those spells.</t>
  </si>
  <si>
    <t>{2}{U}{B}{B}</t>
  </si>
  <si>
    <t>Hama, the Bloodbender</t>
  </si>
  <si>
    <t>Legendary Creature — Human Warlock</t>
  </si>
  <si>
    <t>When Hama enters, target opponent mills three cards. Exile up to one noncreature, nonland card from that player's graveyard. For as long as you control Hama, you may cast the exiled card during your turn by waterbending {X} rather than paying its mana cost, where X is its mana value. (While paying a waterbend cost, you can tap your artifacts and creatures to help. Each one pays for {1}.)</t>
  </si>
  <si>
    <t>{2}{U/B}{U/B}{U/B}</t>
  </si>
  <si>
    <t>Messenger Hawk</t>
  </si>
  <si>
    <t>Creature — Bird Scout</t>
  </si>
  <si>
    <t>Flying When this creature enters, create a Clue token. (It's an artifact with "{2}, Sacrifice this token: Draw a card.") This creature gets +2/+0 as long as you've drawn two or more cards this turn.</t>
  </si>
  <si>
    <t>{2}{U/B}</t>
  </si>
  <si>
    <t>Platypus-Bear</t>
  </si>
  <si>
    <t>Creature — Platypus Bear</t>
  </si>
  <si>
    <t>Defender When this creature enters, mill two cards. (Put the top two cards of your library into your graveyard.) As long as there is a Lesson card in your graveyard, this creature can attack as though it didn't have defender.</t>
  </si>
  <si>
    <t>{1}{G/U}</t>
  </si>
  <si>
    <t>Hermitic Herbalist</t>
  </si>
  <si>
    <t>Creature — Human Druid Ally</t>
  </si>
  <si>
    <t>{T}: Add one mana of any color. {T}: Add two mana in any combination of colors. Spend this mana only to cast Lesson spells.</t>
  </si>
  <si>
    <t>Vindictive Warden</t>
  </si>
  <si>
    <t>Menace (This creature can't be blocked except by two or more creatures.) Firebending 1 (Whenever this creature attacks, add {R}. This mana lasts until end of combat.) {3}: This creature deals 1 damage to each opponent.</t>
  </si>
  <si>
    <t>Hei Bai, Spirit of Balance</t>
  </si>
  <si>
    <t>Legendary Creature — Bear Spirit</t>
  </si>
  <si>
    <t>Whenever Hei Bai enters or attacks, you may sacrifice another creature or artifact. If you do, put two +1/+1 counters on Hei Bai. When Hei Bai leaves the battlefield, put its counters on target creature you control.</t>
  </si>
  <si>
    <t>{2}{W/B}{W/B}</t>
  </si>
  <si>
    <t>Zuko, Conflicted</t>
  </si>
  <si>
    <t>Legendary Creature — Human Rogue</t>
  </si>
  <si>
    <t>At the beginning of your first main phase, choose one that hasn't been chosen and you lose 2 life — • Draw a card. • Put a +1/+1 counter on Zuko. • Add {R}. • Exile Zuko, then return him to the battlefield under an opponent's control.</t>
  </si>
  <si>
    <t>Azula Always Lies</t>
  </si>
  <si>
    <t>Choose one or both — • Target creature gets -1/-1 until end of turn. • Put a +1/+1 counter on target creature.</t>
  </si>
  <si>
    <t>Foggy Swamp Hunters</t>
  </si>
  <si>
    <t>Creature — Human Ranger Ally</t>
  </si>
  <si>
    <t>As long as you've drawn two or more cards this turn, this creature has lifelink and menace. (It can't be blocked except by two or more creatures.)</t>
  </si>
  <si>
    <t>Tundra Tank</t>
  </si>
  <si>
    <t>Firebending 1 (Whenever this creature attacks, add {R}. This mana lasts until end of combat.) When this Vehicle enters, target creature you control gains indestructible until end of turn. Crew 1 (Tap any number of creatures you control with total power 1 or more: This Vehicle becomes an artifact creature until end of turn.)</t>
  </si>
  <si>
    <t>Wolfbat</t>
  </si>
  <si>
    <t>Creature — Wolf Bat</t>
  </si>
  <si>
    <t>Flying Whenever you draw your second card each turn, you may pay {B}. If you do, return this card from your graveyard to the battlefield with a finality counter on it. (If a creature with a finality counter on it would die, exile it instead.)</t>
  </si>
  <si>
    <t>Buzzard-Wasp Colony</t>
  </si>
  <si>
    <t>Creature — Bird Insect</t>
  </si>
  <si>
    <t>Flying When this creature enters, you may sacrifice an artifact or creature. If you do, draw a card. Whenever another creature you control dies, if it had counters on it, put its counters on this creature.</t>
  </si>
  <si>
    <t>Ruinous Waterbending</t>
  </si>
  <si>
    <t>As an additional cost to cast this spell, you may waterbend {4}. (While paying a waterbend cost, you can tap your artifacts and creatures to help. Each one pays for {1}.) All creatures get -2/-2 until end of turn. If this spell's additional cost was paid, whenever a creature dies this turn, you gain 1 life.</t>
  </si>
  <si>
    <t>Deadly Precision</t>
  </si>
  <si>
    <t>As an additional cost to cast this spell, pay {4} or sacrifice an artifact or creature. Destroy target creature.</t>
  </si>
  <si>
    <t>Joo Dee, One of Many</t>
  </si>
  <si>
    <t>{B}, {T}: Surveil 1. Create a token that's a copy of this creature, then sacrifice an artifact or creature. Activate only as a sorcery. (To surveil 1, look at the top card of your library. You may put it into your graveyard.)</t>
  </si>
  <si>
    <t>Fire Nation Engineer</t>
  </si>
  <si>
    <t>Creature — Human Artificer</t>
  </si>
  <si>
    <t>Raid — At the beginning of your end step, if you attacked this turn, put a +1/+1 counter on another target creature or Vehicle you control.</t>
  </si>
  <si>
    <t>Merchant of Many Hats</t>
  </si>
  <si>
    <t>{2}{B}: Return this card from your graveyard to your hand.</t>
  </si>
  <si>
    <t>Beetle-Headed Merchants</t>
  </si>
  <si>
    <t>Creature — Human Citizen</t>
  </si>
  <si>
    <t>Whenever this creature attacks, you may sacrifice another creature or artifact. If you do, draw a card and put a +1/+1 counter on this creature.</t>
  </si>
  <si>
    <t>Callous Inspector</t>
  </si>
  <si>
    <t>Menace (This creature can't be blocked except by two or more creatures.) When this creature dies, it deals 1 damage to you. Create a Clue token. (It's an artifact with "{2}, Sacrifice this token: Draw a card.")</t>
  </si>
  <si>
    <t>Corrupt Court Official / Magistrado Corrupto</t>
  </si>
  <si>
    <t>When this creature enters, target opponent discards a card. / Quando Magistrado Corrupto entra no campo de batalha, o oponente alvo descarta um card.</t>
  </si>
  <si>
    <t>Canyon Crawler</t>
  </si>
  <si>
    <t>Creature — Spider Beast</t>
  </si>
  <si>
    <t>Deathtouch When this creature enters, create a Food token. (It's an artifact with "{2}, {T}, Sacrifice this token: You gain 3 life.") Swampcycling {2} ({2}, Discard this card: Search your library for a Swamp card, reveal it, put it into your hand, then shuffle.)</t>
  </si>
  <si>
    <t>Swampsnare Trap</t>
  </si>
  <si>
    <t>This spell costs {1} less to cast if it targets a creature with flying. Enchant creature Enchanted creature gets -5/-3.</t>
  </si>
  <si>
    <t>Hog-Monkey</t>
  </si>
  <si>
    <t>Creature — Boar Monkey</t>
  </si>
  <si>
    <t>At the beginning of combat on your turn, target creature you control with a +1/+1 counter on it gains menace until end of turn. (It can't be blocked except by two or more creatures.) Exhaust — {5}: Put two +1/+1 counters on this creature. (Activate each exhaust ability only once.)</t>
  </si>
  <si>
    <t>June, Bounty Hunter</t>
  </si>
  <si>
    <t>Legendary Creature — Human Mercenary</t>
  </si>
  <si>
    <t>June can't be blocked as long as you've drawn two or more cards this turn. {1}, Sacrifice another creature: Create a Clue token. Activate only during your turn. (It's an artifact with "{2}, Sacrifice this token: Draw a card.")</t>
  </si>
  <si>
    <t>Fatal Fissure</t>
  </si>
  <si>
    <t>Choose target creature. When that creature dies this turn, you earthbend 4. (Target land you control becomes a 0/0 creature with haste that's still a land. Put four +1/+1 counters on it. When it dies or is exiled, return it to the battlefield tapped.)</t>
  </si>
  <si>
    <t>Iguana Parrot</t>
  </si>
  <si>
    <t>Creature — Lizard Bird Pirate</t>
  </si>
  <si>
    <t>Flying, vigilance Prowess (Whenever you cast a noncreature spell, this creature gets +1/+1 until end of turn.)</t>
  </si>
  <si>
    <t>Knowledge Seeker</t>
  </si>
  <si>
    <t>Creature — Fox Spirit</t>
  </si>
  <si>
    <t>Vigilance Whenever you draw your second card each turn, put a +1/+1 counter on this creature. When this creature dies, create a Clue token. (It's an artifact with "{2}, Sacrifice this token: Draw a card.")</t>
  </si>
  <si>
    <t>Crashing Wave</t>
  </si>
  <si>
    <t>As an additional cost to cast this spell, waterbend {X}. (While paying a waterbend cost, you can tap your artifacts and creatures to help. Each one pays for {1}.) Tap up to X target creatures, then distribute three stun counters among any number of tapped creatures your opponents control. (If a permanent with a stun counter would become untapped, remove one from it instead.)</t>
  </si>
  <si>
    <t>The Spirit Oasis</t>
  </si>
  <si>
    <t>Legendary Enchantment — Shrine</t>
  </si>
  <si>
    <t>When The Spirit Oasis enters, draw a card for each Shrine you control. Whenever another Shrine you control enters, draw a card.</t>
  </si>
  <si>
    <t>Waterbending Scroll</t>
  </si>
  <si>
    <t>{6}, {T}: Draw a card. This ability costs {1} less to activate for each Island you control.</t>
  </si>
  <si>
    <t>Geyser Leaper</t>
  </si>
  <si>
    <t>Flying Waterbend {4}: Draw a card, then discard a card. (While paying a waterbend cost, you can tap your artifacts and creatures to help. Each one pays for {1}.)</t>
  </si>
  <si>
    <t>Master Pakku</t>
  </si>
  <si>
    <t>Prowess (Whenever you cast a noncreature spell, this creature gets +1/+1 until end of turn.) Whenever Master Pakku becomes tapped, target player mills X cards, where X is the number of Lesson cards in your graveyard. (They put the top X cards of their library into their graveyard.)</t>
  </si>
  <si>
    <t>Ty Lee, Chi Blocker</t>
  </si>
  <si>
    <t>Legendary Creature — Human Performer Ally</t>
  </si>
  <si>
    <t>Flash Prowess (Whenever you cast a noncreature spell, this creature gets +1/+1 until end of turn.) When Ty Lee enters, tap up to one target creature. It doesn't untap during its controller's untap step for as long as you control Ty Lee.</t>
  </si>
  <si>
    <t>Serpent of the Pass</t>
  </si>
  <si>
    <t>Creature — Serpent</t>
  </si>
  <si>
    <t>If there are three or more Lesson cards in your graveyard, you may cast this spell as though it had flash. This spell costs {1} less to cast for each noncreature, nonland card in your graveyard.</t>
  </si>
  <si>
    <t>First-Time Flyer</t>
  </si>
  <si>
    <t>Creature — Human Pilot Ally</t>
  </si>
  <si>
    <t>Flying This creature gets +1/+1 as long as there's a Lesson card in your graveyard.</t>
  </si>
  <si>
    <t>It'll Quench Ya!</t>
  </si>
  <si>
    <t>Counter target spell unless its controller pays {2}.</t>
  </si>
  <si>
    <t>Octopus Form</t>
  </si>
  <si>
    <t>Target creature you control gets +1/+1 and gains hexproof until end of turn. Untap it. (It can't be the target of spells or abilities your opponents control.)</t>
  </si>
  <si>
    <t>Lost Days</t>
  </si>
  <si>
    <t>The owner of target creature or enchantment puts it into their library second from the top or on the bottom. You create a Clue token. (It's an artifact with "{2}, Sacrifice this token: Draw a card.")</t>
  </si>
  <si>
    <t>Accumulate Wisdom</t>
  </si>
  <si>
    <t>Look at the top three cards of your library. Put one of those cards into your hand and the rest on the bottom of your library in any order. Put each of those cards into your hand instead if there are three or more Lesson cards in your graveyard.</t>
  </si>
  <si>
    <t>Rowdy Snowballers</t>
  </si>
  <si>
    <t>When this creature enters, tap target creature an opponent controls and put a stun counter on it. (If a permanent with a stun counter would become untapped, remove one from it instead.)</t>
  </si>
  <si>
    <t>Katara, Bending Prodigy</t>
  </si>
  <si>
    <t>At the beginning of your end step, if Katara is tapped, put a +1/+1 counter on her. Waterbend {6}: Draw a card. (While paying a waterbend cost, you can tap your artifacts and creatures to help. Each one pays for {1}.)</t>
  </si>
  <si>
    <t>Giant Koi</t>
  </si>
  <si>
    <t>Creature — Fish</t>
  </si>
  <si>
    <t>Waterbend {3}: This creature can't be blocked this turn. (While paying a waterbend cost, you can tap your artifacts and creatures to help. Each one pays for {1}.) Islandcycling {2} ({2}, Discard this card: Search your library for an Island card, reveal it, put it into your hand, then shuffle.)</t>
  </si>
  <si>
    <t>Waterbending Lesson</t>
  </si>
  <si>
    <t>Draw three cards. Then discard a card unless you waterbend {2}. (While paying a waterbend cost, you can tap your artifacts and creatures to help. Each one pays for {1}.)</t>
  </si>
  <si>
    <t>Watery Grasp</t>
  </si>
  <si>
    <t>Enchant creature Enchanted creature doesn't untap during its controller's untap step. Waterbend {5}: Enchanted creature's owner shuffles it into their library. (While paying a waterbend cost, you can tap your artifacts and creatures to help. Each one pays for {1}.)</t>
  </si>
  <si>
    <t>Honest Work</t>
  </si>
  <si>
    <t>Enchant creature an opponent controls When this Aura enters, tap enchanted creature and remove all counters from it. Enchanted creature loses all abilities and is a Citizen with base power and toughness 1/1 and "{T}: Add {C}" named Humble Merchant. (It loses all other creature types and names.)</t>
  </si>
  <si>
    <t>Ember Island Production</t>
  </si>
  <si>
    <t>Choose one — • Create a token that's a copy of target creature you control, except it's not legendary and it's a 4/4 Hero in addition to its other types. • Create a token that's a copy of target creature an opponent controls, except it's not legendary and it's a 2/2 Coward in addition to its other types.</t>
  </si>
  <si>
    <t>North Pole Patrol</t>
  </si>
  <si>
    <t>{T}: Untap another target permanent you control. Waterbend {3}, {T}: Tap target creature an opponent controls. (While paying a waterbend cost, you can tap your artifacts and creatures to help. Each one pays for {1}.)</t>
  </si>
  <si>
    <t>Otter-Penguin</t>
  </si>
  <si>
    <t>Creature — Otter Bird</t>
  </si>
  <si>
    <t>Whenever you draw your second card each turn, this creature gets +1/+2 until end of turn and can't be blocked this turn.</t>
  </si>
  <si>
    <t>Firebending Lesson</t>
  </si>
  <si>
    <t>Kicker {4} (You may pay an additional {4} as you cast this spell.) Firebending Lesson deals 2 damage to target creature. If this spell was kicked, it deals 5 damage to that creature instead.</t>
  </si>
  <si>
    <t>Deserter's Disciple</t>
  </si>
  <si>
    <t>{T}: Another target creature you control with power 2 or less can't be blocked this turn.</t>
  </si>
  <si>
    <t>Yuyan Archers</t>
  </si>
  <si>
    <t>Creature — Human Archer</t>
  </si>
  <si>
    <t>Reach When this creature enters, you may discard a card. If you do, draw a card.</t>
  </si>
  <si>
    <t>Mai, Jaded Edge</t>
  </si>
  <si>
    <t>Legendary Creature — Human Noble</t>
  </si>
  <si>
    <t>Prowess (Whenever you cast a noncreature spell, this creature gets +1/+1 until end of turn.) Exhaust — {3}: Put a double strike counter on Mai. (Activate each exhaust ability only once.)</t>
  </si>
  <si>
    <t>Treetop Freedom Fighters</t>
  </si>
  <si>
    <t>Haste When this creature enters, create a 1/1 white Ally creature token.</t>
  </si>
  <si>
    <t>Fire Nation Raider</t>
  </si>
  <si>
    <t>Raid — When this creature enters, if you attacked this turn, create a Clue token. (It's an artifact with "{2}, Sacrifice this token: Draw a card.")</t>
  </si>
  <si>
    <t>War Balloon</t>
  </si>
  <si>
    <t>Flying {1}: Put a fire counter on this Vehicle. As long as this Vehicle has three or more fire counters on it, it's an artifact creature. Crew 3 (Tap any number of creatures you control with total power 3 or more: This Vehicle becomes an artifact creature until end of turn.)</t>
  </si>
  <si>
    <t>Zuko, Exiled Prince</t>
  </si>
  <si>
    <t>Firebending 3 (Whenever this creature attacks, add {R}{R}{R}. This mana lasts until end of combat.) {3}: Exile the top card of your library. You may play that card this turn.</t>
  </si>
  <si>
    <t>Ran and Shaw</t>
  </si>
  <si>
    <t>Legendary Creature — Dragon</t>
  </si>
  <si>
    <t>Flying, firebending 2 When Ran and Shaw enter, if you cast them and there are three or more Dragon and/or Lesson cards in your graveyard, create a token that's a copy of Ran and Shaw, except it's not legendary. {3}{R}: Dragons you control get +2/+0 until end of turn.</t>
  </si>
  <si>
    <t>Solstice Revelations</t>
  </si>
  <si>
    <t>Exile cards from the top of your library until you exile a nonland card. You may cast that card without paying its mana cost if the spell's mana value is less than the number of Mountains you control. If you don't cast that card this way, put it into your hand. Flashback {6}{R} (You may cast this card from your graveyard for its flashback cost. Then exile it.)</t>
  </si>
  <si>
    <t>Jet's Brainwashing</t>
  </si>
  <si>
    <t>Kicker {3} (You may pay an additional {3} as you cast this spell.) Target creature can't block this turn. If this spell was kicked, gain control of that creature until end of turn, untap it, and it gains haste until end of turn. Create a Clue token. (It's an artifact with "{2}, Sacrifice this token: Draw a card.")</t>
  </si>
  <si>
    <t>Rough Rhino Cavalry</t>
  </si>
  <si>
    <t>Creature — Human Mercenary</t>
  </si>
  <si>
    <t>Firebending 2 (Whenever this creature attacks, add {R}{R}. This mana lasts until end of combat.) Exhaust — {8}: Put two +1/+1 counters on this creature. It gains trample until end of turn. (Activate each exhaust ability only once.)</t>
  </si>
  <si>
    <t>Boar-q-pine</t>
  </si>
  <si>
    <t>Creature — Boar Porcupine</t>
  </si>
  <si>
    <t>Whenever you cast a noncreature spell, put a +1/+1 counter on this creature.</t>
  </si>
  <si>
    <t>Fire Nation Cadets</t>
  </si>
  <si>
    <t>This creature has firebending 2 as long as there's a Lesson card in your graveyard. (Whenever this creature attacks, add {R}{R}. This mana lasts until end of combat.) {2}: This creature gets +1/+0 until end of turn.</t>
  </si>
  <si>
    <t>How to Start a Riot</t>
  </si>
  <si>
    <t>Target creature gains menace until end of turn. (It can't be blocked except by two or more creatures.) Creatures target player controls get +2/+0 until end of turn.</t>
  </si>
  <si>
    <t>Fire Sages</t>
  </si>
  <si>
    <t>Creature — Human Cleric</t>
  </si>
  <si>
    <t>Firebending 1 (Whenever this creature attacks, add {R}. This mana lasts until end of combat.) {1}{R}{R}: Put a +1/+1 counter on this creature.</t>
  </si>
  <si>
    <t>Tiger-Dillo</t>
  </si>
  <si>
    <t>Creature — Cat Armadillo</t>
  </si>
  <si>
    <t>This creature can't attack or block unless you control another creature with power 4 or greater.</t>
  </si>
  <si>
    <t>Mongoose Lizard</t>
  </si>
  <si>
    <t>Creature — Mongoose Lizard</t>
  </si>
  <si>
    <t>Menace (This creature can't be blocked except by two or more creatures.) When this creature enters, it deals 1 damage to any target. Mountaincycling {2} ({2}, Discard this card: Search your library for a Mountain card, reveal it, put it into your hand, then shuffle.)</t>
  </si>
  <si>
    <t>Ty Lee, Artful Acrobat</t>
  </si>
  <si>
    <t>Legendary Creature — Human Performer</t>
  </si>
  <si>
    <t>Prowess (Whenever you cast a noncreature spell, this creature gets +1/+1 until end of turn.) Whenever Ty Lee attacks, you may pay {1}. When you do, target creature can't block this turn.</t>
  </si>
  <si>
    <t>Price of Freedom</t>
  </si>
  <si>
    <t>Destroy target artifact or land an opponent controls. Its controller may search their library for a basic land card, put it onto the battlefield tapped, then shuffle. Draw a card.</t>
  </si>
  <si>
    <t>Badgermole</t>
  </si>
  <si>
    <t>Creature — Badger Mole</t>
  </si>
  <si>
    <t>When this creature enters, earthbend 2. (Target land you control becomes a 0/0 creature with haste that's still a land. Put two +1/+1 counters on it. When it dies or is exiled, return it to the battlefield tapped.) Creatures you control with +1/+1 counters on them have trample.</t>
  </si>
  <si>
    <t>Turtle-Duck</t>
  </si>
  <si>
    <t>Creature — Turtle Bird</t>
  </si>
  <si>
    <t>{3}: Until end of turn, this creature has base power 4 and gains trample.</t>
  </si>
  <si>
    <t>Shared Roots</t>
  </si>
  <si>
    <t>Search your library for a basic land card, put it onto the battlefield tapped, then shuffle.</t>
  </si>
  <si>
    <t>Cycle of Renewal</t>
  </si>
  <si>
    <t>Sacrifice a land. Search your library for up to two basic land cards, put them onto the battlefield tapped, then shuffle.</t>
  </si>
  <si>
    <t>Diligent Zookeeper</t>
  </si>
  <si>
    <t>Creature — Human Citizen Ally</t>
  </si>
  <si>
    <t>Each non-Human creature you control gets +1/+1 for each of its creature types, to a maximum of 10.</t>
  </si>
  <si>
    <t>Rocky Rebuke</t>
  </si>
  <si>
    <t>Target creature you control deals damage equal to its power to target creature an opponent controls.</t>
  </si>
  <si>
    <t>Ostrich-Horse</t>
  </si>
  <si>
    <t>Creature — Bird Horse</t>
  </si>
  <si>
    <t>When this creature enters, mill three cards. You may put a land card from among them into your hand. If you don't, put a +1/+1 counter on this creature. (To mill three cards, put the top three cards of your library into your graveyard.)</t>
  </si>
  <si>
    <t>Allies at Last</t>
  </si>
  <si>
    <t>Affinity for Allies (This spell costs {1} less to cast for each Ally you control.) Up to two target creatures you control each deal damage equal to their power to target creature an opponent controls.</t>
  </si>
  <si>
    <t>Toph, the Blind Bandit</t>
  </si>
  <si>
    <t>When Toph enters, earthbend 2. (Target land you control becomes a 0/0 creature with haste that's still a land. Put two +1/+1 counters on it. When it dies or is exiled, return it to the battlefield tapped.) Toph's power is equal to the number of +1/+1 counters on lands you control.</t>
  </si>
  <si>
    <t>Haru, Hidden Talent</t>
  </si>
  <si>
    <t>Legendary Creature — Human Peasant Ally</t>
  </si>
  <si>
    <t>Whenever another Ally you control enters, earthbend 1. (Target land you control becomes a 0/0 creature with haste that's still a land. Put a +1/+1 counter on it. When it dies or is exiled, return it to the battlefield tapped.)</t>
  </si>
  <si>
    <t>Earthbender Ascension</t>
  </si>
  <si>
    <t>When this enchantment enters, earthbend 2. Then search your library for a basic land card, put it onto the battlefield tapped, then shuffle. Landfall — Whenever a land you control enters, put a quest counter on this enchantment. When you do, if it has four or more quest counters on it, put a +1/+1 counter on target creature you control. It gains trample until end of turn.</t>
  </si>
  <si>
    <t>Walltop Sentries</t>
  </si>
  <si>
    <t>Reach, deathtouch When this creature dies, if there's a Lesson card in your graveyard, you gain 2 life.</t>
  </si>
  <si>
    <t>Earth Kingdom General</t>
  </si>
  <si>
    <t>When this creature enters, earthbend 2. (Target land you control becomes a 0/0 creature with haste that's still a land. Put two +1/+1 counters on it. When it dies or is exiled, return it to the battlefield tapped.) Whenever you put one or more +1/+1 counters on a creature, you may gain that much life. Do this only once each turn.</t>
  </si>
  <si>
    <t>Unlucky Cabbage Merchant</t>
  </si>
  <si>
    <t>When this creature enters, create a Food token. (It's an artifact with "{2}, {T}, Sacrifice this token: You gain 3 life.") Whenever you sacrifice a Food, you may search your library for a basic land card and put it onto the battlefield tapped. If you search your library this way, put this creature on the bottom of its owner's library, then shuffle.</t>
  </si>
  <si>
    <t>Saber-Tooth Moose-Lion</t>
  </si>
  <si>
    <t>Creature — Elk Cat</t>
  </si>
  <si>
    <t>Reach Forestcycling {2} ({2}, Discard this card: Search your library for a Forest card, reveal it, put it into your hand, then shuffle.)</t>
  </si>
  <si>
    <t>Pillar Launch</t>
  </si>
  <si>
    <t>Target creature gets +2/+2 and gains reach until end of turn. Untap it.</t>
  </si>
  <si>
    <t>Foggy Swamp Vinebender</t>
  </si>
  <si>
    <t>Creature — Human Plant Ally</t>
  </si>
  <si>
    <t>This creature can't be blocked by creatures with power 2 or less. Waterbend {5}: Put a +1/+1 counter on this creature. Activate only during your turn. (While paying a waterbend cost, you can tap your artifacts and creatures to help. Each one pays for {1}.)</t>
  </si>
  <si>
    <t>Raucous Audience</t>
  </si>
  <si>
    <t>{T}: Add {G}. If you control a creature with power 4 or greater, add {G}{G} instead.</t>
  </si>
  <si>
    <t>Seismic Sense</t>
  </si>
  <si>
    <t>Look at the top X cards of your library, where X is the number of lands you control. You may reveal a creature or land card from among them and put it into your hand. Put the rest on the bottom of your library in a random order.</t>
  </si>
  <si>
    <t>Kyoshi Island Plaza</t>
  </si>
  <si>
    <t>When Kyoshi Island Plaza enters, search your library for up to X basic land cards, where X is the number of Shrines you control. Put those cards onto the battlefield tapped, then shuffle. Whenever another Shrine you control enters, search your library for a basic land card, put it onto the battlefield tapped, then shuffle.</t>
  </si>
  <si>
    <t>Leaves from the Vine</t>
  </si>
  <si>
    <t>Enchantment — Saga</t>
  </si>
  <si>
    <t>(As this Saga enters and after your draw step, add a lore counter. Sacrifice after III.) I — Mill three cards, then create a Food token. (It's an artifact with "{2}, {T}, Sacrifice this token: You gain 3 life.") II — Put a +1/+1 counter on each of up to two target creatures you control. III — Draw a card if there's a creature or Lesson card in your graveyard.</t>
  </si>
  <si>
    <t>Flopsie, Bumi's Buddy</t>
  </si>
  <si>
    <t>Legendary Creature — Ape Goat</t>
  </si>
  <si>
    <t>When Flopsie enters, put a +1/+1 counter on each creature you control. Each creature you control with power 4 or greater can't be blocked by more than one creature.</t>
  </si>
  <si>
    <t>Rebellious Captives</t>
  </si>
  <si>
    <t>Exhaust — {6}: Put two +1/+1 counters on this creature, then earthbend 2. (Target land you control becomes a 0/0 creature with haste that's still a land. Put two +1/+1 counters on it. When it dies or is exiled, return it to the battlefield tapped. Activate each exhaust ability only once.)</t>
  </si>
  <si>
    <t>The Earth King</t>
  </si>
  <si>
    <t>When The Earth King enters, create a 4/4 green Bear creature token. Whenever one or more creatures you control with power 4 or greater attack, search your library for up to that many basic land cards, put them onto the battlefield tapped, then shuffle.</t>
  </si>
  <si>
    <t>Bumi, King of Three Trials</t>
  </si>
  <si>
    <t>When Bumi enters, choose up to X, where X is the number of Lesson cards in your graveyard — • Put three +1/+1 counters on Bumi. • Target player scries 3. • Earthbend 3. (Target land you control becomes a 0/0 creature with haste that's still a land. Put three +1/+1 counters on it. When it dies or is exiled, return it to the battlefield tapped.)</t>
  </si>
  <si>
    <t>{5}{G}</t>
  </si>
  <si>
    <t>Shriekdiver / Guinchador de Mergulho</t>
  </si>
  <si>
    <t>Creature — Zombie Bird Warrior / Criatura — Zumbi Ave Guerreiro</t>
  </si>
  <si>
    <t>Flying {1}: This creature gains haste until end of turn. / Voar {1}: Guinchador de Mergulho ganha ímpeto até o final do turno.</t>
  </si>
  <si>
    <t>Yargle, Glutton of Urborg / Yargle, Glutão de Urborg</t>
  </si>
  <si>
    <t>Legendary Creature — Frog Spirit / Criatura Lendária — Sapo Espírito</t>
  </si>
  <si>
    <t>Multiverse Legends (MUL)</t>
  </si>
  <si>
    <t>Dusk Mangler / Desmembrador do Ocaso</t>
  </si>
  <si>
    <t>As an additional cost to cast this spell, sacrifice a creature, discard a card, or pay 4 life. When this creature enters, each opponent sacrifices a creature of their choice, discards a card, and loses 4 life. / Como custo adicional para conjurar esta mágica, sacrifique uma criatura, descarte um card ou pague 4 pontos de vida. Quando Desmembrador do Ocaso entra no campo de batalha, cada oponente sacrifica uma criatura, descarta um card e perde 4 pontos de vida.</t>
  </si>
  <si>
    <t>{5}{B}{B}</t>
  </si>
  <si>
    <t>Undercity Scavenger / Necrófago do Submundo</t>
  </si>
  <si>
    <t>When this creature enters, you may sacrifice another creature. If you do, put two +1/+1 counters on this creature, then scry 2. / Quando Necrófago do Submundo entra no campo de batalha, você pode sacrificar outra criatura. Se fizer isso, coloque dois marcadores +1/+1 em Necrófago do Submundo e, em seguida, use vidência 2.</t>
  </si>
  <si>
    <t>Pitiless Vizier / Vizir Impiedosa</t>
  </si>
  <si>
    <t>Creature — Minotaur Cleric / Criatura — Minotauro Clérigo</t>
  </si>
  <si>
    <t>Whenever you cycle or discard a card, this creature gains indestructible until end of turn. (Damage and effects that say "destroy" don't destroy it. If its toughness is 0 or less, it still dies.) / Toda vez que você recicla ou descarta um card, Vizir Impiedosa ganha indestrutível até o final do turno. (Dano e efeitos que dizem "destrua" não a destroem. Se a sua resistência for igual ou inferior a 0, ela ainda será colocada no cemitério de seu dono.)</t>
  </si>
  <si>
    <t>Cruel Deceiver / Impostor Cruel</t>
  </si>
  <si>
    <t>{1}: Look at the top card of your library. {2}: Reveal the top card of your library. If it's a land card, this creature gains "Whenever this creature deals damage to a creature, destroy that creature" until end of turn. Activate only once each turn. / {1}: Olhe o card do topo de seu grimório. {2}: Revele o card do topo de seu grimório. Se for um terreno, Impostor Cruel ganha "Toda vez que Impostor Cruel causar dano a uma criatura, destrói aquela criatura" até o final do turno. Use esta habilidade somente uma vez a cada turno.</t>
  </si>
  <si>
    <t>Slate Street Ruffian / Rufião da Rua de Ardósia</t>
  </si>
  <si>
    <t>Whenever this creature becomes blocked, defending player discards a card. / Toda vez que Rufião da Rua de Ardósia é bloqueado, o jogador defensor descarta um card.</t>
  </si>
  <si>
    <t>Vulturous Aven / Aviano Rapace</t>
  </si>
  <si>
    <t>Creature — Bird Shaman / Criatura — Ave Xamã</t>
  </si>
  <si>
    <t>Flying Exploit (When this creature enters, you may sacrifice a creature.) When this creature exploits a creature, you draw two cards and you lose 2 life. / Voar Explorar (Quando esta criatura entra no campo de batalha, você pode sacrificar uma criatura.) Quando Aviano Rapace explora uma criatura, você compra dois cards e perde 2 pontos de vida.</t>
  </si>
  <si>
    <t>Tithebearer Giant / Gigante Porta-dízimos</t>
  </si>
  <si>
    <t>Creature — Giant Warrior / Criatura — Gigante Guerreiro</t>
  </si>
  <si>
    <t>When this creature enters, you draw a card and you lose 1 life. / Quando Gigante Porta-dízimos entra no campo de batalha, você compra um card e perde 1 ponto de vida.</t>
  </si>
  <si>
    <t>Twisted Abomination / Abominação Distorcida</t>
  </si>
  <si>
    <t>Creature — Zombie Mutant / Criatura — Mutante Zumbi</t>
  </si>
  <si>
    <t>{B}: Regenerate this creature. (The next time this creature would be destroyed this turn, instead tap it, remove it from combat, and heal all damage on it.) Swampcycling {2} ({2}, Discard this card: Search your library for a Swamp card, reveal it, put it into your hand, then shuffle.) / {B}: Regenere Abominação Distorcida. Reciclar Pântano {2} ({2}, Descarte este card: Procure em seu grimório por um card do tipo Pântano, revele-o e coloque-o em sua mão. Depois, embaralhe seu grimório.)</t>
  </si>
  <si>
    <t>Premium Deck Series: Graveborn</t>
  </si>
  <si>
    <t>Night Market Aeronaut / Aeronauta do Mercado Noturno</t>
  </si>
  <si>
    <t>Creature — Aetherborn Warrior / Criatura — Etergênito Guerreiro</t>
  </si>
  <si>
    <t>Flying Revolt — This creature enters with a +1/+1 counter on it if a permanent left the battlefield under your control this turn. / Voar Revolta — Aeronauta do Mercado Noturno entra no campo de batalha com um marcador +1/+1 se uma permanente que você controlava deixou o campo de batalha neste turno.</t>
  </si>
  <si>
    <t>Sickle Ripper / Estripador da Foice</t>
  </si>
  <si>
    <t>Creature — Elemental Warrior / Criatura — Elemental Guerreiro</t>
  </si>
  <si>
    <t>Wither (This deals damage to creatures in the form of -1/-1 counters.) / Murchar (Esta fonte causa dano a criaturas na forma de marcadores -1/-1.)</t>
  </si>
  <si>
    <t>Turtle Lair</t>
  </si>
  <si>
    <t>{T}: Add {C}. {T}: Add one mana of any color. Spend this mana only to cast a Ninja or Turtle spell. {3}, {T}: Target Ninja or Turtle can't be blocked this turn.</t>
  </si>
  <si>
    <t>Teenage Mutant Ninja Turtles (TMT)</t>
  </si>
  <si>
    <t>Foot Headquarters</t>
  </si>
  <si>
    <t>This land enters tapped. When this land enters, you gain 1 life. {T}: Add {W} or {B}.</t>
  </si>
  <si>
    <t>Mutant Town</t>
  </si>
  <si>
    <t>This land enters tapped. When this land enters, you gain 1 life. {T}: Add {G} or {U}.</t>
  </si>
  <si>
    <t>TCRI Building</t>
  </si>
  <si>
    <t>This land enters tapped. When this land enters, you gain 1 life. {T}: Add {U} or {R}.</t>
  </si>
  <si>
    <t>Illegitimate Business</t>
  </si>
  <si>
    <t>This land enters tapped. When this land enters, you gain 1 life. {T}: Add {B} or {G}.</t>
  </si>
  <si>
    <t>Escape Tunnel / Túnel de Fuga</t>
  </si>
  <si>
    <t>{T}, Sacrifice this land: Search your library for a basic land card, put it onto the battlefield tapped, then shuffle. {T}, Sacrifice this land: Target creature with power 2 or less can't be blocked this turn. / {T}, sacrifique Túnel de Fuga: Procure um card de terreno básico em seu grimório, coloque-o no campo de batalha virado e depois embaralhe. {T}, sacrifique Túnel de Fuga: A criatura alvo com poder igual ou inferior a 2 não pode ser bloqueada neste turno.</t>
  </si>
  <si>
    <t>Henchbots</t>
  </si>
  <si>
    <t>Artifact Creature — Robot</t>
  </si>
  <si>
    <t>When this creature enters, exile target tapped creature an opponent controls until this creature leaves the battlefield.</t>
  </si>
  <si>
    <t>Anchovy &amp; Banana Pizza</t>
  </si>
  <si>
    <t>When this artifact enters, destroy target creature. {2}, {T}, Sacrifice this artifact: You gain 3 life.</t>
  </si>
  <si>
    <t>Turtle Van</t>
  </si>
  <si>
    <t>Whenever this Vehicle attacks, put a +1/+1 counter on target creature that crewed it this turn. Then if that creature is a Mutant, Ninja, or Turtle, double the number of +1/+1 counters on it. Crew 1 (Tap any number of creatures you control with total power 1 or more: This Vehicle becomes an artifact creature until end of turn.)</t>
  </si>
  <si>
    <t>Turtle Blimp</t>
  </si>
  <si>
    <t>Flying When this Vehicle enters, create a 2/2 red Mutant creature token. Crew 2 (Tap any number of creatures you control with total power 2 or more: This Vehicle becomes an artifact creature until end of turn.)</t>
  </si>
  <si>
    <t>Skateboard</t>
  </si>
  <si>
    <t>When this Equipment enters, tap target permanent. Equipped creature gets +1/+0 and has haste. Equip {1} ({1}: Attach to target creature you control. Equip only as a sorcery.)</t>
  </si>
  <si>
    <t>Everything Pizza</t>
  </si>
  <si>
    <t>When this artifact enters, search your library for a basic land card, reveal it, put it into your hand, then shuffle. {2}{W}{U}{B}{R}{G}, {T}, Sacrifice this artifact: Target player gains 3 life and draws a card. Each of your opponents discards a card. This artifact deals 3 damage to any target. Put three +1/+1 counters on up to one target creature.</t>
  </si>
  <si>
    <t>Preto, Verde, Vermelho, Azul, Branco</t>
  </si>
  <si>
    <t>Omni-Cheese Pizza</t>
  </si>
  <si>
    <t>When this artifact enters, draw a card. {1}, {T}, Sacrifice this artifact: Add one mana of any color. {2}, {T}, Sacrifice this artifact: You gain 3 life.</t>
  </si>
  <si>
    <t>Courier of Comestibles</t>
  </si>
  <si>
    <t>When this creature enters, you may search your library for a Food card, reveal it, put it into your hand, then shuffle. If you don't put a card into your hand this way, create a Food token. (It's an artifact with "{2}, {T}, Sacrifice this token: You gain 3 life.")</t>
  </si>
  <si>
    <t>Rocksteady, Crash Courser</t>
  </si>
  <si>
    <t>Legendary Creature — Rhino Mutant</t>
  </si>
  <si>
    <t>Rocksteady can't be blocked by more than one creature. Boars you control can't be blocked by more than one creature. Forestcycling {2} ({2}, Discard this card: Search your library for a Forest card, reveal it, put it into your hand, then shuffle.)</t>
  </si>
  <si>
    <t>Turtle Power!</t>
  </si>
  <si>
    <t>Flash Turtles you control get +2/+2.</t>
  </si>
  <si>
    <t>Mutant Chain Reaction</t>
  </si>
  <si>
    <t>Destroy up to one target artifact, enchantment, or creature with flying. Create a Mutagen token. (It's an artifact with "{1}, {T}, Sacrifice this token: Put a +1/+1 counter on target creature. Activate only as a sorcery.")</t>
  </si>
  <si>
    <t>Venus, Torn Between Worlds</t>
  </si>
  <si>
    <t>Legendary Creature — Mutant Frog Turtle</t>
  </si>
  <si>
    <t>Whenever Venus is dealt damage, put that many +1/+1 counters on her. (She must survive the damage to get the counters.) Whenever a creature you control with a counter on it deals combat damage to a player, you may pay {U}. If you do, draw a card.</t>
  </si>
  <si>
    <t>Guac &amp; Marshmallow Pizza</t>
  </si>
  <si>
    <t>Flash When this artifact enters, target creature gets +2/+2 until end of turn. Untap it. {2}, {T}, Sacrifice this artifact: You gain 3 life.</t>
  </si>
  <si>
    <t>New Generation's Technique</t>
  </si>
  <si>
    <t>Sneak {2}{G} (You may cast this spell for {2}{G} if you also return an unblocked attacker you control to hand during the declare blockers step.) Search your library for up to two basic land cards, put them onto the battlefield tapped, then shuffle.</t>
  </si>
  <si>
    <t>Primordial Pachyderm</t>
  </si>
  <si>
    <t>Creature — Elephant Avatar</t>
  </si>
  <si>
    <t>Reach, trample When this creature enters, you gain 2 life.</t>
  </si>
  <si>
    <t>Zoo Escapees</t>
  </si>
  <si>
    <t>Creature — Boar Rhino</t>
  </si>
  <si>
    <t>When this creature leaves the battlefield, create a Mutagen token. (It's an artifact with "{1}, {T}, Sacrifice this token: Put a +1/+1 counter on target creature. Activate only as a sorcery.")</t>
  </si>
  <si>
    <t>Cowabunga!</t>
  </si>
  <si>
    <t>Look at the top four cards of your library. You may reveal a Mutant, Ninja, Turtle, or land card from among them and put it into your hand. Put the rest on the bottom of your library in a random order.</t>
  </si>
  <si>
    <t>Mona Lisa, Science Geek</t>
  </si>
  <si>
    <t>Legendary Creature — Lizard Mutant</t>
  </si>
  <si>
    <t>Reach {T}: Add X mana of any one color, where X is Mona Lisa's power.</t>
  </si>
  <si>
    <t>Michelangelo, Mutant BFF</t>
  </si>
  <si>
    <t>Legendary Creature — Mutant Ninja Turtle</t>
  </si>
  <si>
    <t>Each creature you control with a counter on it can't be blocked by more than one creature. Whenever Michelangelo enters or attacks, create a Mutagen token. (It's an artifact with "{1}, {T}, Sacrifice this token: Put a +1/+1 counter on target creature. Activate only as a sorcery.")</t>
  </si>
  <si>
    <t>West Wind Avatar</t>
  </si>
  <si>
    <t>Creature — Cat Spirit Avatar</t>
  </si>
  <si>
    <t>Trample Whenever this creature enters or attacks, you may sacrifice a token or a land. If you do, you gain 3 life. Disappear — At the beginning of your end step, if a permanent left the battlefield under your control this turn, draw a card.</t>
  </si>
  <si>
    <t>{5}{G}{G}</t>
  </si>
  <si>
    <t>Frog Butler</t>
  </si>
  <si>
    <t>Creature — Frog Spirit</t>
  </si>
  <si>
    <t>Deathtouch {T}: Add one mana of any color. {2}: This creature gains reach until end of turn.</t>
  </si>
  <si>
    <t>Ragamuffin Raptor</t>
  </si>
  <si>
    <t>Creature — Dinosaur</t>
  </si>
  <si>
    <t>When this creature enters, return up to one target creature or Food card from your graveyard to your hand.</t>
  </si>
  <si>
    <t>Leatherhead, Swamp Stalker</t>
  </si>
  <si>
    <t>Legendary Creature — Crocodile Mutant Rogue</t>
  </si>
  <si>
    <t>Trample Leatherhead enters with a hexproof counter on her. Whenever Leatherhead deals combat damage to a player, you may remove a counter from her. When you do, destroy target artifact or enchantment that player controls.</t>
  </si>
  <si>
    <t>Tenderize</t>
  </si>
  <si>
    <t>Novel Nunchaku</t>
  </si>
  <si>
    <t>When this Equipment enters, attach it to target creature you control. When you do, equipped creature fights up to one target creature an opponent controls. (Each deals damage equal to its power to the other.) Equipped creature gets +1/+1 and has trample. Equip {3} ({3}: Attach to target creature you control. Equip only as a sorcery.)</t>
  </si>
  <si>
    <t>Saved by the Shell</t>
  </si>
  <si>
    <t>This spell costs {1} less to cast if you control a Turtle. Put a +1/+1 counter on target creature you control. It gains trample, hexproof, and indestructible until end of turn.</t>
  </si>
  <si>
    <t>Shark Shredder, Killer Clone</t>
  </si>
  <si>
    <t>Legendary Creature — Shark Octopus Ninja</t>
  </si>
  <si>
    <t>Sneak {3}{B}{B} First strike Whenever Shark Shredder deals combat damage to a player, put up to one target creature card from that player's graveyard onto the battlefield under your control. It enters tapped and attacking that player.</t>
  </si>
  <si>
    <t>Bebop, Warthog Warrior</t>
  </si>
  <si>
    <t>Legendary Creature — Boar Mutant Warrior</t>
  </si>
  <si>
    <t>Menace (This creature can't be blocked except by two or more creatures.) Rhinos you control have menace. Swampcycling {2} ({2}, Discard this card: Search your library for a Swamp card, reveal it, put it into your hand, then shuffle.)</t>
  </si>
  <si>
    <t>Armaggon, Future Shark</t>
  </si>
  <si>
    <t>Legendary Creature — Shark Horror Mutant</t>
  </si>
  <si>
    <t>Flash When Armaggon enters, destroy up to three target creatures.</t>
  </si>
  <si>
    <t>Stomped by the Foot</t>
  </si>
  <si>
    <t>Kicker—Sacrifice an artifact or creature. (You may sacrifice an artifact or creature in addition to any other costs as you cast this spell.) Target creature gets -2/-2 until end of turn. If this spell was kicked, that creature gets -5/-5 until end of turn instead.</t>
  </si>
  <si>
    <t>Dream Beavers</t>
  </si>
  <si>
    <t>Creature — Beaver Nightmare</t>
  </si>
  <si>
    <t>Flying When this creature enters, each opponent loses 1 life and you gain 1 life. Scry 1. (Look at the top card of your library. You may put that card on the bottom.)</t>
  </si>
  <si>
    <t>Oroku Saki, Shredder Rising</t>
  </si>
  <si>
    <t>Legendary Creature — Human Ninja</t>
  </si>
  <si>
    <t>Sneak {1}{B} (You may cast this spell for {1}{B} if you also return an unblocked attacker you control to hand during the declare blockers step. He enters tapped and attacking.) Whenever Oroku Saki deals combat damage to a player, you draw a card and lose 1 life.</t>
  </si>
  <si>
    <t>Savanti Romero, Time's Exile</t>
  </si>
  <si>
    <t>Legendary Creature — Demon Wizard</t>
  </si>
  <si>
    <t>Trample At the beginning of combat on your turn, put a +1/+1 counter on Savanti Romero. Then you draw X cards and lose X life, where X is the number of counters on Savanti Romero.</t>
  </si>
  <si>
    <t>Shredder's Revenge</t>
  </si>
  <si>
    <t>Choose one — • Target player discards two cards. • Target player draws two cards and loses 2 life.</t>
  </si>
  <si>
    <t>Tunnel Rats</t>
  </si>
  <si>
    <t>Creature — Rat</t>
  </si>
  <si>
    <t>{4}{B}: Return this card from your graveyard to the battlefield tapped.</t>
  </si>
  <si>
    <t>Paramecia Coloniex</t>
  </si>
  <si>
    <t>Creature — Zombie Worm</t>
  </si>
  <si>
    <t>When this creature enters, mill three cards. (Put the top three cards of your library into your graveyard.) When this creature dies, you may exile it. When you do, put target creature card from your graveyard on top of your library.</t>
  </si>
  <si>
    <t>Shredder's Armor</t>
  </si>
  <si>
    <t>Equipped creature gets +2/+1. When this Equipment enters, attach it to target creature you control. Equip—Sacrifice another nonland permanent. Activate only once each turn.</t>
  </si>
  <si>
    <t>Death in the Family</t>
  </si>
  <si>
    <t>Exile target creature with mana value 3 or less.</t>
  </si>
  <si>
    <t>Lord Dregg, Insect Invader</t>
  </si>
  <si>
    <t>Legendary Creature — Insect Warrior</t>
  </si>
  <si>
    <t>Flying Disappear — At the beginning of your end step, if a permanent left the battlefield under your control this turn, create a 1/1 black Insect Warrior creature token with flying. {3}{G}, Sacrifice a token: Draw a card.</t>
  </si>
  <si>
    <t>Insectoid Exterminator</t>
  </si>
  <si>
    <t>Creature — Insect Mutant</t>
  </si>
  <si>
    <t>Flying Disappear — At the beginning of your end step, if a permanent left the battlefield under your control this turn, scry 1. (Look at the top card of your library. You may put that card on the bottom.)</t>
  </si>
  <si>
    <t>Squirrelanoids</t>
  </si>
  <si>
    <t>Creature — Squirrel Mutant</t>
  </si>
  <si>
    <t>Deathtouch</t>
  </si>
  <si>
    <t>Foot Mystic</t>
  </si>
  <si>
    <t>Creature — Human Ninja Warlock</t>
  </si>
  <si>
    <t>Lifelink Disappear — When this creature enters, if a permanent left the battlefield under your control this turn, create a 1/1 black Ninja creature token.</t>
  </si>
  <si>
    <t>The Cloning of Shredder</t>
  </si>
  <si>
    <t>(As this Saga enters and after your draw step, add a lore counter. Sacrifice after III.) I — Exile target creature card from your graveyard. Create a token that's a copy of it, except it isn't legendary and is a Mutant in addition to its other types. II, III — Create a token that's a copy of a card exiled with this Saga, except it isn't legendary and is a Mutant in addition to its other types.</t>
  </si>
  <si>
    <t>Shredder, Unrelenting</t>
  </si>
  <si>
    <t>Sneak {3}{B} (You may cast this spell for {3}{B} if you also return an unblocked attacker you control to hand during the declare blockers step. He enters tapped and attacking.) Deathtouch Whenever Shredder enters or attacks, another target creature you control gains deathtouch until end of turn.</t>
  </si>
  <si>
    <t>Michelangelo, Game Master</t>
  </si>
  <si>
    <t>Disappear — At the beginning of your end step, if a permanent left the battlefield under your control this turn, put a +1/+1 counter on Michelangelo.</t>
  </si>
  <si>
    <t>Utrom Scientists</t>
  </si>
  <si>
    <t>Artifact Creature — Utrom Robot Scientist</t>
  </si>
  <si>
    <t>When this creature enters, tap up to one target creature and put a stun counter on it. (If a permanent with a stun counter would become untapped, remove one from it instead.)</t>
  </si>
  <si>
    <t>Ray Fillet, Man Ray</t>
  </si>
  <si>
    <t>Legendary Creature — Fish Mutant</t>
  </si>
  <si>
    <t>Flying When Ray Fillet enters, create a Mutagen token. (It's an artifact with "{1}, {T}, Sacrifice this token: Put a +1/+1 counter on target creature. Activate only as a sorcery.") {2}, Remove a +1/+1 counter from a creature you control: Draw a card.</t>
  </si>
  <si>
    <t>Fugitive Droid</t>
  </si>
  <si>
    <t>Artifact Creature — Robot Scientist</t>
  </si>
  <si>
    <t>This creature can't be blocked if an artifact entered the battlefield under your control this turn. {U}, Sacrifice this creature: Counter target spell that targets an artifact or creature you control.</t>
  </si>
  <si>
    <t>Kitsune, Dragon's Daughter</t>
  </si>
  <si>
    <t>Legendary Creature — Fox Warlock Avatar</t>
  </si>
  <si>
    <t>Vigilance Whenever Kitsune enters or deals combat damage to a player, you may exchange control of two other target creatures controlled by different players.</t>
  </si>
  <si>
    <t>Metalhead</t>
  </si>
  <si>
    <t>Legendary Artifact Creature — Robot Turtle</t>
  </si>
  <si>
    <t>When Metalhead enters, return up to one other target artifact or creature to its owner's hand. {R}, Sacrifice another artifact: Put a +1/+1 counter on Metalhead. He gains menace and haste until end of turn.</t>
  </si>
  <si>
    <t>Negate / Negar</t>
  </si>
  <si>
    <t>Counter target noncreature spell. / Anule a mágica alvo que não seja de criatura.</t>
  </si>
  <si>
    <t>Retro-Mutation</t>
  </si>
  <si>
    <t>Flash Enchant creature Enchanted creature is a Turtle with base power and toughness 0/1. It can't attack and loses all abilities. (It also loses all other creature types.)</t>
  </si>
  <si>
    <t>Bespoke Bō</t>
  </si>
  <si>
    <t>When this Equipment enters, return up to one other target nonland permanent to its owner's hand. Equipped creature gets +2/+1 and has vigilance. Equip {3} ({3}: Attach to target creature you control. Equip only as a sorcery.)</t>
  </si>
  <si>
    <t>Mind Transfer Protocol</t>
  </si>
  <si>
    <t>Until end of turn, target artifact or creature becomes an artifact creature with base power and toughness 4/5. Draw a card.</t>
  </si>
  <si>
    <t>Ooze Spill</t>
  </si>
  <si>
    <t>Counter target spell. Create a Mutagen token. (It's an artifact with "{1}, {T}, Sacrifice this token: Put a +1/+1 counter on target creature. Activate only as a sorcery.")</t>
  </si>
  <si>
    <t>Krang, Master Mind</t>
  </si>
  <si>
    <t>Legendary Artifact Creature — Utrom Warrior</t>
  </si>
  <si>
    <t>Affinity for artifacts (This spell costs {1} less to cast for each artifact you control.) When Krang enters, if you have fewer than four cards in hand, draw cards equal to the difference. Krang gets +1/+0 for each other artifact you control.</t>
  </si>
  <si>
    <t>{6}{U}{U}</t>
  </si>
  <si>
    <t>Donatello, Way with Machines</t>
  </si>
  <si>
    <t>Flying Whenever an artifact you control enters, put a +1/+1 counter on Donatello.</t>
  </si>
  <si>
    <t>Donatello, Turtle Techie</t>
  </si>
  <si>
    <t>When Donatello enters, if you control an artifact, draw a card.</t>
  </si>
  <si>
    <t>Crustacean Commando</t>
  </si>
  <si>
    <t>Creature — Crab Mutant Soldier</t>
  </si>
  <si>
    <t>When this creature enters, create a Mutagen token. (It's an artifact with "{1}, {T}, Sacrifice this token: Put a +1/+1 counter on target creature. Activate only as a sorcery.")</t>
  </si>
  <si>
    <t>Buzz Bots</t>
  </si>
  <si>
    <t>Artifact Creature — Robot Insect</t>
  </si>
  <si>
    <t>Flying, vigilance When this creature dies, draw a card.</t>
  </si>
  <si>
    <t>Sewer-veillance Cam</t>
  </si>
  <si>
    <t>Flash When this artifact enters or leaves the battlefield, you may tap or untap target creature. {3}{U}, Sacrifice this artifact: Draw two cards.</t>
  </si>
  <si>
    <t>Return to the Sewers</t>
  </si>
  <si>
    <t>Target creature's owner puts it on their choice of the top or bottom of their library. You create a Mutagen token. (It's an artifact with "{1}, {T}, Sacrifice this token: Put a +1/+1 counter on target creature. Activate only as a sorcery.")</t>
  </si>
  <si>
    <t>April, Reporter of the Weird</t>
  </si>
  <si>
    <t>Legendary Creature — Human Detective</t>
  </si>
  <si>
    <t>Whenever April deals combat damage to a player, draw that many cards, then discard a card.</t>
  </si>
  <si>
    <t>Stockman, Mad Fly-entist</t>
  </si>
  <si>
    <t>Legendary Creature — Insect Mutant Scientist</t>
  </si>
  <si>
    <t>Flying When Stockman enters, draw a card, then discard a card. Islandcycling {2} ({2}, Discard this card: Search your library for an Island card, reveal it, put it into your hand, then shuffle.)</t>
  </si>
  <si>
    <t>Foot Elite</t>
  </si>
  <si>
    <t>Creature — Human Ninja</t>
  </si>
  <si>
    <t>Whenever this creature attacks, another target creature you control gets +1/+0 and gains indestructible until end of turn. (Damage and effects that say "destroy" don't destroy it.)</t>
  </si>
  <si>
    <t>Karai's Technique</t>
  </si>
  <si>
    <t>Sneak {W}{B} (You may cast this spell for {W}{B} if you also return an unblocked attacker you control to hand during the declare blockers step.) Choose one or both — • Target creature gets +3/+3 until end of turn. • Target creature gets -3/-3 until end of turn.</t>
  </si>
  <si>
    <t>EPF Point Squad</t>
  </si>
  <si>
    <t>Alliance — Whenever another creature you control enters, put a +1/+1 counter on this creature.</t>
  </si>
  <si>
    <t>{1}{R/W}{R/W}</t>
  </si>
  <si>
    <t>Mechanized Ninja Cavalry</t>
  </si>
  <si>
    <t>Artifact Creature — Robot Ninja</t>
  </si>
  <si>
    <t>When this creature enters, create a 1/1 colorless Robot artifact creature token.</t>
  </si>
  <si>
    <t>The Neutrinos</t>
  </si>
  <si>
    <t>Legendary Creature — Elf Rebel</t>
  </si>
  <si>
    <t>Flying Alliance — Whenever another creature you control enters, The Neutrinos get +1/+0 until end of turn. Whenever The Neutrinos attack, exile up to one target creature you own, then return it to the battlefield under your control tapped and attacking.</t>
  </si>
  <si>
    <t>Go Ninja Go</t>
  </si>
  <si>
    <t>Choose one or both — • Exile target creature you control, then return it to the battlefield under its owner's control. • Go Ninja Go deals damage equal to the greatest power among creatures you control to target creature an opponent controls.</t>
  </si>
  <si>
    <t>Tainted Treats</t>
  </si>
  <si>
    <t>Destroy target artifact or creature. If its mana value was 4 or less, create a Food token. (It's an artifact with "{2}, {T}, Sacrifice this token: You gain 3 life.")</t>
  </si>
  <si>
    <t>Bebop &amp; Rocksteady</t>
  </si>
  <si>
    <t>Legendary Creature — Boar Rhino Mutant</t>
  </si>
  <si>
    <t>Whenever Bebop &amp; Rocksteady attack or block, sacrifice a permanent unless you discard a card.</t>
  </si>
  <si>
    <t>Putrid Pals</t>
  </si>
  <si>
    <t>Creature — Human Ooze Mutant</t>
  </si>
  <si>
    <t>Deathtouch Disappear — This creature enters with two +1/+1 counters on it if a permanent left the battlefield under your control this turn.</t>
  </si>
  <si>
    <t>{2}{B/G}{B/G}</t>
  </si>
  <si>
    <t>Punk Frogs</t>
  </si>
  <si>
    <t>Creature — Frog Mutant Rebel</t>
  </si>
  <si>
    <t>Ward {3} (Whenever this creature becomes the target of a spell or ability an opponent controls, counter it unless that player pays {3}.)</t>
  </si>
  <si>
    <t>{3}{G/U}{G/U}</t>
  </si>
  <si>
    <t>Ice Cream Kitty</t>
  </si>
  <si>
    <t>Artifact Creature — Food Cat Mutant</t>
  </si>
  <si>
    <t>{2}, Sacrifice another creature or token: Draw a card. Activate only as a sorcery. {2}, {T}, Sacrifice this creature: You gain 3 life.</t>
  </si>
  <si>
    <t>{1}{B/G}</t>
  </si>
  <si>
    <t>Pizza Face, Gastromancer</t>
  </si>
  <si>
    <t>Legendary Artifact Creature — Food Mutant</t>
  </si>
  <si>
    <t>When Pizza Face enters, create a Food token. Disappear — At the beginning of your end step, if a permanent left the battlefield under your control this turn, put three +1/+1 counters on up to one other target artifact or creature. If it isn't a creature, it becomes a 0/0 Mutant creature in addition to its other types. {10}, {T}, Sacrifice Pizza Face: You gain 15 life.</t>
  </si>
  <si>
    <t>{3}{B}{G}</t>
  </si>
  <si>
    <t>Mouser Mark III</t>
  </si>
  <si>
    <t>This creature can't attack unless you control another artifact.</t>
  </si>
  <si>
    <t>Brilliance Unleashed</t>
  </si>
  <si>
    <t>Choose one or both — • Brilliance Unleashed deals 5 damage to target creature. • Choose target artifact card in your graveyard. Return it to the battlefield if it's an artifact creature card. Otherwise, return it to the battlefield and it's a 3/3 Robot artifact creature with flying.</t>
  </si>
  <si>
    <t>{4}{U}{R}</t>
  </si>
  <si>
    <t>Nobody</t>
  </si>
  <si>
    <t>Artifact Creature — Human Hero</t>
  </si>
  <si>
    <t>When this creature enters, return up to one other target artifact you control to its owner's hand. Scry 1. (Look at the top card of your library. You may put that card on the bottom.)</t>
  </si>
  <si>
    <t>Baxter Stockman</t>
  </si>
  <si>
    <t>Legendary Creature — Human Scientist</t>
  </si>
  <si>
    <t>When Baxter Stockman enters, create a 1/1 colorless Robot artifact creature token. At the beginning of combat on your turn, target artifact creature you control gets +3/+0 and gains first strike and vigilance until end of turn.</t>
  </si>
  <si>
    <t>Genghis Frog</t>
  </si>
  <si>
    <t>Legendary Creature — Frog Mutant Rogue</t>
  </si>
  <si>
    <t>Trample Whenever Genghis Frog or another Mutant you control enters, create a Mutagen token. (It's an artifact with "{1}, {T}, Sacrifice this token: Put a +1/+1 counter on target creature. Activate only as a sorcery.")</t>
  </si>
  <si>
    <t>Mikey &amp; Don, Party Planners</t>
  </si>
  <si>
    <t>Ward {2} You may look at the top card of your library any time. You may play lands and cast Mutant, Ninja, or Turtle spells from the top of your library. If you cast a creature spell this way, that creature enters with an additional +1/+1 counter on it.</t>
  </si>
  <si>
    <t>{2}{G/U}{G/U}</t>
  </si>
  <si>
    <t>Slithering Cryptid</t>
  </si>
  <si>
    <t>Creature — Fish Mutant</t>
  </si>
  <si>
    <t>{2}{G/U}</t>
  </si>
  <si>
    <t>Krang &amp; Shredder</t>
  </si>
  <si>
    <t>Legendary Creature — Utrom Human Ninja</t>
  </si>
  <si>
    <t>Whenever Krang &amp; Shredder enter or attack, each opponent exiles cards from the top of their library until they exile a nonland card. Disappear — At the beginning of your end step, if a permanent left the battlefield under your control this turn, you may cast a card exiled with Krang &amp; Shredder without paying its mana cost.</t>
  </si>
  <si>
    <t>{4}{U/B}{U/B}</t>
  </si>
  <si>
    <t>Manhole Missile</t>
  </si>
  <si>
    <t>Manhole Missile deals 3 damage to target creature. You may put a card from your hand on the bottom of your library. If you do, draw a card.</t>
  </si>
  <si>
    <t>Null Group Biological Assets</t>
  </si>
  <si>
    <t>Creature — Mutant Mercenary</t>
  </si>
  <si>
    <t>During your turn, this creature has first strike. Whenever this creature attacks, you may discard a card. If you do, draw a card.</t>
  </si>
  <si>
    <t>Mutant Town Musicians</t>
  </si>
  <si>
    <t>Creature — Mutant Bard Performer</t>
  </si>
  <si>
    <t>Trample Alliance — Whenever another creature you control enters, this creature gets +1/+0 until end of turn.</t>
  </si>
  <si>
    <t>Mouser Attack!</t>
  </si>
  <si>
    <t>Choose one — • Create a 1/1 colorless Robot artifact creature token. • Target creature gets +3/+0 and gains first strike until end of turn.</t>
  </si>
  <si>
    <t>Mouser Foundry</t>
  </si>
  <si>
    <t>When this artifact enters or leaves the battlefield, create a 1/1 colorless Robot artifact creature token. {4}{R}, Sacrifice this artifact: It deals 3 damage to target creature.</t>
  </si>
  <si>
    <t>Zog, Triceraton Castaway</t>
  </si>
  <si>
    <t>Legendary Creature — Dinosaur Soldier</t>
  </si>
  <si>
    <t>Reach, trample When Zog enters, target creature can't block this turn. Mountaincycling {2} ({2}, Discard this card: Search your library for a Mountain card, reveal it, put it into your hand, then shuffle.)</t>
  </si>
  <si>
    <t>Bot Bashing Time</t>
  </si>
  <si>
    <t>Bot Bashing Time deals 6 damage to target creature. If that creature would die this turn, exile it instead.</t>
  </si>
  <si>
    <t>Casey Jones, Jury-Rig Justiciar</t>
  </si>
  <si>
    <t>Legendary Creature — Human Berserker</t>
  </si>
  <si>
    <t>Haste When Casey Jones enters, look at the top four cards of your library. You may reveal an artifact card from among them and put it into your hand. Put the rest on the bottom of your library in a random order.</t>
  </si>
  <si>
    <t>Purple Dragon Punks</t>
  </si>
  <si>
    <t>Creature — Human Rogue</t>
  </si>
  <si>
    <t>{T}: Add {R}. Spend this mana only to cast an artifact spell or to activate an ability.</t>
  </si>
  <si>
    <t>Old Hob, Alleycat Blues</t>
  </si>
  <si>
    <t>Legendary Creature — Cat Mutant Rebel</t>
  </si>
  <si>
    <t>At the beginning of combat on your turn, create a 2/2 red Mutant creature token. It gains haste until end of turn. Destroy it at the beginning of the next end step. {1}{W}: Target attacking creature token gains indestructible until end of turn.</t>
  </si>
  <si>
    <t>Raphael, the Nightwatcher</t>
  </si>
  <si>
    <t>Sneak {1}{R}{R} (You may cast this spell for {1}{R}{R} if you also return an unblocked attacker you control to hand during the declare blockers step. He enters tapped and attacking.) Attacking creatures you control have double strike.</t>
  </si>
  <si>
    <t>Raphael, Most Attitude</t>
  </si>
  <si>
    <t>Menace (This creature can't be blocked except by two or more creatures.) Alliance — Whenever another creature you control enters, you may exile the top card of your library. Whenever Raphael attacks, until end of turn, you may play a card exiled with Raphael.</t>
  </si>
  <si>
    <t>Jennika's Technique</t>
  </si>
  <si>
    <t>Sneak {R} (You may cast this spell for {R} if you also return an unblocked attacker you control to hand during the declare blockers step.) Jennika's Technique deals 2 damage to each creature.</t>
  </si>
  <si>
    <t>Raphael, Tough Turtle</t>
  </si>
  <si>
    <t>Alliance — Whenever another creature you control enters, Raphael deals 1 damage to target opponent.</t>
  </si>
  <si>
    <t>Spicy Oatmeal Pizza</t>
  </si>
  <si>
    <t>When this artifact enters, it deals 4 damage to any target and 3 damage to you. {2}, {T}, Sacrifice this artifact: You gain 3 life.</t>
  </si>
  <si>
    <t>Wingnut, Bat on the Belfry</t>
  </si>
  <si>
    <t>Legendary Creature — Bat Mutant</t>
  </si>
  <si>
    <t>Alliance — Whenever another creature you control enters, Wingnut gains your choice of flying, menace, or haste until end of turn. Whenever Wingnut attacks, each other attacking creature gets +1/+0 until end of turn.</t>
  </si>
  <si>
    <t>General Traag, Heart of Stone</t>
  </si>
  <si>
    <t>Legendary Artifact Creature — Elemental Soldier</t>
  </si>
  <si>
    <t>Trample When General Traag enters, you may sacrifice another artifact. When you do, General Traag deals 4 damage to target creature.</t>
  </si>
  <si>
    <t>Rock Soldiers</t>
  </si>
  <si>
    <t>Artifact Creature — Elemental Soldier</t>
  </si>
  <si>
    <t>When this creature enters, destroy up to one target noncreature artifact.</t>
  </si>
  <si>
    <t>Hard-Won Jitte</t>
  </si>
  <si>
    <t>Equipped creature has double strike. Equip {2} ({2}: Attach to target creature you control. Equip only as a sorcery.)</t>
  </si>
  <si>
    <t>April O'Neil, Kunoichi Trainee</t>
  </si>
  <si>
    <t>When April O'Neil enters, scry 2. (Look at the top two cards of your library, then put any number of them on the bottom and the rest on top in any order.) April O'Neil can't be blocked by creatures with power 3 or greater.</t>
  </si>
  <si>
    <t>East Wind Avatar</t>
  </si>
  <si>
    <t>Creature — Bird Spirit Avatar</t>
  </si>
  <si>
    <t>Flying, vigilance Alliance — Whenever another creature you control enters, this creature gets +1/+0 until end of turn.</t>
  </si>
  <si>
    <t>The Last Ronin's Technique</t>
  </si>
  <si>
    <t>Sneak {1}{W} (You may cast this spell for {1}{W} if you also return an unblocked attacker you control to hand during the declare blockers step.) Create three 1/1 white Ninja Turtle Spirit creature tokens. If this spell's sneak cost was paid, they enter tapped and attacking.</t>
  </si>
  <si>
    <t>Featherbrained Filcher</t>
  </si>
  <si>
    <t>Creature — Bird Mutant</t>
  </si>
  <si>
    <t>Flying When this creature leaves the battlefield, create a Food token. (It's an artifact with "{2}, {T}, Sacrifice this token: You gain 3 life.")</t>
  </si>
  <si>
    <t>Mighty Mutanimals</t>
  </si>
  <si>
    <t>Creature — Mutant Rebel</t>
  </si>
  <si>
    <t>When this creature enters, create a 2/2 red Mutant creature token. Alliance — Whenever another creature you control enters, put a +1/+1 counter on target creature you control.</t>
  </si>
  <si>
    <t>Quintessential Katana</t>
  </si>
  <si>
    <t>Equipped creature gets +1/+1 and has "Whenever this creature deals combat damage, untap it and you gain 2 life." Whenever a Ninja you control enters, you may attach this Equipment to it. Equip {2} ({2}: Attach to target creature you control. Equip only as a sorcery.)</t>
  </si>
  <si>
    <t>Make Your Move / Faça Sua Jogada</t>
  </si>
  <si>
    <t>Destroy target artifact, enchantment, or creature with power 4 or greater. / Destrua o artefato, o encantamento ou a criatura com poder igual ou superior a 4 alvo.</t>
  </si>
  <si>
    <t>Lita, Little Orphan Amphibian</t>
  </si>
  <si>
    <t>Alliance — Whenever another creature you control enters, choose one that hasn't been chosen this turn. • Put a +1/+1 counter on Lita. • Create a Food token. (It's an artifact with "{2}, {T}, Sacrifice this token: You gain 3 life.") • Scry 1.</t>
  </si>
  <si>
    <t>Agent Bishop, Man in Black</t>
  </si>
  <si>
    <t>At the beginning of combat on your turn, put a +1/+1 counter on each of up to two target creatures.</t>
  </si>
  <si>
    <t>Uneasy Alliance</t>
  </si>
  <si>
    <t>Enchant creature Enchanted creature can't attack or block. {5}, Sacrifice this Aura: Exile enchanted creature. You create a 1/1 black Ninja creature token. Activate only as a sorcery.</t>
  </si>
  <si>
    <t>High-Flying Ace</t>
  </si>
  <si>
    <t>Flying {3}{W}: Target creature without flying gains flying until end of turn. Activate only as a sorcery.</t>
  </si>
  <si>
    <t>Koya, Death from Above</t>
  </si>
  <si>
    <t>Legendary Creature — Mutant Ninja Bird</t>
  </si>
  <si>
    <t>Flying When Koya enters, exile up to one other target creature. At the beginning of the next end step, you may pay {3}{B}. If you don't, return that card to the battlefield under its owner's control.</t>
  </si>
  <si>
    <t>Dimensional Exile</t>
  </si>
  <si>
    <t>Enchant basic land you control When this Aura enters, exile target creature an opponent controls until this Aura leaves the battlefield.</t>
  </si>
  <si>
    <t>Hamato Guardian Stance</t>
  </si>
  <si>
    <t>Target creature gets +1/+3 and gains flying until end of turn. Scry 1. (Look at the top card of your library. You may put that card on the bottom.)</t>
  </si>
  <si>
    <t>Leonardo, Big Brother</t>
  </si>
  <si>
    <t>Sneak {W} (You may cast this spell for {W} if you also return an unblocked attacker you control to hand during the declare blockers step. He enters tapped and attacking.) Leonardo gets +1/+0 for each other creature you control.</t>
  </si>
  <si>
    <t>Leonardo, Leader in Blue</t>
  </si>
  <si>
    <t>Sneak {3}{W}{W} (You may cast this spell for {3}{W}{W} if you also return an unblocked attacker you control to hand during the declare blockers step. He enters tapped and attacking.) When Leonardo enters, if his sneak cost was paid, creatures you control get +2/+0 until end of turn. {1}{W}: Leonardo gains first strike until end of turn.</t>
  </si>
  <si>
    <t>Jennika, Bad Apple Big Sister</t>
  </si>
  <si>
    <t>When Jennika enters, create a 2/2 red Mutant creature token. Plainscycling {2} ({2}, Discard this card: Search your library for a Plains card, reveal it, put it into your hand, then shuffle.)</t>
  </si>
  <si>
    <t>Grounded for Life</t>
  </si>
  <si>
    <t>This spell costs {3} less to cast if it targets a tapped creature. Destroy target creature.</t>
  </si>
  <si>
    <t>Plains / Planície</t>
  </si>
  <si>
    <t>Basic Land — Plains / Terreno Básico — Planície</t>
  </si>
  <si>
    <t>({T}: Add {W}.) / W</t>
  </si>
  <si>
    <t>Kruphix's Insight / Visão de Crufix</t>
  </si>
  <si>
    <t>Reveal the top six cards of your library. Put up to three enchantment cards from among them into your hand and the rest of the revealed cards into your graveyard. / Revele os seis cards do topo de seu grimório. Coloque até três cards de encantamento dentre eles na sua mão e o restante dos cards revelados no seu cemitério.</t>
  </si>
  <si>
    <t>Satyr Grovedancer / Sátiro Dançarino do Bosque</t>
  </si>
  <si>
    <t>Creature — Satyr Shaman / Criatura — Sátiro Xamã</t>
  </si>
  <si>
    <t>When this creature enters, put a +1/+1 counter on target creature. / Quando Sátiro Dançarino do Bosque entrar no campo de batalha, coloque um marcador +1/+1 na criatura alvo.</t>
  </si>
  <si>
    <t>Desecration Plague / Praga da Profanação</t>
  </si>
  <si>
    <t>Destroy target enchantment or land. / Destrua o encantamento ou terreno alvo.</t>
  </si>
  <si>
    <t>Goldenhide Ox / Boi do Couro Dourado</t>
  </si>
  <si>
    <t>Enchantment Creature — Ox / Criatura Encantamento — Boi</t>
  </si>
  <si>
    <t>Constellation — Whenever this creature or another enchantment you control enters, target creature must be blocked this turn if able. / Constelação — Toda vez que Boi do Couro Dourado ou outro encantamento entrar no campo de batalha sob seu controle, a criatura alvo deverá ser bloqueada neste turno se estiver apta.</t>
  </si>
  <si>
    <t>Oakheart Dryads / Dríades Coração-de-carvalho</t>
  </si>
  <si>
    <t>Enchantment Creature — Nymph Dryad / Criatura Encantamento — Ninfa Dríade</t>
  </si>
  <si>
    <t>Constellation — Whenever this creature or another enchantment you control enters, target creature gets +1/+1 until end of turn. / Constelação — Toda vez que Dríades Coração-de-carvalho ou outro encantamento entra no campo de batalha sob seu controle, a criatura alvo recebe +1/+1 até o final do turno.</t>
  </si>
  <si>
    <t>Reviving Melody / Melodia Restauradora</t>
  </si>
  <si>
    <t>Choose one or both — • Return target creature card from your graveyard to your hand. • Return target enchantment card from your graveyard to your hand. / Escolha um ou ambos — Devolva o card de criatura alvo de seu cemitério para sua mão; e/ou devolva o card de encantamento alvo de seu cemitério para sua mão.</t>
  </si>
  <si>
    <t>Ravenous Leucrocota / Leucrócota Voraz</t>
  </si>
  <si>
    <t>Vigilance {6}{G}: Monstrosity 3. (If this creature isn't monstrous, put three +1/+1 counters on it and it becomes monstrous.) / Vigilância {6}{G}: Monstruosidade 3. (Se esta criatura não for monstruosa, coloque três marcadores +1/+1 nela e ela se tornará monstruosa.)</t>
  </si>
  <si>
    <t>Strength from the Fallen / Força dos Caídos</t>
  </si>
  <si>
    <t>Constellation — Whenever this enchantment or another enchantment you control enters, target creature gets +X/+X until end of turn, where X is the number of creature cards in your graveyard. / Constelação — Toda vez que Força dos Caídos ou outro encantamento entra no campo de batalha sob seu controle, a criatura alvo recebe +X/+X até o final do turno, sendo X o número de cards de criatura no seu cemitério.</t>
  </si>
  <si>
    <t>Renowned Weaver / Tecedora Renomada</t>
  </si>
  <si>
    <t>{1}{G}, Sacrifice this creature: Create a 1/3 green Spider enchantment creature token with reach. (It can block creatures with flying.) / {1}{G}, Sacrifique Tecedora Renomada: Coloque no campo de batalha uma ficha de criatura encantamento verde 1/3 do tipo Aranha com alcance. (Ela pode bloquear criaturas com voar.)</t>
  </si>
  <si>
    <t>Swarmborn Giant / Gigante do Enxame</t>
  </si>
  <si>
    <t>When you're dealt combat damage, sacrifice this creature. {4}{G}{G}: Monstrosity 2. (If this creature isn't monstrous, put two +1/+1 counters on it and it becomes monstrous.) As long as this creature is monstrous, it has reach. / Quando você sofrer dano de combate, sacrifique Gigante do Enxame. {4}{G}{G}: Monstruosidade 2. (Se esta criatura não for monstruosa, coloque dois marcadores +1/+1 nela e ela se tornará monstruosa.) Enquanto Gigante do Enxame for monstruoso, ele terá alcance.</t>
  </si>
  <si>
    <t>Golden Hind / Cerva Dourada</t>
  </si>
  <si>
    <t>{T}: Add {G}. / {T}: Adicione {G} à sua reserva de mana.</t>
  </si>
  <si>
    <t>Solidarity of Heroes / Solidariedade dos Heróis</t>
  </si>
  <si>
    <t>Strive — This spell costs {1}{G} more to cast for each target beyond the first. Choose any number of target creatures. Double the number of +1/+1 counters on each of them. / Esforço — Solidariedade dos Heróis custa {1}{G} a mais para ser conjurado para cada alvo além do primeiro. Escolha qualquer número de criaturas alvo. Dobre o número de marcadores +1/+1 em cada uma delas.</t>
  </si>
  <si>
    <t>Commander 2016 (C16)</t>
  </si>
  <si>
    <t>Bassara Tower Archer / Arqueiro da Torre de Bassara</t>
  </si>
  <si>
    <t>Creature — Human Archer / Criatura — Humano Arqueiro</t>
  </si>
  <si>
    <t>Hexproof, reach / Resistência a magia, alcance</t>
  </si>
  <si>
    <t>Font of Fertility / Fonte da Fertilidade</t>
  </si>
  <si>
    <t>{1}{G}, Sacrifice this enchantment: Search your library for a basic land card, put it onto the battlefield tapped, then shuffle. / {1}{G}, Sacrifique Fonte da Fertilidade: Procure um card de terreno básico no seu grimório, coloque-o no campo de batalha virado e depois embaralhe seu grimório.</t>
  </si>
  <si>
    <t>Pheres-Band Thunderhoof / Casco-de-trovão do Bando Feres</t>
  </si>
  <si>
    <t>Heroic — Whenever you cast a spell that targets this creature, put two +1/+1 counters on this creature. / Heroico — Toda vez que você conjurar uma mágica cujo alvo seja Casco-de-trovão do Bando Feres, coloque dois marcadores +1/+1 em Casco-de-trovão do Bando Feres.</t>
  </si>
  <si>
    <t>Stormchaser Chimera / Quimera Caçadora de Tempestade</t>
  </si>
  <si>
    <t>Creature — Chimera / Criatura — Quimera</t>
  </si>
  <si>
    <t>Flying {2}{U}{R}: Scry 1, then reveal the top card of your library. This creature gets +X/+0 until end of turn, where X is that card's mana value. (To scry 1, look at the top card of your library, then you may put that card on the bottom.) / Voar {2}{U}{R}: Use vidência 1 e depois revele o card do topo do seu grimório. Quimera Caçadora de Tempestade recebe +X/+0 até o final do turno, sendo X igual ao custo de mana convertido daquele card. (Para usar vidência 1, olhe o card do topo de seu grimório. Depois, você pode colocar aquele card no fundo de seu grimório.)</t>
  </si>
  <si>
    <t>{2}{U}{R}</t>
  </si>
  <si>
    <t>Desperate Stand / Resistência Desesperada</t>
  </si>
  <si>
    <t>Strive — This spell costs {R}{W} more to cast for each target beyond the first. Any number of target creatures each get +2/+0 and gain first strike and vigilance until end of turn. / Esforço — Resistência Desesperada custa {R}{W} a mais para ser conjurado para cada alvo além do primeiro. Qualquer número de criaturas alvo recebe +2/+0 e ganha iniciativa e vigilância até o final do turno.</t>
  </si>
  <si>
    <t>Disciple of Deceit / Discípulo da Enganação</t>
  </si>
  <si>
    <t>Inspired — Whenever this creature becomes untapped, you may discard a nonland card. If you do, search your library for a card with the same mana value as that card, reveal it, put it into your hand, then shuffle. / Inspirado — Toda vez que Discípulo da Enganação é desvirado, você pode descartar um card que não seja terreno. Se fizer isso, procure em seu grimório um card com o mesmo custo de mana convertido daquele card, revele-o e coloque-o em sua mão. Depois, embaralhe o seu grimório.</t>
  </si>
  <si>
    <t>Underworld Coinsmith / Moedeiro do Submundo</t>
  </si>
  <si>
    <t>Enchantment Creature — Human Cleric / Criatura Encantamento — Humano Clérigo</t>
  </si>
  <si>
    <t>Constellation — Whenever this creature or another enchantment you control enters, you gain 1 life. {W}{B}, Pay 1 life: Each opponent loses 1 life. / Constelação — Toda vez que Moedeiro do Submundo ou outro encantamento entra no campo de batalha sob seu controle, você ganha 1 ponto de vida. {W}{B}, Pague 1 ponto de vida: Cada oponente perde 1 ponto de vida.</t>
  </si>
  <si>
    <t>Launch the Fleet / Lançar a Frota</t>
  </si>
  <si>
    <t>Strive — This spell costs {1} more to cast for each target beyond the first. Until end of turn, any number of target creatures each gain "Whenever this creature attacks, create a 1/1 white Soldier creature token that's tapped and attacking." / Esforço — Lançar a Frota custa {1} a mais para ser conjurado para cada alvo além do primeiro. Até o final do turno, qualquer número de criaturas alvo ganha "Toda vez que esta criatura atacar, coloque no campo de batalha uma ficha de criatura 1/1 branca do tipo Soldado virada e atacando."</t>
  </si>
  <si>
    <t>Lagonna-Band Trailblazer / Pioneira do Bando de Lagonna</t>
  </si>
  <si>
    <t>Creature — Centaur Scout / Criatura — Centauro Batedor</t>
  </si>
  <si>
    <t>Heroic — Whenever you cast a spell that targets this creature, put a +1/+1 counter on it. / Heroico — Toda vez que você conjurar uma mágica que tenha como alvo Pioneira do Bando de Lagonna, coloque um marcador +1/+1 em Pioneira do Bando de Lagonna.</t>
  </si>
  <si>
    <t>Stonewise Fortifier / Fortificador Petrisábio</t>
  </si>
  <si>
    <t>{4}{W}: Prevent all damage that would be dealt to this creature by target creature this turn. / {4}{W}: Previna todo o dano que seria causado a Fortificador Petrisábio pela criatura alvo neste turno.</t>
  </si>
  <si>
    <t>Mortal Obstinacy / Obstinação dos Mortais</t>
  </si>
  <si>
    <t>Enchant creature you control Enchanted creature gets +1/+1. Whenever enchanted creature deals combat damage to a player, you may sacrifice this Aura. If you do, destroy target enchantment. / Encantar criatura que você controla A criatura encantada recebe +1/+1. Toda vez que a criatura encantada causa dano de combate a um jogador, você pode sacrificar Obstinação dos Mortais. Se fizer isso, destrua o encantamento alvo.</t>
  </si>
  <si>
    <t>Eidolon of Rhetoric / Eidolon da Retórica</t>
  </si>
  <si>
    <t>Enchantment Creature — Spirit / Criatura Encantamento — Espírito</t>
  </si>
  <si>
    <t>Each player can't cast more than one spell each turn. / Cada jogador não pode conjurar mais de uma mágica a cada turno.</t>
  </si>
  <si>
    <t>Font of Vigor / Fonte do Vigor</t>
  </si>
  <si>
    <t>{2}{W}, Sacrifice this enchantment: You gain 7 life. / {2}{W}, Sacrifique Fonte do Vigor: Você ganha 7 pontos de vida.</t>
  </si>
  <si>
    <t>Supply-Line Cranes / Grous de Suprimento</t>
  </si>
  <si>
    <t>Flying When this creature enters, put a +1/+1 counter on target creature. / Voar Quando Grous de Suprimento entrar no campo de batalha, coloque um marcador +1/+1 na criatura alvo.</t>
  </si>
  <si>
    <t>Akroan Mastiff / Mastim Acrosano</t>
  </si>
  <si>
    <t>Nyx-Fleece Ram / Carneiro Velocino-de-Nyx</t>
  </si>
  <si>
    <t>Enchantment Creature — Sheep / Criatura Encantamento — Ovelha</t>
  </si>
  <si>
    <t>At the beginning of your upkeep, you gain 1 life. / No início de sua manutenção, você ganha 1 ponto de vida.</t>
  </si>
  <si>
    <t>Historic Anthology 2 (HA2)</t>
  </si>
  <si>
    <t>Oppressive Rays / Raios Opressores</t>
  </si>
  <si>
    <t>Enchant creature Enchanted creature can't attack or block unless its controller pays {3}. Activated abilities of enchanted creature cost {3} more to activate. / Encantar criatura A criatura encantada não pode atacar ou bloquear a menos que seu controlador pague {3}. As habilidades ativadas da criatura encantada custam {3} a mais para serem ativadas.</t>
  </si>
  <si>
    <t>Harvestguard Alseids / Alseídes da Colheita</t>
  </si>
  <si>
    <t>Constellation — Whenever this creature or another enchantment you control enters, prevent all damage that would be dealt to target creature this turn. / Constelação — Toda vez que Alseídes da Colheita ou outro encantamento entrar no campo de batalha sob seu controle, previna todo o dano que seria causado à criatura alvo neste turno.</t>
  </si>
  <si>
    <t>Armament of Nyx / Armamento de Nyx</t>
  </si>
  <si>
    <t>Enchant creature Enchanted creature has double strike as long as it's an enchantment. Otherwise, prevent all damage that would be dealt by enchanted creature. (A creature with double strike deals both first-strike and regular combat damage.) / Encantar criatura A criatura encantada terá golpe duplo enquanto for um encantamento. Do contrário, previna todo o dano que seria causado pela criatura encantada. (Uma criatura com golpe duplo causa tanto o dano de iniciativa quanto o de combate normal.)</t>
  </si>
  <si>
    <t>Ajani's Presence / Presença de Ajani</t>
  </si>
  <si>
    <t>Strive — This spell costs {2}{W} more to cast for each target beyond the first. Any number of target creatures each get +1/+1 and gain indestructible until end of turn. (Damage and effects that say "destroy" don't destroy them.) / Esforço — Presença de Ajani custa {2}{W} a mais para ser conjurado para cada alvo além do primeiro. Qualquer número de criaturas alvo recebe +1/+1 e ganha indestrutível até o final do turno. (Nem dano nem efeitos que dizem "destrua" podem destruí-las.)</t>
  </si>
  <si>
    <t>Dictate of Heliod / Decreto de Heliode</t>
  </si>
  <si>
    <t>Flash Creatures you control get +2/+2. / Lampejo As criaturas que você controla recebem +2/+2.</t>
  </si>
  <si>
    <t>Eagle of the Watch / Águia da Vigia</t>
  </si>
  <si>
    <t>Flying, vigilance / Voar, vigilância</t>
  </si>
  <si>
    <t>Skyspear Cavalry / Cavalaria da Lança Celeste</t>
  </si>
  <si>
    <t>Flying Double strike (This creature deals both first-strike and regular combat damage.) / Voar Golpe duplo (Esta criatura causa tanto o dano de iniciativa quanto o de combate normal.)</t>
  </si>
  <si>
    <t>Quarry Colossus / Colosso da Pedreira</t>
  </si>
  <si>
    <t>When this creature enters, put target creature into its owner's library just beneath the top X cards of that library, where X is the number of Plains you control. / Quando Colosso da Pedreira entrar no campo de batalha, coloque a criatura alvo no grimório de seu dono sob X cards, sendo X o número de Planícies que você controla.</t>
  </si>
  <si>
    <t>Phalanx Formation / Formação de Falange</t>
  </si>
  <si>
    <t>Strive — This spell costs {1}{W} more to cast for each target beyond the first. Any number of target creatures each gain double strike until end of turn. (They deal both first-strike and regular combat damage.) / Esforço — Formação de Falange custa {1}{W} a mais para ser conjurado para cada alvo além do primeiro. Qualquer número de criaturas alvo ganha golpe duplo até o final do turno. (Elas causam tanto o dano de iniciativa quanto o dano de combate normal.)</t>
  </si>
  <si>
    <t>Agent of Erebos / Agente de Érebo</t>
  </si>
  <si>
    <t>Constellation — Whenever this creature or another enchantment you control enters, exile target player's graveyard. / Constelação — Toda vez que Agente de Érebo ou outro encantamento entrar no campo de batalha sob seu controle, exile todos os cards do cemitério do jogador alvo.</t>
  </si>
  <si>
    <t>Feast of Dreams / Banquete de Sonhos</t>
  </si>
  <si>
    <t>Destroy target enchanted creature or enchantment creature. / Destrua a criatura encantada ou a criatura encantamento alvo.</t>
  </si>
  <si>
    <t>Dreadbringer Lampads / Lâmpades Medonhas</t>
  </si>
  <si>
    <t>Constellation — Whenever this creature or another enchantment you control enters, target creature gains intimidate until end of turn. (It can't be blocked except by artifact creatures and/or creatures that share a color with it.) / Constelação — Toda vez que Lâmpades Medonhas ou outro encantamento entra no campo de batalha sob seu controle, a criatura alvo ganha intimidar até o final do turno. (Esta criatura só pode ser bloqueada por criaturas artefato e/ou criaturas que compartilharem uma cor com ela.)</t>
  </si>
  <si>
    <t>Nightmarish End / Fim Aterrador</t>
  </si>
  <si>
    <t>Target creature gets -X/-X until end of turn, where X is the number of cards in your hand. / A criatura alvo recebe -X/-X até o final do turno, sendo X o número de cards na sua mão.</t>
  </si>
  <si>
    <t>Bloodcrazed Hoplite / Hoplita Sanguinário</t>
  </si>
  <si>
    <t>Heroic — Whenever you cast a spell that targets this creature, put a +1/+1 counter on it. Whenever a +1/+1 counter is put on this creature, remove a +1/+1 counter from target creature an opponent controls. / Heroico — Toda vez que você conjurar uma mágica cujo alvo seja Hoplita Sanguinário, coloque um marcador +1/+1 nele. Toda vez que um marcador +1/+1 for colocado em Hoplita Sanguinário, remova um marcador +1/+1 de uma criatura alvo controlada por um oponente.</t>
  </si>
  <si>
    <t>Cast into Darkness / Lançar na Escuridão</t>
  </si>
  <si>
    <t>Enchant creature Enchanted creature gets -2/-0 and can't block. / Encantar criatura A criatura encantada recebe -2/-0 e não pode bloquear.</t>
  </si>
  <si>
    <t>Thoughtrender Lamia / Lâmia Enlouquecedora</t>
  </si>
  <si>
    <t>Enchantment Creature — Lamia / Criatura Encantamento — Lâmia</t>
  </si>
  <si>
    <t>Constellation — Whenever this creature or another enchantment you control enters, each opponent discards a card. / Constelação — Toda vez que Lâmia Enlouquecedora ou outro encantamento entra no campo de batalha sob seu controle, cada oponente descarta um card.</t>
  </si>
  <si>
    <t>Cruel Feeding / Alimentação Cruel</t>
  </si>
  <si>
    <t>Strive — This spell costs {2}{B} more to cast for each target beyond the first. Any number of target creatures each get +1/+0 and gain lifelink until end of turn. (Damage dealt by a creature with lifelink also causes its controller to gain that much life.) / Esforço — Alimentação Cruel custa {2}{B} a mais para ser conjurado para cada alvo além do primeiro. Qualquer número de criaturas alvo recebe +1/+0 e ganha vínculo com a vida até o final do turno. (O dano causado por uma criatura com vínculo com a vida também faz com que seu controlador ganhe uma quantidade equivalente de pontos de vida.)</t>
  </si>
  <si>
    <t>Rotted Hulk / Brutamontes Apodrecido</t>
  </si>
  <si>
    <t>Spiteful Blow / Golpe Malévolo</t>
  </si>
  <si>
    <t>Destroy target creature and target land. / Destrua a criatura alvo e o terreno alvo.</t>
  </si>
  <si>
    <t>Nyx Infusion / Infusão de Nyx</t>
  </si>
  <si>
    <t>Enchant creature Enchanted creature gets +2/+2 as long as it's an enchantment. Otherwise, it gets -2/-2. / Encantar criatura A criatura encantada recebe +2/+2 enquanto for um encantamento. Do contrário, ela recebe -2/-2.</t>
  </si>
  <si>
    <t>Aspect of Gorgon / Aspecto de Górgona</t>
  </si>
  <si>
    <t>Enchant creature Enchanted creature gets +1/+3 and has deathtouch. (Any amount of damage it deals to a creature is enough to destroy it.) / Encantar criatura A criatura encantada recebe +1/+3 e tem toque mortífero. (Qualquer quantidade de dano que aquela criatura cause a uma criatura é suficiente para destruí-la.)</t>
  </si>
  <si>
    <t>Pharika's Chosen / Escolhida de Fárica</t>
  </si>
  <si>
    <t>Creature — Snake / Criatura — Cobra</t>
  </si>
  <si>
    <t>Deathtouch (Any amount of damage this deals to a creature is enough to destroy it.) / Toque mortífero (Qualquer quantidade de dano que esta criatura cause a uma criatura é suficiente para destruí-la.)</t>
  </si>
  <si>
    <t>Doomwake Giant / Gigante do Rastro Funesto</t>
  </si>
  <si>
    <t>Enchantment Creature — Giant / Criatura Encantamento — Gigante</t>
  </si>
  <si>
    <t>Constellation — Whenever this creature or another enchantment you control enters, creatures your opponents control get -1/-1 until end of turn. / Constelação — Toda vez que Gigante do Rastro Funesto ou outro encantamento entra no campo de batalha sob seu controle, as criaturas que seus oponentes controlam recebem -1/-1 até o final do turno.</t>
  </si>
  <si>
    <t>Master of the Feast / Mestre do Banquete</t>
  </si>
  <si>
    <t>Enchantment Creature — Demon / Criatura Encantamento — Demônio</t>
  </si>
  <si>
    <t>Flying At the beginning of your upkeep, each opponent draws a card. / Voar No início da sua manutenção, cada oponente compra um card.</t>
  </si>
  <si>
    <t>Ritual of the Returned / Ritual dos Ressurgidos</t>
  </si>
  <si>
    <t>Exile target creature card from your graveyard. Create a black Zombie creature token. Its power is equal to that card's power and its toughness is equal to that card's toughness. / Exile o card de criatura alvo do seu cemitério. Coloque no campo de batalha uma ficha de criatura preta do tipo Zumbi. Seu poder é igual ao poder daquele card e sua resistência é igual à resistência daquele card.</t>
  </si>
  <si>
    <t>Gnarled Scarhide / Mutilado das Cicatrizes</t>
  </si>
  <si>
    <t>Enchantment Creature — Minotaur / Criatura Encantamento — Minotauro</t>
  </si>
  <si>
    <t>Bestow {3}{B} (If you cast this card for its bestow cost, it's an Aura spell with enchant creature. It becomes a creature again if it's not attached.) This creature can't block. Enchanted creature gets +2/+1 and can't block. / Agraciar {3}{B} (Se você conjurar este card pagando seu custo de agraciar, ele será uma mágica de Aura com encantar criatura. Ele se tornará novamente uma criatura se não estiver anexado a uma criatura.) Mutilado das Cicatrizes não pode bloquear. A criatura encantada recebe +2/+1 e não pode bloquear.</t>
  </si>
  <si>
    <t>Returned Reveler / Festeiro Ressurgido</t>
  </si>
  <si>
    <t>Creature — Zombie Satyr / Criatura — Zumbi Sátiro</t>
  </si>
  <si>
    <t>When this creature dies, each player mills three cards. / Quando Festeiro Ressurgido morre, cada jogador coloca os três primeiros cards do próprio grimório no próprio cemitério.</t>
  </si>
  <si>
    <t>Font of Return / Fonte do Ressurgimento</t>
  </si>
  <si>
    <t>{3}{B}, Sacrifice this enchantment: Return up to three target creature cards from your graveyard to your hand. / {3}{B}, Sacrifique Fonte do Ressurgimento: Devolva até três cards de criatura alvo do seu cemitério para a sua mão.</t>
  </si>
  <si>
    <t>Tormented Thoughts / Pensamentos Atormentados</t>
  </si>
  <si>
    <t>As an additional cost to cast this spell, sacrifice a creature. Target player discards a number of cards equal to the sacrificed creature's power. / Como custo adicional para conjurar Pensamentos Atormentados, sacrifique uma criatura. O jogador alvo descarta um número de cards igual ao poder da criatura sacrificada.</t>
  </si>
  <si>
    <t>Silence the Believers / Silenciar os Crentes</t>
  </si>
  <si>
    <t>Strive — This spell costs {2}{B} more to cast for each target beyond the first. Exile any number of target creatures and all Auras attached to them. / Esforço — Silenciar os Crentes custa {2}{B} a mais para ser conjurado para cada alvo além do primeiro. Exile qualquer número de criaturas alvo e todas as Auras anexadas a elas.</t>
  </si>
  <si>
    <t>Imperial Subduer / Subjugadora Imperial</t>
  </si>
  <si>
    <t>Creature — Human Samurai / Criatura — Humano Samurai</t>
  </si>
  <si>
    <t>Whenever a Samurai or Warrior you control attacks alone, tap target creature you don't control. / Toda vez que um Samurai ou Guerreiro que você controla atacar sozinho, vire a criatura alvo que você não controla.</t>
  </si>
  <si>
    <t>Kami of Restless Shadows / Kami das Sombras Inquietas</t>
  </si>
  <si>
    <t>When this creature enters, choose one — • Return up to one target Ninja or Rogue creature card from your graveyard to your hand. • Put target creature card from your graveyard on top of your library. / Quando Kami das Sombras Inquietas entrar no campo de batalha, escolha um — • Devolva até um card de criatura Ninja ou Ladino alvo de seu cemitério para sua mão. • Coloque o card de criatura alvo de seu cemitério no topo de seu grimório.</t>
  </si>
  <si>
    <t>Dokuchi Shadow-Walker / Trilha-sombras Dokuchi</t>
  </si>
  <si>
    <t>Creature — Ogre Ninja / Criatura — Ogro Ninja</t>
  </si>
  <si>
    <t>Ninjutsu {3}{B} ({3}{B}, Return an unblocked attacker you control to hand: Put this card onto the battlefield from your hand tapped and attacking.) / Ninjutsu {3}{B} ({3}{B}, devolva para a mão um atacante não bloqueado que você controla: Coloque este card no campo de batalha de sua mão, virado e atacando.)</t>
  </si>
  <si>
    <t>Simian Sling / Lançador Símio</t>
  </si>
  <si>
    <t>Artifact Creature — Equipment Monkey / Criatura Artefato — Equipamento Macaco</t>
  </si>
  <si>
    <t>Equipped creature gets +1/+1. Whenever this creature or equipped creature becomes blocked, it deals 1 damage to defending player. Reconfigure {2} ({2}: Attach to target creature you control; or unattach from a creature. Reconfigure only as a sorcery. While attached, this isn't a creature.) / A criatura equipada recebe +1/+1. Toda vez que Lançador Símio ou a criatura equipada é bloqueada, aquela permanente causa 1 ponto de dano ao jogador defensor. Reconfigurar {2} ({2}: Anexe à criatura alvo que você controla ou solte de uma criatura. Reconfigure somente como um feitiço. Enquanto está anexada, esta permanente não é uma criatura.)</t>
  </si>
  <si>
    <t>Kami of Industry / Kami da Diligência</t>
  </si>
  <si>
    <t>When this creature enters, return target artifact card with mana value 3 or less from your graveyard to the battlefield. It gains haste. Sacrifice it at the beginning of the next end step. / Quando Kami da Diligência entrar no campo de batalha, devolva o card de artefato alvo com valor de mana igual ou inferior a 3 de seu cemitério para o campo de batalha. Ele ganha ímpeto. Sacrifique-o no início da próxima etapa final.</t>
  </si>
  <si>
    <t>Season of Renewal / Temporada de Renovação</t>
  </si>
  <si>
    <t>Choose one or both — • Return target creature card from your graveyard to your hand. • Return target enchantment card from your graveyard to your hand. / Escolha um ou ambos — • Devolva o card de criatura alvo de seu cemitério para sua mão. • Devolva o card de encantamento alvo de seu cemitério para sua mão.</t>
  </si>
  <si>
    <t>Jukai Trainee / Aprendiz Jukai</t>
  </si>
  <si>
    <t>Whenever this creature blocks or becomes blocked, it gets +1/+1 until end of turn. / Toda vez que Aprendiz Jukai bloqueia ou se torna bloqueada, ela recebe +1/+1 até o final do turno.</t>
  </si>
  <si>
    <t>Master's Rebuke / Repreensão da Mestra</t>
  </si>
  <si>
    <t>Target creature you control deals damage equal to its power to target creature or planeswalker you don't control. / A criatura alvo que você controla causa dano igual ao seu poder à criatura ou ao planeswalker alvo que você não controla.</t>
  </si>
  <si>
    <t>Tales of Master Seshiro // Seshiro's Living Legacy / Contos do Mestre Seshiro // Legado Vivo de Seshiro</t>
  </si>
  <si>
    <t>Enchantment — Saga // Enchantment Creature — Snake Warrior / Encantamento — Saga</t>
  </si>
  <si>
    <t>Tales of Master Seshiro: (As this Saga enters and after your draw step, add a lore counter.) I, II — Put a +1/+1 counter on target creature or Vehicle you control. It gains vigilance until end of turn. III — Exile this Saga, then return it to the battlefield transformed under your control. // Seshiro's Living Legacy: Vigilance, haste / (Conforme esta Saga entra e após sua etapa de compra, adicione um marcador de conhecimento.) I, II — Coloque um marcador +1/+1 na criatura ou no Veículo alvo que você controla. Ele ganha vigilância até o final do turno. III — Exile esta Saga, depois a devolva ao campo de batalha transformada sob seu controle.</t>
  </si>
  <si>
    <t>Lethal Exploit / Façanha Letal</t>
  </si>
  <si>
    <t>Target creature gets -2/-2 until end of turn. It gets an additional -1/-1 until end of turn for each modified creature you controlled as you cast this spell. (Equipment, Auras you control, and counters are modifications.) / A criatura alvo recebe -2/-2 até o final do turno. Ela recebe -1/-1 adicional até o final do turno para cada criatura modificada que você controlava conforme conjurou a mágica. (Os Equipamentos, as Auras que você controla e os marcadores são modificações.)</t>
  </si>
  <si>
    <t>Careful Cultivation / Cultivo Cuidadoso</t>
  </si>
  <si>
    <t>Enchant artifact or creature As long as enchanted permanent is a creature, it gets +1/+3 and has reach and "{T}: Add {G}{G}." Channel — {1}{G}, Discard this card: Create a 1/1 green Human Monk creature token with "{T}: Add {G}." / Encantar artefato ou criatura Enquanto a permanente encantada for uma criatura, ela receberá +1/+3 e terá alcance e "{T}: Adicione {G}{G}". Canalizar — {1}{G}, descarte Cultivo Cuidadoso: Crie uma ficha de criatura Humano Monge verde 1/1 com "{T}: Adicione {G}".</t>
  </si>
  <si>
    <t>Dragonfly Suit / Traje de Libélula</t>
  </si>
  <si>
    <t>Flying Crew 1 (Tap any number of creatures you control with total power 1 or more: This Vehicle becomes an artifact creature until end of turn.) / Voar Tripular 1 (Vire qualquer número de criaturas que você controla com total de poder igual ou superior a 1: Este Veículo torna-se uma criatura artefato até o final do turno.)</t>
  </si>
  <si>
    <t>Favor of Jukai / Proteção de Jukai</t>
  </si>
  <si>
    <t>Enchant artifact or creature As long as enchanted permanent is a creature, it gets +3/+3 and has reach. Channel — {1}{G}, Discard this card: Target creature gets +3/+3 and gains reach until end of turn. / Encantar artefato ou criatura Enquanto a permanente encantada for uma criatura, ela receberá +3/+3 e terá alcance. Canalizar — {1}{G}, descarte Proteção de Jukai: A criatura alvo recebe +3/+3 e ganha alcance até o final do turno.</t>
  </si>
  <si>
    <t>Mothrider Patrol / Patrulheira Ginete de Mariposa</t>
  </si>
  <si>
    <t>Creature — Fox Warrior / Criatura — Raposa Guerreiro</t>
  </si>
  <si>
    <t>Flying {3}{W}, {T}: Tap target creature. / Voar {3}{W}, {T}: Vire a criatura alvo.</t>
  </si>
  <si>
    <t>Sunblade Samurai / Samurai da Lâmina Solar</t>
  </si>
  <si>
    <t>Vigilance (Attacking doesn't cause this creature to tap.) Channel — {2}, Discard this card: Search your library for a basic Plains card, reveal it, put it into your hand, then shuffle. You gain 2 life. / Vigilância Canalizar — {2}, descarte Samurai da Lâmina Solar: Procure em seu grimório um card de Planície básica, revele-o, coloque-o em sua mão e depois embaralhe. Você ganha 2 pontos de vida.</t>
  </si>
  <si>
    <t>Mukotai Ambusher / Emboscador Mukotai</t>
  </si>
  <si>
    <t>Artifact Creature - Rat Ninja</t>
  </si>
  <si>
    <t>Ninjutso 1{B} vinculo com a vida</t>
  </si>
  <si>
    <t>At the beginning of the end step, if no creatures are on the battlefield, sacrifice this enchantment. {B}: This enchantment deals 1 damage to each creature and each player.</t>
  </si>
  <si>
    <t>Quarta edição</t>
  </si>
  <si>
    <t>Revised Edition</t>
  </si>
  <si>
    <t>Word of Binding / Palavras de Poder</t>
  </si>
  <si>
    <t>Tap X target creatures.</t>
  </si>
  <si>
    <t>Quarta Edição (BB)</t>
  </si>
  <si>
    <t>Quarta Edição</t>
  </si>
  <si>
    <t>Feast or Famine / Fartura ou Penúria</t>
  </si>
  <si>
    <t>Choose one — • Create a 2/2 black Zombie creature token. • Destroy target nonartifact, nonblack creature. It can't be regenerated.</t>
  </si>
  <si>
    <t>Paralyze / Paralizar</t>
  </si>
  <si>
    <t>Enchant creature When this Aura enters, tap enchanted creature. Enchanted creature doesn't untap during its controller's untap step. At the beginning of the upkeep of enchanted creature's controller, that player may pay {4}. If the player does, untap the creature.</t>
  </si>
  <si>
    <t>Cuombajj Witches / Bruxas Cuombajj</t>
  </si>
  <si>
    <t>{T}: This creature deals 1 damage to any target and 1 damage to any target of an opponent's choice. / {T}: Bruxas Cuombajj causa 1 ponto de dano a qualquer alvo e 1 ponto de dano a qualquer alvo à escolha de um oponente.</t>
  </si>
  <si>
    <t>Chronicles</t>
  </si>
  <si>
    <t>Torture / Tortura</t>
  </si>
  <si>
    <t>Enchant creature {1}{B}: Put a -1/-1 counter on enchanted creature. / Encantar criatura {1}{B}: Coloque um marcador -1/-1 na criatura encantada.</t>
  </si>
  <si>
    <t>Gaze of Pain / Olhar de Dor</t>
  </si>
  <si>
    <t>Until end of turn, whenever a creature you control attacks and isn't blocked, you may choose to have it deal damage equal to its power to a target creature. If you do, it assigns no combat damage this turn.</t>
  </si>
  <si>
    <t>Mind Ravel / Emaranhado Mental</t>
  </si>
  <si>
    <t>Target player discards a card. Draw a card at the beginning of the next turn's upkeep.</t>
  </si>
  <si>
    <t>Krovikan Fetish / Fetiche Krovikano</t>
  </si>
  <si>
    <t>Enchant creature When this Aura enters, draw a card at the beginning of the next turn's upkeep. Enchanted creature gets +1/+1.</t>
  </si>
  <si>
    <t>Soul Kiss / Beijo da Alma</t>
  </si>
  <si>
    <t>Enchant creature {B}, Pay 1 life: Enchanted creature gets +2/+2 until end of turn. Activate no more than three times each turn.</t>
  </si>
  <si>
    <t>Norritt</t>
  </si>
  <si>
    <t>Creature — Imp</t>
  </si>
  <si>
    <t>{T}: Untap target blue creature. {T}: Choose target non-Wall creature the active player has controlled continuously since the beginning of the turn. That creature attacks this turn if able. Destroy it at the beginning of the next end step if it didn't attack this turn. Activate only before attackers are declared.</t>
  </si>
  <si>
    <t>Legions of Lim-Dûl / Legiões de Lim-Dûl</t>
  </si>
  <si>
    <t>Snow swampwalk (This creature can't be blocked as long as defending player controls a snow Swamp.)</t>
  </si>
  <si>
    <t>Wall of Bone / Barreira de Ossos</t>
  </si>
  <si>
    <t>Creature — Skeleton Wall / Criatura — Esqueleto Barreira</t>
  </si>
  <si>
    <t>Defender (This creature can't attack.) {B}: Regenerate this creature. (The next time this creature would be destroyed this turn, instead tap it, remove it from combat, and heal all damage on it.) / Defensor (Esta criatura não pode atacar.) {B}: Regenere Barreira de Ossos. (Na próxima vez em que esta criatura seria destruída neste turno, ela não será. Em vez disso, vire-a, remova todo o dano dela e remova-a do combate.)</t>
  </si>
  <si>
    <t>Enchant creature Enchanted creature gets +2/+1. / Encantar criatura A criatura encantada recebe +2/+1.</t>
  </si>
  <si>
    <t>Fear / Amedrontar</t>
  </si>
  <si>
    <t>Enchant creature (Target a creature as you cast this. This card enters attached to that creature.) Enchanted creature has fear. (It can't be blocked except by artifact creatures and/or black creatures.) / Encantar criatura (Ao jogar este card, escolha uma criatura alvo. Este card entra em jogo anexado àquela criatura.) A criatura encantada tem a habilidade de amedrontar. (Ela só pode ser bloqueada por criaturas artefato e/ou criaturas pretas.)</t>
  </si>
  <si>
    <t>The Fallen</t>
  </si>
  <si>
    <t>At the beginning of your upkeep, this creature deals 1 damage to each opponent and planeswalker it has dealt damage to this game.</t>
  </si>
  <si>
    <t>{1}{B}{B}{B}</t>
  </si>
  <si>
    <t>Frozen Shade / Sombra Materializada</t>
  </si>
  <si>
    <t>Creature — Shade</t>
  </si>
  <si>
    <t>{B}: This creature gets +1/+1 until end of turn.</t>
  </si>
  <si>
    <t>Bog Imp / Diabrete do Pântano</t>
  </si>
  <si>
    <t>Flying (This creature can't be blocked except by creatures with flying or reach.) / Voar (Esta criatura só pode ser bloqueada por criaturas com a habilidade de voar.)</t>
  </si>
  <si>
    <t>Lost Soul / Alma Desgarrada</t>
  </si>
  <si>
    <t>Creature — Spirit Minion</t>
  </si>
  <si>
    <t>Swampwalk (This creature can't be blocked as long as defending player controls a Swamp.)</t>
  </si>
  <si>
    <t>Insidious Bookworms / Traças de Livro Insidiosas</t>
  </si>
  <si>
    <t>When this creature dies, you may pay {1}{B}. If you do, target player discards a card at random.</t>
  </si>
  <si>
    <t>Krovikan Plague / Peste Krovikana</t>
  </si>
  <si>
    <t>Enchant non-Wall creature you control When this Aura enters, draw a card at the beginning of the next turn's upkeep. Tap enchanted creature: This Aura deals 1 damage to any target. Put a -0/-1 counter on enchanted creature. Activate only if enchanted creature is untapped.</t>
  </si>
  <si>
    <t>Casting of Bones / Osteomancia</t>
  </si>
  <si>
    <t>Enchant creature When enchanted creature dies, draw three cards, then discard one of them.</t>
  </si>
  <si>
    <t>Hoar Shade / Sombra Álgida</t>
  </si>
  <si>
    <t>Tourach's Chant</t>
  </si>
  <si>
    <t>At the beginning of your upkeep, sacrifice this enchantment unless you pay {B}. Whenever a player puts a Forest onto the battlefield, this enchantment deals 3 damage to that player unless they put a -1/-1 counter on a creature they control.</t>
  </si>
  <si>
    <t>Feast of the Unicorn / Festim de Unicórnio</t>
  </si>
  <si>
    <t>Enchant creature Enchanted creature gets +4/+0.</t>
  </si>
  <si>
    <t>Oath of Lim-Dûl / Juramento de Lim-Dûl</t>
  </si>
  <si>
    <t>Whenever you lose life, for each 1 life you lost, sacrifice a permanent other than this enchantment unless you discard a card. (Damage dealt to you causes you to lose life.) {B}{B}: Draw a card.</t>
  </si>
  <si>
    <t>Cosmic Horror / Horror Cósmico</t>
  </si>
  <si>
    <t>Creature — Horror</t>
  </si>
  <si>
    <t>First strike At the beginning of your upkeep, destroy this creature unless you pay {3}{B}{B}{B}. If this creature is destroyed this way, it deals 7 damage to you.</t>
  </si>
  <si>
    <t>{3}{B}{B}{B}</t>
  </si>
  <si>
    <t>Nightmare / Pesadelo</t>
  </si>
  <si>
    <t>Creature — Nightmare Horse / Criatura — Pesadelo Cavalo</t>
  </si>
  <si>
    <t>Flying (This creature can't be blocked except by creatures with flying or reach.) Nightmare's power and toughness are each equal to the number of Swamps you control. / Voar (Esta criatura só pode ser bloqueada por criaturas com voar ou alcance.) O poder e a resistência de Pesadelo são ambos iguais ao número de Pântanos que você controla.</t>
  </si>
  <si>
    <t>Sengir Vampire / Vampiro de Sengir</t>
  </si>
  <si>
    <t>Flying (This creature can't be blocked except by creatures with flying or reach.) Whenever a creature dealt damage by this creature this turn dies, put a +1/+1 counter on this creature. / Voar Toda vez que uma criatura que tiver sofrido dano de Vampiro de Sengir neste turno morrer, coloque um marcador +1/+1 sobre Vampiro de Sengir.</t>
  </si>
  <si>
    <t>Abomination / Abominação</t>
  </si>
  <si>
    <t>Whenever this creature blocks or becomes blocked by a green or white creature, destroy that creature at end of combat.</t>
  </si>
  <si>
    <t>Scavenging Ghoul / Carniçal Necrófago</t>
  </si>
  <si>
    <t>At the beginning of each end step, put a corpse counter on this creature for each creature that died this turn. Remove a corpse counter from this creature: Regenerate this creature.</t>
  </si>
  <si>
    <t>Sengir Bats / Morcegos de Sengir</t>
  </si>
  <si>
    <t>Creature — Bat</t>
  </si>
  <si>
    <t>Flying Whenever a creature dealt damage by this creature this turn dies, put a +1/+1 counter on this creature.</t>
  </si>
  <si>
    <t>Hyalopterous Lemure / Lêmure Hialóptero</t>
  </si>
  <si>
    <t>{0}: This creature gets -1/-0 and gains flying until end of turn. / {0}: Lêmure Hialóptero recebe -1/-0 e ganha voar até o final do turno.</t>
  </si>
  <si>
    <t>Lord of the Pit / Senhor das Profundezas</t>
  </si>
  <si>
    <t>Flying, trample At the beginning of your upkeep, sacrifice a creature other than this creature. If you can't, this creature deals 7 damage to you. / Voar, atropelar (Esta criatura só pode ser bloqueada por criaturas com a habilidade de voar ou alcance. Se esta criatura fosse causar dano de combate suficiente para destruir seus bloqueadores, você pode fazer com que ela cause o resto de seu dano ao jogador defensor.) No início de sua manutenção, sacrifique uma criatura que não seja Senhor das Profundezas. Se não puder, Senhor das Profundezas causará 7 pontos de dano a você.</t>
  </si>
  <si>
    <t>{4}{B}{B}{B}</t>
  </si>
  <si>
    <t>Vampire Bats / Morcegos Vampiros</t>
  </si>
  <si>
    <t>Flying (This creature can't be blocked except by creatures with flying or reach.) {B}: This creature gets +1/+0 until end of turn. Activate no more than twice each turn. / Voar (Esta criatura só pode ser bloqueada por criaturas com a habilidade de voar ou alcance.) {B}: Morcegos Vampiros recebe +1/+0 até o final do turno. Use esta habilidade no máximo duas vezes a cada turno.</t>
  </si>
  <si>
    <t>Minion of Tevesh Szat / Assecla de Tevesh Szat</t>
  </si>
  <si>
    <t>Creature — Demon Minion</t>
  </si>
  <si>
    <t>At the beginning of your upkeep, this creature deals 2 damage to you unless you pay {B}{B}. {T}: Target creature gets +3/-2 until end of turn.</t>
  </si>
  <si>
    <t>Cemetery Gate / Portão do Cemitério</t>
  </si>
  <si>
    <t>Creature — Wall</t>
  </si>
  <si>
    <t>Defender (This creature can't attack.) Protection from black</t>
  </si>
  <si>
    <t>Simulacrum / Simulacro</t>
  </si>
  <si>
    <t>You gain life equal to the damage dealt to you this turn. Simulacrum deals damage to target creature you control equal to the damage dealt to you this turn.</t>
  </si>
  <si>
    <t>Murk Dwellers / Habitantes das Trevas</t>
  </si>
  <si>
    <t>Whenever this creature attacks and isn't blocked, it gets +2/+0 until end of combat.</t>
  </si>
  <si>
    <t>Infernal Denizen / Residente Infernal</t>
  </si>
  <si>
    <t>Creature — Demon</t>
  </si>
  <si>
    <t>At the beginning of your upkeep, sacrifice two Swamps. If you can't, tap this creature, and an opponent may gain control of a creature you control of their choice for as long as this creature remains on the battlefield. {T}: Gain control of target creature for as long as this creature remains on the battlefield.</t>
  </si>
  <si>
    <t>{7}{B}</t>
  </si>
  <si>
    <t>Pit Scorpion / Escorpião das Profundezas</t>
  </si>
  <si>
    <t>Creature — Scorpion</t>
  </si>
  <si>
    <t>Whenever this creature deals damage to a player, that player gets a poison counter. (A player with ten or more poison counters loses the game.)</t>
  </si>
  <si>
    <t>Abyssal Specter / Espectro Abissal</t>
  </si>
  <si>
    <t>Creature — Specter / Criatura — Espectro</t>
  </si>
  <si>
    <t>Flying Whenever this creature deals damage to a player, that player discards a card. / Voar (Esta criatura só pode ser bloqueada por criaturas com a habilidade de voar.) Toda vez que Espectro Abissal causar dano a algum jogador, aquele jogador descarta um card de sua própria mão.</t>
  </si>
  <si>
    <t>Feral Shadow / Vulto Feroz</t>
  </si>
  <si>
    <t>Creature — Nightstalker</t>
  </si>
  <si>
    <t>Breathstealer / Ladrão de Fôlego</t>
  </si>
  <si>
    <t>{B}: This creature gets +1/-1 until end of turn.</t>
  </si>
  <si>
    <t>Ashen Ghoul / Carniçal Cinéreo</t>
  </si>
  <si>
    <t>Haste {B}: Return this card from your graveyard to the battlefield. Activate only during your upkeep and only if three or more creature cards are above this card.</t>
  </si>
  <si>
    <t>Bog Rats / Ratos do Pântano</t>
  </si>
  <si>
    <t>This creature can't be blocked by Walls.</t>
  </si>
  <si>
    <t>Thrull Retainer / Lacaio Thrull</t>
  </si>
  <si>
    <t>Enchant creature Enchanted creature gets +1/+1. Sacrifice this Aura: Regenerate enchanted creature.</t>
  </si>
  <si>
    <t>Cursed Land / Terreno Amaldiçoado</t>
  </si>
  <si>
    <t>Enchant land At the beginning of the upkeep of enchanted land's controller, this Aura deals 1 damage to that player.</t>
  </si>
  <si>
    <t>Dark Banishing / Banimento Sombrio</t>
  </si>
  <si>
    <t>Destroy target nonblack creature. It can't be regenerated. / Destrói a criatura alvo que não seja preta. Ela não pode ser regenerada.</t>
  </si>
  <si>
    <t>Plague Rats / Ratos Pestilentos</t>
  </si>
  <si>
    <t>Plague Rats's power and toughness are each equal to the number of creatures named Plague Rats on the battlefield.</t>
  </si>
  <si>
    <t>Pestilence Rats / Ratos da Peste</t>
  </si>
  <si>
    <t>Pestilence Rats's power is equal to the number of other Rats on the battlefield. (For example, as long as there are two other Rats on the battlefield, Pestilence Rats's power and toughness are 2/3.)</t>
  </si>
  <si>
    <t>Carrion Ants / Formigas Carrieiras</t>
  </si>
  <si>
    <t>Creature — Insect</t>
  </si>
  <si>
    <t>{1}: This creature gets +1/+1 until end of turn.</t>
  </si>
  <si>
    <t>Spirit Shackle / Grilhões do Espírito</t>
  </si>
  <si>
    <t>Enchant creature Whenever enchanted creature becomes tapped, put a -0/-2 counter on it.</t>
  </si>
  <si>
    <t>Giant Cockroach / Barata Gigante</t>
  </si>
  <si>
    <t>Oitava Edição</t>
  </si>
  <si>
    <t>Howl from Beyond / Uivo do Além</t>
  </si>
  <si>
    <t>Target creature gets +X/+0 until end of turn. / A criatura alvo recebe +X/+0 até o final do turno.</t>
  </si>
  <si>
    <t>Rag Man / Trapeiro</t>
  </si>
  <si>
    <t>Creature — Human Minion</t>
  </si>
  <si>
    <t>{B}{B}{B}, {T}: Target opponent reveals their hand and discards a creature card at random. Activate only during your turn.</t>
  </si>
  <si>
    <t>Uncle Istvan / Tio Istvan</t>
  </si>
  <si>
    <t>Creature — Human / Criatura — Humano</t>
  </si>
  <si>
    <t>Prevent all damage that would be dealt to this creature by creatures. / Previne todo o dano que seria causado por criaturas a Tio Istvan.</t>
  </si>
  <si>
    <t>Greater Werewolf / O Grande Lobisomem</t>
  </si>
  <si>
    <t>Creature — Werewolf</t>
  </si>
  <si>
    <t>At end of combat, put a -0/-2 counter on each creature blocking or blocked by this creature.</t>
  </si>
  <si>
    <t>Weakness / Fraqueza</t>
  </si>
  <si>
    <t>Enchant creature Enchanted creature gets -2/-1. / Encantar criatura A criatura encantada recebe -2/-1.</t>
  </si>
  <si>
    <t>Mindstab Thrull / Thrull Apunhala-Mentes</t>
  </si>
  <si>
    <t>Whenever this creature attacks and isn't blocked, you may sacrifice it. If you do, defending player discards three cards.</t>
  </si>
  <si>
    <t>Foul Familiar / Familiar Abominável</t>
  </si>
  <si>
    <t>Creature — Spirit</t>
  </si>
  <si>
    <t>This creature can't block. {B}, Pay 1 life: Return this creature to its owner's hand.</t>
  </si>
  <si>
    <t>Basal Thrull</t>
  </si>
  <si>
    <t>{T}, Sacrifice this creature: Add {B}{B}.</t>
  </si>
  <si>
    <t>Bone Harvest / Colheita de Ossos</t>
  </si>
  <si>
    <t>Put any number of target creature cards from your graveyard on top of your library. Draw a card at the beginning of the next turn's upkeep.</t>
  </si>
  <si>
    <t>Carrion Beetles / Besouros Carrieiros</t>
  </si>
  <si>
    <t>{2}{B}, {T}: Exile up to three target cards from a single graveyard.</t>
  </si>
  <si>
    <t>Urza's Saga (USG)</t>
  </si>
  <si>
    <t>Ambition's Cost / Custo da Ambição</t>
  </si>
  <si>
    <t>You draw three cards and you lose 3 life. / Você compra três cards e perde 3 pontos de vida.</t>
  </si>
  <si>
    <t>Eighth Edition (8ED)</t>
  </si>
  <si>
    <t>Mind Warp / Distorção Mental</t>
  </si>
  <si>
    <t>Look at target player's hand and choose X cards from it. That player discards those cards.</t>
  </si>
  <si>
    <t>{X}{3}{B}</t>
  </si>
  <si>
    <t>Moor Fiend / Capeta da Charneca</t>
  </si>
  <si>
    <t>Gravebind / Fusão Tumular</t>
  </si>
  <si>
    <t>Target creature can't be regenerated this turn. Draw a card at the beginning of the next turn's upkeep.</t>
  </si>
  <si>
    <t>Deathlace / Enlace Mortal</t>
  </si>
  <si>
    <t>Target spell or permanent becomes black. (Mana symbols on that permanent remain unchanged.)</t>
  </si>
  <si>
    <t>Fevered Strength / Força Febril</t>
  </si>
  <si>
    <t>Target creature gets +2/+0 until end of turn. Draw a card at the beginning of the next turn's upkeep.</t>
  </si>
  <si>
    <t>Broken Visage / Imagem Estilhaçada</t>
  </si>
  <si>
    <t>Destroy target nonartifact attacking creature. It can't be regenerated. Create a black Spirit creature token. Its power is equal to that creature's power and its toughness is equal to that creature's toughness. Sacrifice the token at the beginning of the next end step.</t>
  </si>
  <si>
    <t>Dirtwater Wraith / Aparição do Palude</t>
  </si>
  <si>
    <t>Creature — Wraith</t>
  </si>
  <si>
    <t>Swampwalk (This creature can't be blocked as long as defending player controls a Swamp.) {B}: This creature gets +1/+0 until end of turn.</t>
  </si>
  <si>
    <t>Kjeldoran Dead / Mortos Kjeldoranos</t>
  </si>
  <si>
    <t>When this creature enters, sacrifice a creature. {B}: Regenerate this creature.</t>
  </si>
  <si>
    <t>Plague Beetle / Besouro Pestilento</t>
  </si>
  <si>
    <t>Swampwalk (This creature can't be blocked as long as defending player controls a Swamp.) / Travessia de Pântano (Esta criatura não pode ser bloqueada desde que o jogador defensor controle um Pântano.)</t>
  </si>
  <si>
    <t>Chorus of Woe</t>
  </si>
  <si>
    <t>Creatures you control get +1/+0 until end of turn.</t>
  </si>
  <si>
    <t>Portal Second Age (P02)</t>
  </si>
  <si>
    <t>Shimian Night Stalker</t>
  </si>
  <si>
    <t>{B}, {T}: All damage that would be dealt to you this turn by target attacking creature is dealt to this creature instead.</t>
  </si>
  <si>
    <t>Chonicles</t>
  </si>
  <si>
    <t>Transmutation</t>
  </si>
  <si>
    <t>Switch target creature's power and toughness until end of turn.</t>
  </si>
  <si>
    <t>Drudge Spell / Mágica de Carga</t>
  </si>
  <si>
    <t>{B}, Exile two creature cards from your graveyard: Create a 1/1 black Skeleton creature token. It has "{B}: Regenerate this token." When this enchantment leaves the battlefield, destroy all Skeleton tokens. They can't be regenerated.</t>
  </si>
  <si>
    <t>Wall of Shadows</t>
  </si>
  <si>
    <t>Defender (This creature can't attack.) Prevent all damage that would be dealt to this creature by creatures it's blocking. This creature can't be the target of spells that can target only Walls or of abilities that can target only Walls.</t>
  </si>
  <si>
    <t>Chronicies</t>
  </si>
  <si>
    <t>Hasran Ogress</t>
  </si>
  <si>
    <t>Creature — Ogre</t>
  </si>
  <si>
    <t>Whenever this creature attacks, it deals 3 damage to you unless you pay {2}.</t>
  </si>
  <si>
    <t>Nettling Imp</t>
  </si>
  <si>
    <t>{T}: Choose target non-Wall creature the active player has controlled continuously since the beginning of the turn. That creature attacks this turn if able. Destroy it at the beginning of the next end step if it didn't attack this turn. Activate only during an opponent's turn, before attackers are declared.</t>
  </si>
  <si>
    <t>Ihsan's Shade / A Sombra de Ihsan</t>
  </si>
  <si>
    <t>Legendary Creature — Shade Knight</t>
  </si>
  <si>
    <t>Protection from white</t>
  </si>
  <si>
    <t>Touch of Death / Toque da Morte</t>
  </si>
  <si>
    <t>Touch of Death deals 1 damage to target player or planeswalker. You gain 1 life. Draw a card at the beginning of the next turn's upkeep.</t>
  </si>
  <si>
    <t>Urza's Legacy (ULG)</t>
  </si>
  <si>
    <t>Raise Dead / Ressuscitar Morto</t>
  </si>
  <si>
    <t>Return target creature card from your graveyard to your hand. / Devolva o card de criatura alvo de seu cemitério para sua mão.</t>
  </si>
  <si>
    <t>Warp Artifact / Deformar Artefato</t>
  </si>
  <si>
    <t>Enchant artifact At the beginning of the upkeep of enchanted artifact's controller, this Aura deals 1 damage to that player.</t>
  </si>
  <si>
    <t>Marsh Gas / Gás do Pântano</t>
  </si>
  <si>
    <t>All creatures get -2/-0 until end of turn.</t>
  </si>
  <si>
    <t>Krovikan Elementalist / Elementalista Krovikano</t>
  </si>
  <si>
    <t>Creature — Human Wizard</t>
  </si>
  <si>
    <t>{2}{R}: Target creature gets +1/+0 until end of turn. {U}{U}: Target creature you control gains flying until end of turn. Sacrifice it at the beginning of the next end step.</t>
  </si>
  <si>
    <t>Gangrenous Zombies / Zumbis Gangrenosos</t>
  </si>
  <si>
    <t>{T}, Sacrifice this creature: This creature deals 1 damage to each creature and each player. If you control a snow Swamp, this creature deals 2 damage to each creature and each player instead.</t>
  </si>
  <si>
    <t>Brine Shaman / Xamã do Oceano</t>
  </si>
  <si>
    <t>Creature — Human Cleric Shaman</t>
  </si>
  <si>
    <t>{T}, Sacrifice a creature: Target creature gets +2/+2 until end of turn. {1}{U}{U}, Sacrifice a creature: Counter target creature spell.</t>
  </si>
  <si>
    <t>Junún Efreet / Efrite Junún</t>
  </si>
  <si>
    <t>Creature — Efreet</t>
  </si>
  <si>
    <t>Flying At the beginning of your upkeep, sacrifice this creature unless you pay {B}{B}.</t>
  </si>
  <si>
    <t>Dry Spell / Seca</t>
  </si>
  <si>
    <t>Dry Spell deals 1 damage to each creature and each player.</t>
  </si>
  <si>
    <t>Drain Life / Drenar Vida</t>
  </si>
  <si>
    <t>Spend only black mana on X. Drain Life deals X damage to any target. You gain life equal to the damage dealt, but not more life than the player's life total before the damage was dealt, the planeswalker's loyalty before the damage was dealt, or the creature's toughness.</t>
  </si>
  <si>
    <t>{X}{1}{B}</t>
  </si>
  <si>
    <t>Drudge Skeletons / Esqueletos de Carga</t>
  </si>
  <si>
    <t>Creature — Skeleton / Criatura — Esqueleto</t>
  </si>
  <si>
    <t>{B}: Regenerate this creature. (The next time this creature would be destroyed this turn, instead tap it, remove it from combat, and heal all damage on it.) / {B}: Regenera Esqueletos de Carga. (Na próxima vez em que esta criatura seria destruída neste turno, ela não o é Em vez disso, vire-a, remova todo o dano dela e remova-a do combate.)</t>
  </si>
  <si>
    <t>Fatal Lore / Conhecimento Fatal</t>
  </si>
  <si>
    <t>An opponent chooses one — • You draw three cards. • You destroy up to two target creatures that player controls. They can't be regenerated. That player draws up to three cards.</t>
  </si>
  <si>
    <t>Ebony Charm / Medalhão de Ébano</t>
  </si>
  <si>
    <t>Choose one — • Target opponent loses 1 life and you gain 1 life. • Exile up to three target cards from a single graveyard. • Target creature gains fear until end of turn. (It can't be blocked except by artifact creatures and/or black creatures.)</t>
  </si>
  <si>
    <t>Cyclopean Mummy / Múmia Ciclópica</t>
  </si>
  <si>
    <t>When this creature dies, exile it.</t>
  </si>
  <si>
    <t>Stench of Evil / Exalações do Mal</t>
  </si>
  <si>
    <t>Destroy all Plains. For each land destroyed this way, Stench of Evil deals 1 damage to that land's controller unless they pay {2}.</t>
  </si>
  <si>
    <t>Erg Raiders / Salteadores do Deserto</t>
  </si>
  <si>
    <t>Creature — Human Warrior</t>
  </si>
  <si>
    <t>At the beginning of your end step, if this creature didn't attack this turn, it deals 2 damage to you unless it came under your control this turn.</t>
  </si>
  <si>
    <t>Lim-Dûl's Cohort / Coorte de Lim-Dûl</t>
  </si>
  <si>
    <t>Whenever this creature blocks or becomes blocked by a creature, that creature can't be regenerated this turn.</t>
  </si>
  <si>
    <t>Giant Slug</t>
  </si>
  <si>
    <t>Creature — Slug</t>
  </si>
  <si>
    <t>{5}: At the beginning of your next upkeep, choose a basic land type. This creature gains landwalk of the chosen type until the end of that turn. (It can't be blocked as long as defending player controls a land of that type.)</t>
  </si>
  <si>
    <t>Withering Wisps / Ardentias Mortíferas</t>
  </si>
  <si>
    <t>At the beginning of the end step, if no creatures are on the battlefield, sacrifice this enchantment. {B}: This enchantment deals 1 damage to each creature and each player. Activate no more times each turn than the number of snow Swamps you control.</t>
  </si>
  <si>
    <t>Terror</t>
  </si>
  <si>
    <t>Destroy target nonartifact, nonblack creature. It can't be regenerated. / Destrua a criatura alvo que não seja preta e nem artefato. Ela não pode ser regenerada.</t>
  </si>
  <si>
    <t>Seizures / Apoplexia</t>
  </si>
  <si>
    <t>Enchant creature Whenever enchanted creature becomes tapped, this Aura deals 3 damage to that creature's controller unless that player pays {3}.</t>
  </si>
  <si>
    <t>Death Grasp / Garras da Morte</t>
  </si>
  <si>
    <t>Death Grasp deals X damage to any target. You gain X life.</t>
  </si>
  <si>
    <t>{X}{W}{B}</t>
  </si>
  <si>
    <t>Core Set 2021</t>
  </si>
  <si>
    <t>Bulk Shopee</t>
  </si>
  <si>
    <t>Deliberate / Deliberar</t>
  </si>
  <si>
    <t>Scry 2, then draw a card. / Use vidência 2, depois compre um card.</t>
  </si>
  <si>
    <t>Forgotten Realms Commander</t>
  </si>
  <si>
    <t>Temur Charm / Amuleto Temur</t>
  </si>
  <si>
    <t>Choose one — • Target creature you control gets +1/+1 until end of turn. It fights target creature you don't control. • Counter target spell unless its controller pays {3}. • Creatures with power 3 or less can't block this turn. / Escolha um — • A criatura alvo que você controla recebe +1/+1 até o final do turno. Ela luta com a criatura alvo que você não controla. • Anule a mágica alvo, a menos que seu controlador pague {3}. • As criaturas com poder menor ou igual a 3 não podem bloquear neste turno.</t>
  </si>
  <si>
    <t>{G}{U}{R}</t>
  </si>
  <si>
    <t>Intrusive Packbeast / Besta de Carga Invasiva</t>
  </si>
  <si>
    <t>Vigilance When this creature enters, tap up to two target creatures your opponents control. / Vigilância Quando Besta de Carga Invasiva entrar no campo de batalha, vire até duas criaturas alvo que seus oponentes controlam.</t>
  </si>
  <si>
    <t>Urban Utopia / Utopia Urbana</t>
  </si>
  <si>
    <t>Enchant land When this Aura enters, draw a card. Enchanted land has "{T}: Add one mana of any color." / Encantar terreno Quando Utopia Urbana entrar no campo de batalha, compre um card. O terreno encantado tem "{T}: Adicione um mana de qualquer cor".</t>
  </si>
  <si>
    <t>Errant Doomsayers / Áugure do Infortúnio Errante</t>
  </si>
  <si>
    <t>Creature — Human Rebel / Criatura — Humano Rebelde</t>
  </si>
  <si>
    <t>{T}: Tap target creature with toughness 2 or less. / {T}: Vire a criatura alvo com resistência igual ou inferior a 2.</t>
  </si>
  <si>
    <t>Benalish Cavalry / Cavalaria de Benália</t>
  </si>
  <si>
    <t>Flanking (Whenever a creature without flanking blocks this creature, the blocking creature gets -1/-1 until end of turn.) / Flanquear (Toda vez que uma criatura sem flanquear bloquear esta criatura, a criatura bloqueadora receberá -1/-1 até o final do turno.)</t>
  </si>
  <si>
    <t>Diplomacy of the Wastes / Diplomacia dos Ermos</t>
  </si>
  <si>
    <t>Target opponent reveals their hand. You choose a nonland card from it. That player discards that card. If you control a Warrior, that player loses 2 life. / O oponente alvo revela a própria mão. Você escolhe um card que não seja um terreno da mão dele. Aquele jogador descarta aquele card. Se você controla um Guerreiro, aquele jogador perde 2 pontos de vida.</t>
  </si>
  <si>
    <t>So Tiny / Tão Pequenininho</t>
  </si>
  <si>
    <t>Flash Enchant creature Enchanted creature gets -2/-0. It gets -6/-0 instead as long as its controller has seven or more cards in their graveyard. / Lampejo Encantar criatura A criatura encantada recebe -2/-0. Em vez disso, ela recebe -6/-0 enquanto seu controlador tiver sete ou mais cards no próprio cemitério.</t>
  </si>
  <si>
    <t>Jace's Defeat / Derrota de Jace</t>
  </si>
  <si>
    <t>Counter target blue spell. If it was a Jace planeswalker spell, scry 2. / Anule a mágica azul alvo. Se ela era uma mágica de planeswalker Jace, use vidência 2.</t>
  </si>
  <si>
    <t>Wicker Witch / Bruxa de Vime</t>
  </si>
  <si>
    <t>{7}, {T}, Sacrifice this artifact: Destroy target permanent. / {7}, {T}, sacrifique Solvente Universal: Destrua a permanente alvo.</t>
  </si>
  <si>
    <t>Cinder Barrens / Desolação de Cinzas</t>
  </si>
  <si>
    <t>This land enters tapped. {T}: Add {B} or {R}. / Desolação de Cinzas entra no campo de batalha virada. {T}: Adicione {B} ou {R}.</t>
  </si>
  <si>
    <t>Coral Trickster / Trapaceira dos Corais</t>
  </si>
  <si>
    <t>Morph {U} (You may cast this card face down as a 2/2 creature for {3}. Turn it face up any time for its morph cost.) When this creature is turned face up, you may tap or untap target permanent. / Metamorfose {U} (Você pode conjurar este card com a face voltada para baixo como uma criatura 2/2 por {3}. Volte sua face para cima a qualquer momento pagando seu custo de metamorfose.) Quando a face de Trapaceira dos Corais for voltada para cima, você poderá virar ou desvirar a permanente alvo.</t>
  </si>
  <si>
    <t>Keldon Halberdier / Alabardeiro Keldoniano</t>
  </si>
  <si>
    <t>First strike Suspend 4—{R} (Rather than cast this card from your hand, you may pay {R} and exile it with four time counters on it. At the beginning of your upkeep, remove a time counter. When the last is removed, you may cast it without paying its mana cost. It has haste.) / Iniciativa Suspender 4 — {R} (Em vez de conjurar este card da sua mão, você pode pagar {R} e exilá-lo com quatro marcadores temporais. No início de sua manutenção, remova um marcador temporal. Quando o último for removido, conjure-o sem pagar seu custo de mana. Ele tem ímpeto.)</t>
  </si>
  <si>
    <t>Utopia Vow / Promessa Utópica</t>
  </si>
  <si>
    <t>Enchant creature Enchanted creature can't attack or block. Enchanted creature has "{T}: Add one mana of any color." / Encantar criatura A criatura encantada não pode atacar nem bloquear. A criatura encantada tem "{T}: Adicione um mana de qualquer cor".</t>
  </si>
  <si>
    <t>Regenesis / Regênese</t>
  </si>
  <si>
    <t>Return up to two target permanent cards from your graveyard to your hand. / Devolva até dois cards de permanente alvo de seu cemitério para sua mão.</t>
  </si>
  <si>
    <t>Mindmelter / Funde-mentes</t>
  </si>
  <si>
    <t>Devoid (This card has no color.) This creature can't be blocked. {3}{C}: Target opponent exiles a card from their hand. Activate only as a sorcery. ({C} represents colorless mana.) / Desprovido (Este card não tem cor.) Funde-mentes não pode ser bloqueado. {3}{C}: O oponente alvo exila um card da própria mão. Ative esta habilidade somente nos momentos em que poderia conjurar um feitiço. ({C} representa mana incolor.)</t>
  </si>
  <si>
    <t>{1}{U}{B}</t>
  </si>
  <si>
    <t>Consulate Turret / Torreão do Consulado</t>
  </si>
  <si>
    <t>{T}: You get {E} (an energy counter). {T}, Pay {E}{E}{E}: This artifact deals 2 damage to target player or planeswalker. / {T}: Você recebe {E} (um marcador de energia). {T}, Pague {E}{E}{E}: Torreão do Consulado causa 2 pontos de dano ao jogador alvo.</t>
  </si>
  <si>
    <t>Commander's Sphere / Esfera do Comandante</t>
  </si>
  <si>
    <t>{T}: Add one mana of any color in your commander's color identity. Sacrifice this artifact: Draw a card. / {T}: Adicione um mana de qualquer cor da identidade de cor de seu comandante. Sacrifique Esfera do Comandante: Compre um card.</t>
  </si>
  <si>
    <t>Commander 2019 (C19)</t>
  </si>
  <si>
    <t>Spiked Pit Trap / Armadilha do Poço com Estacas</t>
  </si>
  <si>
    <t>Flash {5}, {T}, Sacrifice this artifact: Choose target creature, then roll a d20. 1—9 | This artifact deals 5 damage to that creature. 10—20 | This artifact deals 5 damage to that creature. Create a Treasure token. / Lampejo {5}, {T}, sacrifique Armadilha do Poço com Estacas: Escolha a criatura alvo e depois role um d20. 1—9 | Armadilha do Poço com Estacas causa 5 pontos de dano àquela criatura. 10—20 | Armadilha do Poço com Estacas causa 5 pontos de dano àquela criatura. Crie uma ficha de Tesouro.</t>
  </si>
  <si>
    <t>Sky Tether / Corrente Celeste</t>
  </si>
  <si>
    <t>Enchant creature Enchanted creature has defender and loses flying. / Encantar criatura A criatura encantada tem defensor e perde voar.</t>
  </si>
  <si>
    <t>Deepcavern Imp / Diabrete de Gruta Profunda</t>
  </si>
  <si>
    <t>Creature — Imp Rebel / Criatura — Diabrete Rebelde</t>
  </si>
  <si>
    <t>Flying, haste Echo—Discard a card. (At the beginning of your upkeep, if this came under your control since the beginning of your last upkeep, sacrifice it unless you pay its echo cost.) / Voar, ímpeto Eco — Descarte um card. (No início de sua manutenção, se este card passou ao seu controle desde o início de sua última manutenção, sacrifique-o, a menos que você pague seu custo de eco.)</t>
  </si>
  <si>
    <t>Bellowing Saddlebrute / Ginete Brutal Urrante</t>
  </si>
  <si>
    <t>Raid — When this creature enters, you lose 4 life unless you attacked this turn. / Raide — Quando Ginete Brutal Urrante entra no campo de batalha, você perde 4 pontos de vida, a menos que você tenha atacado com uma criatura neste turno.</t>
  </si>
  <si>
    <t>Enhanced Surveillance / Vigilância Reforçada</t>
  </si>
  <si>
    <t>You may look at an additional two cards each time you surveil. Exile this enchantment: Shuffle your graveyard into your library. / Você pode olhar dois cards adicionais a cada vez que usar vigiar. Exile Vigilância Reforçada: Embaralhe seu cemitério em seu grimório.</t>
  </si>
  <si>
    <t>Spontaneous Mutation / Mutação Espontânea</t>
  </si>
  <si>
    <t>Flash Enchant creature Enchanted creature gets -X/-0, where X is the number of cards in your graveyard. / Lampejo (Você poderá conjurar esta mágica a qualquer momento em que puder conjurar uma mágica instantânea.) Encantar criatura A criatura encantada recebe -X/-0, sendo X o número de cards em seu cemitério.</t>
  </si>
  <si>
    <t>Dagger Caster / Lançadora de Adagas</t>
  </si>
  <si>
    <t>Creature — Lizard Rogue / Criatura — Viashino Ladino</t>
  </si>
  <si>
    <t>When this creature enters, it deals 1 damage to each opponent and 1 damage to each creature your opponents control. / Quando Lançadora de Adagas entra no campo de batalha, ela causa 1 ponto de dano a cada oponente e 1 ponto de dano a cada criatura que seus oponentes controlam.</t>
  </si>
  <si>
    <t>Strength in Numbers / Força em Números</t>
  </si>
  <si>
    <t>Until end of turn, target creature gains trample and gets +X/+X, where X is the number of attacking creatures. / Até o final do turno, a criatura alvo ganha atropelar e recebe +X/+X, sendo X o número de criaturas atacantes.</t>
  </si>
  <si>
    <t>Root Snare / Armadilha de Raízes</t>
  </si>
  <si>
    <t>Prevent all combat damage that would be dealt this turn. / Previna todo o dano de combate que seria causado neste turno.</t>
  </si>
  <si>
    <t>Shard of Broken Glass / Fragmento de Vidro</t>
  </si>
  <si>
    <t>Equipped creature gets +1/+0. Whenever equipped creature attacks, you may mill two cards. Equip {1} ({1}: Attach to target creature you control. Equip only as a sorcery.) / A criatura equipada recebe +1/+0. Toda vez que a criatura equipada ataca, você pode colocar os dois cards do topo de seu grimório em seu cemitério. Equipar {1} ({1}: Anexe à criatura alvo que você controla. Equipe somente como um feitiço.)</t>
  </si>
  <si>
    <t>Silent Dart / Dardo de Pulso</t>
  </si>
  <si>
    <t>{4}, {T}, Sacrifice this artifact: It deals 3 damage to target creature. / {4}, {T}, sacrifique Dardo de Pulso: Ele causa 3 pontos de dano à criatura alvo.</t>
  </si>
  <si>
    <t>Angelic Purge / Purgação Angelical</t>
  </si>
  <si>
    <t>As an additional cost to cast this spell, sacrifice a permanent. Exile target artifact, creature, or enchantment. / Como custo adicional para conjurar Purgação Angelical, sacrifique uma permanente. Exile o artefato, criatura ou encantamento alvo.</t>
  </si>
  <si>
    <t>Ampryn Tactician / Estrategista Ampryn</t>
  </si>
  <si>
    <t>When this creature enters, creatures you control get +1/+1 until end of turn. / Quando Estrategista Ampryn entra no campo de batalha, as criaturas que você controla recebem +1/+1 até o final do turno.</t>
  </si>
  <si>
    <t>Seismic Rupture / Ruptura Sísmica</t>
  </si>
  <si>
    <t>Seismic Rupture deals 2 damage to each creature without flying. / Ruptura Sísmica causa 2 pontos de dano a cada criatura sem voar.</t>
  </si>
  <si>
    <t>This creature enters with a +1/+1 counter on it. When this creature dies, put X +1/+1 counters on target creature you control, where X is the number of +1/+1 counters on this creature. / Servo da Escama entra no campo de batalha com um marcador +1/+1. Quando Servo da Escama morrer, coloque X marcadores +1/+1 na criatura alvo que você controla, sendo X o número de marcadores +1/+1 em Servo da Escama.</t>
  </si>
  <si>
    <t>Strongarm Monk / Monge Braço-forte</t>
  </si>
  <si>
    <t>Whenever you cast a noncreature spell, creatures you control get +1/+1 until end of turn. / Toda vez que você conjura uma mágica que não seja de criatura, as criaturas que você controla recebem +1/+1 até o final do turno.</t>
  </si>
  <si>
    <t>Seek the Horizon / Procurar o Horizonte</t>
  </si>
  <si>
    <t>Search your library for up to three basic land cards, reveal them, put them into your hand, then shuffle. / Procure em seu grimório até três cards de terreno básico, revele-os e coloque-os em sua mão. Depois, embaralhe seu grimório.</t>
  </si>
  <si>
    <t>Mindstab / Apunhala-mentes</t>
  </si>
  <si>
    <t>Target player discards three cards. Suspend 4—{B} (Rather than cast this card from your hand, you may pay {B} and exile it with four time counters on it. At the beginning of your upkeep, remove a time counter. When the last is removed, you may cast it without paying its mana cost.) / O jogador alvo descarta três cards. Suspender 4 — {B} (Em vez de conjurar este card da sua mão, você pode pagar {B} e exilá-lo com quatro marcadores temporais. No início de sua manutenção, remova um marcador temporal. Quando o último for removido, conjure-o sem pagar seu custo de mana.)</t>
  </si>
  <si>
    <t>Spire Mangler / Desmembrador da Torre</t>
  </si>
  <si>
    <t>Flash Flying When this creature enters, target creature you control with flying gets +2/+0 until end of turn. / Lampejo Voar Quando Desmembrador da Torre entra no campo de batalha, a criatura alvo que você controla com voar recebe +2/+0 até o final do turno.</t>
  </si>
  <si>
    <t>Marauder's Axe / Machado do Saqueador</t>
  </si>
  <si>
    <t>Equipped creature gets +2/+0. Equip {2} ({2}: Attach to target creature you control. Equip only as a sorcery.) / A criatura equipada recebe +2/+0. Equipar {2} ({2}: Anexe este equipamento à criatura alvo que você controla. Equipe somente como um feitiço.)</t>
  </si>
  <si>
    <t>Pilfering Imp / Diabrete Afanador</t>
  </si>
  <si>
    <t>Flying {1}{B}, {T}, Sacrifice this creature: Target opponent reveals their hand. You choose a nonland card from it. That player discards that card. Activate only as a sorcery. / Voar {1}{B}, {T}, sacrifique Diabrete Afanador: O oponente alvo revela a própria mão. Você escolhe um card que não seja um terreno da mão dele. Aquele jogador descarta aquele card. Ative esta habilidade somente nos momentos em que poderia conjurar um feitiço.</t>
  </si>
  <si>
    <t>Tolarian Sentinel / Sentinela Tolariana</t>
  </si>
  <si>
    <t>Creature — Human Spellshaper / Criatura — Humano Magimodelador</t>
  </si>
  <si>
    <t>Flying {U}, {T}, Discard a card: Return target permanent you control to its owner's hand. / Voar {U}, {T}, descarte um card: Devolva a permanente alvo que você controla para a mão de seu dono.</t>
  </si>
  <si>
    <t>Rain of Rust / Chuva de Ferrugem</t>
  </si>
  <si>
    <t>Choose one — • Destroy target artifact. • Destroy target land. Entwine {3}{R} (Choose both if you pay the entwine cost.) / Escolha um Destrói o artefato alvo; ou destrói o terreno alvo. Entrelaçar {3}{R} (Escolha ambos se pagar o custo de entrelaçar.)</t>
  </si>
  <si>
    <t>Mardu Banner / Estandarte Mardu</t>
  </si>
  <si>
    <t>{T}: Add {R}, {W}, or {B}. {R}{W}{B}, {T}, Sacrifice this artifact: Draw a card. / {T}: Adicione {R}, {W} ou {B} à sua reserva de mana. {R}{W}{B}, {T}, Sacrifique Estandarte Mardu: Compre um card.</t>
  </si>
  <si>
    <t>Preto, Vermelho, Branco</t>
  </si>
  <si>
    <t>Rakshasa Gravecaller / Evocador de Túmulos Rakshasa</t>
  </si>
  <si>
    <t>Creature — Demon / Criatura — Felino Demônio</t>
  </si>
  <si>
    <t>Exploit (When this creature enters, you may sacrifice a creature.) When this creature exploits a creature, create two 2/2 black Zombie creature tokens. / Explorar (Quando esta criatura entra no campo de batalha, você pode sacrificar uma criatura.) Quando Evocador de Túmulos Rakshasa explorar uma criatura, coloque no campo de batalha duas fichas de criatura pretas 2/2 do tipo Zumbi.</t>
  </si>
  <si>
    <t>Magma Spray / Esguicho de Magma</t>
  </si>
  <si>
    <t>Magma Spray deals 2 damage to target creature. If that creature would die this turn, exile it instead. / Esguicho de Magma causa 2 pontos de dano à criatura alvo. Se aquela criatura for morrer neste turno, em vez disso, exile-a.</t>
  </si>
  <si>
    <t>Gremlin Infestation / Infestação de Gremlins</t>
  </si>
  <si>
    <t>Enchant artifact At the beginning of your end step, this Aura deals 2 damage to enchanted artifact's controller. When enchanted artifact is put into a graveyard, create a 2/2 red Gremlin creature token. / Encantar artefato No início de sua etapa final, Infestação de Gremlins causa 2 pontos de dano ao controlador do artefato encantado. Quando o artefato encantado for colocado em um cemitério, crie uma ficha de criatura vermelha 2/2 do tipo Gremlin.</t>
  </si>
  <si>
    <t>Mogg Flunkies / Moggs Confusos</t>
  </si>
  <si>
    <t>This creature can't attack or block alone. / Moggs Confusos não pode atacar nem bloquear sozinho.</t>
  </si>
  <si>
    <t>Brand of Ill Omen / Estigma do Infortúnio</t>
  </si>
  <si>
    <t>Enchant creature Cumulative upkeep {R} (At the beginning of your upkeep, put an age counter on this permanent, then sacrifice it unless you pay its upkeep cost for each age counter on it.) Enchanted creature's controller can't cast creature spells.</t>
  </si>
  <si>
    <t>Aggression / Agressão</t>
  </si>
  <si>
    <t>Enchant non-Wall creature Enchanted creature has first strike and trample. At the beginning of the end step of enchanted creature's controller, destroy that creature if it didn't attack this turn.</t>
  </si>
  <si>
    <t>Agility / Agilidade</t>
  </si>
  <si>
    <t>Enchant creature Enchanted creature gets +1/+1 and has flanking. (Whenever a creature without flanking blocks this creature, the blocking creature gets -1/-1 until end of turn.)</t>
  </si>
  <si>
    <t>Imposing Visage / Aparência Imponente</t>
  </si>
  <si>
    <t>Enchant creature Enchanted creature has menace. (It can't be blocked except by two or more creatures.)</t>
  </si>
  <si>
    <t>Errantry / Peregrinação</t>
  </si>
  <si>
    <t>Enchant creature Enchanted creature gets +3/+0 and can only attack alone.</t>
  </si>
  <si>
    <t>Magnetic Mountain / Montanha Magnética</t>
  </si>
  <si>
    <t>Blue creatures don't untap during their controllers' untap steps. At the beginning of each player's upkeep, that player may choose any number of tapped blue creatures they control and pay {4} for each creature chosen this way. If the player does, untap those creatures.</t>
  </si>
  <si>
    <t>Eternal Warrior / Guerreiro Perpétuo</t>
  </si>
  <si>
    <t>Enchant creature Enchanted creature has vigilance.</t>
  </si>
  <si>
    <t>Stonehands / Mãos de Pedra</t>
  </si>
  <si>
    <t>Enchant creature Enchanted creature gets +0/+2. {R}: Enchanted creature gets +1/+0 until end of turn.</t>
  </si>
  <si>
    <t>Firebreathing / Hálito de Fogo</t>
  </si>
  <si>
    <t>Enchant creature {R}: Enchanted creature gets +1/+0 until end of turn. / Encantar criatura {R}: A criatura encantada recebe +1/+0 até o final do turno.</t>
  </si>
  <si>
    <t>Burrowing / Escavar</t>
  </si>
  <si>
    <t>Enchant creature Enchanted creature has mountainwalk. (It can't be blocked as long as defending player controls a Mountain.)</t>
  </si>
  <si>
    <t>Onslaught / Investida Violenta</t>
  </si>
  <si>
    <t>Whenever you cast a creature spell, tap target creature.</t>
  </si>
  <si>
    <t>Curse of Marit Lage / Maldição de Marit Lage</t>
  </si>
  <si>
    <t>When this enchantment enters, tap all Islands. Islands don't untap during their controllers' untap steps.</t>
  </si>
  <si>
    <t>Giant Strength / Força do Gigante</t>
  </si>
  <si>
    <t>Enchant creature Enchanted creature gets +2/+2.</t>
  </si>
  <si>
    <t>{R}{R}</t>
  </si>
  <si>
    <t>Flashfires / Tormenta Ígnea</t>
  </si>
  <si>
    <t>Destroy all Plains. / Destrói todas as Planícies.</t>
  </si>
  <si>
    <t>Disintegrate / Desintegrar</t>
  </si>
  <si>
    <t>Disintegrate deals X damage to any target. If it's a creature, it can't be regenerated this turn, and if it would die this turn, exile it instead. / Desintegrar causa X pontos de dano à criatura alvo ou ao jogador alvo. Aquela criatura não pode ser regenerada neste turno. Se a criatura seria colocada num cemitério neste turno, em vez disso, remova-a de jogo.</t>
  </si>
  <si>
    <t>Lava Axe / Machado de Lava</t>
  </si>
  <si>
    <t>Lava Axe deals 5 damage to target player or planeswalker. / Machado de Lava causa 5 pontos de dano ao jogador ou planeswalker alvo.</t>
  </si>
  <si>
    <t>Portal</t>
  </si>
  <si>
    <t>Pyrotechnics / Pirotécnica</t>
  </si>
  <si>
    <t>Pyrotechnics deals 4 damage divided as you choose among any number of targets. / Pirotécnica causa 4 pontos de dano, distribuídos a sua escolha entre um número qualquer de criaturas e/ou jogadores alvo.</t>
  </si>
  <si>
    <t>Builder's Bane / Maldição do Construtor</t>
  </si>
  <si>
    <t>Destroy X target artifacts. Builder's Bane deals damage to each player equal to the number of artifacts they controlled that were put into a graveyard this way.</t>
  </si>
  <si>
    <t>{X}{X}{R}</t>
  </si>
  <si>
    <t>Spitting Earth / Golfada de Terra</t>
  </si>
  <si>
    <t>Spitting Earth deals damage to target creature equal to the number of Mountains you control. / Golfada de Terra causa à criatura alvo uma quantidade de dano igual ao número de Montanhas que você controla.</t>
  </si>
  <si>
    <t>Detonate / Explodir</t>
  </si>
  <si>
    <t>Destroy target artifact with mana value X. It can't be regenerated. Detonate deals X damage to that artifact's controller. / Destrói o artefato alvo com custo de mana convertido igual a X. Ela não pode ser regenerada. Explodir causa X pontos de dano ao controlador daquele artefato.</t>
  </si>
  <si>
    <t>Lava Burst / Explosão de Lava</t>
  </si>
  <si>
    <t>Lava Burst deals X damage to any target. If Lava Burst would deal damage to a creature, that damage can't be prevented or dealt instead to another permanent or player.</t>
  </si>
  <si>
    <t>Avalanche</t>
  </si>
  <si>
    <t>Destroy X target snow lands.</t>
  </si>
  <si>
    <t>{X}{2}{R}{R}</t>
  </si>
  <si>
    <t>Swirling Sandstorm / Redemoinho de Areia</t>
  </si>
  <si>
    <t>Threshold — Swirling Sandstorm deals 5 damage to each creature without flying if there are seven or more cards in your graveyard. / Limiar Redemoinho de Areia causa 5 pontos de dano a cada criatura que não tenha a habilidade de voar. (Você atinge o limiar se houver sete ou mais cards em seu cemitério.)</t>
  </si>
  <si>
    <t>Judgment (JUD)</t>
  </si>
  <si>
    <t>Kaervek's Torch / Tocha de Kaervek</t>
  </si>
  <si>
    <t>As long as Kaervek's Torch is on the stack, spells that target it cost {2} more to cast. Kaervek's Torch deals X damage to any target.</t>
  </si>
  <si>
    <t>Stone Rain / Chuva de Pedras</t>
  </si>
  <si>
    <t xml:space="preserve">Quarta Edição </t>
  </si>
  <si>
    <t>Fireball / Bola de Fogo</t>
  </si>
  <si>
    <t>This spell costs {1} more to cast for each target beyond the first. Fireball deals X damage divided evenly, rounded down, among any number of targets. / Esta mágica custa {1} a mais para ser conjurada para cada alvo além do primeiro. Bola de Fogo causa X pontos de dano divididos igualmente, arredondando para baixo, entre qualquer número de alvos.</t>
  </si>
  <si>
    <t>Blind Fury / Fúria Cega</t>
  </si>
  <si>
    <t>All creatures lose trample until end of turn. If a creature would deal combat damage to a creature this turn, it deals double that damage to that creature instead.</t>
  </si>
  <si>
    <t>Soldevi Heretic / Herege Soldeviano</t>
  </si>
  <si>
    <t>{W}, {T}: Prevent the next 2 damage that would be dealt to target creature this turn. Target opponent may draw a card.</t>
  </si>
  <si>
    <t>Aliban's Tower / Torre de Aliban</t>
  </si>
  <si>
    <t>Target blocking creature gets +3/+1 until end of turn.</t>
  </si>
  <si>
    <t>Word of Blasting / Palavra de Detonação</t>
  </si>
  <si>
    <t>Destroy target Wall. It can't be regenerated. Word of Blasting deals damage equal to that Wall's mana value to the Wall's controller.</t>
  </si>
  <si>
    <t>Vertigo / Vertigem</t>
  </si>
  <si>
    <t>Vertigo deals 2 damage to target creature with flying. That creature loses flying until end of turn.</t>
  </si>
  <si>
    <t>Inferno</t>
  </si>
  <si>
    <t>Inferno deals 6 damage to each creature and each player. / Inferno causa 6 pontos de dano a cada criatura e cada jogador.</t>
  </si>
  <si>
    <t>Stun / Atordoar</t>
  </si>
  <si>
    <t>Target creature can't block this turn. Draw a card. / A criatura alvo não pode bloquear neste turno. Compre um card.</t>
  </si>
  <si>
    <t>Fissure / Fissura</t>
  </si>
  <si>
    <t>Destroy target creature or land. It can't be regenerated.</t>
  </si>
  <si>
    <t>Battle Frenzy / Frenesi de Batalha</t>
  </si>
  <si>
    <t>Green creatures you control get +1/+1 until end of turn. Nongreen creatures you control get +1/+0 until end of turn.</t>
  </si>
  <si>
    <t>Blood Lust / Sede de Sangue</t>
  </si>
  <si>
    <t>If target creature has toughness 5 or greater, it gets +4/-4 until end of turn. Otherwise, it gets +4/-X until end of turn, where X is its toughness minus 1.</t>
  </si>
  <si>
    <t>Panic / Pânico</t>
  </si>
  <si>
    <t>Cast this spell only during combat before blockers are declared. Target creature can't block this turn. Draw a card at the beginning of the next turn's upkeep.</t>
  </si>
  <si>
    <t>Active Volcano</t>
  </si>
  <si>
    <t>Choose one — • Destroy target blue permanent. • Return target Island to its owner's hand.</t>
  </si>
  <si>
    <t>Tunnel / Túnel</t>
  </si>
  <si>
    <t>Destroy target Wall. It can't be regenerated. / Enterra a barreira-alvo.</t>
  </si>
  <si>
    <t>Destroy target artifact. / Destrói artefato-alvo.</t>
  </si>
  <si>
    <t>Flare / Detonação</t>
  </si>
  <si>
    <t>Flare deals 1 damage to any target. Draw a card at the beginning of the next turn's upkeep. / Detonação causa 1 ponto de dano a qualquer alvo. Compre um card no início da manutenção do próximo turno.</t>
  </si>
  <si>
    <t>Retribution / Retribuição</t>
  </si>
  <si>
    <t>Choose two target creatures controlled by the same opponent. That player chooses and sacrifices one of those creatures. Put a -1/-1 counter on the other.</t>
  </si>
  <si>
    <t>The Brute / O Bruto</t>
  </si>
  <si>
    <t>Enchantment — Aura / Encantar Criatura</t>
  </si>
  <si>
    <t>Enchant creature Enchanted creature gets +1/+0. {R}{R}{R}: Regenerate enchanted creature. / A criatura-alvo ganha +1/+0. {R}{R}{R}: Regenera a criatura-alvo encantada pelo Bruto.</t>
  </si>
  <si>
    <t>Immolation / Imolação</t>
  </si>
  <si>
    <t>Enchant creature Enchanted creature gets +2/-2. / A criatura-alvo ganha +2/-2.</t>
  </si>
  <si>
    <t>Melting / Degelo</t>
  </si>
  <si>
    <t>All lands are no longer snow.</t>
  </si>
  <si>
    <t>Barbarian Guides / Guias Bárbaros</t>
  </si>
  <si>
    <t>Creature — Human Barbarian</t>
  </si>
  <si>
    <t>{2}{R}, {T}: Choose a land type. Target creature you control gains snow landwalk of the chosen type until end of turn. Return that creature to its owner's hand at the beginning of the next end step. (It can't be blocked as long as defending player controls a snow land of that type.)</t>
  </si>
  <si>
    <t>Bird Maiden / Donzela Alada</t>
  </si>
  <si>
    <t>Creature — Human Bird</t>
  </si>
  <si>
    <t>Ali Baba</t>
  </si>
  <si>
    <t>{R}: Tap target Wall.</t>
  </si>
  <si>
    <t>Orcish Veteran</t>
  </si>
  <si>
    <t>Creature — Orc</t>
  </si>
  <si>
    <t>This creature can't block white creatures with power 2 or greater. {R}: This creature gains first strike until end of turn.</t>
  </si>
  <si>
    <t>Uthden Troll / Trol de Uthden</t>
  </si>
  <si>
    <t>{R}: Regenerate this creature. / {R}: Regenere Trol de Uthden.</t>
  </si>
  <si>
    <t xml:space="preserve">Fourth Edition </t>
  </si>
  <si>
    <t>Tor Giant / Gigante dos Picos Rochosos</t>
  </si>
  <si>
    <t>Creature — Giant</t>
  </si>
  <si>
    <t>Karplusan Giant / Gigante Karplusano</t>
  </si>
  <si>
    <t>Tap an untapped snow land you control: This creature gets +1/+1 until end of turn.</t>
  </si>
  <si>
    <t>{6}{R}</t>
  </si>
  <si>
    <t>Hill Giant / Gigante da Colina</t>
  </si>
  <si>
    <t>Dwarven Trader / Comerciante Anão</t>
  </si>
  <si>
    <t>Creature — Dwarf</t>
  </si>
  <si>
    <t>Cave People / Povo da Caverna</t>
  </si>
  <si>
    <t>Creature — Human</t>
  </si>
  <si>
    <t>Whenever this creature attacks, it gets +1/-2 until end of turn. {1}{R}{R}, {T}: Target creature gains mountainwalk until end of turn. (It can't be blocked as long as defending player controls a Mountain.)</t>
  </si>
  <si>
    <t>Goblin Rock Sled / Martelo de Pedra Goblin</t>
  </si>
  <si>
    <t>Trample This creature doesn't untap during your untap step if it attacked during your last turn. This creature can't attack unless defending player controls a Mountain.</t>
  </si>
  <si>
    <t>Hurloon Minotaur / Minotauro de Hurloon</t>
  </si>
  <si>
    <t>Creature — Minotaur</t>
  </si>
  <si>
    <t>Goblin Digging Team / Grupo de Goblins Escavadores</t>
  </si>
  <si>
    <t>{T}, Sacrifice this creature: Destroy target Wall.</t>
  </si>
  <si>
    <t xml:space="preserve">Chronicles </t>
  </si>
  <si>
    <t>Ironclaw Orcs / Orcs da Garra de Ferro</t>
  </si>
  <si>
    <t>This creature can't block creatures with power 2 or greater.</t>
  </si>
  <si>
    <t>Sabretooth Tiger / Tigre Dentes-de-sabre</t>
  </si>
  <si>
    <t>Creature — Cat / Criatura — Gato</t>
  </si>
  <si>
    <t>First strike / Iniciativa (Esta criatura causa dano de combate antes de criaturas sem a habilidade de iniciativa.)</t>
  </si>
  <si>
    <t>Mons's Goblin Raiders / Goblins Salteadores do Mons</t>
  </si>
  <si>
    <t>Gray Ogre / Ogro Cinzento</t>
  </si>
  <si>
    <t>Brothers of Fire / Irmãos do Fogo</t>
  </si>
  <si>
    <t>Creature — Human Shaman</t>
  </si>
  <si>
    <t>{1}{R}{R}: This creature deals 1 damage to any target and 1 damage to you.</t>
  </si>
  <si>
    <t>Orcish Artillery / Artilharia Órquica</t>
  </si>
  <si>
    <t>{T}: This creature deals 2 damage to any target and 3 damage to you. / {T}: Artilharia Órquica causa 2 pontos de dano à criatura ou ao jogador alvo e 3 pontos de dano a você.</t>
  </si>
  <si>
    <t>Flame Spirit / Espírito das Chamas</t>
  </si>
  <si>
    <t>Creature — Elemental Spirit</t>
  </si>
  <si>
    <t>{R}: This creature gets +1/+0 until end of turn.</t>
  </si>
  <si>
    <t>Ambush Party / Grupo de Emboscada</t>
  </si>
  <si>
    <t>First strike, haste</t>
  </si>
  <si>
    <t>Keldon Warlord / Senhor da Guerra de Keldon</t>
  </si>
  <si>
    <t>Keldon Warlord's power and toughness are each equal to the number of non-Wall creatures you control.</t>
  </si>
  <si>
    <t>Crimson Manticore / Mantícora Escarlate</t>
  </si>
  <si>
    <t>Creature — Manticore</t>
  </si>
  <si>
    <t>Flying {R}, {T}: This creature deals 1 damage to target attacking or blocking creature.</t>
  </si>
  <si>
    <t>Balduvian Horde / Horda Balduviana</t>
  </si>
  <si>
    <t>When this creature enters, sacrifice it unless you discard a card at random.</t>
  </si>
  <si>
    <t>Telim'Tor / TelimíTor</t>
  </si>
  <si>
    <t>Legendary Creature — Human Knight</t>
  </si>
  <si>
    <t>Flanking (Whenever a creature without flanking blocks this creature, the blocking creature gets -1/-1 until end of turn.) Whenever Telim'Tor attacks, all attacking creatures with flanking get +1/+1 until end of turn.</t>
  </si>
  <si>
    <t>Wall of Opposition</t>
  </si>
  <si>
    <t>Defender (This creature can't attack.) {1}: This creature gets +1/+0 until end of turn.</t>
  </si>
  <si>
    <t>Crimson Hellkite / Dragão Avérneo Escarlate</t>
  </si>
  <si>
    <t>Creature — Dragon</t>
  </si>
  <si>
    <t>Flying {X}, {T}: This creature deals X damage to target creature. Spend only red mana on X.</t>
  </si>
  <si>
    <t>{6}{R}{R}{R}</t>
  </si>
  <si>
    <t>Goblin Brigand / Bandoleiro Goblin</t>
  </si>
  <si>
    <t>This creature attacks each combat if able. / Bandoleiro Goblin ataca a cada turno se estiver apto.</t>
  </si>
  <si>
    <t>Spitfire Handler / Manuseador de Cospe-Fogos</t>
  </si>
  <si>
    <t>This creature can't block creatures with power greater than this creature's power. {R}: This creature gets +1/+0 until end of turn. / Manuseador de Cospe-Fogos não pode bloquear criaturas cujo poder não seja maior que seu próprio poder. {R}: Manuseador de Cospe-Fogos recebe +1/+0 até o final do turno.</t>
  </si>
  <si>
    <t>Skirk Marauder / Saqueador de Skirk</t>
  </si>
  <si>
    <t>Morph {2}{R} (You may cast this card face down as a 2/2 creature for {3}. Turn it face up any time for its morph cost.) When this creature is turned face up, it deals 2 damage to any target. / Metamorfose {2}{R} (Você pode baixar este card com a face voltada para baixo como uma criatura 2/2 por {3}. Volte sua face para cima a qualquer momento pagando seu custo de metamorfose.) Quando a face de Saqueador de Skirk for voltada para cima, ele causa 2 pontos de dano à criatura alvo ou ao jogador alvo.</t>
  </si>
  <si>
    <t>Arena League 2003 (PAL03)</t>
  </si>
  <si>
    <t>Goblin Taskmaster / Goblin Capataz</t>
  </si>
  <si>
    <t>{1}{R}: Target Goblin creature gets +1/+0 until end of turn. Morph {R} (You may cast this card face down as a 2/2 creature for {3}. Turn it face up any time for its morph cost.) / {1}{R}: O Goblin alvo recebe +1/+0 até o final do turno. Metamorfose {R} (Você pode baixar este card com a face voltada para baixo como uma criatura 2/2 por {3}. Volte sua face para cima a qualquer momento pagando seu custo de metamorfose.)</t>
  </si>
  <si>
    <t>Goblin Grappler / Goblin Agarrador</t>
  </si>
  <si>
    <t>Provoke (Whenever this creature attacks, you may have target creature defending player controls untap and block it if able.) / Provocar (Quando esta criatura atacar, você pode desvirar a criatura alvo que o jogador defensor controla e fazer com que ela a bloqueie se estiver apta.)</t>
  </si>
  <si>
    <t>Legions (LGN)</t>
  </si>
  <si>
    <t>Warbreak Trumpeter / Trombeteiro Irrompe-Guerra</t>
  </si>
  <si>
    <t>Morph {X}{X}{R} (You may cast this card face down as a 2/2 creature for {3}. Turn it face up any time for its morph cost.) When this creature is turned face up, create X 1/1 red Goblin creature tokens. / Metamorfose {X}{X}{R} (Você pode baixar este card com a face voltada para baixo como uma criatura 2/2 por {3}. Volte sua face para cima a qualquer momento pagando seu custo de metamorfose.) Quando a face de Trombeteiro Irrompe-Guerra for voltada para cima, coloque em jogo X fichas de criatura vermelha 1/1 do tipo Goblin.</t>
  </si>
  <si>
    <t>Goblin Dynamo / Dínamo Goblin</t>
  </si>
  <si>
    <t>{T}: This creature deals 1 damage to any target. {X}{R}, {T}, Sacrifice this creature: It deals X damage to any target. / {T}: Dínamo Goblin causa 1 ponto de dano à criatura alvo ou ao jogador alvo. {X}{R}, {T}, Sacrifique Dínamo Goblin: Dínamo Goblin causa X pontos de dano à criatura alvo ou ao jogador alvo.</t>
  </si>
  <si>
    <t>Goblin Machinist / Maquinista Goblin</t>
  </si>
  <si>
    <t>{2}{R}: Reveal cards from the top of your library until you reveal a nonland card. This creature gets +X/+0 until end of turn, where X is that card's mana value. Put the revealed cards on the bottom of your library in any order. / {2}{R}: Revele cards do topo de seu grimório até revelar um card que não seja um terreno. Maquinista Goblin recebe +X/+0 até o final do turno, sendo X igual ao custo de mana convertido daquele card. Coloque os cards revelados no fundo de seu grimório em qualquer ordem.</t>
  </si>
  <si>
    <t>Goblin Clearcutter / Goblin Limpa-Caminhos</t>
  </si>
  <si>
    <t>{T}, Sacrifice a Forest: Add three mana in any combination of {R} and/or {G}. / {T}, Sacrifique uma floresta: Adiciona três manas em qualquer combinação de vermelho e/ou verde à sua reserva de mana.</t>
  </si>
  <si>
    <t>Skirk Outrider / Vanguardeiro de Skirk</t>
  </si>
  <si>
    <t>As long as you control a Beast, this creature gets +2/+2 and has trample. / Vanguardeiro de Skirk recebe +2/+2 e tem a habilidade de atropelar desde que você controle uma Besta.</t>
  </si>
  <si>
    <t>Skirk Volcanist / Vulcanólogo de Skirk</t>
  </si>
  <si>
    <t>Morph—Sacrifice two Mountains. (You may cast this card face down as a 2/2 creature for {3}. Turn it face up any time for its morph cost.) When this creature is turned face up, it deals 3 damage divided as you choose among one, two, or three target creatures. / Metamorfose—Sacrifique duas montanhas. (Você pode baixar este card com a face voltada para baixo como uma criatura 2/2 por {3}. Volte sua face para cima a qualquer momento pagando seu custo de metamorfose.) Quando a face de Vulcanólogo de Skirk for voltada para cima, ele causa 3 pontos de dano divididos como você quiser dentre um número qualquer de criaturas alvo.</t>
  </si>
  <si>
    <t>Embermage Goblin / Mago Ígneo Goblin</t>
  </si>
  <si>
    <t>Creature — Goblin Wizard / Criatura — Mago Goblin</t>
  </si>
  <si>
    <t>When this creature enters, you may search your library for a card named Embermage Goblin, reveal it, put it into your hand, then shuffle. {T}: This creature deals 1 damage to any target. / Quando Mago Ígneo Goblin entra em jogo, você pode procurar em seu grimório por um card cujo nome seja Mago Ígneo Goblin, revelá-lo e colocá-lo em sua mão. Se o fizer, embaralhe seu grimório. {T}: Mago Ígneo Goblin causa 1 ponto de dano à criatura alvo ou ao jogador alvo.</t>
  </si>
  <si>
    <t>Goblin Firebug / Goblin Toca-Fogo</t>
  </si>
  <si>
    <t>When this creature leaves the battlefield, sacrifice a land. / Quando Goblin Toca-Fogo sair de jogo, sacrifique um terreno.</t>
  </si>
  <si>
    <t>Anaba Bodyguard / Guarda-Costas de Anaba</t>
  </si>
  <si>
    <t>Creature — Minotaur / Criatura — Minotauro</t>
  </si>
  <si>
    <t>First strike (This creature deals combat damage before creatures without first strike.) / Iniciativa (Esta criatura causa dano de combate antes de criaturas sem a habilidade de iniciativa.)</t>
  </si>
  <si>
    <t>Anaba Shaman / Xamã de Anaba</t>
  </si>
  <si>
    <t>Creature — Minotaur Shaman / Criatura — Xamã Minotauro</t>
  </si>
  <si>
    <t>{R}, {T}: This creature deals 1 damage to any target. / {R}, {T}: Xamã de Anaba causa 1 ponto de dano à criatura ou ao jogador alvo.</t>
  </si>
  <si>
    <t>Roc of Kher Ridges</t>
  </si>
  <si>
    <t>Creature — Bird</t>
  </si>
  <si>
    <t>Varchild's Crusader / Cruzado de Varchild</t>
  </si>
  <si>
    <t>Creature — Human Knight</t>
  </si>
  <si>
    <t>{0}: This creature can't be blocked this turn except by Walls. Sacrifice this creature at the beginning of the next end step.</t>
  </si>
  <si>
    <t>Stone Giant / Gigante de Pedra</t>
  </si>
  <si>
    <t>{T}: Target creature you control with toughness less than this creature's power gains flying until end of turn. Destroy that creature at the beginning of the next end step. / {T}: A criatura alvo que você controla com resistência menor que o poder de Gigante de Pedra ganha voar até o final do turno. Destrua aquela criatura no início da etapa final.</t>
  </si>
  <si>
    <t>Dragon Whelp / Filhote de Dragão</t>
  </si>
  <si>
    <t>Flying {R}: This creature gets +1/+0 until end of turn. If this ability has been activated four or more times this turn, sacrifice this creature at the beginning of the next end step. / Voar {R}: Filhote de Dragão recebe +1/+0 até o final do turno. No início da etapa final, se esta habilidade tiver sido ativada quatro ou mais vezes neste turno, sacrifique Filhote de Dragão.</t>
  </si>
  <si>
    <t>Bone Shaman / Xamã dos Ossos</t>
  </si>
  <si>
    <t>Creature — Giant Shaman</t>
  </si>
  <si>
    <t>{B}: Until end of turn, this creature gains "Creatures dealt damage by this creature this turn can't be regenerated this turn."</t>
  </si>
  <si>
    <t>Chandler</t>
  </si>
  <si>
    <t>{R}{R}{R}, {T}: Destroy target artifact creature.</t>
  </si>
  <si>
    <t>Flamestick Courier / Mensageiro do Archote</t>
  </si>
  <si>
    <t>You may choose not to untap this creature during your untap step. {2}{R}, {T}: Target Goblin creature gets +2/+2 and has haste for as long as this creature remains tapped. / Você pode optar por não desvirar Mensageiro do Archote durante sua etapa de desvirar. {2}{R}, {T}: Enquanto Mensageiro do Archote permanecer virado, o Goblin alvo recebe +2/+2 e tem ímpeto.</t>
  </si>
  <si>
    <t>Goblin Sky Raider / Goblin Atacante Celeste</t>
  </si>
  <si>
    <t>Flying (This creature can't be blocked except by creatures with flying or reach.) / Voar (Esta criatura só pode ser bloqueada por criaturas com a habilidade de voar ou alcance.)</t>
  </si>
  <si>
    <t>Nosy Goblin / Goblin Intrometido</t>
  </si>
  <si>
    <t>{T}, Sacrifice this creature: Destroy target face-down creature. / {T}, Sacrifique Goblin Intrometido: Destrói a criatura alvo com a face voltada para baixo.</t>
  </si>
  <si>
    <t>Rock Jockey / Jóquei de Pedras</t>
  </si>
  <si>
    <t>You can't cast Rock Jockey if you've played a land this turn. You can't play lands if this creature was cast this turn. / Você não pode baixar Jóquei de Pedras se tiver baixado um terreno neste turno. Você não pode baixar terrenos se tiver baixado Jóquei de Pedras neste turno.</t>
  </si>
  <si>
    <t>Skirk Commando / Comando de Skirk</t>
  </si>
  <si>
    <t>Whenever this creature deals combat damage to a player, you may have it deal 2 damage to target creature that player controls. Morph {2}{R} (You may cast this card face down as a 2/2 creature for {3}. Turn it face up any time for its morph cost.) / Toda vez que Comando de Skirk causa dano de combate a um jogador, você pode fazer com que ele cause 2 pontos de dano à criatura alvo que aquele jogador controla. Metamorfose {2}{R} (Você pode baixar este card com a face voltada para baixo como uma criatura 2/2 por {3}. Volte sua face para cima a qualquer momento pagando seu custo de metamorfose.)</t>
  </si>
  <si>
    <t>Krark-Clan Shaman / Xamã do Clã de Krark</t>
  </si>
  <si>
    <t>Sacrifice an artifact: This creature deals 1 damage to each creature without flying. / Sacrifique um artefato: Xamã do Clã de Krark causa 1 ponto de dano a cada criatura sem a habilidade de voar.</t>
  </si>
  <si>
    <t>Gorilla Shaman / Xamã dos Gorilas</t>
  </si>
  <si>
    <t>Creature — Ape Shaman / Criatura — Símio Xamã</t>
  </si>
  <si>
    <t>{X}{X}{1}: Destroy target noncreature artifact with mana value X. / {X}{X}{1}: Destrua o artefato alvo não de criatura com valor de mana igual a X.</t>
  </si>
  <si>
    <t>Granite Gargoyle</t>
  </si>
  <si>
    <t>Creature — Gargoyle</t>
  </si>
  <si>
    <t>Flying {R}: This creature gets +0/+1 until end of turn.</t>
  </si>
  <si>
    <t>Orcish Farmer / Fazendeiro Orc</t>
  </si>
  <si>
    <t>{T}: Target land becomes a Swamp until its controller's next untap step.</t>
  </si>
  <si>
    <t>Spikeshot Goblin / Goblin Atira-Ferrões</t>
  </si>
  <si>
    <t>{R}, {T}: This creature deals damage equal to its power to any target. / {R}, {T}: Goblin Atira-Ferrões causa uma quantidade de dano igual ao seu poder à criatura alvo ou ao jogador alvo.</t>
  </si>
  <si>
    <t>Dwarven Blastminer / Anão Detonador</t>
  </si>
  <si>
    <t>Criatura — Anão / Creature — Dwarf</t>
  </si>
  <si>
    <t>{2}{R}, {T}: Destrua o terreno alvo não básico. / {2}{R}, {T}: Destroy target nonbasic land. Morf {R} (Você pode conjurar esta face voltada para baixo como uma criatura 2/2 por {3}. Vire-a para cima a qualquer momento pelo seu custo de morf.) / Morph {R} (You may play this face down as a 2/2 creature for {3}. Turn it face up any time for its morph cost.)</t>
  </si>
  <si>
    <t>Joven</t>
  </si>
  <si>
    <t>Summon Legend</t>
  </si>
  <si>
    <t>{R}{R}{R}, {T}: Destroy target non-creature artifact.</t>
  </si>
  <si>
    <t>Anões Guerreiros / Dwarven Warriors</t>
  </si>
  <si>
    <t>Invocar Anões / Summon Dwarves</t>
  </si>
  <si>
    <t>{T}: Uma criatura-alvo com poder menor ou igual a 2 torna-se impossível de ser bloqueada até o final do turno. Mais tarde naquele combate, pode-se usar outros efeitos para aumentar o poder da criatura a um valor maior do que 2. / {T}: Target creature with power 2 or less is unblockable this turn. {T}: Target creature with power 2 or less can't be blocked this turn.</t>
  </si>
  <si>
    <t>Sisters of the Flame / Irmãs da Chama</t>
  </si>
  <si>
    <t>{T}: Add {R}.</t>
  </si>
  <si>
    <t>Wall of Heat</t>
  </si>
  <si>
    <t>Defender (This creature can't attack.)</t>
  </si>
  <si>
    <t>Wall of Stone / Barreira de Pedra</t>
  </si>
  <si>
    <t>Defender (This creature can't attack.) / (As Barreiras não podem atacar.)</t>
  </si>
  <si>
    <t>0/8</t>
  </si>
  <si>
    <t>Enslaved Scout / Batedor Escravizado</t>
  </si>
  <si>
    <t>{2}: This creature gains mountainwalk until end of turn. (It can't be blocked as long as defending player controls a Mountain.)</t>
  </si>
  <si>
    <t>Wall of Fire / Barreira de Fogo</t>
  </si>
  <si>
    <t>Defender (This creature can't attack.) {R}: This creature gets +1/+0 until end of turn. / Defensor (Esta criatura não pode atacar.) {R}: Barreira de Fogo recebe +1/+0 até o final do turno.</t>
  </si>
  <si>
    <t>Brassclaw Orcs / Orcs da Garra de Bronze</t>
  </si>
  <si>
    <t>Balduvian Barbarians / Bárbaros Balduvianos</t>
  </si>
  <si>
    <t>Creature — Human Barbarian / Criatura — Bárbaro Humano</t>
  </si>
  <si>
    <t>Fire Drake / Dragonete de Fogo</t>
  </si>
  <si>
    <t>Flying {R}: This creature gets +1/+0 until end of turn. Activate only once each turn.</t>
  </si>
  <si>
    <t>Wall of Lava / Barreira de Lava</t>
  </si>
  <si>
    <t>Defender (This creature can't attack.) {R}: This creature gets +1/+1 until end of turn.</t>
  </si>
  <si>
    <t>Wall of Dust / Barreira de Pó</t>
  </si>
  <si>
    <t>Defender (This creature can't attack.) Whenever this creature blocks a creature, that creature can't attack during its controller's next turn.</t>
  </si>
  <si>
    <t>Searing Spear Askari / Askári da Lança Cauterizante</t>
  </si>
  <si>
    <t>Creature - Human Knight</t>
  </si>
  <si>
    <t>Flanking (Whenever a creature without flanking is assigned to block this creature, the blocking creature gets -1/-1 until end of turn.) {1}{R}: Searing Spear Askari cannot be blocked by only one creature this turn.</t>
  </si>
  <si>
    <t>Miragem</t>
  </si>
  <si>
    <t>Grizzled Wolverine / Carcaju Cinzento</t>
  </si>
  <si>
    <t>Creature — Wolverine</t>
  </si>
  <si>
    <t>{R}: This creature gets +2/+0 until end of turn. Activate only during the declare blockers step, only if at least one creature is blocking this creature, and only once each turn.</t>
  </si>
  <si>
    <t>Goblin Balloon Brigade / Brigada Baloeira Goblin</t>
  </si>
  <si>
    <t>{R}: This creature gains flying until end of turn. / {R}: Brigada Baloeira Goblin ganha a habilidade de voar até o final do turno.</t>
  </si>
  <si>
    <t>Orcish Conscripts / Recrutas Orcs</t>
  </si>
  <si>
    <t>This creature can't attack unless at least two other creatures attack. This creature can't block unless at least two other creatures block.</t>
  </si>
  <si>
    <t>Mountain Goat / Cabrito Montês</t>
  </si>
  <si>
    <t>Creature — Goat</t>
  </si>
  <si>
    <t>Mountainwalk (This creature can't be blocked as long as defending player controls a Mountain.)</t>
  </si>
  <si>
    <t>Raging Goblin / Goblin Enfurecido</t>
  </si>
  <si>
    <t>Haste (This creature can attack and {T} as soon as it comes under your control.) / Ímpeto (Esta criatura pode atacar e {T} assim que entra sob seu controle.)</t>
  </si>
  <si>
    <t>Goblins of the Flarg</t>
  </si>
  <si>
    <t>Mountainwalk (This creature can't be blocked as long as defending player controls a Mountain.) When you control a Dwarf, sacrifice this creature.</t>
  </si>
  <si>
    <t>Anaba Ancestor / Ancestral de Anaba</t>
  </si>
  <si>
    <t>Creature — Minotaur Spirit</t>
  </si>
  <si>
    <t>{T}: Another target Minotaur creature gets +1/+1 until end of turn.</t>
  </si>
  <si>
    <t>Atog / Atogue</t>
  </si>
  <si>
    <t>Creature — Atog / Criatura — Atogue</t>
  </si>
  <si>
    <t>Sacrifice an artifact: This creature gets +2/+2 until end of turn. / Sacrifique um artefato: Atogue recebe +2/+2 até o final do turno.</t>
  </si>
  <si>
    <t>Dwarven Soldier / Anão Soldado</t>
  </si>
  <si>
    <t>Whenever this creature blocks or becomes blocked by one or more Orcs, this creature gets +0/+2 until end of turn.</t>
  </si>
  <si>
    <t>Dwarven Lieutenant</t>
  </si>
  <si>
    <t>{1}{R}: Target Dwarf creature gets +1/+0 until end of turn.</t>
  </si>
  <si>
    <t>Orcish Librarian / Bibliotecário Orc</t>
  </si>
  <si>
    <t>Creature — Orc / Criatura — Orc</t>
  </si>
  <si>
    <t>{R}, {T}: Look at the top eight cards of your library. Exile four of them at random, then put the rest on top of your library in any order. / {R}, {T}: Olhe os oito cards do topo de seu grimório. Remova do jogo quatro deles aleatoriamente e coloque o restante no topo de seu grimório em qualquer ordem.</t>
  </si>
  <si>
    <t>Goblin Tinkerer / Funileiro Goblin</t>
  </si>
  <si>
    <t>Creature — Goblin Artificer</t>
  </si>
  <si>
    <t>{R}, {T}: Destroy target artifact. That artifact deals damage equal to its mana value to this creature.</t>
  </si>
  <si>
    <t>Canyon Wildcat / Lince do Desfiladeiro</t>
  </si>
  <si>
    <t>Mountainwalk (This creature can't be blocked as long as defending player controls a Mountain.) / Travessia de Montanha (Esta criatura não pode ser bloqueada desde que o jogador defensor controle uma Montanha.)</t>
  </si>
  <si>
    <t>Compassionate Healer</t>
  </si>
  <si>
    <t>Creature — Human Cleric Ally</t>
  </si>
  <si>
    <t>Whenever this creature becomes tapped, you gain 1 life and scry 1. (Look at the top card of your library. You may put it on the bottom.)</t>
  </si>
  <si>
    <t>Bumi Bash</t>
  </si>
  <si>
    <t>Choose one — • Bumi Bash deals damage equal to the number of lands you control to target creature. • Destroy target land creature or nonbasic land.</t>
  </si>
  <si>
    <t>Pretending Poxbearers</t>
  </si>
  <si>
    <t>When this creature dies, create a 1/1 white Ally creature token.</t>
  </si>
  <si>
    <t>Cunning Maneuver</t>
  </si>
  <si>
    <t>Target creature gets +3/+1 until end of turn. Create a Clue token. (It's an artifact with "{2}, Sacrifice this token: Draw a card.")</t>
  </si>
  <si>
    <t>Sold Out</t>
  </si>
  <si>
    <t>Exile target creature. If it was dealt damage this turn, create a Clue token. (It's an artifact with "{2}, Sacrifice this token: Draw a card.")</t>
  </si>
  <si>
    <t>Earth Rumble Wrestlers</t>
  </si>
  <si>
    <t>Criatura — Humano Guerreiro Artista / Creature — Human Warrior Performer</t>
  </si>
  <si>
    <t>Reach. This creature gets +1/+0 and has trample as long as you control a land creature or a land entered the battlefield under your control this turn.</t>
  </si>
  <si>
    <t>{3}{R/G}</t>
  </si>
  <si>
    <t>Flexible Waterbender</t>
  </si>
  <si>
    <t>Vigilance Waterbend {3}: This creature has base power and toughness 5/2 until end of turn. (While paying a waterbend cost, you can tap your artifacts and creatures to help. Each one pays for {1}.)</t>
  </si>
  <si>
    <t>Brandywine Farmer / Fazendeira do Brandevin</t>
  </si>
  <si>
    <t>When this creature enters or leaves the battlefield, create a Food token. (It's an artifact with "{2}, {T}, Sacrifice this token: You gain 3 life.") / Quando Fazendeira do Brandevin entrar no campo de batalha ou o deixar, crie uma ficha de Comida. (Ela é um artefato com "{2}, {T}, sacrifique este artefato: Você ganha 3 pontos de vida".)</t>
  </si>
  <si>
    <t>Fog on the Barrow-Downs / Nevoeiro nas Colinas dos Túmulos</t>
  </si>
  <si>
    <t>Enchant creature Enchanted creature is a Spirit and can't attack or block. (It loses all other creature types.) / Encantar criatura A criatura encantada é um Espírito e não pode atacar nem bloquear. (Ela perde todos os outros tipos de criatura.)</t>
  </si>
  <si>
    <t>Ranger's Firebrand / Tição do Caminheiro</t>
  </si>
  <si>
    <t>Ranger's Firebrand deals 2 damage to any target. The Ring tempts you. / Tição do Caminheiro causa 2 pontos de dano a qualquer alvo. O Anel tenta você.</t>
  </si>
  <si>
    <t>Mortality Spear / Lança da Mortalidade</t>
  </si>
  <si>
    <t>This spell costs {2} less to cast if you gained life this turn. Destroy target nonland permanent. / Esta mágica custa {2} a menos para ser conjurada se você tiver ganho pontos de vida neste turno. Destrua a permanente alvo não de terreno.</t>
  </si>
  <si>
    <t>{2}{B}{G}</t>
  </si>
  <si>
    <t>Gleaming Geardrake / Mecanodrago Reluzente</t>
  </si>
  <si>
    <t>Artifact Creature — Drake / Criatura Artefato — Dragonete</t>
  </si>
  <si>
    <t>Flying When this creature enters, investigate. (Create a Clue token. It's an artifact with "{2}, Sacrifice this token: Draw a card.") Whenever you sacrifice an artifact, put a +1/+1 counter on this creature. / Voar Quando Mecanodrago Reluzente entrar no campo de batalha, investigue. (Crie uma ficha de Pista. Ela é um artefato com "{2}, sacrifique este artefato: Compre um card".) Toda vez que você sacrificar um artefato, coloque um marcador +1/+1 em Mecanodrago Reluzente.</t>
  </si>
  <si>
    <t>Kin-Tree Invocation / Invocação da Árvore de Família</t>
  </si>
  <si>
    <t>Create an X/X black and green Spirit Warrior creature token, where X is the greatest toughness among creatures you control. / Coloque no campo de batalha uma ficha de criatura preta e verde X/X do tipo Espírito Guerreiro, sendo X a maior resistência entre as criaturas que você controla.</t>
  </si>
  <si>
    <t>Unnatural Moonrise / Nascer da Lua Antinatural</t>
  </si>
  <si>
    <t>It becomes night. Until end of turn, target creature gets +1/+0 and gains trample and "Whenever this creature deals combat damage to a player, draw a card." Flashback {2}{R}{G} (You may cast this card from your graveyard for its flashback cost. Then exile it.) / Torna-se noite. Até o final do turno, a criatura alvo recebe +1/+0 e ganha atropelar e "Toda vez que esta criatura causar dano de combate a um jogador, compre um card." Recapitular {2}{R}{G} (Você pode conjurar este card de seu cemitério pagando seu custo de recapitular. Depois, exile-o.)</t>
  </si>
  <si>
    <t>Vohar, Vodalian Desecrator / Vohar, Profanador Vodaliano</t>
  </si>
  <si>
    <t>Legendary Creature — Phyrexian Merfolk Wizard / Criatura Lendária — Phyrexiano Tritão Mago</t>
  </si>
  <si>
    <t>{T}: Draw a card, then discard a card. If you discarded an instant or sorcery card this way, each opponent loses 1 life and you gain 1 life. {2}, Sacrifice Vohar: You may cast target instant or sorcery card from your graveyard this turn. If that spell would be put into your graveyard, exile it instead. Activate only as a sorcery. / {T}: Compre um card e depois descarte um card. Se você descartou um card de mágica instantânea ou de feitiço dessa forma, cada oponente perde 1 ponto de vida e você ganha 1 ponto de vida. {2}, sacrifique Vohar, Profanador Vodaliano: Você pode conjurar o card de mágica instantânea ou de feitiço alvo do seu cemitério neste turno. Se aquela mágica seria colocada no seu cemitério, em vez disso, exile-a. Ative somente como um feitiço.</t>
  </si>
  <si>
    <t>Glowspore Shaman / Xamã Lumispórea</t>
  </si>
  <si>
    <t>Creature — Elf Shaman / Criatura — Elfo Xamã</t>
  </si>
  <si>
    <t>When this creature enters, mill three cards. You may put a land card from your graveyard on top of your library. (To mill a card, put the top card of your library into your graveyard.) / Quando Xamã Lumispórea entrar no campo de batalha, coloque os três cards do topo de seu grimório em seu cemitério. Você pode colocar um card de terreno de seu cemitério no topo de seu grimório.</t>
  </si>
  <si>
    <t>Cyclops Superconductor / Ciclope Supercondutor</t>
  </si>
  <si>
    <t>Creature — Cyclops Wizard / Criatura — Ciclope Mago</t>
  </si>
  <si>
    <t>Prowess (Whenever you cast a noncreature spell, this creature gets +1/+1 until end of turn.) When this creature enters, you get {E}{E}{E} (three energy counters). When this creature dies, you may pay {E}{E}{E}. When you do, this creature deals damage equal to its power to any target. / Destreza (Toda vez que você conjurar uma mágica não de criatura, esta criatura recebe +1/+1 até o final do turno.) Quando Ciclope Supercondutor entra no campo de batalha, você recebe {E}{E}{E} (três marcadores de energia). Quando Ciclope Supercondutor morre, você pode pagar {E}{E}{E}. Quando você faz isso, Ciclope Supercondutor causa dano igual a seu poder a qualquer alvo.</t>
  </si>
  <si>
    <t>Bortuk Bonerattle / Bortuk Chocalho de Ossos</t>
  </si>
  <si>
    <t>Legendary Creature — Troll Shaman / Criatura Lendária — Trol Xamã</t>
  </si>
  <si>
    <t>Domain — When Bortuk Bonerattle enters, if you cast it, choose target creature card in your graveyard. Return that card to the battlefield if its mana value is less than or equal to the number of basic land types among lands you control. Otherwise, put it into your hand. / Dominar — Quando Bortuk Chocalho de Ossos entrar no campo de batalha, se você o tiver conjurado, escolha o card de criatura alvo em seu cemitério. Devolva aquele card ao campo de batalha se o valor de mana dele for igual ou inferior ao número de tipos de terreno básico entre os terrenos que você controla. Do contrário, coloque-o em sua mão.</t>
  </si>
  <si>
    <t>{4}{B}{G}</t>
  </si>
  <si>
    <t>Izzet Charm / Amuleto Izzet</t>
  </si>
  <si>
    <t>Choose one — • Counter target noncreature spell unless its controller pays {2}. • Izzet Charm deals 2 damage to target creature. • Draw two cards, then discard two cards. / Escolha um — Anule a mágica alvo que não seja de criatura a menos que seu controlador pague {2}; ou Amuleto Izzet causa 2 pontos de dano à criatura alvo; ou compre dois cards e depois descarte dois cards.</t>
  </si>
  <si>
    <t>Prophetic Bolt / Raio Profético</t>
  </si>
  <si>
    <t>Prophetic Bolt deals 4 damage to any target. Look at the top four cards of your library. Put one of those cards into your hand and the rest on the bottom of your library in any order. / Raio Profético causa 4 pontos de dano a qualquer alvo. Olhe os quatro cards do topo do seu grimório. Coloque um daqueles cards na sua mão e os restantes no fundo do seu grimório em qualquer ordem.</t>
  </si>
  <si>
    <t>Private Eye / Olheiro Particular</t>
  </si>
  <si>
    <t>Creature — Homunculus Detective / Criatura — Homúnculo Detetive</t>
  </si>
  <si>
    <t>Other Detectives you control get +1/+1. Whenever you draw your second card each turn, target Detective can't be blocked this turn. / Os outros Detetives que você controla recebem +1/+1. Toda vez que você compra seu segundo card a cada turno, o Detetive alvo não pode ser bloqueado neste turno.</t>
  </si>
  <si>
    <t>{1}{W}{U}</t>
  </si>
  <si>
    <t>Beastie Beatdown</t>
  </si>
  <si>
    <t>Choose target creature you control and target creature an opponent controls. Delirium — If there are four or more card types among cards in your graveyard, put two +1/+1 counters on the creature you control. The creature you control deals damage equal to its power to the creature an opponent controls.</t>
  </si>
  <si>
    <t>Melek, Izzet Paragon / Melek, Paradigma dos Izzet</t>
  </si>
  <si>
    <t>Legendary Creature — Weird Wizard / Criatura Lendária — Bizarro Mago</t>
  </si>
  <si>
    <t>Play with the top card of your library revealed. You may cast instant and sorcery spells from the top of your library. Whenever you cast an instant or sorcery spell from your library, copy it. You may choose new targets for the copy. / Jogue com o card do topo de seu grimório revelado. Você pode conjurar mágicas instantâneas e feitiços do topo de seu grimório. Toda vez que você conjurar uma mágica instantânea ou um feitiço de seu grimório, faça uma cópia deste. Você pode escolher novos alvos para a cópia.</t>
  </si>
  <si>
    <t>Tuya Bearclaw / Tuya Garra de Urso</t>
  </si>
  <si>
    <t>Whenever Tuya Bearclaw attacks, it gets +X/+X until end of turn, where X is the greatest power among other creatures you control. / Toda vez que Tuya Garra de Urso ataca, ela recebe +X/+X até o final do turno, sendo X o maior poder entre os das outras criaturas que você controla.</t>
  </si>
  <si>
    <t>Intruding Soulrager</t>
  </si>
  <si>
    <t>Vigilance {T}, Sacrifice a Room: This creature deals 2 damage to each opponent. Draw a card.</t>
  </si>
  <si>
    <t>Scurry of Gremlins / Fuga dos Gremlins</t>
  </si>
  <si>
    <t>When this enchantment enters, create two 1/1 red Gremlin creature tokens. Then you get an amount of {E} (energy counters) equal to the number of creatures you control. Pay {E}{E}{E}{E}: Creatures you control get +1/+0 and gain haste until end of turn. / Quando Fuga dos Gremlins entrar no campo de batalha, crie duas fichas de criatura Gremlin vermelha 1/1. Em seguida, você recebe uma quantidade de {E} (marcadores de energia) igual ao número de criaturas que você controla. Pague {E}{E}{E}{E}: As criaturas que você controla recebem +1/+0 e ganham ímpeto até o final do turno.</t>
  </si>
  <si>
    <t>Truefire Captain / Capitã do Fogo Genuíno</t>
  </si>
  <si>
    <t>Mentor (Whenever this creature attacks, put a +1/+1 counter on target attacking creature with lesser power.) Whenever this creature is dealt damage, it deals that much damage to target player. / Mentor (Toda vez que esta criatura atacar, coloque um marcador +1/+1 na criatura atacante alvo com poder inferior.) Toda vez que Capitã do Fogo Genuíno sofre dano, ela causa a mesma quantidade de dano ao jogador alvo.</t>
  </si>
  <si>
    <t>{R}{R}{W}{W}</t>
  </si>
  <si>
    <t>Garna, the Bloodflame / Garna, a Chama Sanguínea</t>
  </si>
  <si>
    <t>Flash When Garna enters, return to your hand all creature cards in your graveyard that were put there from anywhere this turn. Other creatures you control have haste. / Lampejo Quando Garna, a Chama Sanguínea, entrar no campo de batalha, devolva para sua mão todos os cards de criatura em seu cemitério que tenham sido colocados lá de qualquer lugar neste turno. As outras criaturas que você controla têm ímpeto.</t>
  </si>
  <si>
    <t>{3}{B}{R}</t>
  </si>
  <si>
    <t>Leave // Chance / Deixar // Acaso</t>
  </si>
  <si>
    <t>Leave: Return any number of target permanents you own to your hand. // Chance: Aftermath (Cast this spell only from your graveyard. Then exile it.) Discard any number of cards, then draw that many cards. / Devolva qualquer número de permanentes alvo que você possui para sua mão.</t>
  </si>
  <si>
    <t>{1}{W} // {3}{R}</t>
  </si>
  <si>
    <t>Unraveling Mummy / Múmia Desenrolada</t>
  </si>
  <si>
    <t>{1}{W}: Target attacking Zombie gains lifelink until end of turn. {1}{B}: Target attacking Zombie gains deathtouch until end of turn. / {1}{W}: O Zumbi atacante alvo ganha vínculo com a vida até o final do turno. {1}{B}: O Zumbi atacante alvo ganha toque mortífero até o final do turno.</t>
  </si>
  <si>
    <t>Sunder Shaman / Xamã Rachador</t>
  </si>
  <si>
    <t>Creature — Giant Shaman / Criatura — Gigante Xamã</t>
  </si>
  <si>
    <t>This creature can't be blocked by more than one creature. Whenever this creature deals combat damage to a player, destroy target artifact or enchantment that player controls. / Xamã Rachador não pode ser bloqueado por mais de uma criatura. Toda vez que Xamã Rachador causar dano de combate a um jogador, destrua o artefato ou o encantamento alvo que aquele jogador controla.</t>
  </si>
  <si>
    <t>{R}{R}{G}{G}</t>
  </si>
  <si>
    <t>Rona, Sheoldred's Faithful / Rona, Devota de Sheoldred</t>
  </si>
  <si>
    <t>Legendary Creature — Human Wizard / Criatura Lendária — Humano Mago</t>
  </si>
  <si>
    <t>Whenever you cast an instant or sorcery spell, each opponent loses 1 life. You may cast this card from your graveyard by discarding two cards in addition to paying its other costs. / Toda vez que você conjura uma mágica instantânea ou um feitiço, cada oponente perde 1 ponto de vida. Você pode conjurar Rona, Devota de Sheoldred, de seu cemitério descartando dois cards além de pagar seus outros custos.</t>
  </si>
  <si>
    <t>{1}{U}{B}{B}</t>
  </si>
  <si>
    <t>Ashroot Animist</t>
  </si>
  <si>
    <t>Creature — Lizard Druid</t>
  </si>
  <si>
    <t>Trample Whenever this creature attacks, another target creature you control gains trample and gets +X/+X until end of turn, where X is this creature's power.</t>
  </si>
  <si>
    <t>Moldervine Reclamation / Recuperação das Gavinhas Bolorentas</t>
  </si>
  <si>
    <t>Whenever a creature you control dies, you gain 1 life and draw a card. / Toda vez que uma criatura que você controla morre, você ganha 1 ponto de vida e compra um card.</t>
  </si>
  <si>
    <t>Commander 2021 (C21)</t>
  </si>
  <si>
    <t>Pasta</t>
  </si>
  <si>
    <t>Runic Shot / Tiro Rúnico</t>
  </si>
  <si>
    <t>Kicker {U} (You may pay an additional {U} as you cast this spell.) Destroy target tapped creature. If this spell was kicked, scry 2. / Reforçar {U} (Você pode pagar um custo adicional de {U} ao conjurar esta mágica.) Destrua a criatura virada alvo. Se esta mágica foi reforçada, use vidência 2.</t>
  </si>
  <si>
    <t>Gnarlroot Trapper / Armadilheiro das Raízes Nodosas</t>
  </si>
  <si>
    <t>{T}, Pay 1 life: Add {G}. Spend this mana only to cast an Elf creature spell. {T}: Target attacking Elf you control gains deathtouch until end of turn. (Any amount of damage it deals to a creature is enough to destroy it.) / {T}, Pague 1 ponto de vida: Adicione {G} à sua reserva de mana. Gaste este mana apenas para conjurar uma mágica de criatura do tipo Elfo.{T}: A criatura alvo atacante do tipo Elfo que você controla ganha toque mortífero até o final do turno. (Qualquer quantidade de dano que ela cause a uma criatura é suficiente para destruí-la.)</t>
  </si>
  <si>
    <t>Shroudstomper</t>
  </si>
  <si>
    <t>Deathtouch Whenever this creature enters or attacks, each opponent loses 2 life. You gain 2 life and draw a card.</t>
  </si>
  <si>
    <t>{3}{W}{W}{B}{B}</t>
  </si>
  <si>
    <t>Night Market</t>
  </si>
  <si>
    <t>This land enters tapped. As it enters, choose a color. {T}: Add one mana of the chosen color. Cycling {3} ({3}, Discard this card: Draw a card.)</t>
  </si>
  <si>
    <t>Aetherdrift (DFT)</t>
  </si>
  <si>
    <t>Cloudspire Skycycle</t>
  </si>
  <si>
    <t>Flying When this Vehicle enters, distribute two +1/+1 counters among one or two other target Vehicles and/or creatures you control. Crew 1</t>
  </si>
  <si>
    <t>Broodheart Engine</t>
  </si>
  <si>
    <t>At the beginning of your upkeep, surveil 1. {2}{B}{G}, {T}, Sacrifice this artifact: Return target creature or Vehicle card from your graveyard to the battlefield. Activate only as a sorcery.</t>
  </si>
  <si>
    <t>Moonrise Cleric</t>
  </si>
  <si>
    <t>Creature — Bat Cleric</t>
  </si>
  <si>
    <t>Flying Whenever this creature attacks, you gain 1 life.</t>
  </si>
  <si>
    <t>{1}{W/B}{W/B}</t>
  </si>
  <si>
    <t>Joyful Stormsculptor / Escultora de Tempestade Alegre</t>
  </si>
  <si>
    <t>When this creature enters, create two 1/1 blue and red Elemental creature tokens. Whenever you cast a spell that has convoke, this creature deals 1 damage to each opponent and each battle they protect. / Quando Escultora de Tempestade Alegre entrar no campo de batalha, crie duas fichas de criatura Elemental azul e vermelha 1/1. Toda vez que você conjura uma mágica que tem convocar, Escultora de Tempestade Alegre causa 1 ponto de dano a cada oponente e cada batalha que ele protege.</t>
  </si>
  <si>
    <t>Empyrean Eagle / Águia Empírea</t>
  </si>
  <si>
    <t>Creature — Bird Spirit / Criatura — Ave Espírito</t>
  </si>
  <si>
    <t>Flying Other creatures you control with flying get +1/+1. / Voar As outras criaturas que você controla com voar recebem +1/+1.</t>
  </si>
  <si>
    <t>Jolene, Plundering Pugilist / Jolene, Pugilista Saqueadora</t>
  </si>
  <si>
    <t>Legendary Creature — Human Mercenary / Criatura Lendária — Humano Mercenário</t>
  </si>
  <si>
    <t>Whenever you attack with one or more creatures with power 4 or greater, create a Treasure token. {1}{R}, Sacrifice a Treasure: Jolene deals 1 damage to any target. / Toda vez que você atacar com uma ou mais criaturas com poder igual ou superior a 4, crie uma ficha de Tesouro. {1}{R}, sacrifique um Tesouro: Jolene, Pugilista Saqueadora, causa 1 ponto de dano a qualquer alvo.</t>
  </si>
  <si>
    <t>Shrewd Storyteller</t>
  </si>
  <si>
    <t>Creature — Human Survivor</t>
  </si>
  <si>
    <t>Survival — At the beginning of your second main phase, if this creature is tapped, put a +1/+1 counter on target creature.</t>
  </si>
  <si>
    <t>Scab-Clan Giant</t>
  </si>
  <si>
    <t>When this creature enters, it fights target creature an opponent controls chosen at random.</t>
  </si>
  <si>
    <t>{4}{R}{G}</t>
  </si>
  <si>
    <t>Master's Guide-Mural // Master's Manufactory / Mural-guia do Mestre // Manufatura do Mestre</t>
  </si>
  <si>
    <t>Artifact // Artifact / Artefato</t>
  </si>
  <si>
    <t>Master's Guide-Mural: When this artifact enters, create a 4/4 white and blue Golem artifact creature token. Craft with artifact {4}{W}{W}{U} ({4}{W}{W}{U}, Exile this artifact, Exile another artifact you control or an artifact card from your graveyard: Return this card transformed under its owner's control. Craft only as a sorcery.) // Master's Manufactory: {T}: Create a 4/4 white and blue Golem artifact creature token. Activate only if this artifact or another artifact entered the battlefield under your control this turn. / Quando Mural-guia do Mestre entrar no campo de batalha, crie uma ficha de criatura artefato Golem branca e azul 4/4. Construir com artefato {4}{W}{W}{U} ({4}{W}{W}{U}, exile este artefato, exile outro artefato que você controla ou um card de artefato de seu cemitério: Devolva este card ao campo de batalha transformado sob o controle de seu dono. Construa somente como um feitiço.)</t>
  </si>
  <si>
    <t>{3}{W}{U}</t>
  </si>
  <si>
    <t>Marshal of Zhalfir / Marechal de Zhalfir</t>
  </si>
  <si>
    <t>Other Knights you control get +1/+1. {W}{U}, {T}: Tap another target creature. / Os outros Cavaleiros que você controla recebem +1/+1. {W}{U}, {T}: Vire outra criatura alvo.</t>
  </si>
  <si>
    <t>Killian, Ink Duelist / Killian, Duelista do Nanquim</t>
  </si>
  <si>
    <t>Legendary Creature — Human Warlock / Criatura Lendária — Humano Bruxo</t>
  </si>
  <si>
    <t>Lifelink Menace (This creature can't be blocked except by two or more creatures.) Spells you cast that target a creature cost {2} less to cast. / Vínculo com a vida Ameaçar (Esta criatura só pode ser bloqueada por duas ou mais criaturas.) As mágicas que você conjura com uma criatura como alvo custam {2} a menos para serem conjuradas.</t>
  </si>
  <si>
    <t>Arcanist's Owl / Coruja do Arcanista</t>
  </si>
  <si>
    <t>Artifact Creature — Bird / Criatura Artefato — Ave</t>
  </si>
  <si>
    <t>Flying When this creature enters, look at the top four cards of your library. You may reveal an artifact or enchantment card from among them and put it into your hand. Put the rest on the bottom of your library in a random order. / Voar Quando Coruja do Arcanista entrar no campo de batalha, olhe os quatro cards do topo de seu grimório. Você pode revelar um card de artefato ou encantamento dentre eles e colocá-lo em sua mão. Coloque o restante no fundo de seu grimório em ordem aleatória.</t>
  </si>
  <si>
    <t>{W/U}{W/U}{W/U}{W/U}</t>
  </si>
  <si>
    <t>Congregation Gryff / Grifino da Congregação</t>
  </si>
  <si>
    <t>Creature — Hippogriff Mount / Criatura — Hipogrifo Montaria</t>
  </si>
  <si>
    <t>Flying, lifelink Whenever this creature attacks while saddled, it gets +X/+X until end of turn, where X is the number of Mounts you control. Saddle 3 (Tap any number of other creatures you control with total power 3 or more: This Mount becomes saddled until end of turn. Saddle only as a sorcery.) / Voar, vínculo com a vida Toda vez que Grifino da Congregação ataca selado, ele recebe +X/+X até o final do turno, sendo X o número de Montarias que você controla. Selar 3 (Vire qualquer número de outras criaturas que você controla com total de poder igual ou superior a 3: Esta Montaria torna-se selada até o final do turno. Sele somente como um feitiço.)</t>
  </si>
  <si>
    <t>Miriam, Herd Whisperer / Miriam, Encantadora de Rebanhos</t>
  </si>
  <si>
    <t>Legendary Creature — Human Druid / Criatura Lendária — Humano Druida</t>
  </si>
  <si>
    <t>During your turn, Mounts and Vehicles you control have hexproof. Whenever a Mount or Vehicle you control attacks, put a +1/+1 counter on it. / Enquanto for o seu turno, as Montarias e os Veículos que você controla terão resistência a magia. Toda vez que uma Montaria ou um Veículo que você controla atacar, coloque um marcador +1/+1 nele.</t>
  </si>
  <si>
    <t>Cunning Breezedancer / Dançarina da Brisa Astuta</t>
  </si>
  <si>
    <t>Flying Whenever you cast a noncreature spell, this creature gets +2/+2 until end of turn. / Voar Toda vez que você conjura uma mágica que não seja de criatura, Dançarina da Brisa Astuta recebe +2/+2 até o final do turno.</t>
  </si>
  <si>
    <t>{4}{W}{U}</t>
  </si>
  <si>
    <t>Midnight Mayhem</t>
  </si>
  <si>
    <t>Create three 1/1 red Gremlin creature tokens. Gremlins you control gain menace, lifelink, and haste until end of turn. (A creature with menace can't be blocked except by two or more creatures.)</t>
  </si>
  <si>
    <t>Wandering Mind / Mente Vagante</t>
  </si>
  <si>
    <t>Flying When this creature enters, look at the top six cards of your library. You may reveal a noncreature, nonland card from among them and put it into your hand. Put the rest on the bottom of your library in a random order. / Voar Quando Mente Vagante entrar no campo de batalha, olhe os seis cards do topo de seu grimório. Você pode revelar um card não de criatura e não de terreno dentre eles e colocá-lo em sua mão. Coloque o restante no fundo de seu grimório em ordem aleatória.</t>
  </si>
  <si>
    <t>Vilespawn Spider / Aranha da Prole Maligna</t>
  </si>
  <si>
    <t>Reach At the beginning of your upkeep, mill a card. (Put the top card of your library into your graveyard.) {2}{G}{U}, {T}, Sacrifice this creature: Create a 1/1 green Insect creature token for each creature card in your graveyard. Activate only as a sorcery. / Alcance No início de sua manutenção, triture um card. (Coloque o card do topo de seu grimório em seu cemitério.) {2}{G}{U}, {T}, sacrifique Aranha da Prole Maligna: Crie uma ficha de criatura Inseto verde 1/1 para cada card de criatura em seu cemitério. Ative somente como um feitiço.</t>
  </si>
  <si>
    <t>Gremlin Tamer</t>
  </si>
  <si>
    <t>Creature — Human Scout</t>
  </si>
  <si>
    <t>Eerie — Whenever an enchantment you control enters and whenever you fully unlock a Room, create a 1/1 red Gremlin creature token.</t>
  </si>
  <si>
    <t>League Guildmage / Maga da Guilda da Liga</t>
  </si>
  <si>
    <t>{3}{U}, {T}: Draw a card. {X}{R}, {T}: Copy target instant or sorcery spell you control with mana value X. You may choose new targets for the copy. / {3}{U}, {T}: Compre um card. {X}{R}, {T}: Copie a mágica instantânea ou o feitiço alvo que você controla com custo de mana convertido X. Você pode escolher novos alvos para a cópia.</t>
  </si>
  <si>
    <t>Wall of Denial / Barreira da Negação</t>
  </si>
  <si>
    <t>Defender, flying Shroud (This creature can't be the target of spells or abilities.) / Defensor, voar, manto</t>
  </si>
  <si>
    <t>Cinderslash Ravager / Devastador da Brasa Fendente</t>
  </si>
  <si>
    <t>Creature — Phyrexian Warrior / Criatura — Phyrexiano Guerreiro</t>
  </si>
  <si>
    <t>This spell costs {1} less to cast for each permanent you control with oil counters on it. Vigilance When this creature enters, it deals 1 damage to each creature your opponents control. / Esta mágica custa {1} a menos para ser conjurada para cada permanente que você controla com marcadores de óleo. Vigilância Quando Devastador da Brasa Fendente entra no campo de batalha, ele causa 1 ponto de dano a cada criatura que seus oponentes controlam.</t>
  </si>
  <si>
    <t>Bladehold War-Whip / Chicote de Guerra de Bladehold</t>
  </si>
  <si>
    <t>For Mirrodin! (When this Equipment enters, create a 2/2 red Rebel creature token, then attach this to it.) Equip abilities you activate of other Equipment cost {1} less to activate. Equipped creature has double strike. Equip {3}{R}{W} / Por Mirrodin (Quando este Equipamento entrar no campo de batalha, crie uma ficha de criatura Rebelde vermelha 2/2 e anexe-o a ela.) As habilidades equipar de outros Equipamentos ativadas por você custam {1} a menos para serem ativadas. A criatura equipada tem golpe duplo. Equipar {3}{R}{W}</t>
  </si>
  <si>
    <t>{1}{R}{W}</t>
  </si>
  <si>
    <t>The Three Seasons / As Três Estações</t>
  </si>
  <si>
    <t>(As this Saga enters and after your draw step, add a lore counter. Sacrifice after III.) I — Mill three cards. II — Return up to two target snow permanent cards from your graveyard to your hand. III — Choose three cards in each graveyard. Their owners shuffle those cards into their libraries. / (Conforme esta Saga entra e após sua etapa de compra, adicione um marcador de conhecimento. Sacrifique-a após III.) I — Triture três cards. II — Devolva até dois cards de permanente da neve alvo de seu cemitério para sua mão. III — Escolha três cards em cada cemitério. Seus donos embaralham aqueles cards em seus cemitérios.</t>
  </si>
  <si>
    <t>Darling of the Masses / Queridinha das Massas</t>
  </si>
  <si>
    <t>Other Citizens you control get +1/+0. Whenever this creature attacks, create a 1/1 green and white Citizen creature token. / Os outros Cidadãos que você controla recebem +1/+0. Toda vez que Queridinha das Massas atacar, crie uma ficha de criatura Cidadão verde e branca 1/1.</t>
  </si>
  <si>
    <t>{2}{G}{W}</t>
  </si>
  <si>
    <t>Syr Armont, the Redeemer / Syr Armont, a Redentora</t>
  </si>
  <si>
    <t>Legendary Creature — Human Knight / Criatura Lendária — Humano Cavaleiro</t>
  </si>
  <si>
    <t>When Syr Armont enters, create a Monster Role token attached to another target creature you control. (If you control another Role on it, put that one into the graveyard. Enchanted creature gets +1/+1 and has trample.) Enchanted creatures you control get +1/+1. / Quando Syr Armont, a Redentora, entrar no campo de batalha, crie uma ficha de Papel de Monstro anexada a outra criatura alvo que você controla. (Se você controlar outro Papel nela, coloque aquele no cemitério. A criatura encantada recebe +1/+1 e tem atropelar.) As criaturas encantadas que você controla recebem +1/+1.</t>
  </si>
  <si>
    <t>Faunsbane Troll / Trol Ruína dos Faunos</t>
  </si>
  <si>
    <t>When this creature enters, create a Monster Role token attached to it. (Enchanted creature gets +1/+1 and has trample.) {1}, Sacrifice an Aura attached to this creature: This creature fights target creature you don't control. If that creature would die this turn, exile it instead. Activate only as a sorcery. / Quando Trol Ruína dos Faunos entrar no campo de batalha, crie uma ficha de Papel de Monstro anexada a ele. (A criatura encantada recebe +1/+1 e tem atropelar.) {1} sacrifique uma Aura anexada a Trol Ruína dos Faunos: Trol Ruína dos Faunos luta contra a criatura alvo que você não controla. Se aquela criatura morreria neste turno, em vez disso, exile-a. Ative somente como um feitiço.</t>
  </si>
  <si>
    <t>Spara's Adjudicators / Árbitros de Spara</t>
  </si>
  <si>
    <t>Creature — Cat Citizen / Criatura — Felino Cidadão</t>
  </si>
  <si>
    <t>When this creature enters, target creature an opponent controls can't attack or block until your next turn. {2}, Exile this card from your hand: Target land gains "{T}: Add {G}, {W}, or {U}" until this card is cast from exile. You may cast this card for as long as it remains exiled. / Quando Árbitros de Spara entra no campo de batalha, a criatura alvo que um oponente controla não pode atacar nem bloquear até seu próximo turno. {2}, exile Árbitros de Spara de sua mão: O terreno alvo ganha "{T}: Adicione {G}, {W} ou {U}" até que Árbitros de Spara seja conjurado do exílio. Você poderá conjurar Árbitros de Spara enquanto ele permanecer exilado.</t>
  </si>
  <si>
    <t>Tori D'Avenant, Fury Rider / Tori D'Avenant, Ginete da Fúria</t>
  </si>
  <si>
    <t>Vigilance, trample Whenever Tori D'Avenant attacks, all other attacking creatures you control get +1/+1 until end of turn. Other red attacking creatures you control gain trample until end of turn. Untap each other white attacking creature you control. / Vigilância, atropelar Toda vez que Tori D'Avenant, Ginete da Fúria, ataca, todas as outras criaturas atacantes que você controla recebem +1/+1 até o final do turno. As outras criaturas atacantes vermelhas que você controla ganham atropelar até o final do turno. Desvire cada outra criatura atacante branca que você controla.</t>
  </si>
  <si>
    <t>{1}{R}{R}{W}</t>
  </si>
  <si>
    <t>Radha, Coalition Warlord / Radha, Senhora da Guerra da Coalizão</t>
  </si>
  <si>
    <t>Legendary Creature — Elf Warrior / Criatura Lendária — Elfo Guerreiro</t>
  </si>
  <si>
    <t>Domain — Whenever Radha becomes tapped, another target creature you control gets +X/+X until end of turn, where X is the number of basic land types among lands you control. / Dominar — Toda vez que Radha, Senhora da Guerra da Coalizão, torna-se virada, outra criatura alvo que você controla recebe +X/+X até o final do turno, sendo X o número de tipos de terreno básico entre os terrenos que você controla.</t>
  </si>
  <si>
    <t>Firja, Judge of Valor / Firja, Juíza do Valor</t>
  </si>
  <si>
    <t>Legendary Creature — Angel Cleric / Criatura Lendária — Anjo Clérigo</t>
  </si>
  <si>
    <t>Flying, lifelink Whenever you cast your second spell each turn, look at the top three cards of your library. Put one of them into your hand and the rest into your graveyard. / Voar, vínculo com a vida Toda vez que você conjurar sua segunda mágica a cada turno, olhe os três cards do topo de seu grimório. Coloque um deles em sua mão e o restante em seu cemitério.</t>
  </si>
  <si>
    <t>{2}{W}{B}{B}</t>
  </si>
  <si>
    <t>Aryel, Knight of Windgrace / Aryel, Cavaleira de Windgrace</t>
  </si>
  <si>
    <t>Vigilance {2}{W}, {T}: Create a 2/2 white Knight creature token with vigilance. {B}, {T}, Tap X untapped Knights you control: Destroy target creature with power X or less. / Vigilância {2}{W}, {T}: Crie uma ficha de criatura branca 2/2 do tipo Cavaleiro com vigilância. {B}, {T}, vire X Cavaleiros desvirados que você controla: Destrua a criatura alvo com poder igual ou inferior a X.</t>
  </si>
  <si>
    <t>Orzhov Pontiff / Pontífice Orzhov</t>
  </si>
  <si>
    <t>Creature — Human Cleric / Criatura — Clérigo Humano</t>
  </si>
  <si>
    <t>Haunt (When this creature dies, exile it haunting target creature.) When this creature enters or the creature it haunts dies, choose one — • Creatures you control get +1/+1 until end of turn. • Creatures you don't control get -1/-1 until end of turn. / Assombrar (Quando este card for colocado no cemitério vindo do jogo, remova-o do jogo assombrando a criatura alvo.) Quando Pontífice Orzhov entra em jogo ou a criatura que ele assombra é colocada num cemitério, escolha um as criaturas que você controla recebem +1/+1 até o final do turno; ou as criaturas que você não controla recebem -1/-1 até o final do turno.</t>
  </si>
  <si>
    <t>Cactusfolk Sureshot / Tiro-certo Cactoide</t>
  </si>
  <si>
    <t>Creature — Plant Mercenary / Criatura — Planta Mercenário</t>
  </si>
  <si>
    <t>Reach Ward {2} (Whenever this creature becomes the target of a spell or ability an opponent controls, counter it unless that player pays {2}.) At the beginning of combat on your turn, other creatures you control with power 4 or greater gain trample and haste until end of turn. / Alcance Salvaguarda {2} (Toda vez que esta criatura se tornar alvo de uma mágica ou habilidade que um oponente controla, anule-a, a menos que aquele jogador pague {2}.) No início do combate no seu turno, as outras criaturas que você controla com poder igual ou superior a 4 ganham atropelar e ímpeto até o final do turno.</t>
  </si>
  <si>
    <t>Thundering Broodwagon</t>
  </si>
  <si>
    <t>Menace, reach When this Vehicle enters, destroy target nonland permanent an opponent controls with mana value 4 or less. Crew 3 Cycling {2} ({2}, Discard this card: Draw a card.)</t>
  </si>
  <si>
    <t>{2}{B}{B}{G}{G}</t>
  </si>
  <si>
    <t>Tempest Hart // Scan the Clouds / Cervo da Tempestade // Varredura das Nuvens</t>
  </si>
  <si>
    <t>Creature — Elemental Elk // Instant — Adventure / Criatura — Elemental Alce</t>
  </si>
  <si>
    <t>Tempest Hart: Trample Whenever you cast a spell with mana value 5 or greater, put a +1/+1 counter on this creature. // Scan the Clouds: Draw two cards, then discard two cards. (Then exile this card. You may cast the creature later from exile.) / Atropelar Toda vez que você conjurar uma mágica com valor de mana igual ou superior a 5, coloque um marcador +1/+1 em Cervo da Tempestade.</t>
  </si>
  <si>
    <t>{3}{G} // {1}{U}</t>
  </si>
  <si>
    <t>Deem Inferior / Julgar Inferior</t>
  </si>
  <si>
    <t>This spell costs {1} less to cast for each card you've drawn this turn. The owner of target nonland permanent puts it into their library second from the top or on the bottom. / Esta mágica custa {1} a menos para ser conjurada por cada card que você comprou neste turno. O dono da permanente não de terreno alvo a coloca no próprio grimório na segunda posição ou no fundo.</t>
  </si>
  <si>
    <t>Micromancer / Micromante</t>
  </si>
  <si>
    <t>When this creature enters, you may search your library for an instant or sorcery card with mana value 1, reveal it, put it into your hand, then shuffle. / Quando Micromante entra no campo de batalha, você pode procurar em seu grimório um card de mágica instantânea ou de feitiço com valor de mana 1, revelá-lo, colocá-lo em sua mão e depois embaralhar.</t>
  </si>
  <si>
    <t>Zahid, Djinn of the Lamp / Zahid, Gênio da Lâmpada</t>
  </si>
  <si>
    <t>Legendary Creature — Djinn / Criatura Lendária — Gênio</t>
  </si>
  <si>
    <t>You may pay {3}{U} and tap an untapped artifact you control rather than pay this spell's mana cost. Flying / Você pode pagar {3}{U} e virar um artefato desvirado sob seu controle em vez de pagar o custo de mana desta mágica. Voar</t>
  </si>
  <si>
    <t>Thryx, the Sudden Storm / Trix, a Tempestade Repentina</t>
  </si>
  <si>
    <t>Legendary Creature — Elemental Giant / Criatura Lendária — Elemental Gigante</t>
  </si>
  <si>
    <t>Flash (You may cast this spell any time you could cast an instant.) Flying Spells you cast with mana value 5 or greater cost {1} less to cast and can't be countered. / Lampejo Voar As mágicas que você conjura com custo de mana convertido igual ou superior a 5 custam {1} a menos para serem conjuradas e não podem ser anuladas.</t>
  </si>
  <si>
    <t>Ghostly Keybearer</t>
  </si>
  <si>
    <t>Flying Whenever this creature deals combat damage to a player, unlock a locked door of up to one target Room you control.</t>
  </si>
  <si>
    <t>Fear of Impostors</t>
  </si>
  <si>
    <t>Enchantment Creature — Nightmare</t>
  </si>
  <si>
    <t>Flash When this creature enters, counter target spell. Its controller manifests dread. (That player looks at the top two cards of their library, then puts one onto the battlefield face down as a 2/2 creature and the other into their graveyard. If it's a creature card, it can be turned face up any time for its mana cost.)</t>
  </si>
  <si>
    <t>Rune-Sealed Wall</t>
  </si>
  <si>
    <t>Defender {T}: Surveil 1. (Look at the top card of your library. You may put it into your graveyard.)</t>
  </si>
  <si>
    <t>Nimbleclaw Adept / Adepto Garraveloz</t>
  </si>
  <si>
    <t>Creature — Dragon Wizard / Criatura — Dragão Mago</t>
  </si>
  <si>
    <t>Bigby's Hand — {T}: Untap two other target permanents. Activate only as a sorcery and only once each turn. / Mão de Bigby — {T}: Desvire duas outras permanentes alvo. Ative somente como um feitiço e uma única vez a cada turno.</t>
  </si>
  <si>
    <t>Tunnel Surveyor</t>
  </si>
  <si>
    <t>Creature — Human Detective</t>
  </si>
  <si>
    <t>When this creature enters, create a 1/1 white Glimmer enchantment creature token.</t>
  </si>
  <si>
    <t>Glimmerburst</t>
  </si>
  <si>
    <t>Draw two cards. Create a 1/1 white Glimmer enchantment creature token.</t>
  </si>
  <si>
    <t>Creeping Peeper</t>
  </si>
  <si>
    <t>Creature — Eye</t>
  </si>
  <si>
    <t>{T}: Add {U}. Spend this mana only to cast an enchantment spell, unlock a door, or turn a permanent face up.</t>
  </si>
  <si>
    <t>Scrounging Skyray</t>
  </si>
  <si>
    <t>Creature — Fish Pirate</t>
  </si>
  <si>
    <t>Flying Whenever you discard one or more cards, put that many +1/+1 counters on this creature. Cycling {2} ({2}, Discard this card: Draw a card.)</t>
  </si>
  <si>
    <t>Gearseeker Serpent / Serpente Mecanívora</t>
  </si>
  <si>
    <t>Affinity for artifacts (This spell costs {1} less to cast for each artifact you control.) {5}{U}: This creature can't be blocked this turn. / Serpente Mecanívora custa {1} a menos para ser conjurada para cada artefato que você controla. {5}{U}: Serpente Mecanívora não pode ser bloqueada neste turno.</t>
  </si>
  <si>
    <t>Metamorphic Blast / Jato Metamórfico</t>
  </si>
  <si>
    <t>Spree (Choose one or more additional costs.) + {1} — Until end of turn, target creature becomes a white Rabbit with base power and toughness 0/1. + {3} — Target player draws two cards. / Série (Escolha um ou mais custos adicionais.) + {1} — Até o final do turno, a criatura alvo torna-se um Coelho branco com poder e resistência básicos 0/1. + {3} — O jogador alvo compra dois cards.</t>
  </si>
  <si>
    <t>Floodpits Drowner</t>
  </si>
  <si>
    <t>Creature — Merfolk</t>
  </si>
  <si>
    <t>Flash Vigilance When this creature enters, tap target creature an opponent controls and put a stun counter on it. {1}{U}, {T}: Shuffle this creature and target creature with a stun counter on it into their owners' libraries.</t>
  </si>
  <si>
    <t>Bottomless Pool // Locker Room</t>
  </si>
  <si>
    <t>Enchantment — Room // Enchantment — Room</t>
  </si>
  <si>
    <t>Bottomless Pool: When you unlock this door, return up to one target creature to its owner's hand. (You may cast either half. That door unlocks on the battlefield. As a sorcery, you may pay the mana cost of a locked door to unlock it.) // Locker Room: Whenever one or more creatures you control deal combat damage to a player, draw a card. (You may cast either half. That door unlocks on the battlefield. As a sorcery, you may pay the mana cost of a locked door to unlock it.)</t>
  </si>
  <si>
    <t>{U} // {4}{U}</t>
  </si>
  <si>
    <t>Shackle Slinger / Lançador de Algemas</t>
  </si>
  <si>
    <t>Whenever you cast your second spell each turn, choose target creature an opponent controls. If it's tapped, put a stun counter on it. Otherwise, tap it. (If a permanent with a stun counter would become untapped, remove one from it instead.) / Toda vez que você conjurar sua segunda mágica a cada turno, escolha uma criatura alvo que um oponente controla. Se ela estiver virada, coloque um marcador de atordoamento nela. Caso contrário, vire-a. (Se uma permanente com um marcador de atordoamento se tornaria desvirada, em vez disso, remova um marcador de atordoamento dela.)</t>
  </si>
  <si>
    <t>Thieving Magpie / Gralha Larápia</t>
  </si>
  <si>
    <t>Flying (This creature can't be blocked except by creatures with flying or reach.) Whenever this creature deals damage to an opponent, draw a card. / Voar (Esta criatura só pode ser bloqueada por criaturas com a habilidade de voar ou alcance.) Toda vez que Gralha Larápia causa dano a um oponente, você compra um card.</t>
  </si>
  <si>
    <t>Wicked Slumber / Sono Maldito</t>
  </si>
  <si>
    <t>Convoke (Your creatures can help cast this spell. Each creature you tap while casting this spell pays for {1} or one mana of that creature's color.) Tap up to two target creatures. Put a stun counter on either of them. Then put a stun counter on either of them. (If a permanent with a stun counter would become untapped, remove one from it instead.) / Convocar (Suas criaturas podem ajudar a conjurar esta mágica. Cada criatura que você vira ao conjurar esta mágica paga {1} ou um mana da cor daquela criatura.) Vire até duas criaturas alvo. Coloque um marcador de atordoamento em uma delas. Em seguida, coloque um marcador de atordoamento em uma delas. (Se uma permanente com um marcador de atordoamento se tornaria desvirada, em vez disso, remova um marcador de atordoamento dela.)</t>
  </si>
  <si>
    <t>Witching Well / Poço das Bruxarias</t>
  </si>
  <si>
    <t>When this artifact enters, scry 2. (Look at the top two cards of your library, then put any number of them on the bottom and the rest on top in any order.) {3}{U}, Sacrifice this artifact: Draw two cards. / Quando Poço das Bruxarias entrar no campo de batalha, use vidência 2. (Olhe os dois cards do topo do seu grimório. Depois, coloque qualquer número deles no fundo do seu grimório e o restante no topo em qualquer ordem.) {3}{U}, sacrifique Poço das Bruxarias: Compre dois cards.</t>
  </si>
  <si>
    <t>Furtive Courier / Mensageira Furtiva</t>
  </si>
  <si>
    <t>Creature — Merfolk Advisor / Criatura — Tritão Conselheiro</t>
  </si>
  <si>
    <t>This creature can't be blocked as long as you've sacrificed an artifact this turn. Whenever this creature attacks, draw a card, then discard a card. / Mensageira Furtiva não pode ser bloqueada contanto que você tenha sacrificado um artefato neste turno. Toda vez que Mensageira Furtiva atacar, compre um card e depois descarte um card.</t>
  </si>
  <si>
    <t>Chemister's Insight / Visão da Quimiomante</t>
  </si>
  <si>
    <t>Draw two cards. Jump-start (You may cast this card from your graveyard by discarding a card in addition to paying its other costs. Then exile this card.) / Compre dois cards. Recarregar (Você pode conjurar este card de seu cemitério descartando um card além de pagar seus outros custos. Depois, exile este card.)</t>
  </si>
  <si>
    <t>Canyon Crab / Caranguejo do Cânion</t>
  </si>
  <si>
    <t>{1}{U}: This creature gets +2/-2 until end of turn. At the beginning of your end step, if you haven't cast a spell from your hand this turn, draw a card, then discard a card. / {1}{U}: Caranguejo do Cânion recebe +2/-2 até o final do turno. No início de sua etapa final, se você não tiver conjurado uma mágica de sua mão neste turno, compre um card e depois descarte um card.</t>
  </si>
  <si>
    <t>Cerulean Sphinx / Esfinge Celeste</t>
  </si>
  <si>
    <t>Creature — Sphinx / Criatura - Esfinge</t>
  </si>
  <si>
    <t>Flying {U}: This creature's owner shuffles it into their library. / Voar {U}: O dono de Esfinge Celeste a embaralha em seu grimório.</t>
  </si>
  <si>
    <t>Shore Keeper / Guardião da Costa</t>
  </si>
  <si>
    <t>Creature — Trilobite / Criatura — Trilobita</t>
  </si>
  <si>
    <t>{7}{U}, {T}, Sacrifice this creature: Draw three cards. / {7}{U}, {T}, sacrifique Guardião da Costa: Compre três cards.</t>
  </si>
  <si>
    <t>Ertai's Scorn / Escárnio de Ertai</t>
  </si>
  <si>
    <t>This spell costs {U} less to cast if an opponent cast two or more spells this turn. Counter target spell. / Esta mágica custa {U} a menos para ser conjurada se um oponente conjurou duas ou mais mágicas neste turno. Anule a mágica alvo.</t>
  </si>
  <si>
    <t>Inga Rune-Eyes / Inga Olhos Rúnicos</t>
  </si>
  <si>
    <t>When Inga Rune-Eyes enters, scry 3. When Inga Rune-Eyes dies, draw three cards if three or more creatures died this turn. / Quando Inga Olhos Rúnicos entrar no campo de batalha, use vidência 3. Quando Inga Olhos Rúnicos morrer, compre três cards se três ou mais criaturas morreram neste turno.</t>
  </si>
  <si>
    <t>Kaho, Minamo Historian / Kaho, Historiadora de Minamo</t>
  </si>
  <si>
    <t>Legendary Creature — Human Wizard / Criatura Lendária - Mago Humano</t>
  </si>
  <si>
    <t>When Kaho enters, search your library for up to three instant cards, exile them, then shuffle. {X}, {T}: You may cast a spell with mana value X from among cards exiled with Kaho without paying its mana cost. / Quando Kaho, Historiadora de Minamo entra em jogo, procure em seu grimório por até três cards de mágicas instantâneas e remova-os de jogo. Depois, embaralhe seu grimório. {X}, {T}: Você pode jogar um card com custo de mana convertido X removido de jogo com Kaho sem pagar o seu custo de mana.</t>
  </si>
  <si>
    <t>Murder of Crows / Revoada de Corvos</t>
  </si>
  <si>
    <t>Flying Whenever another creature dies, you may draw a card. If you do, discard a card. / Voar Toda vez que outra criatura morre, você pode comprar um card. Se fizer isso, descarte um card.</t>
  </si>
  <si>
    <t>Soaring Drake / Dragonete Planador</t>
  </si>
  <si>
    <t>Voda Sea Scavenger / Necrófago do Mar de Voda</t>
  </si>
  <si>
    <t>Domain — When this creature enters, look at the top X cards of your library, where X is the number of basic land types among lands you control. You may put one of those cards on top of your library. Put the rest on the bottom of your library in a random order. / Dominar — Quando Necrófago do Mar de Voda entrar no campo de batalha, olhe os X cards do topo de seu grimório, sendo X o número de tipos de terreno básico entre os terrenos que você controla. Você pode colocar um daqueles cards no topo de seu grimório. Coloque o restante no fundo de seu grimório em ordem aleatória.</t>
  </si>
  <si>
    <t>Debris Beetle</t>
  </si>
  <si>
    <t>Trample When this Vehicle enters, each opponent loses 3 life and you gain 3 life. Crew 2</t>
  </si>
  <si>
    <t>Rulik Mons, Warren Chief / Rulik Mons, Chefona do Viveiro</t>
  </si>
  <si>
    <t>Menace (This creature can't be blocked except by two or more creatures.) Whenever Rulik Mons attacks, look at the top card of your library. If it's a land card, you may put it onto the battlefield tapped. If you didn't put a card onto the battlefield this way, create a 1/1 red Goblin creature token. / Ameaçar Toda vez que Rulik Mons, Chefona do Viveiro, atacar, olhe o card do topo de seu grimório. Se for um card de terreno, você poderá colocá-lo no campo de batalha virado. Se você não tiver colocado um card no campo de batalha dessa forma, crie uma ficha de criatura Goblin vermelha 1/1.</t>
  </si>
  <si>
    <t>{1}{R}{G}{G}</t>
  </si>
  <si>
    <t>Etched Champion / Campeão Entalhado</t>
  </si>
  <si>
    <t>Artifact Creature — Soldier / Criatura Artefato — Soldado</t>
  </si>
  <si>
    <t>Metalcraft — This creature has protection from each color as long as you control three or more artifacts. / Maestria com Metais — Campeão Entalhado terá proteção contra todas as cores enquanto você controlar três ou mais artefatos.</t>
  </si>
  <si>
    <t>Shield-Wall Sentinel / Sentinela da Barreira de Escudos</t>
  </si>
  <si>
    <t>Defender When this creature enters, you may search your library for a creature card with defender, reveal it, put it into your hand, then shuffle. / Defensor Quando Sentinela da Barreira de Escudos entra no campo de batalha, você pode procurar em seu grimório um card de criatura com defensor, revelá-lo, colocá-lo em sua mão e depois embaralhar.</t>
  </si>
  <si>
    <t>Bloated Processor / Processador Inchado</t>
  </si>
  <si>
    <t>Creature — Phyrexian / Criatura — Phyrexiano</t>
  </si>
  <si>
    <t>Sacrifice another Phyrexian: Put a +1/+1 counter on this creature. When this creature dies, incubate X, where X is its power. (Create an Incubator token with X +1/+1 counters on it and "{2}: Transform this token." It transforms into a 0/0 Phyrexian artifact creature.) / Sacrifique outro Phyrexiano: Coloque um marcador +1/+1 em Processador Inchado. Quando Processador Inchado morrer, incube X, sendo X seu poder. (Crie uma ficha de Incubadora com X marcadores +1/+1 e "{2}: Transforme este artefato". Ele se transforma em uma criatura artefato Phyrexiano 0/0.)</t>
  </si>
  <si>
    <t>Wasteland Strangler / Estrangulador dos Ermos</t>
  </si>
  <si>
    <t>Devoid (This card has no color.) When this creature enters, you may put a card an opponent owns from exile into that player's graveyard. If you do, target creature gets -3/-3 until end of turn. / Desprovido (Este card não tem cor.)Quando Estrangulador dos Ermos entra no campo de batalha, você pode colocar um card exilado de um oponente no cemitério dele. Se fizer isso, a criatura alvo receberá -3/-3 até o final do turno.</t>
  </si>
  <si>
    <t>Shadow-Rite Priest / Sacerdote do Rito das Sombras</t>
  </si>
  <si>
    <t>Other Clerics you control get +1/+1. {3}{B}{B}, {T}, Sacrifice another Cleric: Search your library for a black creature card, put it onto the battlefield, then shuffle. / Os outros Clérigos que você controla recebem +1/+1. {3}{B}{B}, {T}, sacrifique outro Clérigo: Procure um card de criatura preta em seu grimório, coloque-o no campo de batalha e depois embaralhe.</t>
  </si>
  <si>
    <t>Predator, Flagship / Predador, Nau Capitânia</t>
  </si>
  <si>
    <t>Legendary Artifact</t>
  </si>
  <si>
    <t>{2}: Target creature gains flying until end of turn. {5}, {T}: Destroy target creature with flying.</t>
  </si>
  <si>
    <t>Dismantling Blow / Golpe Desmantelador</t>
  </si>
  <si>
    <t>Kicker {2}{U} (You may pay an additional {2}{U} as you cast this spell.) Destroy target artifact or enchantment. If this spell was kicked, draw two cards. / Reforçar {2}{U} Você pode pagar um custo adicional de {2}{U} conforme conjura esta mágica.) Destrua o artefato ou encantamento alvo. Se esta mágica foi reforçada, compre dois cards.</t>
  </si>
  <si>
    <t>Volshe Tideturner / Inversora de Marés Volshe</t>
  </si>
  <si>
    <t>{T}: Add {U}. Spend this mana only to cast an instant or sorcery spell or a kicked spell. / {T}: Adicione {U}. Gaste este mana somente para conjurar uma mágica instantânea, um feitiço ou uma mágica reforçada.</t>
  </si>
  <si>
    <t>Lagomos, Hand of Hatred / Lagomos, Mão do Ódio</t>
  </si>
  <si>
    <t>Legendary Creature — Human Shaman / Criatura Lendária — Humano Xamã</t>
  </si>
  <si>
    <t>At the beginning of combat on your turn, create a 2/1 red Elemental creature token with trample and haste. Sacrifice it at the beginning of the next end step. {T}: Search your library for a card, put it into your hand, then shuffle. Activate only if five or more creatures died this turn. / No início do combate no seu turno, crie uma ficha de criatura Elemental vermelha 2/1 com atropelar e ímpeto. Sacrifique-a no início da próxima etapa final. {T}: Procure um card em seu grimório, coloque-o em sua mão e depois embaralhe. Ative somente se cinco ou mais criaturas tiverem morrido neste turno.</t>
  </si>
  <si>
    <t>Vohar, Profanador Vodaliano / Vohar, Vodalian Desecrator</t>
  </si>
  <si>
    <t>Criatura Lendária — Phyrexiano Tritão Mago / Legendary Creature — Phyrexian Merfolk Wizard</t>
  </si>
  <si>
    <t>{T}: Compre um card e depois descarte um card. Se você descartou um card de mágica instantânea ou de feitiço dessa forma, cada oponente perde 1 ponto de vida e você ganha 1 ponto de vida. {2}, sacrifique Vohar, Profanador Vodaliano: Você pode conjurar o card de mágica instantânea ou de feitiço alvo do seu cemitério neste turno. Se aquela mágica seria colocada no seu cemitério, em vez disso, exile-a. Ative somente como um feitiço. / {T}: Draw a card, then discard a card. If you discarded an instant or sorcery card this way, each opponent loses 1 life and you gain 1 life. {2}, Sacrifice Vohar, Vodalian Desecrator: You may cast target instant or sorcery card from your graveyard this turn. If that spell would be put into your graveyard, exile it instead. Activate only as a sorcery.</t>
  </si>
  <si>
    <t>Flotsam // Jetsam / Destroços // Refugo</t>
  </si>
  <si>
    <t>Instant // Sorcery / Mágica Instantânea // Feitiço</t>
  </si>
  <si>
    <t>Flotsam: Mill three cards. Investigate. (Create a Clue token. It's an artifact with "{2}, Sacrifice this token: Draw a card.") // Jetsam: Each opponent mills three cards, then you may cast a spell from each opponent's graveyard without paying its mana cost. If a spell cast this way would be put into a graveyard, exile it instead. / Triture três cards. Investigue. (Crie uma ficha de Pista. Ela é um artefato com "{2}, sacrifique este artefato: Compre um card.") // Cada oponente tritura três cards, depois você pode conjurar uma mágica do cemitério de cada oponente sem pagar seu custo de mana. Se uma mágica conjurada dessa forma seria colocada em um cemitério, em vez disso exile-a.</t>
  </si>
  <si>
    <t>{1}{G/U} // {4}{U/B}{U/B}</t>
  </si>
  <si>
    <t>Preto, Verde, Azul</t>
  </si>
  <si>
    <t>Warrant // Warden / Permissão // Proteção</t>
  </si>
  <si>
    <t>Warrant: Put target attacking or blocking creature on top of its owner's library. // Warden: Create a 4/4 white and blue Sphinx creature token with flying and vigilance. / Coloque a criatura alvo atacante ou bloqueadora no topo do grimório de seu dono. // Crie uma ficha de criatura branca e azul 4/4 do tipo Esfinge com voar e vigilância.</t>
  </si>
  <si>
    <t>{W/U}{W/U} // {3}{W}{U}</t>
  </si>
  <si>
    <t>Invasion of Xerex / Invasão de Xerex</t>
  </si>
  <si>
    <t>Battle — Siege / Batalha — Cerco</t>
  </si>
  <si>
    <t>(As a Siege enters, choose an opponent to protect it. You and others can attack it. When it's defeated, exile it, then cast it transformed.) When this Siege enters, return up to one target creature to its owner's hand. / (Conforme um Cerco entrar no campo de batalha, escolha um oponente para protegê-lo. Você e outros podem atacá-lo. Quando ele for derrotado, exile-o e depois o conjure transformado.) Quando Invasão de Xerex entrar no campo de batalha, devolva até uma criatura alvo para a mão de seu dono.</t>
  </si>
  <si>
    <t>Invasion of Pyrulea / Invasão de Pyrulea</t>
  </si>
  <si>
    <t>(As a Siege enters, choose an opponent to protect it. You and others can attack it. When it's defeated, exile it, then cast it transformed.) When this Siege enters, scry 3, then reveal the top card of your library. If it's a land or double-faced card, draw a card. / (Conforme um Cerco entrar no campo de batalha, escolha um oponente para protegê-lo. Você e outros podem atacá-lo. Quando ele for derrotado, exile-o e depois o conjure transformado.) Quando Invasão de Pyrulea entrar no campo de batalha, use vidência 3, depois revele o card do topo de seu grimório. Se ele for um card dupla face ou de terreno, compre um card.</t>
  </si>
  <si>
    <t>Kaslem's Stonetree / Árvore Pétrea de Kaslem</t>
  </si>
  <si>
    <t>When this artifact enters, look at the top six cards of your library. You may put a land card from among them onto the battlefield tapped. Put the rest on the bottom in a random order. Craft with Cave {5}{G} ({5}{G}, Exile this artifact, Exile a Cave you control or a Cave card from your graveyard: Return this card transformed under its owner's control. Craft only as a sorcery.) / Quando Árvore Pétrea de Kaslem entrar no campo de batalha, olhe os seis cards do topo de seu grimório. Você pode colocar um card de terreno dentre eles no campo de batalha virado. Coloque o restante no fundo de seu grimório em ordem aleatória. Construir com Caverna {5}{G} ({5}{G}, exile este artefato, exile uma Caverna que você controla ou um card de Caverna de seu cemitério: Devolva este card ao campo de batalha transformado sob o controle de seu dono. Construa somente como um feitiço.)</t>
  </si>
  <si>
    <t>Scuttletide / Maré de Caranguejo</t>
  </si>
  <si>
    <t>{1}, Discard a card: Create a 0/3 blue Crab creature token. Delirium — Crabs you control get +1/+1 as long as there are four or more card types among cards in your graveyard. / {1}, descarte um card: Crie uma ficha de criatura Caranguejo azul 0/3. Delírio — Os Caranguejos que você controla receberão +1/+1 enquanto houver quatro ou mais tipos de card entre os cards de seu cemitério.</t>
  </si>
  <si>
    <t>Acordar para a Vida / Thought Monitor</t>
  </si>
  <si>
    <t>O artefato alvo não de criatura que você controla se torna uma criatura artefato 0/0. Coloque quatro marcadores +1/+1 em cada artefato que se torna uma criatura dessa forma. Sobrecarga {4}{U}{U} (Você pode conjurar esta mágica pagando seu custo de sobrecarga. Se fizer isso, altere seu texto substituindo todas as ocorrências de “o artefato alvo” por “cada artefato”.) / Target noncreature artifact you control becomes a 0/0 artifact creature. Put four +1/+1 counters on each artifact that becomes a creature this way. Overload {4}{U}{U} (You may cast this spell for its overload cost. If you do, change its text by replacing all instances of "target artifact" with "each artifact".)</t>
  </si>
  <si>
    <t>Filtrar / Filter Out</t>
  </si>
  <si>
    <t>Devolva todas as permanentes não de criatura e não de terreno para as mãos de seus donos. / Return all noncreature, nonland permanents to their owners' hands.</t>
  </si>
  <si>
    <t>March of the Machine: The Aftermath (MAT)</t>
  </si>
  <si>
    <t>Gênese Planar / Planar Genesis</t>
  </si>
  <si>
    <t>Olhe os quatro cards do topo de seu grimório. Você pode colocar um card de terreno dentre eles no campo de batalha virado. Se não fizer isso, coloque um card dentre eles em sua mão. Coloque o restante no fundo de seu grimório em ordem aleatória. / Look at the top four cards of your library. You may put a land card from among them onto the battlefield tapped. If you don't, put a card from among them into your hand. Put the rest on the bottom of your library in a random order.</t>
  </si>
  <si>
    <t>Gold-Forged Thopteryx / Topterix Forjado em Ouro</t>
  </si>
  <si>
    <t>Artifact Creature — Dinosaur Thopter / Criatura Artefato — Dinossauro Tóptero</t>
  </si>
  <si>
    <t>Flying, lifelink Each legendary permanent you control has ward {2}. (Whenever it becomes the target of a spell or ability an opponent controls, counter it unless that player pays {2}.) / Voar, vínculo com a vida Cada permanente lendária que você controla tem salvaguarda {2}.</t>
  </si>
  <si>
    <t>Tobias Andrion</t>
  </si>
  <si>
    <t>Storm Spirit / Espírito da Tempestade</t>
  </si>
  <si>
    <t>Flying {T}: This creature deals 2 damage to target creature.</t>
  </si>
  <si>
    <t>{3}{G}{W}{U}</t>
  </si>
  <si>
    <t>Tor Wauki</t>
  </si>
  <si>
    <t>Legendary Creature — Human Archer</t>
  </si>
  <si>
    <t>{T}: Tor Wauki deals 2 damage to target attacking or blocking creature.</t>
  </si>
  <si>
    <t>{2}{B}{B}{R}</t>
  </si>
  <si>
    <t>Chromatic Armor / Armadura Cromática</t>
  </si>
  <si>
    <t>Enchant creature As this Aura enters, choose a color. This Aura enters with a sleight counter on it. Prevent all damage that would be dealt to enchanted creature by sources of the last chosen color. {X}: Put a sleight counter on this Aura and choose a color. X is the number of sleight counters on this Aura.</t>
  </si>
  <si>
    <t>Ayesha Tanaka</t>
  </si>
  <si>
    <t>Banding. {T}: Counter target artifact effect requiring an activation cost, unless the artifact's controller pays {W}. Play this ability as an interrupt.</t>
  </si>
  <si>
    <t>{W}{W}{U}{U}</t>
  </si>
  <si>
    <t>Branco e Azul / White and Blue</t>
  </si>
  <si>
    <t>Kei Takahashi</t>
  </si>
  <si>
    <t>{T}: Prevent up to 2 damage to any creature.</t>
  </si>
  <si>
    <t>{2}{W}{G}</t>
  </si>
  <si>
    <t>Branco e Verde / White and Green</t>
  </si>
  <si>
    <t>Haunting Apparition / Visonha Macabra</t>
  </si>
  <si>
    <t>Flying As this creature enters, choose an opponent. Haunting Apparition's power is equal to 1 plus the number of green creature cards in the chosen player's graveyard.</t>
  </si>
  <si>
    <t>1+*/2</t>
  </si>
  <si>
    <t>Kjeldoran Frostbeast / Criatura do Gelo Kjeldorana</t>
  </si>
  <si>
    <t>Creature — Elemental Beast</t>
  </si>
  <si>
    <t>At end of combat, destroy all creatures blocking or blocked by this creature.</t>
  </si>
  <si>
    <t>Rock Basilisk / Basilisco das Rochas</t>
  </si>
  <si>
    <t>Creature — Basilisk</t>
  </si>
  <si>
    <t>Whenever this creature blocks or becomes blocked by a non-Wall creature, destroy that creature at end of combat.</t>
  </si>
  <si>
    <t>Benthic Djinn / Gênio Bêntico</t>
  </si>
  <si>
    <t>Creature — Djinn</t>
  </si>
  <si>
    <t>Islandwalk (This creature can't be blocked as long as defending player controls an Island.) At the beginning of your upkeep, you lose 2 life.</t>
  </si>
  <si>
    <t>Glaciers</t>
  </si>
  <si>
    <t>During your upkeep, pay {W}{U} or destroy Glaciers. All mountains become plains.</t>
  </si>
  <si>
    <t>Wings of Aesthir / Asas de Aesthir</t>
  </si>
  <si>
    <t>Enchant creature Enchanted creature gets +1/+0 and has flying and first strike.</t>
  </si>
  <si>
    <t>Kirtar's Wrath / Ira de Kirtar</t>
  </si>
  <si>
    <t>Destroy all creatures. They can't be regenerated. Threshold — If there are seven or more cards in your graveyard, instead destroy all creatures, then create two 1/1 white Spirit creature tokens with flying. Creatures destroyed this way can't be regenerated. / Destrua todas as criaturas. Elas não podem ser regeneradas. Limiar — Se houver sete ou mais cards em seu cemitério, em vez disso, destrua todas as criaturas e crie duas fichas de criatura Espírito branca 1/1 com voar. As criaturas destruídas dessa forma não podem ser regeneradas.</t>
  </si>
  <si>
    <t>Crimson Vow Commander (VOC)</t>
  </si>
  <si>
    <t>Lord of Tresserhorn / Senhor de Tresserhorn</t>
  </si>
  <si>
    <t>Legendary Creature — Zombie</t>
  </si>
  <si>
    <t>When Lord of Tresserhorn enters, you lose 2 life, you sacrifice two creatures, and target opponent draws two cards. {B}: Regenerate Lord of Tresserhorn.</t>
  </si>
  <si>
    <t>Essence Vortex</t>
  </si>
  <si>
    <t>Bury target creature. That creature's controller may counter this spell by paying the creature's toughness in life. Effects that prevent or redirect damage cannot be used to counter this loss of life.</t>
  </si>
  <si>
    <t>Viridian Longbow / Arco Longo Viridiano</t>
  </si>
  <si>
    <t>Equipped creature has "{T}: This creature deals 1 damage to any target." Equip {3} ({3}: Attach to target creature you control. Equip only as a sorcery.) / A criatura equipada tem "{T}: Ela causa 1 ponto de dano a qualquer alvo". Equipar {3} ({3}: Anexe este equipamento à criatura alvo que você controla. Equipe somente como um feitiço.)</t>
  </si>
  <si>
    <t>Frogmite / Batracóide</t>
  </si>
  <si>
    <t>Artifact Creature — Frog / Criatura Artefato</t>
  </si>
  <si>
    <t>Affinity for artifacts (This spell costs {1} less to cast for each artifact you control.) / Afinidade por artefatos (Esta mágica custa {1} a menos para jogar para cada artefato que você controla.)</t>
  </si>
  <si>
    <t>Myr Mindservant / Myr Ataca-Mentes</t>
  </si>
  <si>
    <t>{2}, {T}: Shuffle your library. / {2}, {T}: Embaralhe seu grimório.</t>
  </si>
  <si>
    <t>Aether Spellbomb / Magibomba de Éter</t>
  </si>
  <si>
    <t>{U}, Sacrifice this artifact: Return target creature to its owner's hand. {1}, Sacrifice this artifact: Draw a card. / {U}, Sacrifique Magibomba de Éter: Devolve a criatura alvo para a mão de seu dono. {1}, Sacrifique Magibomba de Éter: Compre um card.</t>
  </si>
  <si>
    <t>School of the Unseen / Escola do Ilusionismo</t>
  </si>
  <si>
    <t>Terreno / Land</t>
  </si>
  <si>
    <t>{T}: Add one colorless mana to your mana pool. {2}, {T}: Add one mana of any color to your mana pool.</t>
  </si>
  <si>
    <t>Salt Marsh / Pântano Salgado</t>
  </si>
  <si>
    <t>This land enters tapped. {T}: Add {U} or {B}. / Pântano Salgado entra em jogo virado. {T}: Adiciona {U} ou {B} à sua reserva de mana.</t>
  </si>
  <si>
    <t>Oasis</t>
  </si>
  <si>
    <t>{T}: Prevent the next 1 damage that would be dealt to target creature this turn.</t>
  </si>
  <si>
    <t>Barren Moor</t>
  </si>
  <si>
    <t>Barren Moor comes into play tapped. {T}: Add {B} to your mana pool. Cycling {B} ({B}, Discard this card from your hand: Draw a card.)</t>
  </si>
  <si>
    <t>Dwarven Hold / Forte dos Anões</t>
  </si>
  <si>
    <t>This land enters tapped. You may choose not to untap this land during your untap step. At the beginning of your upkeep, if this land is tapped, put a storage counter on it. {T}, Remove any number of storage counters from this land: Add {R} for each storage counter removed this way.</t>
  </si>
  <si>
    <t>Svyelunite Temple / Templo Svyelunita</t>
  </si>
  <si>
    <t>Svyelunite Temple comes into play tapped. {T}: Add {U} to your mana pool. {T}, Sacrifice Svyelunite Temple: Add {U}{U} to your mana pool.</t>
  </si>
  <si>
    <t>Crystal Rod / Bastão de Cristal</t>
  </si>
  <si>
    <t>Whenever a player casts a blue spell, you may pay {1}. If you do, you gain 1 life. / Toda vez que um jogador jogar uma mágica azul, você pode pagar {1}. Se o fizer, você ganha 1 ponto de vida.</t>
  </si>
  <si>
    <t>Onulet / Onuleto</t>
  </si>
  <si>
    <t>Artifact Creature — Construct</t>
  </si>
  <si>
    <t>When this creature dies, you gain 2 life.</t>
  </si>
  <si>
    <t>Antiquities (ATQ)</t>
  </si>
  <si>
    <t>Coral Helm / Elmo de Coral</t>
  </si>
  <si>
    <t>{3}, Discard a card at random: Target creature gets +2/+2 until end of turn.</t>
  </si>
  <si>
    <t>Aladdin's Lamp / Låmpada de Aladin</t>
  </si>
  <si>
    <t>{X}, {T}: The next time you would draw a card this turn, instead look at the top X cards of your library, put all but one of them on the bottom of your library in a random order, then draw a card. X can't be 0.</t>
  </si>
  <si>
    <t>Green Mana Battery / Bateria de Mana Verde</t>
  </si>
  <si>
    <t>{2}, {T}: Put a charge counter on this artifact. {T}, Remove any number of charge counters from this artifact: Add {G}, then add an additional {G} for each charge counter removed this way.</t>
  </si>
  <si>
    <t>Criatura Artefato / Artifact Creature</t>
  </si>
  <si>
    <t>A soma do poder e da resistência do Metamorfo é igual 7. Você define estes valores no momento em que o Metamorfo entra em jogo. Você pode alterá-los durante sua fase de manutenção. / The sum of Shapeshifter's power and toughness is 7. You choose these values as Shapeshifter comes into play. You may change these values during your upkeep.</t>
  </si>
  <si>
    <t>Whalebone Glider / Planador de Ossos de Baleia</t>
  </si>
  <si>
    <t>{2}, {T}: Target creature with power 3 or less gains flying until end of turn.</t>
  </si>
  <si>
    <t>Roterothopter / Roterotóptero</t>
  </si>
  <si>
    <t>Artifact Creature — Thopter</t>
  </si>
  <si>
    <t>Flying {2}: This creature gets +1/+0 until end of turn. Activate no more than twice each turn.</t>
  </si>
  <si>
    <t>Wooden Sphere / Esfera de Madeira</t>
  </si>
  <si>
    <t>Whenever a player casts a green spell, you may pay {1}. If you do, you gain 1 life. / Toda vez que um jogador jogar uma mágica verde, você pode pagar {1}. Se o fizer, você ganha 1 ponto de vida.</t>
  </si>
  <si>
    <t>Zelyon Sword</t>
  </si>
  <si>
    <t>You may choose not to untap this artifact during your untap step. {3}, {T}: Target creature gets +2/+0 for as long as this artifact remains tapped.</t>
  </si>
  <si>
    <t>Bouteille de Salomon / Bottle of Solomon</t>
  </si>
  <si>
    <t>{1}: Sacrifique a Bouteille de Salomon e jogue à pile ou face. Se seu adversário ganhar, a Bouteille lhe causa 5 pontos de dano. Se, ao contrário, você ganhar, um Djinn voador 5/5 entra imediatamente em jogo sob seu controle. Use uma ficha para representá-lo. O Djinn é tratado exatamente como uma criatura artefato normal, exceto que, se ele sair de jogo, ele é removido da partida. / {1}, Sacrifice Bottle of Solomon: Flip a coin. If your opponent wins the flip, Bottle of Solomon deals 5 damage to you. If you win the flip, put a 5/5 flying Djinn artifact creature token onto the battlefield. If the Djinn would leave the battlefield, exile it instead of putting it into any other zone.</t>
  </si>
  <si>
    <t>Living Armor</t>
  </si>
  <si>
    <t>{T}, Sacrifice this artifact: Put X +0/+1 counters on target creature, where X is that creature's mana value.</t>
  </si>
  <si>
    <t>Cursed Rack / Ecúleo Amaldiçoado</t>
  </si>
  <si>
    <t>As this artifact enters, choose an opponent. The chosen player's maximum hand size is four.</t>
  </si>
  <si>
    <t>{1}, {T}, Sacrifice a creature: This artifact deals 2 damage to any target.</t>
  </si>
  <si>
    <t>Mishra's Groundbreaker / Perfuratriz de Mishra</t>
  </si>
  <si>
    <t>{T}, Sacrifice this artifact: Target land becomes a 3/3 artifact creature that's still a land. (This effect lasts indefinitely.)</t>
  </si>
  <si>
    <t>Colossus of Sardia / Colosso de Sardia</t>
  </si>
  <si>
    <t>Trample (This creature can deal excess combat damage to the player or planeswalker it's attacking.) This creature doesn't untap during your untap step. {9}: Untap this creature. Activate only during your upkeep. / Atropelar (Se esta criatura fosse causar dano de combate suficiente para destruir seus bloqueadores, você pode fazer com que ela cause o resto de seu dano ao jogador defensor.) Colosso de Sardia não desvira durante a sua etapa de desvirar. {9}: Desvire Colosso de Sardia. Use esta habilidade somente durante sua manutenção.</t>
  </si>
  <si>
    <t>{9}</t>
  </si>
  <si>
    <t>Armageddon Clock</t>
  </si>
  <si>
    <t>During your upkeep, put one doom counter on Armageddon Clock. At the end of your upkeep, Armageddon Clock deals X damage to each player, where X is the number of doom counters on Armageddon Clock. During any upkeep, any player may pay {4} to remove a doom counter from Armageddon Clock.</t>
  </si>
  <si>
    <t>Icy Manipulator / Manipulador Gélido</t>
  </si>
  <si>
    <t>{1}, {T}: Tap target artifact, creature, or land. / {1}, {T}: Vire o artefato, a criatura ou o terreno alvo.</t>
  </si>
  <si>
    <t>Jalum Tome</t>
  </si>
  <si>
    <t>{2}, {T}: Draw a card; then, choose and discard a card from your hand.</t>
  </si>
  <si>
    <t>Juggernaut</t>
  </si>
  <si>
    <t>Must attack each turn if possible. Can't be blocked by walls.</t>
  </si>
  <si>
    <t>Throne of Bone / Trono de Ossos</t>
  </si>
  <si>
    <t>Whenever a player casts a black spell, you may pay {1}. If you do, you gain 1 life. / Toda vez que um jogador jogar uma mágica preta, você pode pagar {1}. Se o fizer, você ganha 1 ponto de vida.</t>
  </si>
  <si>
    <t>Soldevi Simulacrum / Simulacro Soldeviano</t>
  </si>
  <si>
    <t>Artifact Creature — Soldier</t>
  </si>
  <si>
    <t>Cumulative upkeep {1} (At the beginning of your upkeep, put an age counter on this permanent, then sacrifice it unless you pay its upkeep cost for each age counter on it.) {1}: This creature gets +1/+0 until end of turn.</t>
  </si>
  <si>
    <t>Pentagram of the Ages / Pentagrama das Eras</t>
  </si>
  <si>
    <t>{4}, {T}: The next time a source of your choice would deal damage to you this turn, prevent that damage.</t>
  </si>
  <si>
    <t>Aladdin's Ring / Anel de Aladim</t>
  </si>
  <si>
    <t>{8}, {T}: This artifact deals 4 damage to any target. / {8}, {T}: Anel de Aladim causa 4 pontos de dano à criatura ou ao jogador alvo.</t>
  </si>
  <si>
    <t>Soul Net / Rede de Almas</t>
  </si>
  <si>
    <t>Whenever a creature dies, you may pay {1}. If you do, you gain 1 life.</t>
  </si>
  <si>
    <t>Nacre Talisman / Talismã de Nácar</t>
  </si>
  <si>
    <t>Whenever a player casts a white spell, you may pay {3}. If you do, untap target permanent.</t>
  </si>
  <si>
    <t>Flying Carpet / Tapete Voador</t>
  </si>
  <si>
    <t>{2}, {T}: Target creature gains flying until end of turn. / {2}, {T}: A criatura alvo ganha a habilidade de voar até o final do turno. (Ela só pode ser bloqueada por criaturas com a habilidade de voar.)</t>
  </si>
  <si>
    <t>Conservator / Protetor</t>
  </si>
  <si>
    <t>{3}, {T}: Prevent the next 2 damage that would be dealt to you this turn.</t>
  </si>
  <si>
    <t>The Hive / A Colméia</t>
  </si>
  <si>
    <t>{5}, {T}: Create a 1/1 colorless Insect artifact creature token with flying named Wasp. (It can't be blocked except by creatures with flying or reach.) / {5}, {T}: Coloque em jogo uma ficha de criatura artefato 1/1 do tipo Inseto com a habilidade de voar chamada Vespa. (Ela só pode ser bloqueada por criaturas com a habilidade de voar ou alcance.)</t>
  </si>
  <si>
    <t>Aeolipile</t>
  </si>
  <si>
    <t>{1}, {T}, Sacrifice this artifact: It deals 2 damage to any target.</t>
  </si>
  <si>
    <t>Urza's Avenger / Vingador de Urza</t>
  </si>
  <si>
    <t>Artifact Creature — Shapeshifter</t>
  </si>
  <si>
    <t>{0}: This creature gets -1/-1 and gains your choice of banding, flying, first strike, or trample until end of turn. (Any creatures with banding, and up to one without, can attack in a band. Bands are blocked as a group. If any creatures with banding you control are blocking or being blocked by a creature, you divide that creature's combat damage, not its controller, among any of the creatures it's being blocked by or is blocking.)</t>
  </si>
  <si>
    <t>Clockwork Beast / Besta Mecânica</t>
  </si>
  <si>
    <t>Artifact Creature — Beast</t>
  </si>
  <si>
    <t>This creature enters with seven +1/+0 counters on it. At end of combat, if this creature attacked or blocked this combat, remove a +1/+0 counter from it. {X}, {T}: Put up to X +1/+0 counters on this creature. This ability can't cause the total number of +1/+0 counters on this creature to be greater than seven. Activate only during your upkeep.</t>
  </si>
  <si>
    <t>Aesthir Glider</t>
  </si>
  <si>
    <t>Flying. Cannot be assigned to block.</t>
  </si>
  <si>
    <t>War Chariot</t>
  </si>
  <si>
    <t>{3}, {T}: Target creature gains trample until end of turn.</t>
  </si>
  <si>
    <t>Black Mana Battery / Bateria de Mana Preta</t>
  </si>
  <si>
    <t>{2}, {T}: Put a charge counter on this artifact. {T}, Remove any number of charge counters from this artifact: Add {B}, then add an additional {B} for each charge counter removed this way.</t>
  </si>
  <si>
    <t>Power Armor / Armadura do Poder</t>
  </si>
  <si>
    <t>Domain — {3}, {T}: Target creature gets +1/+1 until end of turn for each basic land type among lands you control.</t>
  </si>
  <si>
    <t>Artifact Creature — Spirit / Criatura Artefato — Espírito</t>
  </si>
  <si>
    <t>Tawnos's Weaponry / Arsenal de Tawnos</t>
  </si>
  <si>
    <t>You may choose not to untap this artifact during your untap step. {2}, {T}: Target creature gets +1/+1 for as long as this artifact remains tapped.</t>
  </si>
  <si>
    <t>Dragon Engine / Dragão Mecânico</t>
  </si>
  <si>
    <t>{2}: This creature gets +1/+0 until end of turn. / {2}: Dragão Mecânico recebe +1/+0 até o final do turno.</t>
  </si>
  <si>
    <t>Runesword</t>
  </si>
  <si>
    <t>{3}, {T}: Target attacking creature gets +2/+0 until end of turn. When that creature leaves the battlefield this turn, sacrifice this artifact. If the creature deals damage to a creature this turn, the creature dealt damage can't be regenerated this turn. If a creature dealt damage by the targeted creature would die this turn, exile that creature instead.</t>
  </si>
  <si>
    <t>Living Wall</t>
  </si>
  <si>
    <t>Defender (This creature can't attack.) {1}: Regenerate this creature.</t>
  </si>
  <si>
    <t>Bronze Tablet</t>
  </si>
  <si>
    <t>Remove this card from your deck before playing if you're not playing for ante. This artifact enters tapped. {4}, {T}: Exile this artifact and target nontoken permanent an opponent owns. That player may pay 10 life. If they do, put this card into its owner's graveyard. Otherwise, that player owns this card and you own the other exiled card.</t>
  </si>
  <si>
    <t>Ebony Rhino / Rinoceronte de ébano</t>
  </si>
  <si>
    <t>Artifact Creature — Rhino</t>
  </si>
  <si>
    <t>Trample</t>
  </si>
  <si>
    <t>Soldevi Steam Beast</t>
  </si>
  <si>
    <t>Whenever Soldevi Steam Beast becomes tapped, target opponent gains 2 life. {2}: Regenerate.</t>
  </si>
  <si>
    <t>Helm of Chatzuk / Elmo de Chatzuk</t>
  </si>
  <si>
    <t>{1}, {T}: Target creature gains banding until end of turn. (Any creatures with banding, and up to one without, can attack in a band. Bands are blocked as a group. If any creatures with banding a player controls are blocking or being blocked by a creature, that player divides that creature's combat damage, not its controller, among any of the creatures it's being blocked by or is blocking.)</t>
  </si>
  <si>
    <t>Walking Wall / Barreira Ambulante</t>
  </si>
  <si>
    <t>Defender {3}: This creature gets +3/-1 until end of turn and can attack this turn as though it didn't have defender. Activate only once each turn.</t>
  </si>
  <si>
    <t>Fyndhorn Bow / Arco de Fyndhorn</t>
  </si>
  <si>
    <t>{3}, {T}: Target creature gains first strike until end of turn.</t>
  </si>
  <si>
    <t>Aegis of the Meek</t>
  </si>
  <si>
    <t>{1}, {T}: Target 1/1 creature gets +1/+2 until end of turn.</t>
  </si>
  <si>
    <t>Chariot of the Sun / Carruagem do Sol</t>
  </si>
  <si>
    <t>{2}, {T}: Until end of turn, target creature you control gains flying and has base toughness 1.</t>
  </si>
  <si>
    <t>The Lady of the Mountain</t>
  </si>
  <si>
    <t>Her given name has been lost in the mists of time. Legend says that her silent vigil will one day be ended by the one who, pure of heart and spirit, calls out that name again.</t>
  </si>
  <si>
    <t>{4}{G}{R}</t>
  </si>
  <si>
    <t>Tamiyo's Logbook / Livro de Registros de Tamiyo</t>
  </si>
  <si>
    <t>Artifact — Book / Artefato</t>
  </si>
  <si>
    <t>{5}{U}, {T}: Draw a card. This ability costs {1} less to activate for each other artifact you control. / {5}{U}, {T}: Compre um card. Esta habilidade custa {1} a menos para ser ativada para cada outro artefato que você controla.</t>
  </si>
  <si>
    <t>Drake Haven / Refúgio dos Dragonetes</t>
  </si>
  <si>
    <t>Whenever you cycle or discard a card, you may pay {1}. If you do, create a 2/2 blue Drake creature token with flying. / Toda vez que recicla ou descarta um card, você pode pagar {1}. Se fizer isso, crie uma ficha de criatura azul 2/2 do tipo Dragonete com voar.</t>
  </si>
  <si>
    <t>New Perspectives / Novas Perspectivas</t>
  </si>
  <si>
    <t>When this enchantment enters, draw three cards. As long as you have seven or more cards in hand, you may pay {0} rather than pay cycling costs. / Quando Novas Perspectivas entrar no campo de batalha, compre três cards. Enquanto tiver sete ou mais cards em sua mão, você pode pagar {0} em vez de pagar custos de reciclagem.</t>
  </si>
  <si>
    <t>Horseshoe Crab / Caranguejo Ferradura</t>
  </si>
  <si>
    <t>{U}: Untap this creature. / {U}: Desvire Caranguejo Ferradura.</t>
  </si>
  <si>
    <t>Roil Cartographer / Cartógrafa do Turbillhão</t>
  </si>
  <si>
    <t>Landfall — Whenever a land you control enters, you get {E} (an energy counter). {T}, Pay six {E}: Draw three cards. / Aterragem — Toda vez que um terreno entra no campo de batalha sob seu controle, você recebe {E} (um marcador de energia). {T}, pague seis {E}: Compre três cards.</t>
  </si>
  <si>
    <t>Aquamoeba / Aquameba</t>
  </si>
  <si>
    <t>Creature — Elemental Beast / Criatura — Elemental Besta</t>
  </si>
  <si>
    <t>Discard a card: Switch this creature's power and toughness until end of turn. / Descarte um card: Permute o poder e a resistência de Aquameba até o final do turno.</t>
  </si>
  <si>
    <t>Unesh, Criosphinx Sovereign / Unesh, Soberano Crioesfinge</t>
  </si>
  <si>
    <t>Legendary Creature — Sphinx / Criatura Lendária — Esfinge</t>
  </si>
  <si>
    <t>Flying Sphinx spells you cast cost {2} less to cast. Whenever Unesh or another Sphinx you control enters, reveal the top four cards of your library. An opponent separates those cards into two piles. Put one pile into your hand and the other into your graveyard. / Voar As mágicas de Esfinge que você conjura custam {2} a menos para serem conjuradas. Toda vez que Unesh, Soberano Crioesfinge, ou outra Esfinge entrar no campo de batalha sob seu controle, revele os quatro cards do topo de seu grimório. Um oponente separa aqueles cards em dois montes. Coloque um monte na sua mão e o outro em seu cemitério.</t>
  </si>
  <si>
    <t>Johann's Stopgap / Gambiarra de Johann</t>
  </si>
  <si>
    <t>Bargain (You may sacrifice an artifact, enchantment, or token as you cast this spell.) This spell costs {2} less to cast if it's bargained. Return target nonland permanent to its owner's hand. Draw a card. / Negociar (Você pode sacrificar um artefato, um encantamento ou uma ficha conforme conjura esta mágica.) Esta mágica custa {2} a menos para conjurar se tiver sido negociada. Devolva a permanente alvo não de terreno para a mão de seu dono. Compre um card.</t>
  </si>
  <si>
    <t>Sidequest: Card Collection // Magicked Card</t>
  </si>
  <si>
    <t>Enchantment // Artifact — Vehicle</t>
  </si>
  <si>
    <t>Sidequest: Card Collection: When this enchantment enters, draw three cards, then discard two cards. At the beginning of your end step, if eight or more cards are in your graveyard, transform this enchantment. // Magicked Card: Flying Crew 1 (Tap any number of creatures you control with total power 1 or more: This Vehicle becomes an artifact creature until end of turn.)</t>
  </si>
  <si>
    <t>Final Fantasy (FIN)</t>
  </si>
  <si>
    <t>Agency Outfitter / Fornecedor da Agência</t>
  </si>
  <si>
    <t>Creature — Sphinx Detective / Criatura — Esfinge Detetive</t>
  </si>
  <si>
    <t>Flying When this creature enters, you may search your graveyard, hand and/or library for a card named Magnifying Glass and/or a card named Thinking Cap and put them onto the battlefield. If you search your library this way, shuffle. / Voar Quando Fornecedor da Agência entra no campo de batalha, você pode procurar em seu cemitério, mão e/ou grimório um card com o nome Lente de Aumento e/ou um card com o nome Chapéu de Pensar e colocá-los no campo de batalha. Se você procurar em seu grimório dessa forma, embaralhe.</t>
  </si>
  <si>
    <t>Gelar</t>
  </si>
  <si>
    <t>Negociar (Você pode sacrificar um artefato, um encantamento ou uma ficha conforme conjura esta mágica.) Esta mágica custa {1} a menos para conjurar se tiver sido negociada. Anule a mágica alvo.</t>
  </si>
  <si>
    <t>Terras Selvagens de Eldraine (WOE)</t>
  </si>
  <si>
    <t>Strix Lookout</t>
  </si>
  <si>
    <t>Flying, vigilance (Attacking doesn't cause this creature to tap.) {1}{U}, {T}: Draw a card, then discard a card.</t>
  </si>
  <si>
    <t>Witness Protection / Proteção de Testemunhas</t>
  </si>
  <si>
    <t>Enchant creature Enchanted creature loses all abilities and is a green and white Citizen creature with base power and toughness 1/1 named Legitimate Businessperson. (It loses all other colors, card types, creature types, and names.) / Encantar criatura A criatura encantada perde todas as habilidades e é uma criatura Cidadão verde e branca com poder e resistência básicos 1/1 com o nome Comerciante Respeitável. (Ele perde todas as outras cores, tipos de card, tipos de criatura e nomes.)</t>
  </si>
  <si>
    <t>Uncharted Voyage</t>
  </si>
  <si>
    <t>Target creature's owner puts it on their choice of the top or bottom of their library. Surveil 1. (Look at the top card of your library. You may put it into your graveyard.)</t>
  </si>
  <si>
    <t>Syncopate / Sincopar</t>
  </si>
  <si>
    <t>Counter target spell unless its controller pays {X}. If that spell is countered this way, exile it instead of putting it into its owner's graveyard. / Anule a mágica alvo, a menos que seu controlador pague {X}. Se aquela mágica for anulada dessa maneira, exile-a em vez de colocá-la no cemitério de seu dono.</t>
  </si>
  <si>
    <t>Enter the Enigma</t>
  </si>
  <si>
    <t>Target creature can't be blocked this turn. Draw a card.</t>
  </si>
  <si>
    <t>Tolarian Terror / Terror Tolariano</t>
  </si>
  <si>
    <t>This spell costs {1} less to cast for each instant and sorcery card in your graveyard. Ward {2} (Whenever this creature becomes the target of a spell or ability an opponent controls, counter it unless that player pays {2}.) / Esta mágica custa {1} a menos para ser conjurada para cada card de mágica instantânea ou de feitiço em seu cemitério. Salvaguarda {2} (Toda vez que esta criatura se tornar alvo de uma mágica ou habilidade que um oponente controla, anule-a, a menos que aquele jogador pague {2}.)</t>
  </si>
  <si>
    <t>{6}{U}</t>
  </si>
  <si>
    <t>Aegis Turtle / Tartaruga da Égide</t>
  </si>
  <si>
    <t>Creature — Turtle / Criatura — Tartaruga</t>
  </si>
  <si>
    <t>Twist Reality</t>
  </si>
  <si>
    <t>Choose one — • Counter target spell. • Manifest dread. (Look at the top two cards of your library. Put one onto the battlefield face down as a 2/2 creature and the other into your graveyard. Turn it face up any time for its mana cost if it's a creature card.)</t>
  </si>
  <si>
    <t>Vanish from Sight</t>
  </si>
  <si>
    <t>Target nonland permanent's owner puts it on their choice of the top or bottom of their library. Surveil 1. (Look at the top card of your library. You may put it into your graveyard.)</t>
  </si>
  <si>
    <t>Dramatic Accusation / Acusação Dramática</t>
  </si>
  <si>
    <t>Enchant creature When this Aura enters, tap enchanted creature. Enchanted creature doesn't untap during its controller's untap step. {U}{U}: Shuffle enchanted creature into its owner's library. / Encantar criatura Quando Acusação Dramática entrar no campo de batalha, vire a criatura encantada. A criatura encantada não desvira durante a etapa de desvirar de seu controlador. {U}{U}: Embaralhe a criatura encantada no grimório de seu dono.</t>
  </si>
  <si>
    <t>Augury Raven / Corvo do Augúrio</t>
  </si>
  <si>
    <t>Flying Foretell {1}{U} (During your turn, you may pay {2} and exile this card from your hand face down. Cast it on a later turn for its foretell cost.) / Voar Profetizar {1}{U} (Durante o seu turno, você pode pagar {2} e exilar este card de sua mão voltado para baixo. Conjure-o em um turno posterior pagando seu custo de profetizar.)</t>
  </si>
  <si>
    <t>Vedalken Mesmerist / Mesmerista Vedalkeano</t>
  </si>
  <si>
    <t>Whenever this creature attacks, target creature an opponent controls gets -2/-0 until end of turn. / Toda vez que Mesmerista Vedalkeano ataca, a criatura alvo que um oponente controla recebe -2/-0 até o final do turno.</t>
  </si>
  <si>
    <t>Erratic Apparition</t>
  </si>
  <si>
    <t>Flying, vigilance Eerie — Whenever an enchantment you control enters and whenever you fully unlock a Room, this creature gets +1/+1 until end of turn.</t>
  </si>
  <si>
    <t>Persistent Petitioners / Peticionários Persistentes</t>
  </si>
  <si>
    <t>{1}, {T}: Target player mills a card. (They put the top card of their library into their graveyard.) Tap four untapped Advisors you control: Target player mills twelve cards. A deck can have any number of cards named Persistent Petitioners. / {1}, {T}: O jogador alvo coloca o card do topo do próprio grimório no próprio cemitério. Vire quatro Conselheiros desvirados que você controla: O jogador alvo coloca os doze cards do topo do próprio grimório no próprio cemitério. Um deck pode conter um número qualquer de cards com o nome Peticionários Persistentes.</t>
  </si>
  <si>
    <t>Combat Research / Pesquisa de Combate</t>
  </si>
  <si>
    <t>Enchant creature Enchanted creature has "Whenever this creature deals combat damage to a player, draw a card." As long as enchanted creature is legendary, it gets +1/+1 and has ward {1}. (Whenever enchanted creature becomes the target of a spell or ability an opponent controls, counter it unless that player pays {1}.) / Encantar criatura A criatura encantada tem "Toda vez que esta criatura causar dano de combate a um jogador, compre um card". Enquanto a criatura encantada for lendária, ela receberá +1/+1 e terá salvaguarda {1}. (Toda vez que a criatura encantada se tornar alvo de uma mágica ou habilidade que um oponente controla, anule-a, a menos que aquele jogador pague {1}.)</t>
  </si>
  <si>
    <t>Out Cold / Inconsciente</t>
  </si>
  <si>
    <t>This spell can't be countered. (This includes by the ward ability.) Tap up to two target creatures and put a stun counter on each of them. Investigate. (If a permanent with a stun counter would become untapped, remove one from it instead.) / Esta mágica não pode ser anulada. (Isto inclui a habilidade salvaguarda.) Vire até duas criaturas alvo e coloque um marcador de atordoamento em cada uma delas. Investigue. (Se uma permanente com um marcador de atordoamento se tornaria desvirada, em vez disso, remova um marcador de atordoamento dela.)</t>
  </si>
  <si>
    <t>Vizier of Tumbling Sands / Vizir das Areias Correntes</t>
  </si>
  <si>
    <t>{T}: Untap another target permanent. Cycling {1}{U} ({1}{U}, Discard this card: Draw a card.) When you cycle this card, untap target permanent. / {T}: Desvire outra permanente alvo. Reciclar {1}{U} ({1}{U}, Descarte este card: Compre um card.) Quando você reciclar Vizir das Areias Correntes, desvire a permanente alvo.</t>
  </si>
  <si>
    <t>Tromokratis</t>
  </si>
  <si>
    <t>Legendary Creature — Kraken / Criatura Lendária — Kraken</t>
  </si>
  <si>
    <t>Tromokratis has hexproof unless it's attacking or blocking. Tromokratis can't be blocked unless all creatures defending player controls block it. (If any creature that player controls doesn't block this creature, it can't be blocked.) / Tromokratis tem resistência a magia a menos que esteja atacando ou bloqueando. Tromokratis não pode ser bloqueado a menos que todas as criaturas que o jogador defensor controla o bloqueiem. (Se alguma das criaturas que aquele jogador controla não puder bloquear esta criatura, ela não poderá ser bloqueada.)</t>
  </si>
  <si>
    <t>Coveted Peacock / Pavão Cobiçado</t>
  </si>
  <si>
    <t>Flying Whenever this creature attacks, you may goad target creature defending player controls. (Until your next turn, that creature attacks each combat if able and attacks a player other than you if able.) / Voar Toda vez que Pavão Cobiçado atacar, você poderá atiçar a criatura alvo que o jogador defensor controla. (Até seu próximo turno, aquela criatura ataca a cada combate, se estiver apta, e ataca um jogador que não seja você, se estiver apta.)</t>
  </si>
  <si>
    <t>Portal Mage / Maga do Portal</t>
  </si>
  <si>
    <t>Flash When this creature enters during the declare attackers step, you may reselect which player or permanent target attacking creature is attacking. (It can't attack its controller or their permanents.) / Lampejo Quando Maga do Portal entra no campo de batalha durante a etapa de declaração de atacantes, você pode resselecionar qual jogador ou planeswalker a criatura atacante alvo está atacando. (Ela não pode atacar seu controlador nem os planeswalkers de seu controlador.)</t>
  </si>
  <si>
    <t>Specimen Collector / Coletora de Espécimes</t>
  </si>
  <si>
    <t>When this creature enters, create a 1/1 green Squirrel creature token and a 0/3 blue Crab creature token. When this creature dies, create a token that's a copy of target token you control. / Quando Coletora de Espécimes entrar no campo de batalha, crie uma ficha de criatura Esquilo verde 1/1 e uma ficha de criatura Caranguejo azul 0/3. Quando Coletora de Espécimes morrer, crie uma ficha que seja uma cópia da ficha alvo que você controla.</t>
  </si>
  <si>
    <t>Utter Insignificance / Insignificância Mor</t>
  </si>
  <si>
    <t>Flash Enchant creature Enchanted creature loses all abilities and has base power and toughness 1/1. {2}{C}: Exile enchanted creature. / Lampejo Encantar criatura A criatura encantada perde todas as habilidades e tem poder e resistência básicos 1/1. {2}{C}: Exile a criatura encantada.</t>
  </si>
  <si>
    <t>Eaten by Piranhas / Devorado por Piranhas</t>
  </si>
  <si>
    <t>Flash (You may cast this spell any time you could cast an instant.) Enchant creature Enchanted creature loses all abilities and is a black Skeleton creature with base power and toughness 1/1. (It loses all other colors, card types, and creature types.) / Lampejo Encantar criatura A criatura encantada perde todas as habilidades e é uma criatura Esqueleto preta com poder e resistência básicos 1/1. (Ela perde todos os outros tipos de card e criatura.)</t>
  </si>
  <si>
    <t>Machine Over Matter / Máquina Sobre Matéria</t>
  </si>
  <si>
    <t>This spell costs {1} less to cast if you control an artifact creature. Return target nonland permanent to its owner's hand. / Esta mágica custa {1} a menos para ser conjurada se você controla uma criatura artefato. Devolva a permanente alvo não de terreno para a mão de seu dono.</t>
  </si>
  <si>
    <t>Supreme Will / Vontade Suprema</t>
  </si>
  <si>
    <t>Choose one — • Counter target spell unless its controller pays {3}. • Look at the top four cards of your library. Put one of them into your hand and the rest on the bottom of your library in any order. / Escolha um — • Anule a mágica alvo, a menos que seu controlador pague {3}. • Olhe os quatro cards do topo do seu grimório. Coloque um deles na sua mão e os restantes no fundo do seu grimório em qualquer ordem.</t>
  </si>
  <si>
    <t>Battleground Geist / Geist do Campo de Batalha</t>
  </si>
  <si>
    <t>Flying Other Spirit creatures you control get +1/+0. / Voar As outras criaturas do tipo Espírito que você controla recebem +1/+0.</t>
  </si>
  <si>
    <t>Ivory Cup / Cálice de Marfim</t>
  </si>
  <si>
    <t>Whenever a player casts a white spell, you may pay {1}. If you do, you gain 1 life. / Toda vez que um jogador jogar uma mágica branca, você pode pagar {1}. Se o fizer, você ganha 1 ponto de vida.</t>
  </si>
  <si>
    <t>Ebony Horse / Cavalo de Ébano</t>
  </si>
  <si>
    <t>{2}, {T}: Untap target attacking creature you control. Prevent all combat damage that would be dealt to and dealt by that creature this turn.</t>
  </si>
  <si>
    <t>Celestial Prism / Prisma Celestial</t>
  </si>
  <si>
    <t>{2}, {T}: Add one mana of any color.</t>
  </si>
  <si>
    <t>Iron Star / Estrela de Ferro</t>
  </si>
  <si>
    <t>Whenever a player casts a red spell, you may pay {1}. If you do, you gain 1 life. / Toda vez que um jogador jogar uma mágica vermelha, você pode pagar {1}. Se o fizer, você ganha 1 ponto de vida.</t>
  </si>
  <si>
    <t>Grapeshot Catapult / Catapulta de Metralha</t>
  </si>
  <si>
    <t>{T}: This creature deals 1 damage to target creature with flying.</t>
  </si>
  <si>
    <t>Wall of Spears / Barreira de Lanças</t>
  </si>
  <si>
    <t>Defender (This creature can't attack.) First strike / (As Barreiras não podem atacar.) Iniciativa (Esta criatura causa dano de combate antes de criaturas sem a habilidade de iniciativa.)</t>
  </si>
  <si>
    <t>Tawnos's Wand / Cetro de Tawnos</t>
  </si>
  <si>
    <t>{2}, {T}: Target creature with power 2 or less can't be blocked this turn.</t>
  </si>
  <si>
    <t>Diabolic Machine / Máquina Diabólica</t>
  </si>
  <si>
    <t>{3}: Regenerate this creature.</t>
  </si>
  <si>
    <t>Clay Statue / Ídolo de Barro</t>
  </si>
  <si>
    <t>{2}: Regenerate this creature.</t>
  </si>
  <si>
    <t>Aríete / Battering Ram</t>
  </si>
  <si>
    <t>Forma Bando quando ataca. No fim do combate, destrói qualquer barreira que esteja bloqueando um Aríete. / Bands with artifacts when attacking. At end of combat, destroy all Walls blocking Battering Ram.</t>
  </si>
  <si>
    <t>Pristine Talisman / Talismã Imaculado</t>
  </si>
  <si>
    <t>{T}: Add {C}. You gain 1 life. / {T}: Adicione {1} à sua reserva de mana. Você ganha 1 ponto de vida.</t>
  </si>
  <si>
    <t>The Brothers' War Retro Artifacts (BRR)</t>
  </si>
  <si>
    <t>Jandor's Saddlebags / Alforjes de Jandor</t>
  </si>
  <si>
    <t>{3}, {T}: Untap target creature.</t>
  </si>
  <si>
    <t>{T}: Regardez la main de votre adversaire. / {T}: Look at your opponent's hand.</t>
  </si>
  <si>
    <t>Rod of Ruin / Bastão da Ruína</t>
  </si>
  <si>
    <t>{3}, {T}: Rod of Ruin deals 1 damage to target creature or player.</t>
  </si>
  <si>
    <t>Brass Man / Homem de Bronze</t>
  </si>
  <si>
    <t>This creature doesn't untap during your untap step. At the beginning of your upkeep, you may pay {1}. If you do, untap this creature.</t>
  </si>
  <si>
    <t>Ashnod's Battle Gear / Armadura de Ashnod</t>
  </si>
  <si>
    <t>You may choose not to untap this artifact during your untap step. {2}, {T}: Target creature you control gets +2/-2 for as long as this artifact remains tapped.</t>
  </si>
  <si>
    <t>Obsianus Golem / Golem Obsianus</t>
  </si>
  <si>
    <t>Yotian Soldier / Soldado Yotiano</t>
  </si>
  <si>
    <t>Vigilance / Soldado Yotiano não é virado para atacar.</t>
  </si>
  <si>
    <t>Clockwork Gnomes / Gnomos Mecânicos</t>
  </si>
  <si>
    <t>Artifact Creature — Gnome</t>
  </si>
  <si>
    <t>{3}, {T}: Regenerate target artifact creature.</t>
  </si>
  <si>
    <t>{2}, {T}: Prevent the next 1 damage that would be dealt to any target this turn.</t>
  </si>
  <si>
    <t>Barbed Sextant / Sextante Farpado</t>
  </si>
  <si>
    <t>{1}, {T}, Sacrifice this artifact: Add one mana of any color. Draw a card at the beginning of the next turn's upkeep.</t>
  </si>
  <si>
    <t>Root Out / Arrancar pela Raiz</t>
  </si>
  <si>
    <t>Destroy target artifact or enchantment. Investigate. (Create a Clue token. It's an artifact with "{2}, Sacrifice this token: Draw a card.") / Destrua o artefato ou encantamento alvo. Investigue. (Coloque no campo de batalha uma ficha de artefato incolor do tipo Pista com "{2}, Sacrifique este artefato: Compre um card.")</t>
  </si>
  <si>
    <t>Haze of Pollen / Bruma de Pólen</t>
  </si>
  <si>
    <t>Prevent all combat damage that would be dealt this turn. Cycling {3} ({3}, Discard this card: Draw a card.) / Previna todo o dano de combate que seria causado neste turno. Reciclar {3} ({3}, Descarte este card: Compre um card.)</t>
  </si>
  <si>
    <t>Hardy Veteran / Veterana Calejada</t>
  </si>
  <si>
    <t>During your turn, this creature gets +0/+2. / Enquanto for o seu turno, Veterana Calejada receberá +0/+2.</t>
  </si>
  <si>
    <t>Jadecraft Artisan / Artesão Jadeiro</t>
  </si>
  <si>
    <t>When this creature enters, target creature gets +2/+2 until end of turn. / Quando Artesão Jadeiro entra no campo de batalha, a criatura alvo recebe +2/+2 até o final do turno.</t>
  </si>
  <si>
    <t>Orazca Frillback / Dorso-frisado de Orazca</t>
  </si>
  <si>
    <t>Sedge Scorpion / Escorpião de Grama</t>
  </si>
  <si>
    <t>Trample (This creature can deal excess combat damage to the player or planeswalker it's attacking.) / Atropelar</t>
  </si>
  <si>
    <t>Joyous Respite / Adiamento Jubiloso</t>
  </si>
  <si>
    <t>You gain 1 life for each land you control. / Você ganha 1 ponto de vida para cada terreno que controla.</t>
  </si>
  <si>
    <t>Dosan's Oldest Chant / O Canto Mais Antigo de Dosan</t>
  </si>
  <si>
    <t>You gain 6 life. Draw a card. / Você ganha 6 pontos de vida. Compre um card.</t>
  </si>
  <si>
    <t>Wartime Protestors</t>
  </si>
  <si>
    <t>Haste Whenever another Ally you control enters, put a +1/+1 counter on that creature and it gains haste until end of turn.</t>
  </si>
  <si>
    <t>Farhaven Elf / Elfo Porto-longínquo</t>
  </si>
  <si>
    <t>When this creature enters, you may search your library for a basic land card, put it onto the battlefield tapped, then shuffle. / Quando Elfo Porto-longínquo entra no campo de batalha, você pode procurar um card de terreno básico em seu grimório, colocá-lo no campo de batalha virado e depois embaralhar seu grimório.</t>
  </si>
  <si>
    <t>Wizards Play Network 2026 (PW26)</t>
  </si>
  <si>
    <t>Popular Entertainer / Artista Popular</t>
  </si>
  <si>
    <t>Legendary Enchantment — Background / Encantamento Lendário — Antecedente</t>
  </si>
  <si>
    <t>Commander creatures you own have "Whenever one or more creatures you control deal combat damage to a player, goad target creature that player controls." (Until your next turn, that creature attacks each combat if able and attacks a player other than you if able.) / As criaturas comandantes que você possui têm "Toda vez que uma ou mais criaturas que você controla causarem dano de combate a um jogador, atice a criatura alvo que aquele jogador controla". (Até seu próximo turno, aquela criatura ataca a cada combate, se estiver apta, e ataca um jogador que não seja você, se estiver apta.)</t>
  </si>
  <si>
    <t xml:space="preserve">Teenage Mutant Ninja Turtles (Promos) </t>
  </si>
  <si>
    <t>The Scorpion God / O Deus Escorpião</t>
  </si>
  <si>
    <t>Legendary Creature — God / Criatura Lendária — Deus</t>
  </si>
  <si>
    <t>Whenever a creature with a -1/-1 counter on it dies, draw a card. {1}{B}{R}: Put a -1/-1 counter on another target creature. When The Scorpion God dies, return it to its owner's hand at the beginning of the next end step. / Toda vez que uma criatura com um marcador -1/-1 morrer, compre um card. {1}{B}{R}: Coloque um marcador -1/-1 em outra criatura alvo. Quando O Deus Escorpião morrer, devolva-o para a mão de seu dono no início da próxima etapa final.</t>
  </si>
  <si>
    <t>Wild Beastmaster / Mestra de Feras Selvagem</t>
  </si>
  <si>
    <t>Whenever this creature attacks, each other creature you control gets +X/+X until end of turn, where X is this creature's power. / Quando Mestra de Feras Selvagem ataca, cada outra criatura que você controla recebe +X/+X até o final do turno, sendo X igual ao poder de Mestra de Feras Selvagem.</t>
  </si>
  <si>
    <t>Imodane, the Pyrohammer / Imodane, a Piromartelo</t>
  </si>
  <si>
    <t>Whenever an instant or sorcery spell you control that targets only a single creature deals damage to that creature, Imodane deals that much damage to each opponent. / Toda vez que uma mágica instantânea ou um feitiço que você controla que tenha como alvo uma única criatura causar dano àquela criatura, Imodane causará aquela quantidade de dano a cada oponente.</t>
  </si>
  <si>
    <t>Ruins of Oran-Rief / Ruínas de Oran-Rief</t>
  </si>
  <si>
    <t>This land enters tapped. {T}: Add {C}. ({C} represents colorless mana.) {T}: Put a +1/+1 counter on target colorless creature that entered this turn. / Ruínas de Oran-Rief entra no campo de batalha virada. {T}: Adicione {C} à sua reserva de mana. ({C} representa mana incolor.) {T}: Coloque um marcador +1/+1 na criatura incolor alvo que entrou no campo de batalha neste turno.</t>
  </si>
  <si>
    <t>Shadow Urchin</t>
  </si>
  <si>
    <t>Creature — Ouphe</t>
  </si>
  <si>
    <t>Whenever this creature attacks, blight 1. (Put a -1/-1 counter on a creature you control.) Whenever a creature you control with one or more counters on it dies, exile that many cards from the top of your library. Until your next end step, you may play those cards.</t>
  </si>
  <si>
    <t>Divine Offering</t>
  </si>
  <si>
    <t>Destroy target artifact. Gain life equal to the artifact's casting cost.</t>
  </si>
  <si>
    <t>Seeker / Explorador</t>
  </si>
  <si>
    <t>Enchant creature Enchanted creature can't be blocked except by artifact creatures and/or white creatures.</t>
  </si>
  <si>
    <t>Círculo de Proteção: Preto / Circle of Protection: Black</t>
  </si>
  <si>
    <t>Encantamento / Enchantment</t>
  </si>
  <si>
    <t>{1}: Evita qualquer dano de uma única origem preta contra você. Se esta fonte lhe causar dano mais de uma vez num mesmo turno, você poderá pagar {1} em cada uma das vezes para evitar o dano. / {1}: Prevent all damage that would be dealt to you by a black source this turn. If a source deals damage to you more than once in the same turn, you may pay {1} for each time you want to prevent that damage.</t>
  </si>
  <si>
    <t>Piedade / Piety</t>
  </si>
  <si>
    <t>Todas as criaturas que estiverem bloqueando ganharão +0/+3 até o final do turno. / All creatures currently blocking get +0/+3 until end of turn.</t>
  </si>
  <si>
    <t>Blessed Wine / Vinho Abençoado</t>
  </si>
  <si>
    <t>You gain 1 life. Draw a card at the beginning of the next turn's upkeep.</t>
  </si>
  <si>
    <t>Moment of Silence / Momento de Silêncio</t>
  </si>
  <si>
    <t>Target player skips their next combat phase this turn.</t>
  </si>
  <si>
    <t>Cease-Fire / Cessar-Fogo</t>
  </si>
  <si>
    <t>Target player can't cast creature spells this turn. Draw a card. / O jogador alvo não pode baixar mágicas de criatura neste turno. Compre um card.</t>
  </si>
  <si>
    <t>Odyssey (ODY)</t>
  </si>
  <si>
    <t>Transformação Divina / Divine Transformation</t>
  </si>
  <si>
    <t>Encantar Criatura / Enchant Creature</t>
  </si>
  <si>
    <t>A criatura-alvo ganha +3/+3. / Target creature gets +3/+3.</t>
  </si>
  <si>
    <t>Circle of Protection: Green</t>
  </si>
  <si>
    <t>Morale / Moral</t>
  </si>
  <si>
    <t>Attacking creatures get +1/+1 until end of turn.</t>
  </si>
  <si>
    <t>Warrior's Charge</t>
  </si>
  <si>
    <t>All your creatures get +1/+1 until the end of the turn.</t>
  </si>
  <si>
    <t>Orim's Cure / Cura de Orim</t>
  </si>
  <si>
    <t>If you control a Plains, you may tap an untapped creature you control rather than pay this spell's mana cost. Prevent the next 4 damage that would be dealt to any target this turn.</t>
  </si>
  <si>
    <t>Shield of Duty and Reason</t>
  </si>
  <si>
    <t>Enchanted creature has protection from green and from blue.</t>
  </si>
  <si>
    <t>Angelic Renewal / Renovação Angelical</t>
  </si>
  <si>
    <t>Whenever a creature is put into your graveyard from the battlefield, you may sacrifice this enchantment. If you do, return that card to the battlefield.</t>
  </si>
  <si>
    <t>Rashka the Slayer / Rashka, a Matadora</t>
  </si>
  <si>
    <t>Reach (This creature can block creatures with flying.) Whenever Rashka blocks one or more black creatures, Rashka gets +1/+2 until end of turn.</t>
  </si>
  <si>
    <t>Benevolent Unicorn / Unicórnio Benevolente</t>
  </si>
  <si>
    <t>Creature — Unicorn</t>
  </si>
  <si>
    <t>If a spell would deal damage to a permanent or player, it deals that much damage minus 1 to that permanent or player instead.</t>
  </si>
  <si>
    <t>Resurrection / Ressurreição</t>
  </si>
  <si>
    <t>Return target creature card from your graveyard to the battlefield. / Devolva o card alvo de criatura de seu cemitério para o jogo.</t>
  </si>
  <si>
    <t>Ornithopter / Ornitóptero</t>
  </si>
  <si>
    <t>Artifact Creature — Thopter / Criatura Artefato — Tóptero</t>
  </si>
  <si>
    <t>Flying / Voar (Esta criatura só pode ser bloqueada por criaturas com voar ou alcance.)</t>
  </si>
  <si>
    <t>Circle of Protection: Artifacts</t>
  </si>
  <si>
    <t>{2}: Prevent all damage against you from one artifact source. If a source deals damage to you more than once in a turn, you may pay {2} each time to prevent the damage.</t>
  </si>
  <si>
    <t>Destroy target artifact. Gain an amount of life equal to that artifact's casting cost.</t>
  </si>
  <si>
    <t>Leeches / Sanguessugas</t>
  </si>
  <si>
    <t>Target player loses all poison counters. Leeches deals that much damage to that player.</t>
  </si>
  <si>
    <t>Battle Cry</t>
  </si>
  <si>
    <t>Untap all white creatures you control. Any creature that blocks this turn gets +0/+1 until end of turn.</t>
  </si>
  <si>
    <t>Reverse Damage</t>
  </si>
  <si>
    <t>All damage dealt to you so far this turn by one source is retroactively added to your life total instead of subtracted. Further damage this turn is treated normally.</t>
  </si>
  <si>
    <t>Justice</t>
  </si>
  <si>
    <t>During your upkeep, pay {W}{W} or destroy Justice. Whenever a red creature or spell deals damage, Justice deals an equal amount of damage to the controller of that creature or spell. If another spell or effect reduces the amount of damage a red creature or spell deals, it does not reduce the amount of damage dealt by Justice.</t>
  </si>
  <si>
    <t>Cooperation</t>
  </si>
  <si>
    <t>Target creature gains banding.</t>
  </si>
  <si>
    <t>Área Fortificada / Fortified Area</t>
  </si>
  <si>
    <t>Todas as barreiras que você controla ganham +1/+0 e a habilidade de formar bando. / All Walls you control get +1/+0 and gain banding.</t>
  </si>
  <si>
    <t>Blood of the Martyr</t>
  </si>
  <si>
    <t>Until end of turn, you may redirect to yourself all damage dealt to any number of creatures. The source of the damage does not change.</t>
  </si>
  <si>
    <t>{W}{W}{W}</t>
  </si>
  <si>
    <t>Freewind Falcon</t>
  </si>
  <si>
    <t>Criatura — Falcão / Summon Falcon</t>
  </si>
  <si>
    <t>Flying, protection from red.</t>
  </si>
  <si>
    <t>Arenson's Aura</t>
  </si>
  <si>
    <t>{W}: Sacrifice an enchantment to destroy target enchantment. {3}{U}{U}: Counter target enchantment.</t>
  </si>
  <si>
    <t>Green Ward / Defesa Verde</t>
  </si>
  <si>
    <t>Enchant creature Enchanted creature has protection from green. This effect doesn't remove this Aura.</t>
  </si>
  <si>
    <t>Black Ward / Defesa Preta</t>
  </si>
  <si>
    <t>Enchant creature Enchanted creature has protection from black. This effect doesn't remove this Aura.</t>
  </si>
  <si>
    <t>Conversion</t>
  </si>
  <si>
    <t>All mountains become basic plains. During your upkeep, pay {W}{W} or destroy Conversion.</t>
  </si>
  <si>
    <t>Kismet</t>
  </si>
  <si>
    <t>All of target player's creatures, lands, and artifacts come into play tapped.</t>
  </si>
  <si>
    <t>Quarta Edição (4ED)</t>
  </si>
  <si>
    <t>Drought</t>
  </si>
  <si>
    <t>During your upkeep, pay {W}{W} or destroy Drought. Before a spell that requires {B} as part of its casting cost may be cast or an ability that requires {B} as part of its activation cost may be played, the controller of that spell or ability sacrifices a swamp for each {B} in the spell's casting cost or the ability's activation cost.</t>
  </si>
  <si>
    <t>Hazduhr the Abbot</t>
  </si>
  <si>
    <t>Criatura Lendária / Summon Legend</t>
  </si>
  <si>
    <t>{X}, {T}: Redirect to Hazduhr the Abbot X damage dealt to any white creature you control.</t>
  </si>
  <si>
    <t>Ardent Soldier / Soldado Fervoroso</t>
  </si>
  <si>
    <t>Kicker {2} (You may pay an additional {2} as you cast this spell.) Vigilance If this creature was kicked, it enters with a +1/+1 counter on it.</t>
  </si>
  <si>
    <t>Pilgrim of Virtue / Peregrino da Virtude</t>
  </si>
  <si>
    <t>Creature — Human Cleric / Criatura — Clérigo</t>
  </si>
  <si>
    <t>Protection from black {W}, Sacrifice this creature: The next time a black source of your choice would deal damage this turn, prevent that damage. / Proteção contra o preto {W}, Sacrifique Peregrino da Virtude: Na próxima vez que uma fonte preta a sua escolha fosse causar dano neste turno, previne aquele dano.</t>
  </si>
  <si>
    <t>Círculo de Proteção: Azul / Circle of Protection: Blue</t>
  </si>
  <si>
    <t>{1}: Evita qualquer dano de uma única origem azul contra você. Se esta fonte lhe causar dano mais de uma vez num mesmo turno, você poderá pagar {1} em cada uma das vezes para evitar o dano. / {1}: Prevent all damage against you from one blue source. If a source deals damage to you more than once in a turn, you may pay {1} each time to prevent the damage.</t>
  </si>
  <si>
    <t>Circolo di Protezione: Rosso / Circle of Protection: Red</t>
  </si>
  <si>
    <t>Incantesimo / Enchantment</t>
  </si>
  <si>
    <t>{1}: Previene tutto il danno inflitto da una magia rossa. Se una magia infligge più volte dei danni nello stesso turno, bisogna pagare un mana addizionale per ogni uso del Circolo di Protezione. / {1}: Prevent all damage dealt by a red spell. If a spell deals damage more than once in a turn, you must pay an additional mana for each use of the Circle of Protection.</t>
  </si>
  <si>
    <t>A criatura-alvo não poderá atacar a menos que o jogador que a controla pague {3} adicionais. / Enchanted creature can't attack unless its controller pays {3}.</t>
  </si>
  <si>
    <t>Cadaver Imp / Diabrete dos Cadáveres</t>
  </si>
  <si>
    <t>Flying When this creature enters, you may return target creature card from your graveyard to your hand. / Voar Quando Diabrete dos Cadáveres entra no campo de batalha, você pode devolver o card de criatura alvo de seu cemitério para a sua mão.</t>
  </si>
  <si>
    <t>Mire Triton / Talassida do Lodaçal</t>
  </si>
  <si>
    <t>Creature — Zombie Merfolk / Criatura — Zumbi Tritão</t>
  </si>
  <si>
    <t>Deathtouch When this creature enters, mill two cards and you gain 2 life. (To mill a card, put the top card of your library into your graveyard.) / Toque mortífero Quando Talassida do Lodaçal entrar no campo de batalha, coloque os dois cards do topo de seu grimório em seu cemitério e você ganha 2 pontos de vida.</t>
  </si>
  <si>
    <t>Diresight</t>
  </si>
  <si>
    <t>Surveil 2, then draw two cards. You lose 2 life. (To surveil 2, look at the top two cards of your library, then put any number of them into your graveyard and the rest on top of your library in any order.)</t>
  </si>
  <si>
    <t>Taborax, Hope's Demise / Taborax, Fim da Esperança</t>
  </si>
  <si>
    <t>Legendary Creature — Demon Cleric / Criatura Lendária — Demônio Clérigo</t>
  </si>
  <si>
    <t>Flying Taborax has lifelink as long as it has five or more +1/+1 counters on it. Whenever another nontoken creature you control dies, put a +1/+1 counter on Taborax. If that creature was a Cleric, you may draw a card. If you do, you lose 1 life. / Voar Taborax, Fim da Esperança, terá vínculo com a vida enquanto tiver cinco ou mais marcadores +1/+1. Toda vez que outra criatura que você controla que não seja ficha morrer, coloque um marcador +1/+1 em Taborax. Se aquela criatura era um Clérigo, você pode comprar um card. Se fizer isso, você perde 1 ponto de vida.</t>
  </si>
  <si>
    <t>Toxin Analysis</t>
  </si>
  <si>
    <t>Target creature gains deathtouch and lifelink until end of turn. Investigate. (Create a Clue token. It's an artifact with "{2}, Sacrifice this token: Draw a card.")</t>
  </si>
  <si>
    <t>Writhing Necromass / Necromassa Contorcida</t>
  </si>
  <si>
    <t>This spell costs {1} less to cast for each creature card in your graveyard. Deathtouch / Esta mágica custa {1} a menos para ser conjurada para cada card de criatura em seu cemitério. Toque mortífero</t>
  </si>
  <si>
    <t>{6}{B}</t>
  </si>
  <si>
    <t>Battle-Rage Blessing / Bênção da Fúria de Batalha</t>
  </si>
  <si>
    <t>Target creature gains deathtouch and indestructible until end of turn. (Damage and effects that say "destroy" don't destroy it.) / A criatura alvo ganha toque mortífero e indestrutível até o final do turno. (O dano e os efeitos que dizem "destrua" não a destroem.)</t>
  </si>
  <si>
    <t>Extract a Confession / Extrair uma Confissão</t>
  </si>
  <si>
    <t>As an additional cost to cast this spell, you may collect evidence 6. (Exile cards with total mana value 6 or greater from your graveyard.) Each opponent sacrifices a creature of their choice. If evidence was collected, instead each opponent sacrifices a creature with the greatest power among creatures they control. / Como custo adicional para conjurar esta mágica, você pode obter indícios 6. (Exile de seu cemitério cards com valor de mana total igual ou superior a 6.) Cada oponente sacrifica uma criatura. Se você obteve indícios, em vez disso, cada oponente sacrifica uma criatura com o maior poder entre as que ele controla.</t>
  </si>
  <si>
    <t>Liliana's Triumph / Triunfo de Liliana</t>
  </si>
  <si>
    <t>Each opponent sacrifices a creature of their choice. If you control a Liliana planeswalker, each opponent also discards a card. / Cada oponente sacrifica uma criatura. Se você controla uma planeswalker Liliana, cada oponente também descarta um card.</t>
  </si>
  <si>
    <t>Priest of the Haunted Edge / Sacerdote da Fronteira Assombrada</t>
  </si>
  <si>
    <t>Snow Creature — Zombie Cleric / Criatura da Neve — Zumbi Clérigo</t>
  </si>
  <si>
    <t>{T}, Sacrifice this creature: Target creature gets -X/-X until end of turn, where X is the number of snow lands you control. Activate only as a sorcery. / {T}, sacrifique Sacerdote da Fronteira Assombrada: A criatura alvo recebe -X/-X até o final do turno, sendo X o número de terrenos da neve que você controla. Ative esta habilidade somente nos momentos em que poderia conjurar um feitiço.</t>
  </si>
  <si>
    <t>Balustrade Spy / Espião de Balaustrada</t>
  </si>
  <si>
    <t>Flying When this creature enters, target player reveals cards from the top of their library until they reveal a land card, then puts those cards into their graveyard. / VoarQuando Espião de Balaustrada entra no campo de batalha, o jogador alvo revela cards do topo do próprio grimório até revelar um card de terreno. Depois, ele coloca aqueles cards no próprio cemitério.</t>
  </si>
  <si>
    <t>Balemurk Leech</t>
  </si>
  <si>
    <t>Creature — Leech</t>
  </si>
  <si>
    <t>Eerie — Whenever an enchantment you control enters and whenever you fully unlock a Room, each opponent loses 1 life.</t>
  </si>
  <si>
    <t>Feast of Succession / Banquete da Sucessão</t>
  </si>
  <si>
    <t>All creatures get -4/-4 until end of turn. You become the monarch. / Todas as criaturas recebem -4/-4 até o final do turno. Você se torna o monarca.</t>
  </si>
  <si>
    <t>Whisper, Blood Liturgist / Sussurro, Liturgista do Sangue</t>
  </si>
  <si>
    <t>Legendary Creature — Human Cleric / Criatura Lendária — Humano Clérigo</t>
  </si>
  <si>
    <t>{T}, Sacrifice two creatures: Return target creature card from your graveyard to the battlefield. / {T}, sacrifique duas criaturas: Devolva o card de criatura alvo de seu cemitério para o campo de batalha.</t>
  </si>
  <si>
    <t>Goremand / Gourmet de Vísceras</t>
  </si>
  <si>
    <t>As an additional cost to cast this spell, sacrifice a creature. Flying Trample (This creature can deal excess combat damage to the player or planeswalker it's attacking.) When this creature enters, each opponent sacrifices a creature. / Como custo adicional para conjurar esta mágica, sacrifique uma criatura. Voar Atropelar (Esta criatura pode causar seu dano de combate excedente ao jogador ou planeswalker que ela estiver atacando.) Quando Gourmet de Vísceras entra no campo de batalha, cada oponente sacrifica uma criatura.</t>
  </si>
  <si>
    <t>Gorex, the Tombshell / Gorex, Casco Tumular</t>
  </si>
  <si>
    <t>Legendary Creature — Zombie Turtle / Criatura Lendária — Zumbi Tartaruga</t>
  </si>
  <si>
    <t>As an additional cost to cast this spell, you may exile any number of creature cards from your graveyard. This spell costs {2} less to cast for each card exiled this way. Deathtouch Whenever Gorex attacks or dies, choose a card at random exiled with Gorex and put that card into its owner's hand. / Como custo adicional para conjurar esta mágica, você pode exilar qualquer número de cards de criatura de seu cemitério. Esta mágica custa {2} a menos para ser conjurada para cada card exilado dessa forma. Toque mortífero Toda vez que Gorex, Casco Tumular, atacar ou morrer, escolha aleatoriamente um card exilado com Gorex e coloque aquele card na mão de seu dono.</t>
  </si>
  <si>
    <t>Yahenni, Undying Partisan / Yahenni, Guerrilheiro Imortal</t>
  </si>
  <si>
    <t>Legendary Creature — Aetherborn Vampire / Criatura Lendária — Etergênito Vampiro</t>
  </si>
  <si>
    <t>Haste Whenever a creature an opponent controls dies, put a +1/+1 counter on Yahenni. Sacrifice another creature: Yahenni gains indestructible until end of turn. / Ímpeto Toda vez que uma criatura que um oponente controla morrer, coloque um marcador +1/+1 em Yahenni, Guerrilheiro Imortal. Sacrifique outra criatura: Yahenni ganha indestrutível até o final do turno.</t>
  </si>
  <si>
    <t>Gravedig / Escavar Túmulo</t>
  </si>
  <si>
    <t>Choose one — • Target player creates a 2/2 black Zombie creature token. • Return target creature card from your graveyard to your hand. Entwine {2} (Choose both if you pay the entwine cost.) / Escolha um — • O jogador alvo cria uma ficha de criatura preta Zumbi 2/2. • Devolva o card de criatura alvo de seu cemitério à sua mão. Entrelaçar {2} (Escolha ambos se pagar o custo de entrelaçar.)</t>
  </si>
  <si>
    <t>Brinelin, the Moon Kraken / Salmouríneo, o Kraken Lunar</t>
  </si>
  <si>
    <t>When Brinelin enters and whenever you cast a spell with mana value 6 or greater, you may return target nonland permanent to its owner's hand. Partner (You can have two commanders if both have partner.) / Quando Salmouríneo, o Kraken Lunar, entra no campo de batalha ou toda vez que você conjura uma mágica com custo de mana convertido igual ou superior a 6, você pode devolver a permanente alvo que não seja um terreno para a mão de seu dono. Parceiro (Você pode ter dois comandantes se ambos tiverem parceiro.)</t>
  </si>
  <si>
    <t>Tome Raider / Saqueadora de Tomos</t>
  </si>
  <si>
    <t>Creature — Faerie / Criatura — Fada</t>
  </si>
  <si>
    <t>Flying When this creature enters, draw a card. / Voar Quando Saqueadora de Tomos entrar no campo de batalha, compre um card.</t>
  </si>
  <si>
    <t>Confounding Riddle / Charada Confusa</t>
  </si>
  <si>
    <t>Choose one — • Look at the top four cards of your library. Put one of them into your hand and the rest into your graveyard. • Counter target spell unless its controller pays {4}. / Escolha um — • Olhe os quatro cards do topo do seu grimório. Coloque um deles em sua mão e o restante em seu cemitério. Anule a mágica alvo, a menos que seu controlador pague {4}.</t>
  </si>
  <si>
    <t>Anticipate / Antecipar</t>
  </si>
  <si>
    <t>Look at the top three cards of your library. Put one of them into your hand and the rest on the bottom of your library in any order. / Olhe os três cards do topo de seu grimório. Coloque um deles na sua mão e os restantes no fundo do seu grimório em qualquer ordem.</t>
  </si>
  <si>
    <t>Nimble Thopterist</t>
  </si>
  <si>
    <t>Creature — Vedalken Artificer</t>
  </si>
  <si>
    <t>When this creature enters, create a 1/1 colorless Thopter artifact creature token with flying.</t>
  </si>
  <si>
    <t>Aetherize / Eterificar</t>
  </si>
  <si>
    <t>Return all attacking creatures to their owner's hand. / Devolva todas as criaturas atacantes para as mãos de seus donos.</t>
  </si>
  <si>
    <t>Midnight Mangler</t>
  </si>
  <si>
    <t>During turns other than yours, this Vehicle is an artifact creature. Crew 2 (Tap any number of creatures you control with total power 2 or more: This Vehicle becomes an artifact creature until end of turn.)</t>
  </si>
  <si>
    <t>Steelclad Spirit / Espírito da Couraça de Aço</t>
  </si>
  <si>
    <t>Defender Whenever an enchantment you control enters, this creature can attack this turn as though it didn't have defender. / Defensor Toda vez que um encantamento entra no campo de batalha sob seu controle, Espírito da Couraça de Aço pode atacar neste turno como se não tivesse defensor.</t>
  </si>
  <si>
    <t>Wanderlight Spirit / Espírito da Luz Vagante</t>
  </si>
  <si>
    <t>Flying This creature can block only creatures with flying. / Voar Espírito da Luz Vagante só pode bloquear criaturas com voar.</t>
  </si>
  <si>
    <t>Wash Away / Lavar</t>
  </si>
  <si>
    <t>Cleave {1}{U}{U} (You may cast this spell for its cleave cost. If you do, remove the words in square brackets.) Counter target spell [that wasn't cast from its owner's hand]. / Remover {1}{U}{U} (Você pode conjurar esta mágica pagando seu custo de remover. Se fizer isso, remova as palavras entre colchetes.) Anule a mágica alvo que não tenha sido conjurada da mão de seu dono.</t>
  </si>
  <si>
    <t>Soulcipher Board / Tábua do Código Espiritual</t>
  </si>
  <si>
    <t>This artifact enters with three omen counters on it. {1}{U}, {T}: Look at the top two cards of your library. Put one of them into your graveyard. Whenever a creature card is put into your graveyard from anywhere, remove an omen counter from this artifact. Then if it has no omen counters on it, transform it. / Tábua do Código Espiritual entra no campo de batalha com três marcadores de presságio. {1}{U}, {T}: Olhe os dois cards do topo de seu grimório. Coloque um deles no seu cemitério. Toda vez que um card de criatura for colocado em seu cemitério vindo de qualquer lugar, remova um marcador de presságio de Tábua do Código Espiritual. Em seguida, se ela não tiver nenhum marcador de presságio, transforme-a.</t>
  </si>
  <si>
    <t>Meat Locker // Drowned Diner</t>
  </si>
  <si>
    <t>Meat Locker: When you unlock this door, tap up to one target creature and put two stun counters on it. (If a permanent with a stun counter would become untapped, remove one from it instead.) (You may cast either half. That door unlocks on the battlefield. As a sorcery, you may pay the mana cost of a locked door to unlock it.) // Drowned Diner: When you unlock this door, draw three cards, then discard a card. (You may cast either half. That door unlocks on the battlefield. As a sorcery, you may pay the mana cost of a locked door to unlock it.)</t>
  </si>
  <si>
    <t>{2}{U} // {3}{U}{U}</t>
  </si>
  <si>
    <t>Artificer's Assistant / Assistente de Artesão</t>
  </si>
  <si>
    <t>Flying Whenever you cast a historic spell, scry 1. (Artifacts, legendaries, and Sagas are historic. To scry 1, look at the top card of your library, then you may put that card on the bottom.) / Voar Toda vez que você conjurar uma mágica histórica, use vidência 1. (Os artefatos, os cards lendários e as Sagas são cards históricos. Para usar vidência 1, olhe o card do topo de seu grimório. Depois, você pode colocar aquele card no fundo de seu grimório.)</t>
  </si>
  <si>
    <t>Trip Up</t>
  </si>
  <si>
    <t>Target nonland permanent's owner puts it on their choice of the top or bottom of their library. Cycling {2} ({2}, Discard this card: Draw a card.)</t>
  </si>
  <si>
    <t>Imprisoned in the Moon / Aprisionados na Lua</t>
  </si>
  <si>
    <t>Enchant creature, land, or planeswalker Enchanted permanent is a colorless land with "{T}: Add {C}" and loses all other card types and abilities. / Encantar criatura, terreno ou planeswalker A permanente encantada é um terreno incolor com "{T}: Adicione {C} a sua reserva de mana" e perde todos os outros tipos de card e habilidades.</t>
  </si>
  <si>
    <t>Dewdrop Spy / Espiã da Gota de Orvalho</t>
  </si>
  <si>
    <t>Flash Flying When this creature enters, look at the top card of target player's library. / Lampejo Voar Quando Espiã da Gota de Orvalho entrar em jogo, olhe o card do topo do grimório do jogador alvo.</t>
  </si>
  <si>
    <t>Cephalid Inkmage</t>
  </si>
  <si>
    <t>Creature — Octopus Wizard</t>
  </si>
  <si>
    <t>When this creature enters, surveil 3. (Look at the top three cards of your library, then put any number of them into your graveyard and the rest on top of your library in any order.) Threshold — This creature can't be blocked as long as there are seven or more cards in your graveyard.</t>
  </si>
  <si>
    <t>Bespoke Battlewagon / Vagão de Batalha Personalizado</t>
  </si>
  <si>
    <t>{T}: You get {E}{E} (two energy counters). {T}, Pay {E}{E}: Tap target creature. {T}, Pay {E}{E}{E}: Draw a card. Pay {E}{E}{E}{E}: This Vehicle becomes an artifact creature until end of turn. Crew 4 / {T}: Você recebe {E}{E} (dois marcadores de energia). {T}, pague {E}{E}: Vire a criatura alvo. {T}, pague {E}{E}{E}: Compre um card. Pague {E}{E}{E}{E}: Vagão de Batalha Personalizado torna-se uma criatura artefato até o final do turno. Tripular 4</t>
  </si>
  <si>
    <t>Domestication / Domesticação</t>
  </si>
  <si>
    <t>Enchant creature You control enchanted creature. At the beginning of your end step, if enchanted creature's power is 4 or greater, sacrifice this Aura. / Encantar criaturaVocê controla a criatura encantada.No início de sua etapa final, se o poder da criatura encantada for maior ou igual a 4, sacrifique Domesticação.</t>
  </si>
  <si>
    <t>Psionic Snoop / Bisbilhoteira Psiônica</t>
  </si>
  <si>
    <t>Flash When this creature enters, it connives. (Draw a card, then discard a card. If you discarded a nonland card, put a +1/+1 counter on this creature.) / Lampejo Quando Bisbilhoteira Psiônica entra no campo de batalha, ela acoberta. (Compre um card e depois descarte um card. Se você descartou um card não de terreno, coloque um marcador +1/+1 nesta criatura.)</t>
  </si>
  <si>
    <t>Deep Analysis / Análise Profunda</t>
  </si>
  <si>
    <t>Target player draws two cards. Flashback—{1}{U}, Pay 3 life. (You may cast this card from your graveyard for its flashback cost. Then exile it.) / O jogador alvo compra dois cards. Recapitular — {1}{U}, pague 3 pontos de vida. (Você pode conjurar este card de seu cemitério pagando seu custo de recapitular. Depois, exile-o.)</t>
  </si>
  <si>
    <t>Replication Specialist / Especialista em Replicação</t>
  </si>
  <si>
    <t>Creature — Moonfolk Artificer / Criatura — Cidadão-da-lua Artesão</t>
  </si>
  <si>
    <t>Flying Whenever a nontoken artifact you control enters, you may pay {1}{U}. If you do, create a token that's a copy of that artifact. / Voar Toda vez que um artefato não ficha entra no campo de batalha sob seu controle, você pode pagar {1}{U}. Se fizer isso, crie uma ficha que seja uma cópia daquele artefato.</t>
  </si>
  <si>
    <t>Astral Wingspan / Envergadura Astral</t>
  </si>
  <si>
    <t>Convoke (Your creatures can help cast this spell. Each creature you tap while casting this spell pays for {1} or one mana of that creature's color.) Enchant creature When this Aura enters, draw a card. Enchanted creature gets +2/+2 and has flying. / Convocar (Suas criaturas podem ajudar a conjurar esta mágica. Cada criatura que você vira ao conjurar esta mágica paga {1} ou um mana da cor daquela criatura.) Encantar criatura Quando Envergadura Astral entrar no campo de batalha, compre um card. A criatura encantada recebe +2/+2 e tem voar.</t>
  </si>
  <si>
    <t>Noose Constrictor / Constritor da Forca</t>
  </si>
  <si>
    <t>Reach Discard a card: This creature gets +1/+1 until end of turn. / Alcance Descarte um card: Constritor da Forca recebe +1/+1 até o final do turno.</t>
  </si>
  <si>
    <t>Lull / Calmaria</t>
  </si>
  <si>
    <t>Prevent all combat damage that would be dealt this turn. Cycling {2} ({2}, Discard this card: Draw a card.) / Previna todo o dano de combate que seria causado neste turno. Reciclar {2} ({2}, descarte este card: Compre um card.)</t>
  </si>
  <si>
    <t>Tough Cookie / Biscoito Durão</t>
  </si>
  <si>
    <t>Artifact Creature — Food Golem / Criatura Artefato — Comida Golem</t>
  </si>
  <si>
    <t>When this creature enters, create a Food token. (It's an artifact with "{2}, {T}, Sacrifice this token: You gain 3 life.") {2}{G}: Until end of turn, target noncreature artifact you control becomes a 4/4 artifact creature. {2}, {T}, Sacrifice this creature: You gain 3 life. / Quando Biscoito Durão entrar no campo de batalha, crie uma ficha de Comida. (Ela é um artefato com "{2}, {T}, sacrifique este artefato: Você ganha 3 pontos de vida".) {2}{G}: O artefato não criatura alvo que você controla se torna uma criatura artefato 4/4 até o final do turno. {2}, {T}, sacrifique Biscoito Durão: Você ganha 3 pontos de vida.</t>
  </si>
  <si>
    <t>Broken Wings / Asas Quebradas</t>
  </si>
  <si>
    <t>Destroy target artifact, enchantment, or creature with flying. / Destrua o artefato, o encantamento ou a criatura com voar alvo.</t>
  </si>
  <si>
    <t>Domesticated Hydra</t>
  </si>
  <si>
    <t>Creature — Hydra</t>
  </si>
  <si>
    <t>{X}{G}{G}{G}: Monstrosity X. (If this creature isn't monstrous, put X +1/+1 counters on it and it becomes monstrous.) As long as this creature is monstrous, it has trample.</t>
  </si>
  <si>
    <t>Silhana Wayfinder / Trilheiro Silhana</t>
  </si>
  <si>
    <t>When this creature enters, look at the top four cards of your library. You may reveal a creature or land card from among them and put it on top of your library. Put the rest on the bottom of your library in a random order. / Quando Trilheiro Silhana entrar no campo de batalha, olhe os quatro cards do topo de seu grimório. Você pode revelar um card de criatura ou terreno dentre eles e colocá-lo no topo de seu grimório. Coloque o restante no fundo de seu grimório em ordem aleatória.</t>
  </si>
  <si>
    <t>New Horizons / Novos Horizontes</t>
  </si>
  <si>
    <t>Enchant land When this Aura enters, put a +1/+1 counter on target creature you control. Enchanted land has "{T}: Add two mana of any one color." / Encantar terreno Quando Novos Horizontes entrar no campo de batalha, coloque um marcador +1/+1 na criatura alvo que você controla. O terreno encantando tem "{T}: Adicione dois manas de uma cor à sua escolha."</t>
  </si>
  <si>
    <t>Howler's Heavy</t>
  </si>
  <si>
    <t>Creature — Seal Pirate</t>
  </si>
  <si>
    <t>Cycling {1}{U} ({1}{U}, Discard this card: Draw a card.) When you cycle this card, target creature or Vehicle an opponent controls gets -3/-0 until end of turn.</t>
  </si>
  <si>
    <t>Thought Shucker</t>
  </si>
  <si>
    <t>Creature — Rat Rogue</t>
  </si>
  <si>
    <t>Threshold — {1}{U}: Put a +1/+1 counter on this creature and draw a card. Activate only if there are seven or more cards in your graveyard and only once.</t>
  </si>
  <si>
    <t>Thought Scour / Purgar Pensamento</t>
  </si>
  <si>
    <t>Target player mills two cards. Draw a card. / O jogador alvo coloca os dois cards do topo do grimório dele no próprio cemitério. Compre um card.</t>
  </si>
  <si>
    <t>Deepmuck Desperado / Desperado de Lamafunda</t>
  </si>
  <si>
    <t>Creature — Homarid Mercenary / Criatura — Homárida Mercenário</t>
  </si>
  <si>
    <t>Whenever you commit a crime, each opponent mills three cards. This ability triggers only once each turn. (Targeting opponents, anything they control, and/or cards in their graveyards is a crime.) / Toda vez que você comete um crime, cada oponente tritura três cards. Esta habilidade é desencadeada apenas uma vez a cada turno. (Escolher como alvo oponentes, qualquer coisa que eles controlem e/ou cards no cemitério deles é um crime.)</t>
  </si>
  <si>
    <t>Death-Rattle Oni / Oni dos Estertores</t>
  </si>
  <si>
    <t>Creature — Demon Spirit / Criatura — Demônio Espírito</t>
  </si>
  <si>
    <t>Flash This spell costs {2} less to cast for each creature that died this turn. When this creature enters, destroy all other creatures that were dealt damage this turn. / Lampejo Esta mágica custa {2} a menos para ser conjurada para cada criatura que morreu neste turno. Quando Oni dos Estertores entrar no campo de batalha, destrua todas as outras criaturas que sofreram dano neste turno.</t>
  </si>
  <si>
    <t>Eliminate / Sumir</t>
  </si>
  <si>
    <t>Destroy target creature or planeswalker with mana value 3 or less. / Destrua a criatura ou o planeswalker alvo com custo de mana convertido igual ou inferior a 3.</t>
  </si>
  <si>
    <t>Downwind Ambusher</t>
  </si>
  <si>
    <t>Creature — Skunk Assassin</t>
  </si>
  <si>
    <t>Flash When this creature enters, choose one — • Target creature an opponent controls gets -1/-1 until end of turn. • Destroy target creature an opponent controls that was dealt damage this turn.</t>
  </si>
  <si>
    <t>Broodrage Mycoid / Micoide da Prole Furiosa</t>
  </si>
  <si>
    <t>At the beginning of your end step, if you descended this turn, create a 1/1 black Fungus creature token with "This token can't block." (You descended if a permanent card was put into your graveyard from anywhere.) / No início de sua etapa final, se você tiver descido neste turno, crie uma ficha de criatura Fungo preta 1/1 com "Esta criatura não pode bloquear". (Você desceu se um card de permanente foi colocado em seu cemitério vindo de qualquer lugar.)</t>
  </si>
  <si>
    <t>Zhentarim Bandit / Bandido Zentharim</t>
  </si>
  <si>
    <t>Creature — Halfling Rogue / Criatura — Pequenino Ladino</t>
  </si>
  <si>
    <t>Whenever this creature attacks, you may pay 1 life. If you do, create a Treasure token. (It's an artifact with "{T}, Sacrifice this token: Add one mana of any color.") / Toda vez que Bandido Zentharim ataca, você pode pagar 1 ponto de vida. Se fizer isso, crie uma ficha de Tesouro. (Ela é um artefato com "{T}, sacrifique este artefato: Adicione um mana de qualquer cor".)</t>
  </si>
  <si>
    <t>Bloodflow Connoisseur / Connoisseur do Fluxo Sanguíneo</t>
  </si>
  <si>
    <t>Sacrifice a creature: Put a +1/+1 counter on this creature. / Sacrifique uma criatura: Coloque um marcador +1/+1 sobre Connoisseur do Fluxo Sanguíneo.</t>
  </si>
  <si>
    <t>Sadistic Obsession / Obsessão Sádica</t>
  </si>
  <si>
    <t>Enchant creature Enchanted creature has "{B}, {T}: Put a -1/-1 counter on target creature." / Encantar criatura A criatura encantada tem "{B}, {T}: Coloque um marcador -1/-1 na criatura alvo."</t>
  </si>
  <si>
    <t>Dregscape Sliver / Fractius do Vale das Escórias</t>
  </si>
  <si>
    <t>Creature — Sliver / Criatura — Fractius</t>
  </si>
  <si>
    <t>Each Sliver creature card in your graveyard has unearth {2}. Unearth {2} ({2}: Return this card from your graveyard to the battlefield. It gains haste. Exile it at the beginning of the next end step or if it would leave the battlefield. Unearth only as a sorcery.) / Cada card de criatura do tipo Fractius em seu cemitério tem desenterrar {2}. Desenterrar {2} ({2}: Devolva este card de seu cemitério para o campo de batalha. Ele ganha ímpeto. Exile-o no início da próxima etapa final ou se ele for deixar o campo de batalha. Use desenterrar somente como um feitiço.)</t>
  </si>
  <si>
    <t>Graveshifter / Tumbamorfo</t>
  </si>
  <si>
    <t>Changeling (This card is every creature type.) When this creature enters, you may return target creature card from your graveyard to your hand. / Morfoloide (Este card é de todos os tipos de criatura.) Quando Tumbamorfo entra no campo de batalha, você pode devolver o card de criatura alvo de seu cemitério para sua mão.</t>
  </si>
  <si>
    <t>Smiting Helix / Hélice Fulminante</t>
  </si>
  <si>
    <t>Smiting Helix deals 3 damage to any target and you gain 3 life. Flashback {R}{W} (You may cast this card from your graveyard for its flashback cost. Then exile it.) / Hélice Fulminante causa 3 pontos de dano a qualquer alvo e você ganha 3 pontos de vida. Recapitular {R}{W} (Você pode conjurar este card de seu cemitério pagando seu custo de recapitular. Depois, exile-o.)</t>
  </si>
  <si>
    <t>Lich's Mastery / Maestria do Lich</t>
  </si>
  <si>
    <t>Legendary Enchantment / Encantamento Lendário</t>
  </si>
  <si>
    <t>Hexproof You can't lose the game. Whenever you gain life, draw that many cards. Whenever you lose life, for each 1 life you lost, exile a permanent you control or a card from your hand or graveyard. When Lich's Mastery leaves the battlefield, you lose the game. / Resistência a magia Você não pode perder o jogo. Toda vez que ganhar pontos de vida, compre a mesma quantidade de cards. Toda vez que você perder pontos de vida, para cada 1 ponto de vida perdido, exile uma permanente que você controla ou um card de sua mão ou de seu cemitério. Quando Maestria do Lich deixa o campo de batalha, você perde o jogo.</t>
  </si>
  <si>
    <t>Demonic Junker</t>
  </si>
  <si>
    <t>Affinity for artifacts (This spell costs {1} less to cast for each artifact you control.) When this Vehicle enters, for each player, destroy up to one target creature that player controls. If a creature you controlled was destroyed this way, put two +1/+1 counters on this Vehicle. Crew 2</t>
  </si>
  <si>
    <t>Murder / Homicídio</t>
  </si>
  <si>
    <t>Destroy target creature. / Destrua a criatura alvo.</t>
  </si>
  <si>
    <t>Consumed by Greed</t>
  </si>
  <si>
    <t>Gift a card (You may promise an opponent a gift as you cast this spell. If you do, they draw a card before its other effects.) Target opponent sacrifices a creature with the greatest power among creatures they control. If the gift was promised, return target creature card from your graveyard to your hand.</t>
  </si>
  <si>
    <t>Grim Javelineer</t>
  </si>
  <si>
    <t>Whenever you attack, target attacking creature gets +1/+0 until end of turn. When that creature dies this turn, surveil 1. (Look at the top card of your library. You may put that card into your graveyard.)</t>
  </si>
  <si>
    <t>Fear of the Dark</t>
  </si>
  <si>
    <t>Whenever this creature attacks, if defending player controls no Glimmer creatures, it gains menace and deathtouch until end of turn. (A creature with menace can't be blocked except by two or more creatures.)</t>
  </si>
  <si>
    <t>Winter's Intervention</t>
  </si>
  <si>
    <t>Winter's Intervention deals 2 damage to target creature. You gain 2 life.</t>
  </si>
  <si>
    <t>Maximum Overdrive</t>
  </si>
  <si>
    <t>Put a +1/+1 counter on target creature. It gains deathtouch and indestructible until end of turn.</t>
  </si>
  <si>
    <t>Wickerfolk Indomitable</t>
  </si>
  <si>
    <t>Artifact Creature — Scarecrow</t>
  </si>
  <si>
    <t>You may cast this card from your graveyard by paying 2 life and sacrificing an artifact or creature in addition to paying its other costs.</t>
  </si>
  <si>
    <t>Starlit Soothsayer</t>
  </si>
  <si>
    <t>Flying At the beginning of your end step, if you gained or lost life this turn, surveil 1. (Look at the top card of your library. You may put it into your graveyard.)</t>
  </si>
  <si>
    <t>Drider / Draider</t>
  </si>
  <si>
    <t>Creature — Elf Spider / Criatura — Elfo Aranha</t>
  </si>
  <si>
    <t>Reach Whenever this creature deals combat damage to a player, create a 2/1 black Spider creature token with menace and reach. / Alcance Toda vez que Draider causar dano de combate a um jogador, crie uma ficha de criatura Aranha preta 2/1 com ameaçar e alcance.</t>
  </si>
  <si>
    <t>Vampire Nighthawk / Vampiro Falcão-da-Noite</t>
  </si>
  <si>
    <t>Creature — Vampire Shaman / Criatura — Vampiro Xamã</t>
  </si>
  <si>
    <t>Flying Deathtouch (Any amount of damage this deals to a creature is enough to destroy it.) Lifelink (Damage dealt by this creature also causes you to gain that much life.) / Voar Toque mortífero (Qualquer quantidade de dano que esta criatura cause a uma criatura é suficiente para destruí-la.) Vínculo com a vida (O dano causado por esta criatura faz com que você ganhe uma quantidade equivalente de pontos de vida.)</t>
  </si>
  <si>
    <t>Appendage Amalgam</t>
  </si>
  <si>
    <t>Enchantment Creature — Horror</t>
  </si>
  <si>
    <t>Flash Whenever this creature attacks, surveil 1. (Look at the top card of your library. You may put it into your graveyard.)</t>
  </si>
  <si>
    <t>Spectral Snatcher</t>
  </si>
  <si>
    <t>Ward—Discard a card. (Whenever this creature becomes the target of a spell or ability an opponent controls, counter it unless that player discards a card.) Swampcycling {2} ({2}, Discard this card: Search your library for a Swamp card, reveal it, put it into your hand, then shuffle.)</t>
  </si>
  <si>
    <t>Vito's Inquisitor / Inquisidora de Vito</t>
  </si>
  <si>
    <t>{B}, Sacrifice another creature or artifact: Put a +1/+1 counter on this creature. It gains menace until end of turn. / {B}, sacrifique outra criatura ou outro artefato: Coloque um marcador +1/+1 em Inquisidora de Vito. Ele ganha ameaçar até o final do turno.</t>
  </si>
  <si>
    <t>Piggy Bank</t>
  </si>
  <si>
    <t>Artifact Creature — Boar Toy</t>
  </si>
  <si>
    <t>When this creature dies, create a Treasure token. (It's an artifact with "{T}, Sacrifice this token: Add one mana of any color.")</t>
  </si>
  <si>
    <t>Boilerbilges Ripper</t>
  </si>
  <si>
    <t>Creature — Human Assassin</t>
  </si>
  <si>
    <t>When this creature enters, you may sacrifice another creature or enchantment. When you do, this creature deals 2 damage to any target.</t>
  </si>
  <si>
    <t>Voldaren Epicure / Epicurista Voldaren</t>
  </si>
  <si>
    <t>When this creature enters, it deals 1 damage to each opponent. Create a Blood token. (It's an artifact with "{1}, {T}, Discard a card, Sacrifice this token: Draw a card.") / Quando Epicurista Voldaren entra no campo de batalha, ele causa 1 ponto de dano a cada oponente. Crie uma ficha de Sangue. (Ela é um artefato com "{1}, {T}, descarte um card, sacrifique este artefato: Compre um card".)</t>
  </si>
  <si>
    <t>Falkenrath Celebrants / Celebradores Falkenrath</t>
  </si>
  <si>
    <t>Menace (This creature can't be blocked except by two or more creatures.) When this creature enters, create two Blood tokens. (They're artifacts with "{1}, {T}, Discard a card, Sacrifice this token: Draw a card.") / Ameaçar Quando Celebradores Falkenrath entrar no campo de batalha, crie duas fichas de Sangue.</t>
  </si>
  <si>
    <t>Blood Petal Celebrant / Celebradora das Pétalas de Sangue</t>
  </si>
  <si>
    <t>This creature has first strike as long as it's attacking. When this creature dies, create a Blood token. (It's an artifact with "{1}, {T}, Discard a card, Sacrifice this token: Draw a card.") / Celebradora das Pétalas de Sangue tem iniciativa enquanto estiver atacando. Quando Celebradora das Pétalas de Sangue morrer, crie uma ficha de Sangue. (Ela é um artefato com "{1}, {T}, descarte um card, sacrifique este artefato: Compre um card".)</t>
  </si>
  <si>
    <t>Alluring Suitor / Pretendente Fascinante</t>
  </si>
  <si>
    <t>When you attack with exactly two creatures, transform this creature. / Quando você atacar com exatamente duas criaturas, transforme Pretendente Fascinante.</t>
  </si>
  <si>
    <t>Vengeful Tracker / Rastreador Vingativo</t>
  </si>
  <si>
    <t>Creature — Human Detective / Criatura — Humano Detetive</t>
  </si>
  <si>
    <t>Whenever an opponent sacrifices an artifact, this creature deals 2 damage to them. / Toda vez que um oponente sacrifica um artefato, Rastreador Vingativo causa 2 pontos de dano àquele jogador.</t>
  </si>
  <si>
    <t>Grab the Prize</t>
  </si>
  <si>
    <t>As an additional cost to cast this spell, discard a card. Draw two cards. If the discarded card wasn't a land card, Grab the Prize deals 2 damage to each opponent.</t>
  </si>
  <si>
    <t>The First Eruption / A Primeira Erupção</t>
  </si>
  <si>
    <t>(As this Saga enters and after your draw step, add a lore counter. Sacrifice after III.) I — This Saga deals 1 damage to each creature without flying. II — Add {R}{R}. III — Sacrifice a Mountain. If you do, this Saga deals 3 damage to each creature. / (Conforme esta Saga entra e após sua etapa de compra, adicione um marcador de conhecimento. Sacrifique-a após III.) I — A Primeira Erupção causa 1 ponto de dano a cada criatura sem voar. II — Adicione {R}{R}. III — Sacrifique uma Montanha. Se fizer isso, A Primeira Erupção causará 3 pontos de dano a cada criatura.</t>
  </si>
  <si>
    <t>Sarpadian Simulacrum / Simulacro Sarpadiano</t>
  </si>
  <si>
    <t>Haste {3}{R}, Sacrifice this creature: It deals 4 damage to target creature. / Ímpeto {3}{R}, sacrifique Simulacro Sarpadiano: Ele causa 4 pontos de dano à criatura alvo.</t>
  </si>
  <si>
    <t>Resistance Skywarden / Guardião Celeste da Resistência</t>
  </si>
  <si>
    <t>Creature — Ogre Rebel / Criatura — Ogro Rebelde</t>
  </si>
  <si>
    <t>Menace (This creature can't be blocked except by two or more creatures.) Reach (This creature can block creatures with flying.) / Ameaçar, alcance</t>
  </si>
  <si>
    <t>Magmatic Sprinter / Corredor Magmático</t>
  </si>
  <si>
    <t>Haste When this creature enters, put two oil counters on target artifact or creature you control. At the beginning of your end step, return this creature to its owner's hand unless you remove two oil counters from it. / Ímpeto Quando Corredor Magmático entrar no campo de batalha, coloque dois marcadores de óleo no artefato ou na criatura alvo que você controla. No início de sua etapa final, devolva Corredor Magmático para a mão de seu dono, a menos que você remova dois marcadores de óleo de Corredor Magmático.</t>
  </si>
  <si>
    <t>Hexgold Halberd / Alabarda de Hexouro</t>
  </si>
  <si>
    <t>For Mirrodin! (When this Equipment enters, create a 2/2 red Rebel creature token, then attach this to it.) During your turn, equipped creature has first strike and trample. Equip {2}{R} / Por Mirrodin (Quando este Equipamento entrar no campo de batalha, crie uma ficha de criatura Rebelde vermelha 2/2 e anexe-o a ela.) Enquanto for o seu turno, a criatura equipada terá iniciativa e atropelar. Equipar {2}{R}</t>
  </si>
  <si>
    <t>Gilded Ghoda</t>
  </si>
  <si>
    <t>Creature — Horse Mount</t>
  </si>
  <si>
    <t>Whenever this creature attacks while saddled, create a Treasure token. (It's an artifact with "{T}, Sacrifice this token: Add one mana of any color.") Saddle 1 (Tap any number of other creatures you control with total power 1 or more: This Mount becomes saddled until end of turn. Saddle only as a sorcery.)</t>
  </si>
  <si>
    <t>Firespitter Whelp</t>
  </si>
  <si>
    <t>Flying Whenever you cast a noncreature or Dragon spell, this creature deals 1 damage to each opponent.</t>
  </si>
  <si>
    <t>Foundations Jumpstart (J25)</t>
  </si>
  <si>
    <t>Belligerent of the Ball / Beligerante do Baile</t>
  </si>
  <si>
    <t>Celebration — At the beginning of combat on your turn, if two or more nonland permanents entered the battlefield under your control this turn, target creature you control gets +1/+0 and gains menace until end of turn. (It can't be blocked except by two or more creatures.) / Celebração — No início do combate no seu turno, se duas ou mais permanentes não de terreno tiverem entrado no campo de batalha sob seu controle neste turno, a criatura alvo que você controla recebe +1/+0 e ganha ameaçar até o final do turno. (Ela só pode ser bloqueada por duas ou mais criaturas.)</t>
  </si>
  <si>
    <t>Slice and Dice / Despedaçar</t>
  </si>
  <si>
    <t>Slice and Dice deals 4 damage to each creature. Cycling {2}{R} ({2}{R}, Discard this card: Draw a card.) When you cycle this card, you may have it deal 1 damage to each creature. / Despedaçar causa 4 pontos de dano a cada criatura. Reciclar {2}{R} ({2}{R}, descarte este card: Compre um card.) Quando recicla Despedaçar, você pode fazer com que ele cause 1 ponto de dano a cada criatura.</t>
  </si>
  <si>
    <t>Ravaging Blaze / Incêndio Furioso</t>
  </si>
  <si>
    <t>Ravaging Blaze deals X damage to target creature. Spell mastery — If there are two or more instant and/or sorcery cards in your graveyard, Ravaging Blaze also deals X damage to that creature's controller. / Incêndio Furioso causa X pontos de dano à criatura alvo. Maestria em magia — Se houver dois ou mais cards de mágica instantânea ou feitiço no seu cemitério, Incêndio Furioso também causará X pontos de dano ao controlador daquela criatura.</t>
  </si>
  <si>
    <t>Empty the Warrens / Esvaziar os Viveiros</t>
  </si>
  <si>
    <t>Create two 1/1 red Goblin creature tokens. Storm (When you cast this spell, copy it for each spell cast before it this turn.) / Crie duas fichas de criatura vermelhas 1/1 do tipo Goblin. Rajada (Quando você conjurar esta mágica, faça uma cópia dela para cada mágica conjurada antes dela neste turno.)</t>
  </si>
  <si>
    <t>Krenko's Command / Comando de Krenko</t>
  </si>
  <si>
    <t>Create two 1/1 red Goblin creature tokens. / Coloque no campo de batalha duas fichas de criatura vermelhas 1/1 do tipo Goblin.</t>
  </si>
  <si>
    <t>Skoa, Embermage / Skoa, Maga Ígnea</t>
  </si>
  <si>
    <t>Legendary Creature — Goblin Wizard / Criatura Lendária — Goblin Mago</t>
  </si>
  <si>
    <t>When Skoa enters, it deals 4 damage to any target. Grandeur — Discard another card named Skoa, Embermage, Sacrifice two Mountains: Skoa deals 4 damage to any target. / Quando Skoa, Maga Ígnea, entra no campo de batalha, ela causa 4 pontos de dano a qualquer alvo. Grandeza — Descarte outro card com o nome Skoa, Maga Ígnea, sacrifique duas Montanhas: Skoa causa 4 pontos de dano a qualquer alvo.</t>
  </si>
  <si>
    <t>Thriving Skyclaw / Garra-aérea Vigorosa</t>
  </si>
  <si>
    <t>Creature — Cat Dragon / Criatura — Felino Dragão</t>
  </si>
  <si>
    <t>Flying When this creature enters, you get {E}{E}{E} (three energy counters). Whenever this creature attacks, you may pay {E}{E}{E}. If you do, put a +1/+1 counter on it. / Voar Quando Garra-aérea Vigorosa entra no campo de batalha, você recebe {E}{E}{E} (três marcadores de energia). Toda vez que Garra-aérea Vigorosa ataca, você pode pagar {E}{E}{E}. Se fizer isso, coloque um marcador +1/+1 nele.</t>
  </si>
  <si>
    <t>Vicious Clown</t>
  </si>
  <si>
    <t>Creature — Human Clown</t>
  </si>
  <si>
    <t>Whenever another creature you control with power 2 or less enters, this creature gets +2/+0 until end of turn.</t>
  </si>
  <si>
    <t>Tectonic Hazard / Risco Tectônico</t>
  </si>
  <si>
    <t>Tectonic Hazard deals 1 damage to each opponent and each creature they control. / Risco Tectônico causa 1 ponto de dano a cada oponente e a cada criatura que ele controla.</t>
  </si>
  <si>
    <t>Chain Devil / Diabo das Correntes</t>
  </si>
  <si>
    <t>Animate Chains — When this creature enters, each player sacrifices a nontoken creature of their choice. / Animar correntes — Quando Diabo das Correntes entra no campo de batalha, cada jogador sacrifica uma criatura não ficha.</t>
  </si>
  <si>
    <t>Derelict Attic // Widow's Walk</t>
  </si>
  <si>
    <t>Derelict Attic: When you unlock this door, you draw two cards and you lose 2 life. (You may cast either half. That door unlocks on the battlefield. As a sorcery, you may pay the mana cost of a locked door to unlock it.) // Widow's Walk: Whenever a creature you control attacks alone, it gets +1/+0 and gains deathtouch until end of turn. (You may cast either half. That door unlocks on the battlefield. As a sorcery, you may pay the mana cost of a locked door to unlock it.)</t>
  </si>
  <si>
    <t>{2}{B} // {3}{B}</t>
  </si>
  <si>
    <t>Infestation Sage</t>
  </si>
  <si>
    <t>When this creature dies, create a 1/1 black and green Insect creature token with flying.</t>
  </si>
  <si>
    <t>Phyrexian Rager / Raivoso Phyrexiano</t>
  </si>
  <si>
    <t>Creature — Phyrexian Horror / Criatura — Phyrexiano Horror</t>
  </si>
  <si>
    <t>When this creature enters, you draw a card and you lose 1 life. / Quando Raivoso Phyrexiano entra no campo de batalha, você compra um card e perde 1 ponto de vida.</t>
  </si>
  <si>
    <t>Midnight Scavengers</t>
  </si>
  <si>
    <t>When this creature enters, you may return target creature card with mana value 3 or less from your graveyard to your hand. (Melds with Graf Rats.)</t>
  </si>
  <si>
    <t>Archfiend of Ifnir / Arquidemônio de Ifnir</t>
  </si>
  <si>
    <t>Flying Whenever you cycle or discard another card, put a -1/-1 counter on each creature your opponents control. Cycling {2} ({2}, Discard this card: Draw a card.) / Voar Toda vez que você reciclar ou descartar outro card, coloque um marcador -1/-1 em cada criatura que seus oponentes controlam. Reciclar {2} ({2}, Descarte este card: Compre um card.)</t>
  </si>
  <si>
    <t>Glint-Sleeve Siphoner / Sifonadora Braçoluz</t>
  </si>
  <si>
    <t>Menace Whenever this creature enters or attacks, you get {E} (an energy counter). At the beginning of your upkeep, you may pay {E}{E}. If you do, you draw a card and you lose 1 life. / Ameaçar Toda vez que Sifonadora Braçoluz entra no campo de batalha ou ataca, você recebe {E} (um marcador de energia). No início de sua manutenção, você pode pagar {E}{E}. Se fizer isso, você compra um card e perde 1 ponto de vida.</t>
  </si>
  <si>
    <t>Yahenni's Expertise / Especialidade de Yahenni</t>
  </si>
  <si>
    <t>All creatures get -3/-3 until end of turn. You may cast a spell with mana value 3 or less from your hand without paying its mana cost. / Todas as criaturas recebem -3/-3 até o final do turno. Você pode conjurar um card com custo de mana convertido igual ou inferior a 3 da sua mão sem pagar seu custo de mana.</t>
  </si>
  <si>
    <t>Gonti, Lord of Luxury / Gonti, Senhor da Opulência</t>
  </si>
  <si>
    <t>Legendary Creature — Aetherborn Rogue / Criatura Lendária — Etergênito Ladino</t>
  </si>
  <si>
    <t>Deathtouch When Gonti enters, look at the top four cards of target opponent's library, exile one of them face down, then put the rest on the bottom of that library in a random order. You may cast that card for as long as it remains exiled, and mana of any type can be spent to cast that spell. / Toque mortífero Quando Gonti, Senhor da Opulência, entrar no campo de batalha, olhe os quatro cards do topo do grimório do oponente alvo, exile um deles com a face voltada para baixo e, em seguida, coloque o restante no fundo daquele grimório em ordem aleatória. Enquanto o card permanecer exilado, você poderá olhá-lo, conjurá-lo e gastar mana como se fosse de qualquer tipo para conjurá-lo.</t>
  </si>
  <si>
    <t>Phyrexian Debaser / Degradador Phyrexiano</t>
  </si>
  <si>
    <t>Creature — Phyrexian Carrier / Criatura — Phyrexiano Portador</t>
  </si>
  <si>
    <t>Flying {T}, Sacrifice this creature: Target creature gets -2/-2 until end of turn. / Voar {T}, sacrifique Degradador Phyrexiano: A criatura alvo recebe -2/-2 até o final do turno.</t>
  </si>
  <si>
    <t>Feaster of Fools / Devorador de Tolos</t>
  </si>
  <si>
    <t>Convoke (Your creatures can help cast this spell. Each creature you tap while casting this spell pays for {1} or one mana of that creature's color.) Flying Devour 2 (As this creature enters, you may sacrifice any number of creatures. It enters with twice that many +1/+1 counters on it.) / Convocar (Suas criaturas podem ajudar a conjurar esta mágica. Cada criatura que você vira ao conjurar esta mágica paga {1} ou um mana da cor daquela criatura.) Voar Devorar 2 (Conforme esta criatura entra no campo de batalha, você pode sacrificar um número qualquer de criaturas. Esta criatura entra no campo de batalha com o dobro daquela quantidade de marcadores +1/+1.)</t>
  </si>
  <si>
    <t>Noxious Grasp / Garras Nóxias</t>
  </si>
  <si>
    <t>Destroy target creature or planeswalker that's green or white. You gain 1 life. / Destrua a criatura ou o planeswalker alvo que seja verde ou branco. Você ganha 1 ponto de vida.</t>
  </si>
  <si>
    <t>Long Goodbye / Longo Adeus</t>
  </si>
  <si>
    <t>This spell can't be countered. (This includes by the ward ability.) Destroy target creature or planeswalker with mana value 3 or less. / Esta mágica não pode ser anulada. (Isto inclui a habilidade salvaguarda.) Destrua a criatura ou o planeswalker alvo com valor de mana igual ou inferior a 3.</t>
  </si>
  <si>
    <t>Invasão de Eldraine / Invasion of Eldraine</t>
  </si>
  <si>
    <t>Batalha - Cerco / Battle - Siege</t>
  </si>
  <si>
    <t>(Conforme um Cerco entrar no campo de batalha, escolha um oponente para protegê-lo. Você e outros podem atacá-lo. Quando ele for derrotado, exile-o e depois o conjure transformado.) Quando Invasão de Eldraine entra no campo de batalha, o oponente alvo descarta dois cards.</t>
  </si>
  <si>
    <t>4 (Defesa)</t>
  </si>
  <si>
    <t>Invasão de Ulgrotha / Invasion of Ulgrotha</t>
  </si>
  <si>
    <t>(Conforme um Cerco entrar no campo de batalha, escolha um oponente para protegê-lo. Você e outros podem atacá-lo. Quando ele for derrotado, exile-o e depois o conjure transformado.) Quando Invasão de Ulgrotha entra no campo de batalha, ela causa 3 pontos de dano a qualquer alvo e você ganha 3 pontos de vida.</t>
  </si>
  <si>
    <t>5 (Defesa)</t>
  </si>
  <si>
    <t>Soul-Shackled Zombie</t>
  </si>
  <si>
    <t>When this creature enters, exile up to two target cards from a single graveyard. If at least one creature card was exiled this way, each opponent loses 2 life and you gain 2 life.</t>
  </si>
  <si>
    <t>Brain Maggot / Verme Cerebral</t>
  </si>
  <si>
    <t>Enchantment Creature — Insect / Criatura Encantamento — Inseto</t>
  </si>
  <si>
    <t>When this creature enters, target opponent reveals their hand and you choose a nonland card from it. Exile that card until this creature leaves the battlefield. / Quando Verme Cerebral entra no campo de batalha, o oponente alvo revela a própria mão e você escolhe um card dela que não seja um terreno. Exile aquele card até Verme Cerebral deixar o campo de batalha.</t>
  </si>
  <si>
    <t>Eaten Alive / Comido Vivo</t>
  </si>
  <si>
    <t>As an additional cost to cast this spell, sacrifice a creature or pay {3}{B}. Exile target creature or planeswalker. / Como custo adicional para conjurar esta mágica, sacrifique uma criatura ou pague {3}{B}. Exile a criatura ou o planeswalker alvo.</t>
  </si>
  <si>
    <t>Bloodsoaked Altar / Altar Ensanguentado</t>
  </si>
  <si>
    <t>{T}, Pay 2 life, Discard a card, Sacrifice a creature: Create a 5/5 black Demon creature token with flying. Activate only as a sorcery. / {T}, pague 2 pontos de vida, descarte um card, sacrifique uma criatura: Crie uma ficha de criatura preta 5/5 do tipo Demônio com voar. Ative esta habilidade somente nos momentos em que poderia conjurar um feitiço.</t>
  </si>
  <si>
    <t>Drown in Sorrow / Afogar em Mágoas</t>
  </si>
  <si>
    <t>All creatures get -2/-2 until end of turn. Scry 1. (Look at the top card of your library. You may put that card on the bottom.) / Todas as criaturas recebem -2/-2 até o final do turno. Vidência 1. (Olhe o card do topo de seu grimório. Você pode colocar aquele card no fundo de seu grimório.)</t>
  </si>
  <si>
    <t>Macabre Waltz / Valsa Macabra</t>
  </si>
  <si>
    <t>Return up to two target creature cards from your graveyard to your hand, then discard a card. / Devolva até dois cards de criatura alvo de seu cemitério para sua mão e depois descarte um card.</t>
  </si>
  <si>
    <t>Breathe Your Last / Respire pela Última Vez</t>
  </si>
  <si>
    <t>Destroy target creature or planeswalker. You gain 1 life for each of its colors. / Destrua a criatura ou o planeswalker alvo. Você ganha 1 ponto de vida por cada uma de suas cores.</t>
  </si>
  <si>
    <t>Knight of Dusk's Shadow / Cavaleira da Sombra do Ocaso</t>
  </si>
  <si>
    <t>Menace (This creature can't be blocked except by two or more creatures.) Your opponents can't gain life. {1}{B}: This creature gets +1/+1 until end of turn. / Ameaçar (Esta criatura só pode ser bloqueada por duas ou mais criaturas.) Seus oponentes não podem ganhar pontos de vida. {1}{B}: Cavaleira da Sombra do Ocaso recebe +1/+1 até o final do turno.</t>
  </si>
  <si>
    <t>Bake into a Pie / Enfornar na Torta</t>
  </si>
  <si>
    <t>Destroy target creature. Create a Food token. (It's an artifact with "{2}, {T}, Sacrifice this token: You gain 3 life.") / Destrua a criatura alvo. Crie uma ficha de Comida. (Ela é um artefato com "{2}, {T}, sacrifique este artefato: Você ganha 3 pontos de vida.")</t>
  </si>
  <si>
    <t>Witch's Cauldron / Caldeirão da Bruxa</t>
  </si>
  <si>
    <t>{1}{B}, {T}, Sacrifice a creature: You gain 1 life and draw a card. / {1}{B}, {T}: sacrifique uma criatura: Você ganha 1 ponto de vida e compra um card.</t>
  </si>
  <si>
    <t>Ichor Slick / Gosma Icorídia</t>
  </si>
  <si>
    <t>Target creature gets -3/-3 until end of turn. Cycling {2} ({2}, Discard this card: Draw a card.) Madness {3}{B} (If you discard this card, discard it into exile. When you do, cast it for its madness cost or put it into your graveyard.) / A criatura alvo recebe -3/-3 até o final do turno. Reciclar {2} ({2}, descarte este card: Compre um card.) Loucura {3}{B} (Se você descartar este card, descarte-o para o exílio. Quando fizer isso, conjure-o por seu custo de loucura ou coloque-o em seu cemitério.)</t>
  </si>
  <si>
    <t>Festering Goblin / Goblin Apodrecido</t>
  </si>
  <si>
    <t>Creature — Zombie Goblin / Criatura — Zumbi Goblin</t>
  </si>
  <si>
    <t>When this creature dies, target creature gets -1/-1 until end of turn. / Quando Goblin Apodrecido é colocado num cemitério vindo de jogo, a criatura alvo recebe -1/-1 até o final do turno.</t>
  </si>
  <si>
    <t>Yawgmoth's Vile Offering / Oferenda Vil de Yawgmoth</t>
  </si>
  <si>
    <t>Legendary Sorcery / Feitiço Lendário</t>
  </si>
  <si>
    <t>(You may cast a legendary sorcery only if you control a legendary creature or planeswalker.) Put up to one target creature or planeswalker card from a graveyard onto the battlefield under your control. Destroy up to one target creature or planeswalker. Exile Yawgmoth's Vile Offering. / (Você só pode conjurar um feitiço lendário se controlar uma criatura lendária ou um planeswalker lendário.) Coloque até um card de criatura ou planeswalker alvo de um cemitério no campo de batalha sob o seu controle. Destrua até uma criatura ou planeswalker alvo. Exile Oferenda Vil de Yawgmoth.</t>
  </si>
  <si>
    <t>Brazen Scourge / Praga Insolente</t>
  </si>
  <si>
    <t>Creature — Gremlin / Criatura — Gremlin</t>
  </si>
  <si>
    <t>Haste (This creature can attack and {T} as soon as it comes under your control.) / Ímpeto</t>
  </si>
  <si>
    <t>Magic Missile / Mísseis Mágicos</t>
  </si>
  <si>
    <t>This spell can't be countered. Magic Missile deals 3 damage divided as you choose among one, two, or three targets. / Esta mágica não pode ser anulada. Mísseis Mágicos causa 3 pontos de dano divididos à sua escolha entre um, dois ou três alvos.</t>
  </si>
  <si>
    <t>Greasewrench Goblin</t>
  </si>
  <si>
    <t>Exhaust — {2}{R}: Discard up to two cards, then draw that many cards. Put a +1/+1 counter on this creature. (Activate each exhaust ability only once.)</t>
  </si>
  <si>
    <t>Experimental Synthesizer / Sintetizador Experimental</t>
  </si>
  <si>
    <t>When this artifact enters or leaves the battlefield, exile the top card of your library. Until end of turn, you may play that card. {2}{R}, Sacrifice this artifact: Create a 2/2 white Samurai creature token with vigilance. Activate only as a sorcery. / Quando Sintetizador Experimental entrar no ou deixar o campo de batalha, exile o card do topo de seu grimório. Até o final do turno, você poderá jogar aquele card. {2}{R}, sacrifique Sintetizador Experimental: Crie uma ficha de criatura Samurai branca 2/2 com vigilância. Ative somente como um feitiço.</t>
  </si>
  <si>
    <t>Demonic Ruckus / Tumulto Demoníaco</t>
  </si>
  <si>
    <t>Enchant creature Enchanted creature gets +1/+1 and has menace and trample. When this Aura is put into a graveyard from the battlefield, draw a card. Plot {R} (You may pay {R} and exile this card from your hand. Cast it as a sorcery on a later turn without paying its mana cost. Plot only as a sorcery.) / Encantar criatura A criatura encantada recebe +1/+1 e tem ameaçar e atropelar. Quando Tumulto Demoníaco for colocado num cemitério vindo do campo de batalha, compre um card. Tramar {R} (Você pode pagar {R} e exilar este card de sua mão. Conjure-o como um feitiço num turno posterior sem pagar seu custo de mana. Trame somente como um feitiço.)</t>
  </si>
  <si>
    <t>Painter's Studio // Defaced Gallery</t>
  </si>
  <si>
    <t>Painter's Studio: When you unlock this door, exile the top two cards of your library. You may play them until the end of your next turn. (You may cast either half. That door unlocks on the battlefield. As a sorcery, you may pay the mana cost of a locked door to unlock it.) // Defaced Gallery: Whenever you attack, attacking creatures you control get +1/+0 until end of turn. (You may cast either half. That door unlocks on the battlefield. As a sorcery, you may pay the mana cost of a locked door to unlock it.)</t>
  </si>
  <si>
    <t>{2}{R} // {1}{R}</t>
  </si>
  <si>
    <t>Hurloon Battle Hymn / Hino de Batalha de Hurloon</t>
  </si>
  <si>
    <t>Kicker {W} (You may pay an additional {W} as you cast this spell.) Hurloon Battle Hymn deals 4 damage to target creature or planeswalker. If this spell was kicked, you gain 4 life. / Reforçar {W} (Você pode pagar um custo adicional de {W} ao conjurar esta mágica.) Hino de Batalha de Hurloon causa 4 pontos de dano à criatura ou ao planeswalker alvo. Se esta mágica foi reforçada, você ganha 4 pontos de vida.</t>
  </si>
  <si>
    <t>Imodane's Recruiter // Train Troops / Recrutador de Imodane // Treinar Tropas</t>
  </si>
  <si>
    <t>Creature — Human Knight // Sorcery — Adventure / Criatura — Humano Cavaleiro</t>
  </si>
  <si>
    <t>Imodane's Recruiter: When this creature enters, creatures you control get +1/+0 and gain haste until end of turn. // Train Troops: Create two 2/2 white Knight creature tokens with vigilance. (Then exile this card. You may cast the creature later from exile.) / Quando Recrutador de Imodane entra no campo de batalha, as criaturas que você controla recebem +1/+0 e ganham ímpeto até o final do turno.</t>
  </si>
  <si>
    <t>{2}{R} // {4}{W}</t>
  </si>
  <si>
    <t>Dragon Cultist / Cultista do Dragão</t>
  </si>
  <si>
    <t>Commander creatures you own have "At the beginning of your end step, if a source you controlled dealt 5 or more damage this turn, create a 4/4 red Dragon creature token with flying." / As criaturas comandantes que você possui têm "No início de sua etapa final, se uma fonte que você controlava tiver causado 5 ou mais pontos de dano neste turno, crie uma ficha de criatura Dragão vermelha 4/4 com voar".</t>
  </si>
  <si>
    <t>Deadeye Duelist / Duelista Tirocerto</t>
  </si>
  <si>
    <t>Reach {1}, {T}: This creature deals 1 damage to target opponent. / Alcance {1}, {T}: Duelista Tirocerto causa 1 ponto de dano ao oponente alvo.</t>
  </si>
  <si>
    <t>Blazing Rootwalla / Rizowalla Inflamado</t>
  </si>
  <si>
    <t>{R}: This creature gets +2/+0 until end of turn. Activate only once each turn. Madness {0} (If you discard this card, discard it into exile. When you do, cast it for its madness cost or put it into your graveyard.) / {R}: Rizowalla Inflamado recebe +2/+0 até o final do turno. Ative somente uma vez a cada turno. Loucura {0}</t>
  </si>
  <si>
    <t>Impulsive Pilferer / Gatuno Impulsivo</t>
  </si>
  <si>
    <t>When this creature dies, create a Treasure token. (It's an artifact with "{T}, Sacrifice this token: Add one mana of any color.") Encore {3}{R} ({3}{R}, Exile this card from your graveyard: For each opponent, create a token copy that attacks that opponent this turn if able. They gain haste. Sacrifice them at the beginning of the next end step. Activate only as a sorcery.) / Quando Gatuno Impulsivo morrer, crie uma ficha de Tesouro. (Ela é um artefato com "{T}, sacrifique este artefato: Adicione um mana de qualquer cor".) Bis {3}{R} ({3}{R}, exile este card de seu cemitério: Para cada oponente, crie uma ficha que é uma cópia que ataca aquele oponente neste turno se estiver apta. Elas ganham ímpeto. Sacrifique-as no início da próxima etapa final. Ative somente como um feitiço.)</t>
  </si>
  <si>
    <t>Fists of Flame / Punhos Chamejantes</t>
  </si>
  <si>
    <t>Draw a card. Until end of turn, target creature gains trample and gets +1/+0 for each card you've drawn this turn. (A creature with trample can deal excess combat damage to the player or planeswalker it's attacking.) / Compre um card. Até o final do turno, a criatura alvo ganha atropelar e recebe +1/+0 para cada card que você comprou neste turno.</t>
  </si>
  <si>
    <t>Yotia Declares War / Yotia Declara Guerra</t>
  </si>
  <si>
    <t>Read ahead (Choose a chapter and start with that many lore counters. Add one after your draw step. Skipped chapters don't trigger. Sacrifice after III.) I — Create a 0/2 colorless Thopter artifact creature token with flying named Ornithopter. II — Tap any number of untapped artifacts you control. When you do, this Saga deals that much damage to target creature or planeswalker. III — Up to one target artifact you control becomes an artifact creature with base power and toughness 4/4 until end of turn. / Adiantar leitura (Escolha um capítulo e comece com aquela quantidade de marcadores de conhecimento. Adicione um após sua etapa de compra. Os capítulos pulados não são desencadeados. Sacrifique-a após III.) I — Crie uma ficha de criatura artefato Tóptero incolor 0/2 com voar com o nome Ornitóptero. II — Vire qualquer número de artefatos desvirados que você controla. Quando faz isso, Yotia Declara Guerra causa aquela quantidade de dano à criatura ou ao planeswalker alvo. III — Até um artefato alvo que você controla se torna uma criatura com poder e resistência básicos 4/4 até o final do turno.</t>
  </si>
  <si>
    <t>Lightning Mauler / Esmagador dos Relâmpagos</t>
  </si>
  <si>
    <t>Creature — Human Berserker / Criatura — Humano Amoque</t>
  </si>
  <si>
    <t>Soulbond (You may pair this creature with another unpaired creature when either enters. They remain paired for as long as you control both of them.) As long as this creature is paired with another creature, both creatures have haste. / Elo espiritual (Você pode emparelhar esta criatura com outra criatura não emparelhada quando uma delas entrar no campo de batalha. Elas permanecem emparelhadas enquanto você controlar ambas.) Enquanto Esmagador dos Relâmpagos estiver emparelhado com outra criatura, ambas as criaturas terão ímpeto.</t>
  </si>
  <si>
    <t>Furnace Celebration / Celebração na Fornalha</t>
  </si>
  <si>
    <t>Whenever you sacrifice another permanent, you may pay {2}. If you do, this enchantment deals 2 damage to any target. / Toda vez que sacrifica outra permanente, você pode pagar {2}. Se fizer isso, Celebração na Fornalha causará 2 pontos de dano à criatura ou ao jogador alvo.</t>
  </si>
  <si>
    <t>Sulfurous Blast / Explosão Sulfurosa</t>
  </si>
  <si>
    <t>Sulfurous Blast deals 2 damage to each creature and each player. If you cast this spell during your main phase, Sulfurous Blast deals 3 damage to each creature and each player instead. / Explosão Sulfurosa causa 2 pontos de dano a cada criatura e a cada jogador. Se você jogou esta mágica durante sua fase principal, em vez disso, Explosão Sulfurosa causa 3 pontos de dano a cada criatura e a cada jogador.</t>
  </si>
  <si>
    <t>Cyclops Electromancer / Eletromante Ciclope</t>
  </si>
  <si>
    <t>When this creature enters, it deals X damage to target creature an opponent controls, where X is the number of instant and sorcery cards in your graveyard. / Quando Eletromante Ciclope entra no campo de batalha, ele causa X pontos de dano à criatura alvo que um oponente controla, sendo X o número de cards de mágica instantânea ou feitiço em seu cemitério.</t>
  </si>
  <si>
    <t>Living Lightning / Relâmpago Vivo</t>
  </si>
  <si>
    <t>When this creature dies, return target instant or sorcery card from your graveyard to your hand. / Quando Relâmpago Vivo morrer, devolva o card de mágica instantânea ou de feitiço alvo de seu cemitério para sua mão.</t>
  </si>
  <si>
    <t>Makeshift Munitions / Munições Improvisadas</t>
  </si>
  <si>
    <t>{1}, Sacrifice an artifact or creature: This enchantment deals 1 damage to any target. / {1}, sacrifique um artefato ou uma criatura: Munições Improvisadas causa 1 ponto de dano à criatura ou ao jogador alvo.</t>
  </si>
  <si>
    <t>Blood Aspirant / Aspirante a Sanguinário</t>
  </si>
  <si>
    <t>Creature — Satyr Berserker / Criatura — Sátiro Amoque</t>
  </si>
  <si>
    <t>Whenever you sacrifice a permanent, put a +1/+1 counter on this creature. {1}{R}, {T}, Sacrifice a creature or enchantment: This creature deals 1 damage to target creature. That creature can't block this turn. / Toda vez que você sacrificar uma permanente, coloque um marcador +1/+1 em Aspirante a Sanguinário. {1}{R}, {T}, sacrifique uma criatura ou um encantamento: Aspirante a Sanguinário causa 1 ponto de dano à criatura alvo. Aquela criatura não pode bloquear neste turno.</t>
  </si>
  <si>
    <t>Axgard Cavalry / Cavalaria de Axgard</t>
  </si>
  <si>
    <t>Creature — Dwarf Berserker / Criatura — Anão Amoque</t>
  </si>
  <si>
    <t>{T}: Target creature gains haste until end of turn. (It can attack and {T} this turn.) / {T}: A criatura alvo ganha ímpeto até o final do turno.</t>
  </si>
  <si>
    <t>Rapacious One / O Opressor</t>
  </si>
  <si>
    <t>Trample Whenever this creature deals combat damage to a player, create that many 0/1 colorless Eldrazi Spawn creature tokens. They have "Sacrifice this token: Add {C}." / Atropelar Toda vez que O Opressor causar dano de combate a um jogador, coloque no campo de batalha uma quantidade equivalente de fichas de criatura incolores 0/1 do tipo Prole Eldrazi. Elas têm "Sacrifique esta criatura: Adicione {1} à sua reserva de mana."</t>
  </si>
  <si>
    <t>Rapacious Dragon / Dragão Edaz</t>
  </si>
  <si>
    <t>Flying When this creature enters, create two Treasure tokens. (They're artifacts with "{T}, Sacrifice this token: Add one mana of any color.") / Voar Quando Dragão Edaz entrar no campo de batalha, crie duas fichas de Tesouro. (Elas são artefatos com "{T}, sacrifique este artefato: Adicione um mana de qualquer cor.")</t>
  </si>
  <si>
    <t>Impossible Inferno</t>
  </si>
  <si>
    <t>Impossible Inferno deals 6 damage to target creature. Delirium — If there are four or more card types among cards in your graveyard, exile the top card of your library. You may play it until the end of your next turn.</t>
  </si>
  <si>
    <t>Incinerating Blast</t>
  </si>
  <si>
    <t>Incinerating Blast deals 6 damage to target creature. You may discard a card. If you do, draw a card.</t>
  </si>
  <si>
    <t>Rampaging Soulrager</t>
  </si>
  <si>
    <t>This creature gets +3/+0 as long as there are two or more unlocked doors among Rooms you control.</t>
  </si>
  <si>
    <t>Razorkin Hordecaller</t>
  </si>
  <si>
    <t>Creature — Human Clown Berserker</t>
  </si>
  <si>
    <t>Haste Whenever you attack, create a 1/1 red Gremlin creature token.</t>
  </si>
  <si>
    <t>Young Pyromancer / Piromante Jovem</t>
  </si>
  <si>
    <t>Whenever you cast an instant or sorcery spell, create a 1/1 red Elemental creature token. / Toda vez que você conjurar uma mágica instantânea ou feitiço, coloque no campo de batalha uma ficha de criatura vermelha 1/1 do tipo Elemental.</t>
  </si>
  <si>
    <t>Amped Raptor / Raptor Amplificado</t>
  </si>
  <si>
    <t>First strike When this creature enters, you get {E}{E} (two energy counters). Then if you cast it from your hand, exile cards from the top of your library until you exile a nonland card. You may cast that card by paying an amount of {E} equal to its mana value rather than paying its mana cost. / Iniciativa Quando Raptor Amplificado entra no campo de batalha, você recebe {E}{E} (dois marcadores de energia). Em seguida, se você o tiver conjurado de sua mão, exile cards do topo de seu grimório até exilar um card não de terreno. Você pode conjurar aquele card pagando uma quantidade de {E} igual a seu valor de mana em vez de pagar seu custo de mana.</t>
  </si>
  <si>
    <t>Unstable Amulet / Amuleto Instável</t>
  </si>
  <si>
    <t>When this artifact enters, you get {E}{E} (two energy counters). Whenever you cast a spell from anywhere other than your hand, this artifact deals 1 damage to each opponent. {T}, Pay {E}{E}: Exile the top card of your library. You may play it until you exile another card with this artifact. / Quando Amuleto Instável entra no campo de batalha, você recebe {E}{E}. Toda vez que você conjura uma mágica vinda de qualquer lugar que não seja sua mão, Amuleto Instável causa 1 ponto de dano a cada oponente. {T}, pague {E}{E}: Exile o card do topo de seu grimório. Você pode jogá-lo até exilar outro card com Amuleto Instável.</t>
  </si>
  <si>
    <t>Seize the Storm / Apreender a Tempestade</t>
  </si>
  <si>
    <t>Create a red Elemental creature token with trample and "This token's power and toughness are each equal to the number of instant and sorcery cards in your graveyard plus the number of cards with flashback you own in exile." Flashback {6}{R} (You may cast this card from your graveyard for its flashback cost. Then exile it.) / Crie uma ficha de criatura Elemental vermelha com atropelar e "O poder e a resistência desta criatura são ambos iguais ao número de cards de mágica instantânea e feitiço em seu cemitério mais o número de cards com recapitular seus no exílio". Recapitular {6}{R} (Você pode conjurar este card de seu cemitério pagando seu custo de recapitular. Depois, exile-o.)</t>
  </si>
  <si>
    <t>Firebrand Archer / Arqueira Agitadora</t>
  </si>
  <si>
    <t>Whenever you cast a noncreature spell, this creature deals 1 damage to each opponent. / Toda vez que você conjura uma mágica que não seja de criatura, Arqueira Agitadora causa 1 ponto de dano a cada oponente.</t>
  </si>
  <si>
    <t>Goblin Boarders</t>
  </si>
  <si>
    <t>Creature — Goblin Pirate</t>
  </si>
  <si>
    <t>Raid — This creature enters with a +1/+1 counter on it if you attacked this turn.</t>
  </si>
  <si>
    <t>Subira, Tulzidi Caravanner / Subira, Caravaneira Tulzidi</t>
  </si>
  <si>
    <t>Haste {1}: Another target creature with power 2 or less can't be blocked this turn. {1}{R}, {T}, Discard your hand: Until end of turn, whenever a creature you control with power 2 or less deals combat damage to a player, draw a card. / Ímpeto {1}: Outra criatura alvo com poder igual ou inferior a 2 não pode ser bloqueada neste turno. {1}{R}, {T}, descarte sua mão: Até o final do turno, toda vez que uma criatura que você controla com poder igual ou inferior a 2 causar dano de combate a um jogador, compre um card.</t>
  </si>
  <si>
    <t>Ghitu Amplifier / Amplificadora Ghitu</t>
  </si>
  <si>
    <t>Kicker {2}{U} (You may pay an additional {2}{U} as you cast this spell.) When this creature enters, if it was kicked, return target creature an opponent controls to its owner's hand. Whenever you cast an instant or sorcery spell, this creature gets +2/+0 until end of turn. / Reforçar {2}{U} (Você pode pagar um custo adicional de {2}{U} ao conjurar esta mágica.) Quando Amplificadora Ghitu entra no campo de batalha, se ela foi reforçada, devolva a criatura alvo que um oponente controla para a mão de seu dono. Toda vez que você conjura uma mágica instantânea ou um feitiço, Amplificadora Ghitu recebe +2/+0 até o final do turno.</t>
  </si>
  <si>
    <t>Viashino Branchrider / Surfista da Mata Viashino</t>
  </si>
  <si>
    <t>Creature — Lizard Warrior / Criatura — Viashino Guerreiro</t>
  </si>
  <si>
    <t>Kicker {2}{G} (You may pay an additional {2}{G} as you cast this spell.) Haste If this creature was kicked, it enters with two +1/+1 counters on it. {2}{R}: This creature gets +2/+0 until end of turn. / Reforçar {2}{G} (Você pode pagar um custo adicional de {2}{G} ao conjurar esta mágica.) Ímpeto Se Surfista da Mata Viashino foi reforçado, ele entra no campo de batalha com dois marcadores +1/+1. {2}{R}: Surfista da Mata Viashino recebe +2/+0 até o final do turno.</t>
  </si>
  <si>
    <t>Cinderheart Giant / Gigante do Coração Ardente</t>
  </si>
  <si>
    <t>Creature — Giant Berserker / Criatura — Gigante Amoque</t>
  </si>
  <si>
    <t>Trample When this creature dies, it deals 7 damage to a creature an opponent controls chosen at random. / Atropelar Quando Gigante do Coração Ardente morre, ele causa 7 pontos de dano a uma criatura que um oponente controla escolhida aleatoriamente.</t>
  </si>
  <si>
    <t>Dragonspark Reactor / Reator de Centelha Dracônica</t>
  </si>
  <si>
    <t>Whenever this artifact or another artifact you control enters, put a charge counter on this artifact. {4}, Sacrifice this artifact: It deals damage equal to the number of charge counters on it to target player and that much damage to up to one target creature. / Toda vez que Reator de Centelha Dracônica ou outro artefato entrar no campo de batalha sob seu controle, coloque um marcador de carga em Reator de Centelha Dracônica. {4}, sacrifique Reator de Centelha Dracônica: Ele causa dano igual ao número de marcadores de carga nele ao jogador alvo e aquela quantidade de dano a até uma criatura alvo.</t>
  </si>
  <si>
    <t>Chandra's Incinerator / Incinerador de Chandra</t>
  </si>
  <si>
    <t>This spell costs {X} less to cast, where X is the total amount of noncombat damage dealt to your opponents this turn. Trample Whenever a source you control deals noncombat damage to an opponent, this creature deals that much damage to target creature or planeswalker that player controls. / Esta mágica custa {X} a menos para ser conjurada, sendo X a quantidade total de dano que não seja de combate causada a seus oponentes neste turno. Atropelar Toda vez que uma fonte que você controla causa dano que não seja de combate a um oponente, Incinerador de Chandra causa aquela quantidade de dano à criatura ou ao planeswalker alvo que aquele jogador controla.</t>
  </si>
  <si>
    <t>Vault Robber / Ladrão de Catacumba</t>
  </si>
  <si>
    <t>Creature — Dwarf Rogue / Criatura — Anão Ladino</t>
  </si>
  <si>
    <t>{1}, {T}, Exile a creature card from your graveyard: Create a Treasure token. (It's an artifact with "{T}, Sacrifice this token: Add one mana of any color.") / {1}, {T}, exile um card de criatura de seu cemitério: Crie uma ficha de Tesouro. (Ela é um artefato com "{T}, sacrifique este artefato: Adicione um mana de qualquer cor".)</t>
  </si>
  <si>
    <t>Plundering Pirate / Pirata a Pilhar</t>
  </si>
  <si>
    <t>Creature — Orc Pirate / Criatura — Orc Pirata</t>
  </si>
  <si>
    <t>When this creature enters, create a Treasure token. (It's an artifact with "{T}, Sacrifice this token: Add one mana of any color.") / Quando Pirata a Pilhar entrar no campo de batalha, crie uma ficha de Tesouro. (Ela é um artefato com "{T}, sacrifique este artefato: Adicione um mana de qualquer cor".)</t>
  </si>
  <si>
    <t>Goblin Tomb Raider / Goblin Saqueador de Túmulos</t>
  </si>
  <si>
    <t>As long as you control an artifact, this creature gets +1/+0 and has haste. / Enquanto você controlar um artefato, Goblin Saqueador de Túmulos receberá +1/+0 e terá ímpeto.</t>
  </si>
  <si>
    <t>Kessig Flamebreather / Sopra-fogo de Kessig</t>
  </si>
  <si>
    <t>Whenever you cast a noncreature spell, this creature deals 1 damage to each opponent. / Toda vez que você conjura uma mágica não de criatura, Sopra-fogo de Kessig causa 1 ponto de dano a cada oponente.</t>
  </si>
  <si>
    <t>Weary Prisoner / Prisioneira Fatigada</t>
  </si>
  <si>
    <t>Defender Daybound (If a player casts no spells during their own turn, it becomes night next turn.) / Defensor Diurno (Se um jogador não conjura nenhuma mágica durante o próprio turno, torna-se noite no turno seguinte.)</t>
  </si>
  <si>
    <t>Flame-Blessed Bolt / Virote da Chama Abençoada</t>
  </si>
  <si>
    <t>Flame-Blessed Bolt deals 2 damage to target creature or planeswalker. If that creature or planeswalker would die this turn, exile it instead. / Virote da Chama Abençoada causa 2 pontos de dano à criatura ou ao planeswalker alvo. Se aquela criatura ou aquele planeswalker morreria neste turno, em vez disso, exile-o.</t>
  </si>
  <si>
    <t>Action News Crew</t>
  </si>
  <si>
    <t>Vigilance Channel — {6}, Discard this card: Put a +1/+1 counter on each creature you control. Draw a card.</t>
  </si>
  <si>
    <t>Glider Kids</t>
  </si>
  <si>
    <t>Flying When this creature enters, scry 1. (Look at the top card of your library. You may put it on the bottom.)</t>
  </si>
  <si>
    <t>Inspired Insurgent</t>
  </si>
  <si>
    <t>{1}, Sacrifice this creature: Destroy target artifact or enchantment.</t>
  </si>
  <si>
    <t>Avatar: The Last Airbender Eternal (TLE)</t>
  </si>
  <si>
    <t>Cut Short / Encurtar</t>
  </si>
  <si>
    <t>Convoke (Your creatures can help cast this spell. Each creature you tap while casting this spell pays for {1} or one mana of that creature's color.) Destroy target planeswalker that was activated this turn or tapped creature. / Convocar (Suas criaturas podem ajudar a conjurar esta mágica. Cada criatura que você vira ao conjurar esta mágica paga {1} ou um mana da cor daquela criatura.) Destrua o planeswalker que tenha sido ativado neste turno ou a criatura virada alvo.</t>
  </si>
  <si>
    <t>Koala-Sheep</t>
  </si>
  <si>
    <t>Creature — Bear Sheep</t>
  </si>
  <si>
    <t>When this creature enters, you gain 3 life.</t>
  </si>
  <si>
    <t>Sokka's Sword Training</t>
  </si>
  <si>
    <t>Target creature gets +2/+2 until end of turn. Create a Clue token. (It's an artifact with "{2}, Sacrifice this token: Draw a card.")</t>
  </si>
  <si>
    <t>Acrobatic Leap / Salto Acrobático</t>
  </si>
  <si>
    <t>Sandbenders' Storm</t>
  </si>
  <si>
    <t>Choose one — • Destroy target creature with power 4 or greater. • Earthbend 3. (Target land you control becomes a 0/0 creature with haste that's still a land. Put three +1/+1 counters on it. When it dies or is exiled, return it to the battlefield tapped.)</t>
  </si>
  <si>
    <t>Read the Bones / Leia os Ossos</t>
  </si>
  <si>
    <t>Scry 2, then draw two cards. You lose 2 life. (To scry 2, look at the top two cards of your library, then put any number of them on the bottom and the rest on top in any order.) / Use vidência 2 e depois compre dois cards. Você perde 2 pontos de vida. (Para usar vidência 2, olhe os dois cards do topo do seu grimório. Depois, coloque qualquer número deles no fundo do seu grimório e o restante no topo em qualquer ordem.)</t>
  </si>
  <si>
    <t>Belle of the Brawl / Bela da Briga</t>
  </si>
  <si>
    <t>Menace (This creature can't be blocked except by two or more creatures.) Whenever this creature attacks, other Knights you control get +1/+0 until end of turn. / Ameaçar (Esta criatura só pode ser bloqueada por duas ou mais criaturas.) Toda vez que Bela da Briga ataca, os outros Cavaleiros que você controla recebem +1/+0 até o final do turno.</t>
  </si>
  <si>
    <t>Rotten Reunion / Reunião Apodrecida</t>
  </si>
  <si>
    <t>Exile up to one target card from a graveyard. Create a 2/2 black Zombie creature token with decayed. (It can't block. When it attacks, sacrifice it at end of combat.) Flashback {1}{B} (You may cast this card from your graveyard for its flashback cost. Then exile it.) / Exile até um card alvo de um cemitério. Crie uma ficha de criatura Zumbi preta 2/2 com decomposto. (Ela não pode bloquear. Quando ela atacar, sacrifique-a no final do combate.) Recapitular {1}{B} (Você pode conjurar este card de seu cemitério pagando seu custo de recapitular. Depois, exile-o.)</t>
  </si>
  <si>
    <t>Siege Zombie / Zumbi de Cerco</t>
  </si>
  <si>
    <t>Tap three untapped creatures you control: Each opponent loses 1 life. / Vire três criaturas desviradas que você controla: Cada oponente perde 1 ponto de vida.</t>
  </si>
  <si>
    <t>Foul Play / Trapaça</t>
  </si>
  <si>
    <t>Destroy target creature with power 2 or less. Investigate. (Create a Clue token. It's an artifact with "{2}, Sacrifice this token: Draw a card.") / Destrua a criatura alvo com poder igual ou inferior a 2. Investigue. (Crie uma ficha de artefato Pista incolor com "{2}, sacrifique este artefato: Compre um card".)</t>
  </si>
  <si>
    <t>Sanitarium Skeleton / Esqueleto do Sanatório</t>
  </si>
  <si>
    <t>{2}{B}: Return this card from your graveyard to your hand. / {2}{B}: Devolva Esqueleto do Sanatório de seu cemitério para sua mão.</t>
  </si>
  <si>
    <t>The Witch's Vanity / A Vaidade da Bruxa</t>
  </si>
  <si>
    <t>(As this Saga enters and after your draw step, add a lore counter. Sacrifice after III.) I — Destroy target creature an opponent controls with mana value 2 or less. II — Create a Food token. (It's an artifact with "{2}, {T}, Sacrifice this token: You gain 3 life.") III — Create a Wicked Role token attached to target creature you control. / (Conforme esta Saga entra e após sua etapa de compra, adicione um marcador de conhecimento. Sacrifique-a após III.) I — Destrua a criatura alvo que um oponente controla com valor de mana igual ou inferior a 2. II — Crie uma ficha de Comida. (Ela é um artefato com "{2}, {T}, sacrifique este artefato: Você ganha 3 pontos de vida".) III — Crie uma ficha de Papel de Malvado anexada à criatura alvo que você controla.</t>
  </si>
  <si>
    <t>Unscrupulous Contractor / Mercenário Inescrupuloso</t>
  </si>
  <si>
    <t>When this creature enters, you may sacrifice a creature. When you do, target player draws two cards and loses 2 life. Plot {2}{B} (You may pay {2}{B} and exile this card from your hand. Cast it as a sorcery on a later turn without paying its mana cost. Plot only as a sorcery.) / Quando Mercenário Inescrupuloso entra no campo de batalha, você pode sacrificar uma criatura. Quando você faz isso, o jogador alvo compra dois cards e perde 2 pontos de vida. Tramar {2}{B} (Você pode pagar {2}{B} e exilar este card de sua mão. Conjure-o como um feitiço num turno posterior sem pagar seu custo de mana. Trame somente como um feitiço.)</t>
  </si>
  <si>
    <t>Scion of Halaster / Rebento de Halaster</t>
  </si>
  <si>
    <t>Commander creatures you own have "The first time you would draw a card each turn, instead look at the top two cards of your library. Put one of them into your graveyard and the other back on top of your library. Then draw a card." / As criaturas comandantes que você possui têm "Na primeira vez em que você compraria um card em cada turno, em vez disso, olhe os dois cards do topo de seu grimório. Coloque um em seu cemitério e o outro de volta no topo de seu grimório. Depois compre um card."</t>
  </si>
  <si>
    <t>Headless Specter / Espectro Sem Cabeça</t>
  </si>
  <si>
    <t>Flying Hellbent — Whenever this creature deals combat damage to a player, if you have no cards in hand, that player discards a card at random. / Voar Determinação — Toda vez que Espectro Sem Cabeça causa dano de combate a um jogador, se você não tiver nenhum card na mão, aquele jogador descarta um card aleatoriamente.</t>
  </si>
  <si>
    <t>Blood Hustler / Vigarista do Sangue</t>
  </si>
  <si>
    <t>Whenever you commit a crime, put a +1/+1 counter on this creature. This ability triggers only once each turn. (Targeting opponents, anything they control, and/or cards in their graveyards is a crime.) {3}{B}: Target opponent loses 1 life and you gain 1 life. / Toda vez que você cometer um crime, coloque um marcador +1/+1 em Vigarista do Sangue. Esta habilidade é desencadeada apenas uma vez a cada turno. (Escolher como alvo oponentes, qualquer coisa que eles controlem e/ou cards no cemitério deles é um crime.) {3}{B}: O oponente alvo perde 1 ponto de vida e você ganha 1 ponto de vida.</t>
  </si>
  <si>
    <t>Persistent Specimen / Espécime Persistente</t>
  </si>
  <si>
    <t>{2}{B}: Return this card from your graveyard to the battlefield tapped. / {2}{B}: Devolva Espécime Persistente de seu cemitério para o campo de batalha virado.</t>
  </si>
  <si>
    <t>Lazotep Reaver / Despojador de Lazotep</t>
  </si>
  <si>
    <t>Creature — Zombie Beast / Criatura — Zumbi Besta</t>
  </si>
  <si>
    <t>When this creature enters, amass Zombies 1. (Put a +1/+1 counter on an Army you control. It's also a Zombie. If you don't control an Army, create a 0/0 black Zombie Army creature token first.) / Quando Despojador de Lazotep entrar no campo de batalha, arregimente 1. (Coloque um marcador +1/+1 em um Exército que você controla. Se você não controlar um, crie antes uma ficha de criatura preta 0/0 do tipo Zumbi Exército.)</t>
  </si>
  <si>
    <t>Spin Out</t>
  </si>
  <si>
    <t>Destroy target creature or Vehicle.</t>
  </si>
  <si>
    <t>Sanguine Syphoner</t>
  </si>
  <si>
    <t>Creature — Vampire Warlock</t>
  </si>
  <si>
    <t>Whenever this creature attacks, each opponent loses 1 life and you gain 1 life.</t>
  </si>
  <si>
    <t>Defiled Crypt // Cadaver Lab</t>
  </si>
  <si>
    <t>Defiled Crypt: Whenever one or more cards leave your graveyard, create a 2/2 black Horror enchantment creature token. This ability triggers only once each turn. (You may cast either half. That door unlocks on the battlefield. As a sorcery, you may pay the mana cost of a locked door to unlock it.) // Cadaver Lab: When you unlock this door, return target creature card from your graveyard to your hand. (You may cast either half. That door unlocks on the battlefield. As a sorcery, you may pay the mana cost of a locked door to unlock it.)</t>
  </si>
  <si>
    <t>{3}{B} // {B}</t>
  </si>
  <si>
    <t>Risen Necroregent</t>
  </si>
  <si>
    <t>Creature — Zombie Cat Knight</t>
  </si>
  <si>
    <t>Start your engines! (If you have no speed, it starts at 1. It increases once on each of your turns when an opponent loses life. Max speed is 4.) Max speed — At the beginning of your end step, create a 2/2 black Zombie creature token.</t>
  </si>
  <si>
    <t>Resurrected Cultist</t>
  </si>
  <si>
    <t>Delirium — {2}{B}{B}: Return this card from your graveyard to the battlefield with a finality counter on it. Activate only if there are four or more card types among cards in your graveyard and only as a sorcery. (If a creature with a finality counter on it would die, exile it instead.)</t>
  </si>
  <si>
    <t>Valgavoth's Faithful</t>
  </si>
  <si>
    <t>{3}{B}, Sacrifice this creature: Return target creature card from your graveyard to the battlefield. Activate only as a sorcery.</t>
  </si>
  <si>
    <t>Dead Weight / Peso Morto</t>
  </si>
  <si>
    <t>Enchant creature Enchanted creature gets -2/-2. / Encantar criatura A criatura encantada recebe -2/-2.</t>
  </si>
  <si>
    <t>Soul Enervation / Enervação da Alma</t>
  </si>
  <si>
    <t>Flash When this enchantment enters, target creature gets -4/-4 until end of turn. Whenever one or more creature cards leave your graveyard, each opponent loses 1 life and you gain 1 life. / Lampejo Quando Enervação da Alma entra no campo de batalha, a criatura alvo recebe -4/-4 até o final do turno. Toda vez que um ou mais cards de criatura deixam seu cemitério, cada oponente perde 1 ponto de vida e você ganha 1 ponto de vida.</t>
  </si>
  <si>
    <t>Streaking Oilgorger</t>
  </si>
  <si>
    <t>Creature — Vampire</t>
  </si>
  <si>
    <t>Flying, haste Start your engines! (If you have no speed, it starts at 1. It increases once on each of your turns when an opponent loses life. Max speed is 4.) Max speed — This creature has lifelink.</t>
  </si>
  <si>
    <t>Testament Bearer / Porta-testamento</t>
  </si>
  <si>
    <t>When this creature dies, look at the top three cards of your library. Put one of them into your hand and the rest into your graveyard. / Quando Porta-testamento morrer, olhe os três cards do topo de seu grimório. Coloque um deles em sua mão e o restante em seu cemitério.</t>
  </si>
  <si>
    <t>Passageway Seer / Vidente da Passagem</t>
  </si>
  <si>
    <t>Creature — Tiefling Warlock / Criatura — Tiferino Bruxo</t>
  </si>
  <si>
    <t>Lifelink When this creature enters, you take the initiative. At the beginning of your end step, if you have the initiative, put a +1/+1 counter on this creature. / Vínculo com a vida Quando Vidente da Passagem entra no campo de batalha, você assume a dianteira. No início de sua etapa final, se você estiver na dianteira, coloque um marcador +1/+1 em Vidente da Passagem.</t>
  </si>
  <si>
    <t>Charcoal Diamond / Diamante de Carvão</t>
  </si>
  <si>
    <t>This artifact enters tapped. {T}: Add {B}. / Diamante de Carvão entra no campo de batalha virado. {T}: Adicione {B}.</t>
  </si>
  <si>
    <t>Cruel Grimnarch / Sombrarca Cruel</t>
  </si>
  <si>
    <t>Creature — Phyrexian Cleric / Criatura — Phyrexiano Clérigo</t>
  </si>
  <si>
    <t>Deathtouch When this creature enters, each opponent discards a card. For each opponent who can't, you gain 4 life. / Toque mortífero Quando Sombrarca Cruel entra no campo de batalha, cada oponente descarta um card. Para cada oponente que não puder fazê-lo, você ganha 4 pontos de vida.</t>
  </si>
  <si>
    <t>The Dross Pits / Os Poços de Dross</t>
  </si>
  <si>
    <t>Land — Sphere / Terreno — Esfera</t>
  </si>
  <si>
    <t>This land enters tapped. {T}: Add {B}. {1}{B}, {T}, Sacrifice this land: Draw a card. / Os Poços de Dross entra no campo de batalha virado. {T}: Adicione {B}. {1}{B}, {T}, sacrifique Os Poços de Dross: Compre um card.</t>
  </si>
  <si>
    <t>Whisper of the Dross / Sussurro de Dross</t>
  </si>
  <si>
    <t>Target creature gets -1/-1 until end of turn. Proliferate. (Choose any number of permanents and/or players, then give each another counter of each kind already there.) / A criatura alvo recebe -1/-1 até o final do turno. Prolifere. (Escolha qualquer número de permanentes e/ou jogadores. Em seguida, dê a cada um deles outro marcador de cada tipo que eles já tenham.)</t>
  </si>
  <si>
    <t>Vat of Rebirth / Tanque de Renascimento</t>
  </si>
  <si>
    <t>Whenever another artifact or creature you control is put into a graveyard from the battlefield, put an oil counter on this artifact. {2}{B}, {T}, Remove four oil counters from this artifact: Return target creature card from your graveyard to the battlefield. Activate only as a sorcery. / Toda vez que outra criatura ou outro artefato que você controla for colocado em um cemitério vindo do campo de batalha, coloque um marcador de óleo em Tanque de Renascimento. {2}{B}, {T}, remova quatro marcadores de óleo de Tanque de Renascimento: Devolva o card de criatura alvo de seu cemitério para o campo de batalha. Ative somente como um feitiço.</t>
  </si>
  <si>
    <t>Wildwood Tracker / Rastreador do Bosque Selvagem</t>
  </si>
  <si>
    <t>Creature — Elf Warrior / Criatura — Elfo Guerreiro</t>
  </si>
  <si>
    <t>Whenever this creature attacks or blocks, if you control another non-Human creature, this creature gets +1/+1 until end of turn. / Toda vez que Rastreador do Bosque Selvagem ataca ou bloqueia, se você controla outra criatura que não seja do tipo Humano, Rastreador do Bosque Selvagem recebe +1/+1 até o final do turno.</t>
  </si>
  <si>
    <t>Giant Growth / Crescimento Desenfreado</t>
  </si>
  <si>
    <t>Target creature gets +3/+3 until end of turn. / A criatura alvo recebe +3/+3 até o final do turno.</t>
  </si>
  <si>
    <t>Stampeding Scurryfoot</t>
  </si>
  <si>
    <t>Creature — Mouse</t>
  </si>
  <si>
    <t>Exhaust — {3}{G}: Put a +1/+1 counter on this creature. Create a 3/3 green Elephant creature token. (Activate each exhaust ability only once.)</t>
  </si>
  <si>
    <t>Dwynen's Elite / Elite de Dwynen</t>
  </si>
  <si>
    <t>When this creature enters, if you control another Elf, create a 1/1 green Elf Warrior creature token. / Quando Elite de Dwynen entrar no campo de batalha, se você controlar outro Elfo, coloque no campo de batalha uma ficha de criatura verde 1/1 do tipo Elfo Guerreiro.</t>
  </si>
  <si>
    <t>Krosan Tusker / Javali Krosano</t>
  </si>
  <si>
    <t>Creature — Boar Beast / Criatura — Javali Besta</t>
  </si>
  <si>
    <t>Cycling {2}{G} ({2}{G}, Discard this card: Draw a card.) When you cycle this card, you may search your library for a basic land card, reveal that card, put it into your hand, then shuffle. (Do this before you draw.) / Reciclar {2}{G} ({2}{G}, descarte este card: Compre um card.) Quando você recicla Javali Krosano, você pode procurar um card de terreno básico em seu grimório, revelá-lo, colocá-lo em sua mão e depois embaralhar seu grimório. (Faça isso antes de comprar.)</t>
  </si>
  <si>
    <t>Crash of Rhino Beetles / Manada de Besourocerontes</t>
  </si>
  <si>
    <t>Trample This creature gets +10/+10 as long as you control ten or more lands. / Atropelar Manada de Besourocerontes receberá +10/+10 enquanto você controlar dez ou mais terrenos.</t>
  </si>
  <si>
    <t>Pollenbright Druid / Druida do Pólen Brilhante</t>
  </si>
  <si>
    <t>When this creature enters, choose one — • Put a +1/+1 counter on target creature. • Proliferate. (Choose any number of permanents and/or players, then give each another counter of each kind already there.) / Quando Druida do Pólen Brilhante entrar no campo de batalha, escolha um. • Coloque um marcador +1/+1 na criatura alvo. • Prolifere. (Escolha qualquer número de permanentes e/ou jogadores. Em seguida, dê a cada um deles outro marcador de cada tipo que eles já tenham.)</t>
  </si>
  <si>
    <t>Nemata, Grove Guardian / Nemata, A Guardiã do Bosque</t>
  </si>
  <si>
    <t>Legendary Creature — Treefolk / Criatura Lendária — Ent</t>
  </si>
  <si>
    <t>{2}{G}: Create a 1/1 green Saproling creature token. Sacrifice a Saproling: Saproling creatures get +1/+1 until end of turn. / {2}{G}: Crie uma ficha de criatura Saprófita verde 1/1. Sacrifique uma Saprófita: As criaturas Saprófitas recebem +1/+1 até o final do turno.</t>
  </si>
  <si>
    <t>Fungal Plots / Terrenos Fungais</t>
  </si>
  <si>
    <t>{1}{G}, Exile a creature card from your graveyard: Create a 1/1 green Saproling creature token. Sacrifice two Saprolings: You gain 2 life and draw a card. / {1}{G}, exile um card de criatura de seu cemitério: Crie uma ficha de criatura verde 1/1 do tipo Saprófita. Sacrifique duas Saprófitas: Você ganha 2 pontos de vida e compra um card.</t>
  </si>
  <si>
    <t>Night of the Sweets' Revenge / Noite da Vingança dos Doces</t>
  </si>
  <si>
    <t>When this enchantment enters, create a Food token. (It's an artifact with "{2}, {T}, Sacrifice this token: You gain 3 life.") Foods you control have "{T}: Add {G}." {5}{G}{G}, Sacrifice this enchantment: Creatures you control get +X/+X until end of turn, where X is the number of Foods you control. Activate only as a sorcery. / Quando Noite da Vingança dos Doces entrar no campo de batalha, crie uma ficha de Comida. (Ela é um artefato com "{2}, {T}, sacrifique este artefato: Você ganha 3 pontos de vida".) As Comidas que você controla têm "{T}: Adicione {G}". {5}{G}{G}, sacrifique Noite da Vingança dos Doces: As criaturas que você controla recebem +X/+X até o final do turno, sendo X o número de Comidas que você controla. Ative somente como um feitiço.</t>
  </si>
  <si>
    <t>Manifest Dread</t>
  </si>
  <si>
    <t>Manifest dread. (Look at the top two cards of your library. Put one onto the battlefield face down as a 2/2 creature and the other into your graveyard. Turn it face up any time for its mana cost if it's a creature card.)</t>
  </si>
  <si>
    <t>Beast-Kin Ranger</t>
  </si>
  <si>
    <t>Creature — Elf Ranger</t>
  </si>
  <si>
    <t>Trample (This creature can deal excess combat damage to the player or planeswalker it's attacking.) Whenever another creature you control enters, this creature gets +1/+0 until end of turn.</t>
  </si>
  <si>
    <t>Wary Thespian / Ator Desconfiado</t>
  </si>
  <si>
    <t>Creature — Cat Druid / Criatura — Felino Druida</t>
  </si>
  <si>
    <t>When this creature enters or dies, surveil 1. (Look at the top card of your library. You may put it into your graveyard.) / Quando Ator Desconfiado entrar no campo de batalha ou morrer, use vigiar 1. (Olhe o card do topo de seu grimório. Você pode colocar aquele card em seu cemitério.)</t>
  </si>
  <si>
    <t>Flesh Burrower</t>
  </si>
  <si>
    <t>Deathtouch Whenever this creature attacks, another target creature you control gains deathtouch until end of turn.</t>
  </si>
  <si>
    <t>Monstrous Emergence</t>
  </si>
  <si>
    <t>As an additional cost to cast this spell, choose a creature you control or reveal a creature card from your hand. Monstrous Emergence deals damage equal to the power of the creature you chose or the card you revealed to target creature.</t>
  </si>
  <si>
    <t>Aim High / Mirar Alto</t>
  </si>
  <si>
    <t>Untap target creature. It gets +2/+2 and gains reach until end of turn. / Desvire a criatura alvo. Ela recebe +2/+2 e ganha alcance até o final do turno. (Ela pode bloquear criaturas com voar.)</t>
  </si>
  <si>
    <t>Thornweald Archer / Arqueiro de Espinoflora</t>
  </si>
  <si>
    <t>Reach (This creature can block creatures with flying.) Deathtouch (Any amount of damage this deals to a creature is enough to destroy it.) / Alcance, toque mortífero</t>
  </si>
  <si>
    <t>Cautious Survivor</t>
  </si>
  <si>
    <t>Creature — Elf Survivor</t>
  </si>
  <si>
    <t>Survival — At the beginning of your second main phase, if this creature is tapped, you gain 2 life.</t>
  </si>
  <si>
    <t>Luxurious Locomotive / Locomotiva Luxuosa</t>
  </si>
  <si>
    <t>Whenever this Vehicle attacks, create a Treasure token for each creature that crewed it this turn. (They're artifacts with "{T}, Sacrifice this token: Add one mana of any color.") Crew 1. Activate only once each turn. (Tap any number of creatures you control with total power 1 or more: This Vehicle becomes an artifact creature until end of turn.) / Toda vez que Locomotiva Luxuosa atacar, crie uma ficha de Tesouro por cada criatura que a tripulou neste turno. (Elas são artefatos com "{T}, sacrifique este artefato: Adicione um mana de qualquer cor".) Tripular 1. Ative apenas uma vez a cada turno. (Vire qualquer número de criaturas que você controla com total de poder igual ou superior a 1: Este Veículo torna-se uma criatura artefato até o final do turno.)</t>
  </si>
  <si>
    <t>Prized Statue / Estátua Cobiçada</t>
  </si>
  <si>
    <t>When this artifact enters or is put into a graveyard from the battlefield, create a Treasure token. (It's an artifact with "{T}, Sacrifice this token: Add one mana of any color.") / Quando Estátua Cobiçada entrar no campo de batalha ou for colocada num cemitério vinda do campo de batalha, crie uma ficha de Tesouro. (Ela é um artefato com "{T}, sacrifique este artefato: Adicione um mana de qualquer cor".)</t>
  </si>
  <si>
    <t>Gleaming Barrier / Barreira Reluzente</t>
  </si>
  <si>
    <t>Defender When this creature dies, create a Treasure token. (It's an artifact with "{T}, Sacrifice this token: Add one mana of any color.") / Defensor Quando Barreira Reluzente morrer, crie uma ficha de artefato incolor do tipo Tesouro com "{T}, sacrifique este artefato: Adicione um mana de qualquer cor à sua reserva de mana."</t>
  </si>
  <si>
    <t>Blood Servitor / Serviçal de Sangue</t>
  </si>
  <si>
    <t>When this creature enters, create a Blood token. (It's an artifact with "{1}, {T}, Discard a card, Sacrifice this token: Draw a card.") / Quando Serviçal de Sangue entrar no campo de batalha, crie uma ficha de Sangue. (Ela é um artefato com "{1}, {T}, descarte um card, sacrifique este artefato: Compre um card".)</t>
  </si>
  <si>
    <t>Aetherjacket</t>
  </si>
  <si>
    <t>Flying, vigilance {2}, {T}, Sacrifice this creature: Destroy another target artifact. Activate only as a sorcery.</t>
  </si>
  <si>
    <t>Scrabbling Claws / Garras Esmiuçadoras</t>
  </si>
  <si>
    <t>{T}: Target player exiles a card from their graveyard. {1}, Sacrifice this artifact: Exile target card from a graveyard. Draw a card. / {T}: O jogador alvo exila um card do próprio cemitério. {1}, sacrifique Garras Esmiuçadoras: Exile o card alvo de um cemitério. Compre um card.</t>
  </si>
  <si>
    <t>Malevolent Chandelier</t>
  </si>
  <si>
    <t>Flying {2}: Put target card from a graveyard on the bottom of its owner's library. Activate only as a sorcery.</t>
  </si>
  <si>
    <t>Clockwork Hydra / Hidra Mecânica</t>
  </si>
  <si>
    <t>Artifact Creature — Hydra / Criatura Artefato — Hidra</t>
  </si>
  <si>
    <t>This creature enters with four +1/+1 counters on it. Whenever this creature attacks or blocks, remove a +1/+1 counter from it. If you do, it deals 1 damage to any target. {T}: Put a +1/+1 counter on this creature. / Hidra Mecânica entra no campo de batalha com quatro marcadores +1/+1. Toda vez que Hidra Mecânica atacar ou bloquear, remova um marcador +1/+1 dela. Se fizer isso, Hidra Mecânica causará 1 ponto de dano a qualquer alvo. {T}: Coloque um marcador +1/+1 em Hidra Mecânica.</t>
  </si>
  <si>
    <t>Marshals' Pathcruiser</t>
  </si>
  <si>
    <t>When this Vehicle enters, search your library for a basic land card, reveal it, put it into your hand, then shuffle. Exhaust — {W}{U}{B}{R}{G}: This Vehicle becomes an artifact creature. Put two +1/+1 counters on it. (Activate each exhaust ability only once.) Crew 5</t>
  </si>
  <si>
    <t>Walking Sarcophagus</t>
  </si>
  <si>
    <t>Artifact Creature — Zombie Cat</t>
  </si>
  <si>
    <t>Start your engines! (If you have no speed, it starts at 1. It increases once on each of your turns when an opponent loses life. Max speed is 4.) Max speed — This creature gets +1/+2.</t>
  </si>
  <si>
    <t>Sorcerer's Broom / Vassoura do Feiticeiro</t>
  </si>
  <si>
    <t>Whenever you sacrifice another permanent, you may pay {3}. If you do, create a token that's a copy of this creature. / Toda vez que sacrifica outra permanente, você pode pagar {3}. Se fizer isso, crie uma ficha que seja uma cópia de Vassoura do Feiticeiro.</t>
  </si>
  <si>
    <t>Scuttling Butler / Mordomo dos Passos Rápidos</t>
  </si>
  <si>
    <t>At the beginning of combat on your turn, if you control two or more multicolored permanents, this creature gains double strike until end of turn. / No início do combate no seu turno, se você controla duas ou mais permanentes multicoloridas, Mordomo dos Passos Rápidos ganha golpe duplo até o final do turno.</t>
  </si>
  <si>
    <t>Ajani's Pridemate / Companheiro de Bando de Ajani</t>
  </si>
  <si>
    <t>Whenever you gain life, put a +1/+1 counter on this creature. / Toda vez que você ganha pontos de vida, você pode colocar um marcador +1/+1 em Companheiro de Bando de Ajani.</t>
  </si>
  <si>
    <t>Sram's Expertise / Especialidade de Sram</t>
  </si>
  <si>
    <t>Create three 1/1 colorless Servo artifact creature tokens. You may cast a spell with mana value 3 or less from your hand without paying its mana cost. / Crie três fichas de criatura artefato incolores 1/1 do tipo Servus. Você pode conjurar um card com custo de mana convertido igual ou inferior a 3 de sua mão sem pagar seu custo de mana.</t>
  </si>
  <si>
    <t>Militia Bugler / Corneteiro da Milícia</t>
  </si>
  <si>
    <t>Vigilance (Attacking doesn't cause this creature to tap.) When this creature enters, look at the top four cards of your library. You may reveal a creature card with power 2 or less from among them and put it into your hand. Put the rest on the bottom of your library in a random order. / Vigilância (Esta criatura não é virada para atacar.) Quando Corneteiro da Milícia entrar no campo de batalha, olhe os quatro cards do topo de seu grimório. Você pode revelar um card de criatura com poder igual ou inferior a 2 dentre eles e colocá-lo em sua mão. Coloque o restante no fundo de seu grimório em ordem aleatória.</t>
  </si>
  <si>
    <t>Angel of Deliverance / Anjo do Livramento</t>
  </si>
  <si>
    <t>Flying Delirium — Whenever this creature deals damage, if there are four or more card types among cards in your graveyard, exile target creature an opponent controls. / Voar Delírio — Toda vez que Anjo do Livramento causar dano, se houver quatro ou mais tipos de card entre os cards de seu cemitério, exile a criatura alvo que um oponente controla.</t>
  </si>
  <si>
    <t>Ajani's Last Stand / Resistência Final de Ajani</t>
  </si>
  <si>
    <t>Whenever a creature or planeswalker you control dies, you may sacrifice this enchantment. If you do, create a 4/4 white Avatar creature token with flying. When a spell or ability an opponent controls causes you to discard this card, if you control a Plains, create a 4/4 white Avatar creature token with flying. / Toda vez que uma criatura ou planeswalker que você controla morre, você pode sacrificar Resistência Final de Ajani. Se fizer isso, crie uma ficha de criatura branca 4/4 do tipo Avatar com voar. Quando uma mágica ou habilidade que um oponente controla fizer com que você descarte este card, se você controlar uma Planície, crie uma ficha de criatura branca 4/4 do tipo Avatar com voar.</t>
  </si>
  <si>
    <t>Acclaimed Contender / Competidora Aclamada</t>
  </si>
  <si>
    <t>When this creature enters, if you control another Knight, look at the top five cards of your library. You may reveal a Knight, Aura, Equipment, or legendary artifact card from among them and put it into your hand. Put the rest on the bottom of your library in a random order. / Quando Competidora Aclamada entrar no campo de batalha, se você controlar outro Cavaleiro, olhe os cinco cards do topo de seu grimório. Você pode revelar um card de Cavaleiro, Aura, Equipamento ou artefato lendário dentre eles e colocá-lo em sua mão. Coloque o restante no fundo de seu grimório em ordem aleatória.</t>
  </si>
  <si>
    <t>Case of the Gateway Express / Caso do Expresso do Portão</t>
  </si>
  <si>
    <t>Enchantment — Case / Encantamento — Caso</t>
  </si>
  <si>
    <t>When this Case enters, choose target creature you don't control. Each creature you control deals 1 damage to that creature. To solve — Three or more creatures attacked this turn. (If unsolved, solve at the beginning of your end step.) Solved — Creatures you control get +1/+0. / Quando este Caso entrar no campo de batalha, escolha a criatura alvo que você não controla. Cada criatura que você controla causa 1 ponto de dano àquela criatura. Para Solucionar — Três ou mais criaturas atacaram neste turno. (Se o Caso não tiver sido solucionado, solucione-o no início de sua etapa final.) Solucionado — As criaturas que você controla recebem +1/+0.</t>
  </si>
  <si>
    <t>Ainok Bond-Kin / Ainok Laço-de-honra</t>
  </si>
  <si>
    <t>Creature — Dog Soldier / Criatura — Sabujo Soldado</t>
  </si>
  <si>
    <t>Outlast {1}{W} ({1}{W}, {T}: Put a +1/+1 counter on this creature. Outlast only as a sorcery.) Each creature you control with a +1/+1 counter on it has first strike. / Sobreviver {1}{W} ({1}{W}, {T}: Coloque um marcador +1/+1 nesta criatura. Use sobreviver somente como um feitiço.) Cada criatura que você controla com um marcador +1/+1 tem iniciativa.</t>
  </si>
  <si>
    <t>Samite Herbalist / Herborista Samita</t>
  </si>
  <si>
    <t>Whenever this creature becomes tapped, you gain 1 life and scry 1. (Look at the top card of your library. You may put that card on the bottom.) / Toda vez que Herborista Samita se torna virada, você ganha 1 ponto de vida e usa vidência 1. (Olhe o card do topo de seu grimório. Você pode colocar aquele card no fundo de seu grimório.)</t>
  </si>
  <si>
    <t>On the Job / Ao Trabalho</t>
  </si>
  <si>
    <t>Creatures you control get +2/+1 until end of turn. Investigate. (Create a Clue token. It's an artifact with "{2}, Sacrifice this token: Draw a card.") / As criaturas que você controla recebem +2/+1 até o final do turno. Investigue.</t>
  </si>
  <si>
    <t>Pianna, Nomad Captain / Pianna, Capitã Nômade</t>
  </si>
  <si>
    <t>Legendary Creature — Human Nomad / Criatura Lendária — Humano Nômade</t>
  </si>
  <si>
    <t>Whenever Pianna attacks, attacking creatures get +1/+1 until end of turn. / Toda vez que Pianna, Capitã Nômade ataca, as criaturas atacantes recebem +1/+1 até o final do turno.</t>
  </si>
  <si>
    <t>Benalish Faithbonder</t>
  </si>
  <si>
    <t>Vigilance Enlist (As this creature attacks, you may tap a nonattacking creature you control without summoning sickness. When you do, add its power to this creature's until end of turn.)</t>
  </si>
  <si>
    <t>Acidic Slime / Limo Ácido</t>
  </si>
  <si>
    <t>Creature — Ooze / Criatura — Lodo</t>
  </si>
  <si>
    <t>Deathtouch (Any amount of damage this deals to a creature is enough to destroy it.) When this creature enters, destroy target artifact, enchantment, or land. / Toque mortífero (Qualquer quantidade de dano que esta criatura cause a uma criatura é suficiente para destruí-la.) Quando Limo Ácido entrar no campo de batalha, destrua o artefato, encantamento ou terreno alvo.</t>
  </si>
  <si>
    <t>Verdeloth the Ancient / Verdeloth, o Antigo</t>
  </si>
  <si>
    <t>Kicker {X} (You may pay an additional {X} as you cast this spell.) Saproling creatures and other Treefolk creatures get +1/+1. When Verdeloth enters, if it was kicked, create X 1/1 green Saproling creature tokens. / Reforçar {X} (Você pode pagar um custo adicional de {X} ao jogar esta mágica.) Todos os outros Ents e Saprófitas recebem +1/+1. Quando Verdeloth, o Antigo entrar em jogo, se seu custo de reforço tiver sido pago, coloque em jogo X fichas de criatura verde 1/1 do tipo Saprófita.</t>
  </si>
  <si>
    <t>Armorcraft Judge / Jurada de Armoraria</t>
  </si>
  <si>
    <t>Creature — Elf Artificer / Criatura — Elfo Artesão</t>
  </si>
  <si>
    <t>When this creature enters, draw a card for each creature you control with a +1/+1 counter on it. / Quando Jurada de Armoraria entrar no campo de batalha, compre um card para cada criatura que você controla com um marcador +1/+1.</t>
  </si>
  <si>
    <t>Oviya Pashiri, Sage Lifecrafter / Oviya Pashiri, Sábia Vivideira</t>
  </si>
  <si>
    <t>{2}{G}, {T}: Create a 1/1 colorless Servo artifact creature token. {4}{G}, {T}: Create an X/X colorless Construct artifact creature token, where X is the number of creatures you control. / {2}{G}, {T}: Crie uma ficha de criatura artefato incolor 1/1 do tipo Servus. {4}{G}, {T}: Crie uma ficha de criatura artefato incolor X/X do tipo Construto, sendo X o número de criaturas que você controla.</t>
  </si>
  <si>
    <t>Rampaging Brontodon / Brontodonte Enfurecido</t>
  </si>
  <si>
    <t>Trample Whenever this creature attacks, it gets +1/+1 until end of turn for each land you control. / Atropelar Toda vez que Brontodonte Enfurecido ataca, ele recebe +1/+1 até o final do turno para cada terreno que você controla.</t>
  </si>
  <si>
    <t>Beastrider Vanguard</t>
  </si>
  <si>
    <t>{4}{G}: Look at the top three cards of your library. You may reveal a permanent card from among them and put it into your hand. Put the rest on the bottom of your library in any order.</t>
  </si>
  <si>
    <t>Might of Old Krosa / Bravura da Antiga Krosa</t>
  </si>
  <si>
    <t>Target creature gets +2/+2 until end of turn. If you cast this spell during your main phase, that creature gets +4/+4 until end of turn instead. / A criatura alvo recebe +2/+2 até o final do turno. Se você conjurou esta mágica durante sua fase principal, em vez disso, aquela criatura recebe +4/+4 até o final do turno.</t>
  </si>
  <si>
    <t>The Wilds / As Terras Selvagens</t>
  </si>
  <si>
    <t>Plane — Eldraine / Plano — Eldraine</t>
  </si>
  <si>
    <t>When you planeswalk to The Wilds and at the beginning of your upkeep, create a Food token. Whenever chaos ensues, target player sacrifices a creature of their choice. If they do, you create a Food token. You create two Food tokens instead if the sacrificed creature's toughness was 4 or greater. / Quando você transplanar para As Terras Selvagens e no início de sua manutenção, crie uma ficha de Comida. Toda vez que o caos se instaura, o jogador alvo sacrifica uma criatura. Se ele fizer isso, você cria uma ficha de Comida. Se a resistência da criatura sacrificada era igual ou superior a 4, você cria, em vez disso, duas fichas de Comida.</t>
  </si>
  <si>
    <t>March of the Machine Commander (MOC)</t>
  </si>
  <si>
    <t>Bite Down / Abocanhar</t>
  </si>
  <si>
    <t>Soul's Might / Poder da Alma</t>
  </si>
  <si>
    <t>Put X +1/+1 counters on target creature, where X is that creature's power. / Coloque X marcadores +1/+1 na criatura alvo, sendo X igual ao poder daquela criatura.</t>
  </si>
  <si>
    <t>Wrench / Chave Ajustável</t>
  </si>
  <si>
    <t>Artifact — Clue Equipment / Artefato — Pista Equipamento</t>
  </si>
  <si>
    <t>Equipped creature gets +1/+1 and has vigilance and "{3}, {T}: Tap target creature." {2}, Sacrifice this Equipment: Draw a card. Equip {2} / A criatura equipada recebe +1/+1 e tem vigilância e "{3}, {T}: Vire a criatura alvo". {2}, sacrifique Chave Ajustável: Compre um card. Equipar {2}</t>
  </si>
  <si>
    <t>Ancestral Blade / Lâmina Ancestral</t>
  </si>
  <si>
    <t>When this Equipment enters, create a 1/1 white Soldier creature token, then attach this Equipment to it. Equipped creature gets +1/+1. Equip {1} ({1}: Attach to target creature you control. Equip only as a sorcery.) / Quando Lâmina Ancestral entrar no campo de batalha, crie uma ficha de criatura branca 1/1 do tipo Soldado e anexe Lâmina Ancestral a ela. A criatura equipada recebe +1/+1. Equipar {1} ({1}: Anexe este equipamento à criatura alvo que você controla. Equipe somente como um feitiço.)</t>
  </si>
  <si>
    <t>Gallant Strike</t>
  </si>
  <si>
    <t>Destroy target creature with toughness 4 or greater. Cycling {2} ({2}, Discard this card: Draw a card.)</t>
  </si>
  <si>
    <t>Luminous Rebuke</t>
  </si>
  <si>
    <t>Bounding Felidar / Felidar a Galope</t>
  </si>
  <si>
    <t>Creature — Cat Beast Mount / Criatura — Felino Besta Montaria</t>
  </si>
  <si>
    <t>Whenever this creature attacks while saddled, put a +1/+1 counter on each other creature you control. You gain 1 life for each of those creatures. Saddle 2 (Tap any number of other creatures you control with total power 2 or more: This Mount becomes saddled until end of turn. Saddle only as a sorcery.) / Toda vez que Felidar a Galope atacar selado, coloque um marcador +1/+1 em cada outra criatura que você controla. Você ganha 1 ponto de vida por cada uma daquelas criaturas. Selar 2 (Vire qualquer número de outras criaturas que você controla com total de poder igual ou superior a 2: Esta Montaria torna-se selada até o final do turno. Sele somente como um feitiço.)</t>
  </si>
  <si>
    <t>Azorius Justiciar / Justiciar Azorius</t>
  </si>
  <si>
    <t>When this creature enters, detain up to two target creatures your opponents control. (Until your next turn, those creatures can't attack or block and their activated abilities can't be activated.) / Quando Justiciar Azorius entrar no campo de batalha, detenha até duas criaturas alvo que seus oponentes controlem. (Até seu próximo turno, aquelas criaturas não podem atacar nem bloquear e as habilidades ativadas delas não podem ser ativadas.)</t>
  </si>
  <si>
    <t>Knight of Dawn's Light / Cavaleira da Luz do Alvorecer</t>
  </si>
  <si>
    <t>First strike If you would gain life, you gain that much life plus 1 instead. {1}{W}: This creature gets +1/+1 until end of turn. / Iniciativa Se você ganharia pontos de vida, em vez disso, você ganha aquela quantidade de pontos de vida mais 1. {1}{W}: Cavaleira da Luz do Alvorecer recebe +1/+1 até o final do turno.</t>
  </si>
  <si>
    <t>Angelic Exaltation / Exaltação Angelical</t>
  </si>
  <si>
    <t>Whenever a creature you control attacks alone, it gets +X/+X until end of turn, where X is the number of creatures you control. / Toda vez que uma criatura que você controla ataca sozinha, ela recebe +X/+X até o final do turno, sendo X o número de criaturas que você controla.</t>
  </si>
  <si>
    <t>Tender Wildguide</t>
  </si>
  <si>
    <t>Creature — Possum Druid</t>
  </si>
  <si>
    <t>Offspring {2} (You may pay an additional {2} as you cast this spell. If you do, when this creature enters, create a 1/1 token copy of it.) {T}: Add one mana of any color. {T}: Put a +1/+1 counter on this creature.</t>
  </si>
  <si>
    <t>Bestow {X}{G}{G} (If you cast this card for its bestow cost, it's an Aura spell with enchant creature. It becomes a creature again if it's not attached.) Reach, trample This permanent enters with X +1/+1 counters on it. Enchanted creature gets +1/+1 for each +1/+1 counter on this Aura and has reach and trample. / Agraciar {X}{G}{G} (Se você conjurar este card por seu custo de agraciar, ele será uma mágica de Aura com encantar criatura. Ele se tornará novamente uma criatura se não estiver anexado.) Alcance, atropelar Hidra Nyxnata entra no campo de batalha com X marcadores +1/+1. A criatura encantada recebe +1/+1 por cada marcador +1/+1 em Hidra Nyxnata e tem alcance e atropelar.</t>
  </si>
  <si>
    <t>Bakersbane Duo</t>
  </si>
  <si>
    <t>Creature — Squirrel Raccoon</t>
  </si>
  <si>
    <t>When this creature enters, create a Food token. Whenever you expend 4, this creature gets +1/+1 until end of turn. (You expend 4 as you spend your fourth total mana to cast spells during a turn.)</t>
  </si>
  <si>
    <t>Feed the Cycle</t>
  </si>
  <si>
    <t>As an additional cost to cast this spell, forage or pay {B}. (To forage, exile three cards from your graveyard or sacrifice a Food.) Destroy target creature or planeswalker.</t>
  </si>
  <si>
    <t>Reckless Handling / Manuseio Descuidado</t>
  </si>
  <si>
    <t>Search your library for an artifact card, reveal it, put it into your hand, shuffle, then discard a card at random. If an artifact card was discarded this way, Reckless Handling deals 2 damage to each opponent. / Procure em seu grimório um card de artefato, revele-o, coloque-o em sua mão, embaralhe e depois descarte um card aleatoriamente. Se um card de artefato foi descartado dessa forma, Manuseio Descuidado causa 2 pontos de dano a cada oponente.</t>
  </si>
  <si>
    <t>Ruthless Negotiation</t>
  </si>
  <si>
    <t>Target opponent exiles a card from their hand. If this spell was cast from a graveyard, draw a card. Flashback {4}{B} (You may cast this card from your graveyard for its flashback cost. Then exile it.)</t>
  </si>
  <si>
    <t>Storm-Kiln Artist / Artista da Fornalha Tempestuosa</t>
  </si>
  <si>
    <t>Creature — Dwarf Shaman / Criatura — Anão Xamã</t>
  </si>
  <si>
    <t>This creature gets +1/+0 for each artifact you control. Magecraft — Whenever you cast or copy an instant or sorcery spell, create a Treasure token. (It's an artifact with "{T}, Sacrifice this token: Add one mana of any color.") / Artista da Fornalha Tempestuosa recebe +1/+0 para cada artefato que você controla. Magifício — Toda vez que você conjurar ou copiar uma mágica instantânea ou um feitiço, crie uma ficha de Tesouro.</t>
  </si>
  <si>
    <t>Jaya's Immolating Inferno / Inferno Imolante de Jaya</t>
  </si>
  <si>
    <t>(You may cast a legendary sorcery only if you control a legendary creature or planeswalker.) Jaya's Immolating Inferno deals X damage to each of up to three targets. / (Você só pode conjurar um feitiço lendário se controlar uma criatura lendária ou um planeswalker lendário.) Inferno Imolante de Jaya causa X pontos de dano a cada um de até três alvos.</t>
  </si>
  <si>
    <t>Tyrox, Saurid Tyrant</t>
  </si>
  <si>
    <t>Legendary Creature — Dinosaur Warrior</t>
  </si>
  <si>
    <t>Urabrask's Anointer / Ungidor de Urabrask</t>
  </si>
  <si>
    <t>Artifact Creature — Phyrexian Wizard / Criatura Artefato — Phyrexiano Mago</t>
  </si>
  <si>
    <t>When this creature enters, it deals X damage to any target, where X is the number of permanents you control with oil counters on them. / Quando Ungidor de Urabrask entra no campo de batalha, ele causa X pontos de dano a qualquer alvo, sendo X o número de permanentes que você controla com marcadores de óleo.</t>
  </si>
  <si>
    <t>Irreverent Gremlin</t>
  </si>
  <si>
    <t>Creature — Gremlin</t>
  </si>
  <si>
    <t>Menace (This creature can't be blocked except by two or more creatures.) Whenever another creature you control with power 2 or less enters, you may discard a card. If you do, draw a card. Do this only once each turn.</t>
  </si>
  <si>
    <t>Molten Gatekeeper / Porteiro Fundente</t>
  </si>
  <si>
    <t>Whenever another creature you control enters, this creature deals 1 damage to each opponent. Unearth {R} ({R}: Return this card from your graveyard to the battlefield. It gains haste. Exile it at the beginning of the next end step or if it would leave the battlefield. Unearth only as a sorcery.) / Toda vez que outra criatura entra no campo de batalha sob seu controle, Porteiro Fundente causa 1 ponto de dano a cada oponente. Desenterrar {R} ({R}: Devolva este card de seu cemitério ao campo de batalha. Ele ganha ímpeto. Exile-o no início da próxima etapa final ou se ele for deixar o campo de batalha. Use desenterrar somente como um feitiço.)</t>
  </si>
  <si>
    <t>Spitebellows / Bocarras Hostis</t>
  </si>
  <si>
    <t>When this creature leaves the battlefield, it deals 6 damage to target creature. Evoke {1}{R}{R} (You may cast this spell for its evoke cost. If you do, it's sacrificed when it enters.) / Quando Bocarras Hostis deixa o jogo, ele causa 6 pontos de dano à criatura alvo. Evocar {1}{R}{R} (Você pode jogar esta mágica pagando seu custo de evocar. Se fizer isso, ela será sacrificada quando entrar em jogo.)</t>
  </si>
  <si>
    <t>Trial of Agony</t>
  </si>
  <si>
    <t>Choose two target creatures controlled by the same opponent. That player chooses one of those creatures. Trial of Agony deals 5 damage to that creature, and the other can't block this turn.</t>
  </si>
  <si>
    <t>Elvish Pioneer / Pioneiro Élfico</t>
  </si>
  <si>
    <t>Creature — Elf Druid / Criatura — Druida Elfo</t>
  </si>
  <si>
    <t>When this creature enters, you may put a basic land card from your hand onto the battlefield tapped. / Quando Pioneiro Élfico entra em jogo, você pode colocar em jogo, virado, um card de terreno básico de sua mão.</t>
  </si>
  <si>
    <t>Gift of the Viper / Presente da Víbora</t>
  </si>
  <si>
    <t>Put a +1/+1 counter, a reach counter, and a deathtouch counter on target creature. Untap it. / Coloque um marcador +1/+1, um marcador de alcance e um marcador de toque mortífero na criatura alvo. Desvire aquela criatura.</t>
  </si>
  <si>
    <t>Surrak, the Hunt Caller / Surrak, o Convocador da Caçada</t>
  </si>
  <si>
    <t>Formidable — At the beginning of combat on your turn, if creatures you control have total power 8 or greater, target creature you control gains haste until end of turn. (It can attack and {T} no matter when it came under your control.) / Formidável — No início do combate no seu turno, se o total de poder das criaturas que você controla for igual ou superior a 8, a criatura alvo que você controla ganha ímpeto até o final do turno.</t>
  </si>
  <si>
    <t>Jade Mage / Mago Jade</t>
  </si>
  <si>
    <t>{2}{G}: Create a 1/1 green Saproling creature token. / {2}{G}: Coloque no campo de batalha uma ficha de criatura verde 1/1 do tipo Saprófita.</t>
  </si>
  <si>
    <t>Hunter's Insight / Percepção do Caçador</t>
  </si>
  <si>
    <t>Choose target creature you control. Whenever that creature deals combat damage to a player or planeswalker this turn, draw that many cards. / Escolha a criatura alvo que você controla. Toda vez que aquela criatura causar dano de combate a um jogador ou a um planeswalker neste turno, compre uma quantidade equivalente de cards.</t>
  </si>
  <si>
    <t>Animal Magnetism / Magnetismo Animal</t>
  </si>
  <si>
    <t>Reveal the top five cards of your library. An opponent chooses a creature card from among them. Put that card onto the battlefield and the rest into your graveyard. / Revele os cinco cards do topo de seu grimório. Um oponente escolhe um card de criatura entre eles. Coloque aquele card em jogo em os outros em seu cemitério.</t>
  </si>
  <si>
    <t>Slavering Branchsnapper</t>
  </si>
  <si>
    <t>Creature — Lizard</t>
  </si>
  <si>
    <t>Trample Forestcycling {2} ({2}, Discard this card: Search your library for a Forest card, reveal it, put it into your hand, then shuffle.)</t>
  </si>
  <si>
    <t>Loyal Guardian / Guardião Leal</t>
  </si>
  <si>
    <t>Creature — Rhino / Criatura — Rinoceronte</t>
  </si>
  <si>
    <t>Trample Lieutenant — At the beginning of combat on your turn, if you control your commander, put a +1/+1 counter on each creature you control. / Atropelar Tenente — No início do combate no seu turno, se você controlar seu comandante, coloque um marcador +1/+1 em cada criatura que você controla.</t>
  </si>
  <si>
    <t>At the beginning of your end step, if a face-down creature entered the battlefield under your control this turn, put a +1/+1 counter on this creature. {T}: Add {G}. / No início de sua etapa final, se uma criatura com a face voltada para baixo tiver entrado no campo de batalha sob seu controle neste turno, coloque um marcador +1/+1 em Informante dos Túneis. {T}: Adicione {G}.</t>
  </si>
  <si>
    <t>Mammoth Growth / Crescimento Mastodôntico</t>
  </si>
  <si>
    <t>Target creature gets +4/+4 until end of turn. Foretell {G} (During your turn, you may pay {2} and exile this card from your hand face down. Cast it on a later turn for its foretell cost.) / A criatura alvo recebe +4/+4 até o final do turno. Profetizar {G} (Durante o seu turno, você pode pagar {2} e exilar este card de sua mão voltado para baixo. Conjure-o em um turno posterior pagando seu custo de profetizar.)</t>
  </si>
  <si>
    <t>Forced Landing / Aterrissagem Forçada</t>
  </si>
  <si>
    <t>Put target creature with flying on the bottom of its owner's library. / Coloque a criatura alvo com voar no fundo do grimório de seu dono.</t>
  </si>
  <si>
    <t>Migrating Ketradon</t>
  </si>
  <si>
    <t>Reach When this creature enters, you gain 4 life. Cycling {2} ({2}, Discard this card: Draw a card.)</t>
  </si>
  <si>
    <t>Adventurous Impulse / Impulso Aventureiro</t>
  </si>
  <si>
    <t>Look at the top three cards of your library. You may reveal a creature or land card from among them and put it into your hand. Put the rest on the bottom of your library in any order. / Olhe os três cards do topo de seu grimório. Você pode revelar um card de criatura ou terreno dentre eles e colocá-lo em sua mão. Coloque o restante no fundo de seu grimório em qualquer ordem.</t>
  </si>
  <si>
    <t>Scale the Heights / Escalar as Alturas</t>
  </si>
  <si>
    <t>Put a +1/+1 counter on up to one target creature. You gain 2 life. You may play an additional land this turn. Draw a card. / Coloque um marcador +1/+1 em até uma criatura alvo. Você ganha 2 pontos de vida. Você pode jogar um terreno adicional neste turno. Compre um card.</t>
  </si>
  <si>
    <t>Hunter's Edge / Vantagem da Caçadora</t>
  </si>
  <si>
    <t>Put a +1/+1 counter on target creature you control. Then that creature deals damage equal to its power to target creature you don't control. / Coloque um marcador +1/+1 na criatura alvo que você controla. Em seguida, aquela criatura causa uma quantidade de dano igual ao próprio poder à criatura alvo que você não controla.</t>
  </si>
  <si>
    <t>Flaxen Intruder // Welcome Home / Intrusa das Madeixas Douradas // Boas-vindas ao Lar</t>
  </si>
  <si>
    <t>Creature — Human Berserker // Sorcery — Adventure / Criatura — Humano Amoque</t>
  </si>
  <si>
    <t>Flaxen Intruder: Whenever this creature deals combat damage to a player, you may sacrifice it. When you do, destroy target artifact or enchantment. // Welcome Home: Create three 2/2 green Bear creature tokens. (Then exile this card. You may cast the creature later from exile.) / Toda vez que Intrusa das Madeixas Douradas causa dano de combate a um jogador, você pode sacrificá-la. Quando fizer isso, destrua o artefato ou encantamento alvo.</t>
  </si>
  <si>
    <t>{G} // {5}{G}{G}</t>
  </si>
  <si>
    <t>Bulk old frame</t>
  </si>
  <si>
    <t>Bulk vitor RJ</t>
  </si>
  <si>
    <t>Bulk Leticia SC</t>
  </si>
  <si>
    <t>Bulk Sol</t>
  </si>
  <si>
    <t>Item</t>
  </si>
  <si>
    <t>Quantidade</t>
  </si>
  <si>
    <t>Cor</t>
  </si>
  <si>
    <t>Total de cartas</t>
  </si>
  <si>
    <t>Cartas únicas</t>
  </si>
  <si>
    <t>Foil / Sim</t>
  </si>
  <si>
    <t>Não foil</t>
  </si>
  <si>
    <t>Valor total aproximado</t>
  </si>
  <si>
    <t>R$ 4,75</t>
  </si>
  <si>
    <t>Valor médio por carta</t>
  </si>
  <si>
    <t>R$ 0,09</t>
  </si>
  <si>
    <t>Raras</t>
  </si>
  <si>
    <t>Míticas</t>
  </si>
  <si>
    <t>Cor / Identidade exibida</t>
  </si>
  <si>
    <t>Criatura</t>
  </si>
  <si>
    <t>Instantânea</t>
  </si>
  <si>
    <t>The Wasp, Winsome Avenger</t>
  </si>
  <si>
    <t>Legendary Creature — Human Hero</t>
  </si>
  <si>
    <t>Flash Flying When The Wasp enters, target Hero gains hexproof until end of turn. Whenever The Wasp attacks, tap target creature defending player controls.</t>
  </si>
  <si>
    <t>Marvel Super Heroes Commander (MSC)</t>
  </si>
  <si>
    <t>Austere Command / Comando Austero</t>
  </si>
  <si>
    <t>Choose two — • Destroy all artifacts. • Destroy all enchantments. • Destroy all creatures with mana value 3 or less. • Destroy all creatures with mana value 4 or greater. / Escolha dois — • Destrua todos os artefatos. • Destrua todos os encantamentos. • Destrua todas as criaturas com valor de mana igual ou inferior a 3. • Destrua todas as criaturas com valor de mana igual ou superior a 4.</t>
  </si>
  <si>
    <t>Captain America, Team Leader</t>
  </si>
  <si>
    <t>Legendary Creature — Human Soldier Hero</t>
  </si>
  <si>
    <t>Whenever another Hero you control enters, it gains vigilance and haste until end of turn. Put a +1/+1 counter on that Hero and a +1/+1 counter on Captain America.</t>
  </si>
  <si>
    <t>{R}{W}{U}</t>
  </si>
  <si>
    <t>Vermelho, Azul, Branco</t>
  </si>
  <si>
    <t>Vision, Synthezoid Avenger</t>
  </si>
  <si>
    <t>Legendary Artifact Creature — Robot Hero</t>
  </si>
  <si>
    <t>Flying Whenever a player casts a spell, if it isn't that player's turn, choose one — • Put a +1/+1 counter on Vision. • Vision phases out. (Treat him and anything attached to him as though they don't exist until your next turn.)</t>
  </si>
  <si>
    <t>Exotic Orchard / Pomar Exótico</t>
  </si>
  <si>
    <t>{T}: Add one mana of any color that a land an opponent controls could produce. / {T}: Adicione um mana de qualquer cor que um terreno controlado por um oponente possa gerar.</t>
  </si>
  <si>
    <t>Rip Apart / Fender</t>
  </si>
  <si>
    <t>Choose one — • Rip Apart deals 3 damage to target creature or planeswalker. • Destroy target artifact or enchantment. / Escolha um — • Fender causa 3 pontos de dano à criatura ou ao planeswalker alvo. • Destrua o artefato ou o encantamento alvo.</t>
  </si>
  <si>
    <t>Bastion Protector / Protetora do Bastião</t>
  </si>
  <si>
    <t>Commander creatures you control get +2/+2 and have indestructible. / As criaturas comandantes que você controla recebem +2/+2 e têm indestrutível.</t>
  </si>
  <si>
    <t>Plains // Plains / Planície</t>
  </si>
  <si>
    <t>Card // Card / Terreno Básico — Planície</t>
  </si>
  <si>
    <t>Folk Hero / Herói do Povo</t>
  </si>
  <si>
    <t>Commander creatures you own have "Whenever you cast a spell that shares a creature type with this creature, draw a card. This ability triggers only once each turn." / As criaturas comandantes que você possui têm "Toda vez que você conjurar uma mágica que compartilhe um tipo de criatura com esta criatura, compre um card. Esta habilidade é desencadeada apenas uma vez a cada turno".</t>
  </si>
  <si>
    <t>Scavenger Grounds / Território dos Necrófagos</t>
  </si>
  <si>
    <t>Land — Desert / Terreno — Deserto</t>
  </si>
  <si>
    <t>{T}: Add {C}. {2}, {T}, Sacrifice a Desert: Exile all graveyards. / {T}: Adicione {C} à sua reserva de mana. {2}, {T}, sacrifique um Deserto: Exile todos os cards de todos os cemitérios.</t>
  </si>
  <si>
    <t>Coastal Peak</t>
  </si>
  <si>
    <t>Land — Island Mountain</t>
  </si>
  <si>
    <t>({T}: Add {U} or {R}.) This land enters tapped. Cycling {2} ({2}, Discard this card: Draw a card.)</t>
  </si>
  <si>
    <t>Scarlet Witch, Chaotic Avenger</t>
  </si>
  <si>
    <t>Legendary Creature — Mutant Warlock Hero</t>
  </si>
  <si>
    <t>Flying Whenever Scarlet Witch deals combat damage to a player, look at the top two cards of your library, then exile them face down. Then you may cast a Hero or noncreature spell from among cards exiled with Scarlet Witch without paying its mana cost.</t>
  </si>
  <si>
    <t>Unclaimed Territory / Território Não Reivindicado</t>
  </si>
  <si>
    <t>As this land enters, choose a creature type. {T}: Add {C}. {T}: Add one mana of any color. Spend this mana only to cast a creature spell of the chosen type. / Conforme Território Não Reivindicado entra no campo de batalha, escolha um tipo de criatura. {T}: Adicione {C} à sua reserva de mana. {T}: Adicione um mana de qualquer cor à sua reserva de mana. Gaste este mana apenas para conjurar uma mágica de criatura do tipo escolhido.</t>
  </si>
  <si>
    <t>Captain Mar-Vell, Space-Born</t>
  </si>
  <si>
    <t>Legendary Creature — Kree Soldier Hero</t>
  </si>
  <si>
    <t>Flying, vigilance Cosmic Awareness — As long as an opponent has cast a spell this turn, you may cast spells as though they had flash.</t>
  </si>
  <si>
    <t>Marvel Super Heroes (MSH)</t>
  </si>
  <si>
    <t>This land enters tapped. {T}: Add {U}, {R}, or {W}. / Monastério Místico entra no campo de batalha virado. {T}: Adicione {U}, {R} ou {W} à sua reserva de mana.</t>
  </si>
  <si>
    <t>Thor, Asgard's Avenger</t>
  </si>
  <si>
    <t>Legendary Creature — God Warrior Hero</t>
  </si>
  <si>
    <t>Flying If another source you control would deal damage to an opponent or a permanent an opponent controls, it deals that much damage plus 1 instead.</t>
  </si>
  <si>
    <t>Avengers Quinjet</t>
  </si>
  <si>
    <t>Flying Whenever this Vehicle enters or attacks, choose one — • You may put a Hero creature card from your hand onto the battlefield. • Return target Hero creature card from your graveyard to your hand. Crew 3</t>
  </si>
  <si>
    <t>Hulkbuster Armor</t>
  </si>
  <si>
    <t>Legendary Artifact — Equipment</t>
  </si>
  <si>
    <t>Equipped creature has base power and toughness 9/9 and has flying. Equip Hero {3} Equip {6}</t>
  </si>
  <si>
    <t>Mountain / Montanha</t>
  </si>
  <si>
    <t>Basic Land — Mountain / Terreno Básico — Montanha</t>
  </si>
  <si>
    <t>({T}: Add {R}.) / R</t>
  </si>
  <si>
    <t>Port Town / Cidade Portuária</t>
  </si>
  <si>
    <t>As this land enters, you may reveal a Plains or Island card from your hand. If you don't, this land enters tapped. {T}: Add {W} or {U}. / Conforme Cidade Portuária entra no campo de batalha, você pode revelar um card de Planície ou Ilha de sua mão. Se não fizer isso, Cidade Portuária entrará no campo de batalha virada. {T}: Adicione {W} ou {U} à sua reserva de mana.</t>
  </si>
  <si>
    <t>Thought Vessel / Receptáculo de Pensamentos</t>
  </si>
  <si>
    <t>You have no maximum hand size. {T}: Add {C}. / Não há limite para o número máximo de cards em sua mão. {T}: Adicione {C}.</t>
  </si>
  <si>
    <t>Jocasta, Automaton Avenger</t>
  </si>
  <si>
    <t>Flying Whenever your commander deals combat damage to a player, put a +1/+1 counter on Jocasta. Whenever you attack with your commander, if this card is in your graveyard, you may return it to the battlefield tapped and attacking.</t>
  </si>
  <si>
    <t>Raise the Palisade / Erguer a Paliçada</t>
  </si>
  <si>
    <t>Choose a creature type. Return all creatures that aren't of the chosen type to their owners' hands. / Escolha um tipo de criatura. Devolva todas as criaturas que não sejam do tipo escolhido para a mão de seus donos.</t>
  </si>
  <si>
    <t>Shang-Chi and the Ten Rings</t>
  </si>
  <si>
    <t>Legendary Creature — Human Warrior Hero</t>
  </si>
  <si>
    <t>First strike Whenever you draw a card, put a +1/+1 counter on Shang-Chi. When the tenth +1/+1 counter is put on Shang-Chi, you draw five cards and gain 5 life.</t>
  </si>
  <si>
    <t>Door of Destinies / Porta dos Destinos</t>
  </si>
  <si>
    <t>As this artifact enters, choose a creature type. Whenever you cast a spell of the chosen type, put a charge counter on this artifact. Creatures you control of the chosen type get +1/+1 for each charge counter on this artifact. / Conforme Porta dos Destinos entra no campo de batalha, escolha um tipo de criatura.Toda vez que você conjurar uma mágica do tipo escolhido, coloque um marcador de carga em Porta dos Destinos.As criaturas que você controla do tipo escolhido recebem +1/+1 para cada marcador de carga em Porta dos Destinos.</t>
  </si>
  <si>
    <t>Glacial Fortress / Fortaleza Glacial</t>
  </si>
  <si>
    <t>This land enters tapped unless you control a Plains or an Island. {T}: Add {W} or {U}. / Fortaleza Glacial entra no campo de batalha virado a menos que você controle uma Planície ou uma Ilha. {T}: Adicione {W} ou {U} à sua reserva de mana.</t>
  </si>
  <si>
    <t>Tome of Legends</t>
  </si>
  <si>
    <t>Artifact — Book</t>
  </si>
  <si>
    <t>This artifact enters with a page counter on it. Whenever your commander enters or attacks, put a page counter on this artifact. {1}, {T}, Remove a page counter from this artifact: Draw a card.</t>
  </si>
  <si>
    <t>Dismantling Wave / Onda Desmanteladora</t>
  </si>
  <si>
    <t>For each opponent, destroy up to one target artifact or enchantment that player controls. Cycling {6}{W}{W} ({6}{W}{W}, Discard this card: Draw a card.) When you cycle this card, destroy all artifacts and enchantments. / Para cada oponente, destrua até um artefato ou encantamento alvo que aquele jogador controla. Reciclar {6}{W}{W} ({6}{W}{W}, descarte este card: Compre um card.) Quando reciclar Onda Desmanteladora, destrua todos os artefatos e encantamentos.</t>
  </si>
  <si>
    <t>Rescue, Pepper Potts</t>
  </si>
  <si>
    <t>Legendary Artifact Creature — Human Hero</t>
  </si>
  <si>
    <t>Flash Flying When Rescue enters, return up to one other target artifact or creature you control to its owner's hand. If it was an artifact, put a +1/+1 counter on Rescue.</t>
  </si>
  <si>
    <t>Command Tower / Torre de Comando</t>
  </si>
  <si>
    <t>{T}: Add one mana of any color in your commander's color identity. / {T}: Adicione um mana de qualquer cor da identidade de cor de seu comandante.</t>
  </si>
  <si>
    <t>Quicksilver, Speedster</t>
  </si>
  <si>
    <t>Legendary Creature — Mutant Hero</t>
  </si>
  <si>
    <t>Flash Double strike, haste As long as Quicksilver is tapped, you may cast spells as though they had flash.</t>
  </si>
  <si>
    <t>Island / Ilha</t>
  </si>
  <si>
    <t>Basic Land — Island / Terreno Básico — Ilha</t>
  </si>
  <si>
    <t>({T}: Add {U}.) / U</t>
  </si>
  <si>
    <t>Secluded Courtyard / Pátio Reservado</t>
  </si>
  <si>
    <t>As this land enters, choose a creature type. {T}: Add {C}. {T}: Add one mana of any color. Spend this mana only to cast a creature spell of the chosen type or activate an ability of a creature source of the chosen type. / Conforme Pátio Reservado entrar no campo de batalha, escolha um tipo de criatura. {T}: Adicione {C}. {T}: Adicione um mana de qualquer cor. Gaste este mana somente para conjurar uma mágica de criatura do tipo escolhido ou ativar uma habilidade de uma criatura ou card de criatura do tipo escolhido.</t>
  </si>
  <si>
    <t>Love on the Battlefield</t>
  </si>
  <si>
    <t>Whenever you attack with exactly two creatures, those creatures gain first strike until end of turn, then draw a card. Whenever either of those creatures deals combat damage to a player this combat, put a +1/+1 counter on it.</t>
  </si>
  <si>
    <t>Gift of Immortality / Dádiva da Imortalidade</t>
  </si>
  <si>
    <t>Enchant creature When enchanted creature dies, return that card to the battlefield under its owner's control. Return this card to the battlefield attached to that creature at the beginning of the next end step. / Encantar criatura Quando a criatura encantada morrer, devolva aquele card ao campo de batalha sob o controle de seu dono. Devolva Dádiva da Imortalidade ao campo de batalha anexada àquela criatura no início da próxima etapa final.</t>
  </si>
  <si>
    <t>Path of Ancestry / Caminho da Ascendência</t>
  </si>
  <si>
    <t>This land enters tapped. {T}: Add one mana of any color in your commander's color identity. When that mana is spent to cast a creature spell that shares a creature type with your commander, scry 1. (Look at the top card of your library. You may put that card on the bottom.) / Caminho da Ascendência entra no campo de batalha virado. {T}: Adicione um mana de qualquer cor da identidade de cor de seu comandante. Quando aquele mana for gasto para conjurar uma mágica de criatura que compartilhe um tipo de criatura com seu comandante, use vidência 1.</t>
  </si>
  <si>
    <t>Frostboil Snarl / Liame da Pirogeada</t>
  </si>
  <si>
    <t>As this land enters, you may reveal an Island or Mountain card from your hand. If you don't, this land enters tapped. {T}: Add {U} or {R}. / Conforme Liame da Pirogeada entra no campo de batalha, você pode revelar um card de Ilha ou Montanha de sua mão. Se não fizer isso, Liame da Pirogeada entrará no campo de batalha virado. {T}: Adicione {U} ou {R}.</t>
  </si>
  <si>
    <t>Photon, Mighty Marvel</t>
  </si>
  <si>
    <t>Flying Whenever Photon deals combat damage to a player, add that much mana of any one color. Until end of turn, you don't lose this mana as steps and phases end.</t>
  </si>
  <si>
    <t>Hawkeye, Avenging Archer</t>
  </si>
  <si>
    <t>Legendary Creature — Human Archer Hero</t>
  </si>
  <si>
    <t>Reach Whenever a creature an opponent controls dies, if Hawkeye dealt damage to it this turn, draw a card. {T}: Hawkeye deals 1 damage to any target.</t>
  </si>
  <si>
    <t>Swords to Plowshares / Espadas em Arados</t>
  </si>
  <si>
    <t>Exile target creature. Its controller gains life equal to its power. / Exile a criatura alvo. O controlador da criatura ganha uma quantidade de pontos de vida igual ao poder dela.</t>
  </si>
  <si>
    <t>Glittering Massif</t>
  </si>
  <si>
    <t>Land — Mountain Plains</t>
  </si>
  <si>
    <t>({T}: Add {R} or {W}.) This land enters tapped. Cycling {2} ({2}, Discard this card: Draw a card.)</t>
  </si>
  <si>
    <t>Talisman of Progress / Talismã do Progresso</t>
  </si>
  <si>
    <t>{T}: Add {C}. {T}: Add {W} or {U}. This artifact deals 1 damage to you. / {T}: Adicione {C}. {T}: Adicione {W} ou {U}. Talismã do Progresso causa 1 ponto de dano a você.</t>
  </si>
  <si>
    <t>Director Nick Fury</t>
  </si>
  <si>
    <t>Legendary Creature — Human Spy Hero</t>
  </si>
  <si>
    <t>Hero spells you cast cost {1} less to cast. Whenever you attack, look at the top four cards of your library. You may reveal a Hero card from among them and put that card into your hand. Put the rest on the bottom of your library in a random order.</t>
  </si>
  <si>
    <t>{U}{R}{W}</t>
  </si>
  <si>
    <t>Scorched Geyser</t>
  </si>
  <si>
    <t>({T}: Add {U} or {R}.) This land enters tapped unless you control two or more basic lands.</t>
  </si>
  <si>
    <t>Furycalm Snarl / Liame da Calmafuriosa</t>
  </si>
  <si>
    <t>As this land enters, you may reveal a Mountain or Plains card from your hand. If you don't, this land enters tapped. {T}: Add {R} or {W}. / Conforme Liame da Calmafuriosa entra no campo de batalha, você pode revelar um card de Montanha ou Planície de sua mão. Se não fizer isso, Liame da Calmafuriosa entrará no campo de batalha virado. {T}: Adicione {R} ou {W}.</t>
  </si>
  <si>
    <t>Captain Marvel, Apex Avenger</t>
  </si>
  <si>
    <t>Legendary Creature — Human Kree Hero</t>
  </si>
  <si>
    <t>Flying, double strike, indestructible Whenever you put one or more counters on another creature, if it's not a Kree, you may put the same number and kind of counters on Captain Marvel.</t>
  </si>
  <si>
    <t>{5}{R}{W}</t>
  </si>
  <si>
    <t>Black Widow, Agile Avenger</t>
  </si>
  <si>
    <t>Menace Whenever an opponent draws their second card each turn, put a +1/+1 counter on Black Widow and you draw a card.</t>
  </si>
  <si>
    <t>Ant-Man, Elusive Avenger</t>
  </si>
  <si>
    <t>Legendary Creature — Human Rogue Hero</t>
  </si>
  <si>
    <t>Ant-Man can't be blocked by creatures with greater power. Whenever Ant-Man deals combat damage to a player, create that many Treasure tokens.</t>
  </si>
  <si>
    <t>Prairie Stream / Riacho da Pradaria</t>
  </si>
  <si>
    <t>Land — Plains Island / Terreno — Planície Ilha</t>
  </si>
  <si>
    <t>({T}: Add {W} or {U}.) This land enters tapped unless you control two or more basic lands. / ({T}: Adicione {W} ou {U} à sua reserva de mana.)Riacho da Pradaria entra no campo de batalha virado a menos que você controle dois ou mais terrenos básicos.</t>
  </si>
  <si>
    <t>Arcane Denial / Contradição Arcana</t>
  </si>
  <si>
    <t>Counter target spell. Its controller may draw up to two cards at the beginning of the next turn's upkeep. You draw a card at the beginning of the next turn's upkeep. / Anule a mágica alvo. Seu controlador pode comprar até dois cards no início da manutenção do próximo turno. Você compra um card no início da manutenção do próximo turno.</t>
  </si>
  <si>
    <t>Avengers Tower</t>
  </si>
  <si>
    <t>{T}: Add {C}. {T}: Add one mana of any color. Spend this mana only to cast a Hero spell or to activate an ability of a Hero source. {4}, {T}: Look at the top three cards of your library. You may reveal a Hero card from among them and put it into your hand. Put the rest on the bottom of your library in any order.</t>
  </si>
  <si>
    <t>War Machine, Avenging Arsenal</t>
  </si>
  <si>
    <t>Flying Whenever War Machine attacks, attacking modified creatures you control gain double strike until end of turn. (Equipment, Auras you control, and counters are modifications.)</t>
  </si>
  <si>
    <t>Kindred Discovery / Descoberta da Estirpe</t>
  </si>
  <si>
    <t>As this enchantment enters, choose a creature type. Whenever a creature you control of the chosen type enters or attacks, draw a card. / Conforme Descoberta da Estirpe entra no campo de batalha, escolha um tipo de criatura. Toda vez que uma criatura que você controla do tipo escolhido entrar no campo de batalha ou atacar, compre um card.</t>
  </si>
  <si>
    <t>She-Hulk, Wallbreaker</t>
  </si>
  <si>
    <t>Legendary Creature — Gamma Hero</t>
  </si>
  <si>
    <t>Trample Other Heroes you control have trample. Whenever a Hero you control becomes blocked, put a +1/+1 counter on that Hero for each creature blocking it.</t>
  </si>
  <si>
    <t>Arcane Signet / Sinete Arcano</t>
  </si>
  <si>
    <t>Clifftop Retreat / Retiro da Falésia</t>
  </si>
  <si>
    <t>This land enters tapped unless you control a Mountain or a Plains. {T}: Add {R} or {W}. / Retiro da Falésia entra no campo de batalha virado, a menos que você controle uma Montanha ou uma Planície. {T}: Adicione {R} ou {W} à sua reserva de mana.</t>
  </si>
  <si>
    <t>Firebird, Blazing Ranger</t>
  </si>
  <si>
    <t>Legendary Creature — Human Ranger Hero</t>
  </si>
  <si>
    <t>Flying Whenever Firebird attacks, other attacking creatures get +X/+0 until end of turn, where X is Firebird's power.</t>
  </si>
  <si>
    <t>Relic of Legends / Relíquia das Lendas</t>
  </si>
  <si>
    <t>{T}: Add one mana of any color. Tap an untapped legendary creature you control: Add one mana of any color. / {T}: Adicione um mana de qualquer cor. Vire uma criatura lendária desvirada que você controla: Adicione um mana de qualquer cor.</t>
  </si>
  <si>
    <t>West Coast Expansion</t>
  </si>
  <si>
    <t>Draw X cards. If X is 5 or more, you may cast a Hero spell from your hand without paying its mana cost.</t>
  </si>
  <si>
    <t>Metallic Mimic / Mímico Metálico</t>
  </si>
  <si>
    <t>As this creature enters, choose a creature type. This creature is the chosen type in addition to its other types. Each other creature you control of the chosen type enters with an additional +1/+1 counter on it. / Conforme Mímico Metálico entra no campo de batalha, escolha um tipo de criatura. Mímico Metálico é do tipo escolhido além de seus outros tipos. Cada outra criatura do tipo escolhido que você controla entra no campo de batalha com um marcador +1/+1 adicional.</t>
  </si>
  <si>
    <t>Spectator Seating / Lugar de Espectador</t>
  </si>
  <si>
    <t>This land enters tapped unless you have two or more opponents. {T}: Add {R} or {W}. / Lugar de Espectador entra no campo de batalha virado, a menos que você tenha dois ou mais oponentes. {T}: Adicione {R} ou {W}.</t>
  </si>
  <si>
    <t>Professor Hulk</t>
  </si>
  <si>
    <t>Legendary Creature — Gamma Scientist Hero</t>
  </si>
  <si>
    <t>Trample Whenever Professor Hulk deals combat damage to a player, draw that many cards.</t>
  </si>
  <si>
    <t>Sulfur Falls / Cascata de Enxofre</t>
  </si>
  <si>
    <t>This land enters tapped unless you control an Island or a Mountain. {T}: Add {U} or {R}. / Cascata de Enxofre entra no campo de batalha virado, a menos que você controle uma Ilha ou uma Montanha. {T}: Adicione {U} ou {R} à sua reserva de mana.</t>
  </si>
  <si>
    <t>Reconnaissance Mission / Missão de Reconhecimento</t>
  </si>
  <si>
    <t>Whenever a creature you control deals combat damage to a player, you may draw a card. Cycling {2} ({2}, Discard this card: Draw a card.) / Toda vez que uma criatura que você controla causa dano de combate a um jogador, você pode comprar um card. Reciclar {2} ({2}, descarte este card: Compre um card.)</t>
  </si>
  <si>
    <t>Jarvis, Earth's Mightiest Butler</t>
  </si>
  <si>
    <t>Whenever you cast a Hero spell, draw a card.</t>
  </si>
  <si>
    <t>Speed, Young Avenger</t>
  </si>
  <si>
    <t>Haste Whenever you cast a noncreature spell, you may pay {1}. When you do, target creature with haste can't be blocked this turn except by creatures with haste.</t>
  </si>
  <si>
    <t>Iron Man, Armored Avenger</t>
  </si>
  <si>
    <t>Flying Whenever you draw a card, put a +1/+1 counter on target creature. Whenever Iron Man attacks, other attacking modified creatures gain flying until end of turn. (Equipment, Auras you control, and counters are modifications.)</t>
  </si>
  <si>
    <t>Radiant Summit</t>
  </si>
  <si>
    <t>({T}: Add {R} or {W}.) This land enters tapped unless you control two or more basic lands.</t>
  </si>
  <si>
    <t>Patriot, Shield Wielder</t>
  </si>
  <si>
    <t>{2}, {T}: Another target creature you control gets +2/+0 and gains hexproof until end of turn. (It can't be the target of spells or abilities your opponents control.)</t>
  </si>
  <si>
    <t>Talisman of Conviction / Talismã da Convicção</t>
  </si>
  <si>
    <t>{T}: Add {C}. {T}: Add {R} or {W}. This artifact deals 1 damage to you. / {T}: Adicione {C}. {T}: Adicione {R} ou {W}. Talismã da Convicção causa 1 ponto de dano a você.</t>
  </si>
  <si>
    <t>Irrigated Farmland / Fazendas Irrigadas</t>
  </si>
  <si>
    <t>({T}: Add {W} or {U}.) This land enters tapped. Cycling {2} ({2}, Discard this card: Draw a card.) / ({T}: Adicione {W} ou {U} à sua reserva de mana.) Fazendas Irrigadas entra no campo de batalha virada. Reciclar {2} ({2}, Descarte este card: Compre um card.)</t>
  </si>
  <si>
    <t>Plaza of Heroes / Praça dos Heróis</t>
  </si>
  <si>
    <t>{T}: Add {C}. {T}: Add one mana of any color. Spend this mana only to cast a legendary spell. {T}: Add one mana of any color among legendary permanents you control. {3}, {T}, Exile this land: Target legendary creature gains hexproof and indestructible until end of turn. / {T}: Adicione {C}. {T}: Adicione um mana de qualquer cor. Gaste este mana somente para conjurar uma mágica lendária. {T}: Adicione um mana de qualquer cor entre as permanentes lendárias que você controla. {3}, {T}, exile Praça dos Heróis: A criatura lendária alvo ganha resistência a magia e indestrutível até o final do turno.</t>
  </si>
  <si>
    <t>Hero's Blade / Lâmina do Herói</t>
  </si>
  <si>
    <t>Equipped creature gets +3/+2. Whenever a legendary creature you control enters, you may attach this Equipment to it. Equip {4} ({4}: Attach to target creature you control. Equip only as a sorcery.) / A criatura equipada recebe +3/+2. Toda vez que uma criatura lendária entra no campo de batalha sob seu controle, você pode anexar Lâmina do Herói a ela. Equipar {4}</t>
  </si>
  <si>
    <t>Winter Soldier, Reborn Avenger</t>
  </si>
  <si>
    <t>Whenever Winter Soldier attacks, return target creature card with mana value less than or equal to Winter Soldier's power from your graveyard to the battlefield. If a Hero enters this way, it enters with an additional +1/+1 counter on it.</t>
  </si>
  <si>
    <t>Methods of the Mighty</t>
  </si>
  <si>
    <t>Choose one or more — • Destroy target artifact. • Destroy target tapped creature. • Put a +1/+1 counter on each creature you control.</t>
  </si>
  <si>
    <t>Talisman of Creativity / Talismã da Criatividade</t>
  </si>
  <si>
    <t>{T}: Add {C}. {T}: Add {U} or {R}. This artifact deals 1 damage to you. / {T}: Adicione {C}. {T}: Adicione {U} ou {R}. Talismã da Criatividade causa 1 ponto de dano a você.</t>
  </si>
  <si>
    <t>Heroic Sacrifice</t>
  </si>
  <si>
    <t>Choose target creature you control. Until end of turn, all damage that would be dealt to you and creatures you control is dealt to the chosen creature instead (if it's still on the battlefield). When that creature dies this turn, put its counters on up to one target creature you control and draw a card.</t>
  </si>
  <si>
    <t>Heroic Return</t>
  </si>
  <si>
    <t>This spell costs {2} less to cast if a creature is attacking you. Return target creature card from your graveyard to the battlefield. If a Hero enters this way, it enters with two additional +1/+1 counters on it.</t>
  </si>
  <si>
    <t>Sol Ring / Anel Solar</t>
  </si>
  <si>
    <t>{T}: Add {C}{C}. / {T}: Adicione {C}{C}.</t>
  </si>
  <si>
    <t>Hercules, Olympian Hero</t>
  </si>
  <si>
    <t>Legendary Creature — Demigod Warrior Hero</t>
  </si>
  <si>
    <t>Whenever Hercules attacks, put a +1/+1 counter on him. He gains indestructible until end of turn. Whenever Hercules is dealt damage for the first time each turn, put that many +1/+1 counters on him. (He must survive the damage to get the counters.)</t>
  </si>
  <si>
    <t>Falcon and Redwing</t>
  </si>
  <si>
    <t>Legendary Creature — Human Bird Hero</t>
  </si>
  <si>
    <t>Flying Whenever Falcon and Redwing deal combat damage to a player, create that many 1/1 white Bird creature tokens with flying, then put a +1/+1 counter on Falcon and Redwing.</t>
  </si>
  <si>
    <t>Captain America, Living Legend</t>
  </si>
  <si>
    <t>Vigilance Whenever a creature you control becomes tapped during your turn, if it's the first time that creature has become tapped this turn, untap it.</t>
  </si>
  <si>
    <t>Avenge</t>
  </si>
  <si>
    <t>This spell costs {2} less to cast if a player attacked you during their last turn. Destroy all creatures. You gain 1 life for each creature destroyed this way.</t>
  </si>
  <si>
    <t>Herald's Horn / Corneta do Arauto</t>
  </si>
  <si>
    <t>As this artifact enters, choose a creature type. Creature spells you cast of the chosen type cost {1} less to cast. At the beginning of your upkeep, look at the top card of your library. If it's a creature card of the chosen type, you may reveal it and put it into your hand. / Conforme Corneta do Arauto entrar no campo de batalha, escolha um tipo de criatura. As mágicas de criatura com o tipo escolhido que você conjura custam {1} a menos para serem conjuradas. No início de sua manutenção, olhe o card do topo de seu grimório. Se for um card de criatura do tipo escolhido, você poderá revelá-lo e colocá-lo em sua mão.</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</si>
</sst>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R$ -416]#,##0.00"/>
    <numFmt numFmtId="165" formatCode="[$R$ -416]#,##0.0000"/>
    <numFmt numFmtId="166" formatCode="d/m"/>
  </numFmts>
  <fonts count="3">
    <font>
      <sz val="10.0"/>
      <color rgb="FF000000"/>
      <name val="Arial"/>
      <scheme val="minor"/>
    </font>
    <font>
      <b/>
      <color theme="1"/>
      <name val="Arial"/>
      <scheme val="minor"/>
    </font>
    <font>
      <color theme="1"/>
      <name val="Arial"/>
      <scheme val="minor"/>
    </font>
  </fonts>
  <fills count="4">
    <fill>
      <patternFill patternType="none"/>
    </fill>
    <fill>
      <patternFill patternType="lightGray"/>
    </fill>
    <fill>
      <patternFill patternType="solid">
        <fgColor rgb="FFF3F3F3"/>
        <bgColor rgb="FFF3F3F3"/>
      </patternFill>
    </fill>
    <fill>
      <patternFill patternType="solid">
        <fgColor theme="6"/>
        <bgColor theme="6"/>
      </patternFill>
    </fill>
  </fills>
  <borders count="1">
    <border/>
  </borders>
  <cellStyleXfs count="1">
    <xf borderId="0" fillId="0" fontId="0" numFmtId="0" applyAlignment="1" applyFont="1"/>
  </cellStyleXfs>
  <cellXfs count="18">
    <xf borderId="0" fillId="0" fontId="0" numFmtId="0" xfId="0" applyAlignment="1" applyFont="1">
      <alignment readingOrder="0" shrinkToFit="0" vertical="bottom" wrapText="0"/>
    </xf>
    <xf borderId="0" fillId="0" fontId="1" numFmtId="0" xfId="0" applyAlignment="1" applyFont="1">
      <alignment readingOrder="0"/>
    </xf>
    <xf borderId="0" fillId="0" fontId="1" numFmtId="164" xfId="0" applyAlignment="1" applyFont="1" applyNumberFormat="1">
      <alignment readingOrder="0"/>
    </xf>
    <xf borderId="0" fillId="0" fontId="1" numFmtId="164" xfId="0" applyFont="1" applyNumberFormat="1"/>
    <xf borderId="0" fillId="0" fontId="1" numFmtId="0" xfId="0" applyFont="1"/>
    <xf borderId="0" fillId="0" fontId="1" numFmtId="165" xfId="0" applyFont="1" applyNumberFormat="1"/>
    <xf borderId="0" fillId="0" fontId="2" numFmtId="0" xfId="0" applyAlignment="1" applyFont="1">
      <alignment readingOrder="0"/>
    </xf>
    <xf borderId="0" fillId="0" fontId="2" numFmtId="164" xfId="0" applyAlignment="1" applyFont="1" applyNumberFormat="1">
      <alignment readingOrder="0"/>
    </xf>
    <xf borderId="0" fillId="0" fontId="2" numFmtId="164" xfId="0" applyFont="1" applyNumberFormat="1"/>
    <xf borderId="0" fillId="0" fontId="2" numFmtId="165" xfId="0" applyFont="1" applyNumberFormat="1"/>
    <xf borderId="0" fillId="0" fontId="2" numFmtId="166" xfId="0" applyAlignment="1" applyFont="1" applyNumberFormat="1">
      <alignment readingOrder="0"/>
    </xf>
    <xf borderId="0" fillId="0" fontId="2" numFmtId="0" xfId="0" applyFont="1"/>
    <xf borderId="0" fillId="2" fontId="1" numFmtId="0" xfId="0" applyAlignment="1" applyFill="1" applyFont="1">
      <alignment horizontal="left" readingOrder="0"/>
    </xf>
    <xf borderId="0" fillId="0" fontId="2" numFmtId="0" xfId="0" applyAlignment="1" applyFont="1">
      <alignment horizontal="right" readingOrder="0"/>
    </xf>
    <xf borderId="0" fillId="2" fontId="1" numFmtId="0" xfId="0" applyAlignment="1" applyFont="1">
      <alignment horizontal="right" readingOrder="0"/>
    </xf>
    <xf borderId="0" fillId="3" fontId="2" numFmtId="0" xfId="0" applyAlignment="1" applyFill="1" applyFont="1">
      <alignment readingOrder="0"/>
    </xf>
    <xf borderId="0" fillId="3" fontId="2" numFmtId="166" xfId="0" applyAlignment="1" applyFont="1" applyNumberFormat="1">
      <alignment readingOrder="0"/>
    </xf>
    <xf borderId="0" fillId="3" fontId="2"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6.75"/>
    <col customWidth="1" min="2" max="2" width="16.75"/>
    <col customWidth="1" min="3" max="3" width="8.13"/>
    <col customWidth="1" min="4" max="4" width="14.25"/>
    <col customWidth="1" min="5" max="5" width="11.13"/>
    <col customWidth="1" min="6" max="6" width="15.13"/>
    <col customWidth="1" min="7" max="7" width="12.0"/>
    <col customWidth="1" min="8" max="8" width="40.0"/>
    <col customWidth="1" min="9" max="9" width="6.13"/>
    <col customWidth="1" min="10" max="10" width="4.75"/>
    <col customWidth="1" min="11" max="11" width="5.75"/>
    <col customWidth="1" min="12" max="12" width="3.88"/>
    <col customWidth="1" min="13" max="13" width="7.75"/>
    <col customWidth="1" min="14" max="14" width="10.13"/>
    <col customWidth="1" min="15" max="15" width="4.75"/>
    <col customWidth="1" min="16" max="16" width="8.75"/>
  </cols>
  <sheetData>
    <row r="1">
      <c r="A1" s="1" t="s">
        <v>0</v>
      </c>
      <c r="B1" s="1" t="s">
        <v>1</v>
      </c>
      <c r="C1" s="1" t="s">
        <v>2</v>
      </c>
      <c r="D1" s="1" t="s">
        <v>3</v>
      </c>
      <c r="E1" s="1" t="s">
        <v>4</v>
      </c>
      <c r="F1" s="1" t="s">
        <v>5</v>
      </c>
      <c r="G1" s="2" t="s">
        <v>6</v>
      </c>
      <c r="H1" s="1" t="s">
        <v>7</v>
      </c>
      <c r="I1" s="1" t="s">
        <v>8</v>
      </c>
      <c r="J1" s="1" t="s">
        <v>9</v>
      </c>
      <c r="K1" s="1" t="s">
        <v>10</v>
      </c>
      <c r="L1" s="1" t="s">
        <v>11</v>
      </c>
      <c r="M1" s="2" t="s">
        <v>12</v>
      </c>
      <c r="N1" s="3">
        <f>sum(M:M)</f>
        <v>2278.28</v>
      </c>
      <c r="O1" s="4">
        <f>sum(L:L)</f>
        <v>5884</v>
      </c>
      <c r="P1" s="5">
        <f>N1/O1</f>
        <v>0.3871991842</v>
      </c>
      <c r="Q1" s="4"/>
      <c r="R1" s="4"/>
      <c r="S1" s="4"/>
      <c r="T1" s="4"/>
      <c r="U1" s="4"/>
      <c r="V1" s="4"/>
      <c r="W1" s="4"/>
      <c r="X1" s="4"/>
      <c r="Y1" s="4"/>
    </row>
    <row r="2">
      <c r="A2" s="6" t="s">
        <v>13</v>
      </c>
      <c r="B2" s="6" t="s">
        <v>14</v>
      </c>
      <c r="C2" s="6" t="s">
        <v>15</v>
      </c>
      <c r="D2" s="6" t="s">
        <v>16</v>
      </c>
      <c r="E2" s="6" t="s">
        <v>17</v>
      </c>
      <c r="F2" s="6" t="s">
        <v>18</v>
      </c>
      <c r="G2" s="7">
        <v>0.03</v>
      </c>
      <c r="H2" s="6" t="s">
        <v>19</v>
      </c>
      <c r="I2" s="6" t="s">
        <v>20</v>
      </c>
      <c r="J2" s="6">
        <v>2014.0</v>
      </c>
      <c r="L2" s="6">
        <v>7.0</v>
      </c>
      <c r="M2" s="8">
        <f t="shared" ref="M2:M126" si="1">L2*G2</f>
        <v>0.21</v>
      </c>
      <c r="P2" s="9"/>
    </row>
    <row r="3">
      <c r="A3" s="6" t="s">
        <v>21</v>
      </c>
      <c r="B3" s="6" t="s">
        <v>14</v>
      </c>
      <c r="C3" s="6" t="s">
        <v>22</v>
      </c>
      <c r="D3" s="6" t="s">
        <v>23</v>
      </c>
      <c r="E3" s="6" t="s">
        <v>24</v>
      </c>
      <c r="F3" s="6" t="s">
        <v>18</v>
      </c>
      <c r="G3" s="7">
        <v>0.05</v>
      </c>
      <c r="H3" s="6" t="s">
        <v>19</v>
      </c>
      <c r="I3" s="6" t="s">
        <v>20</v>
      </c>
      <c r="J3" s="6">
        <v>2014.0</v>
      </c>
      <c r="L3" s="6">
        <v>1.0</v>
      </c>
      <c r="M3" s="8">
        <f t="shared" si="1"/>
        <v>0.05</v>
      </c>
      <c r="P3" s="9"/>
    </row>
    <row r="4">
      <c r="A4" s="6" t="s">
        <v>25</v>
      </c>
      <c r="B4" s="6" t="s">
        <v>14</v>
      </c>
      <c r="C4" s="6" t="s">
        <v>22</v>
      </c>
      <c r="D4" s="6" t="s">
        <v>26</v>
      </c>
      <c r="E4" s="6" t="s">
        <v>24</v>
      </c>
      <c r="F4" s="6" t="s">
        <v>18</v>
      </c>
      <c r="G4" s="7">
        <v>0.02</v>
      </c>
      <c r="H4" s="6" t="s">
        <v>19</v>
      </c>
      <c r="I4" s="6" t="s">
        <v>20</v>
      </c>
      <c r="J4" s="6">
        <v>2014.0</v>
      </c>
      <c r="L4" s="6">
        <v>3.0</v>
      </c>
      <c r="M4" s="8">
        <f t="shared" si="1"/>
        <v>0.06</v>
      </c>
      <c r="P4" s="9"/>
    </row>
    <row r="5">
      <c r="A5" s="6" t="s">
        <v>27</v>
      </c>
      <c r="B5" s="6" t="s">
        <v>28</v>
      </c>
      <c r="C5" s="6" t="s">
        <v>22</v>
      </c>
      <c r="D5" s="6" t="s">
        <v>29</v>
      </c>
      <c r="E5" s="6" t="s">
        <v>30</v>
      </c>
      <c r="F5" s="6" t="s">
        <v>18</v>
      </c>
      <c r="G5" s="7">
        <v>0.03</v>
      </c>
      <c r="H5" s="6" t="s">
        <v>19</v>
      </c>
      <c r="I5" s="6" t="s">
        <v>31</v>
      </c>
      <c r="J5" s="6">
        <v>2014.0</v>
      </c>
      <c r="K5" s="10">
        <v>46147.0</v>
      </c>
      <c r="L5" s="6">
        <v>3.0</v>
      </c>
      <c r="M5" s="8">
        <f t="shared" si="1"/>
        <v>0.09</v>
      </c>
      <c r="P5" s="9"/>
    </row>
    <row r="6">
      <c r="A6" s="6" t="s">
        <v>32</v>
      </c>
      <c r="B6" s="6" t="s">
        <v>33</v>
      </c>
      <c r="C6" s="6" t="s">
        <v>15</v>
      </c>
      <c r="D6" s="6" t="s">
        <v>34</v>
      </c>
      <c r="E6" s="6" t="s">
        <v>35</v>
      </c>
      <c r="F6" s="6" t="s">
        <v>18</v>
      </c>
      <c r="G6" s="7">
        <v>0.03</v>
      </c>
      <c r="H6" s="6" t="s">
        <v>19</v>
      </c>
      <c r="I6" s="6" t="s">
        <v>20</v>
      </c>
      <c r="J6" s="6">
        <v>2014.0</v>
      </c>
      <c r="L6" s="6">
        <v>4.0</v>
      </c>
      <c r="M6" s="8">
        <f t="shared" si="1"/>
        <v>0.12</v>
      </c>
      <c r="P6" s="9"/>
    </row>
    <row r="7">
      <c r="A7" s="6" t="s">
        <v>36</v>
      </c>
      <c r="B7" s="6" t="s">
        <v>37</v>
      </c>
      <c r="C7" s="6" t="s">
        <v>15</v>
      </c>
      <c r="D7" s="6" t="s">
        <v>38</v>
      </c>
      <c r="E7" s="6" t="s">
        <v>39</v>
      </c>
      <c r="F7" s="6" t="s">
        <v>40</v>
      </c>
      <c r="G7" s="7">
        <v>0.03</v>
      </c>
      <c r="H7" s="6" t="s">
        <v>19</v>
      </c>
      <c r="I7" s="6" t="s">
        <v>20</v>
      </c>
      <c r="J7" s="6">
        <v>2014.0</v>
      </c>
      <c r="K7" s="10">
        <v>46117.0</v>
      </c>
      <c r="L7" s="6">
        <v>2.0</v>
      </c>
      <c r="M7" s="8">
        <f t="shared" si="1"/>
        <v>0.06</v>
      </c>
      <c r="P7" s="9"/>
    </row>
    <row r="8">
      <c r="A8" s="6" t="s">
        <v>41</v>
      </c>
      <c r="B8" s="6" t="s">
        <v>14</v>
      </c>
      <c r="C8" s="6" t="s">
        <v>22</v>
      </c>
      <c r="D8" s="6" t="s">
        <v>42</v>
      </c>
      <c r="E8" s="6" t="s">
        <v>43</v>
      </c>
      <c r="F8" s="6" t="s">
        <v>40</v>
      </c>
      <c r="G8" s="7">
        <v>0.05</v>
      </c>
      <c r="H8" s="6" t="s">
        <v>19</v>
      </c>
      <c r="I8" s="6" t="s">
        <v>20</v>
      </c>
      <c r="J8" s="6">
        <v>2014.0</v>
      </c>
      <c r="L8" s="6">
        <v>1.0</v>
      </c>
      <c r="M8" s="8">
        <f t="shared" si="1"/>
        <v>0.05</v>
      </c>
      <c r="P8" s="9"/>
    </row>
    <row r="9">
      <c r="A9" s="6" t="s">
        <v>44</v>
      </c>
      <c r="B9" s="6" t="s">
        <v>45</v>
      </c>
      <c r="C9" s="6" t="s">
        <v>15</v>
      </c>
      <c r="D9" s="6" t="s">
        <v>46</v>
      </c>
      <c r="E9" s="6" t="s">
        <v>47</v>
      </c>
      <c r="F9" s="6" t="s">
        <v>40</v>
      </c>
      <c r="G9" s="7">
        <v>0.03</v>
      </c>
      <c r="H9" s="6" t="s">
        <v>19</v>
      </c>
      <c r="I9" s="6" t="s">
        <v>20</v>
      </c>
      <c r="J9" s="6">
        <v>2014.0</v>
      </c>
      <c r="K9" s="10">
        <v>46056.0</v>
      </c>
      <c r="L9" s="6">
        <v>4.0</v>
      </c>
      <c r="M9" s="8">
        <f t="shared" si="1"/>
        <v>0.12</v>
      </c>
      <c r="P9" s="9"/>
    </row>
    <row r="10">
      <c r="A10" s="6" t="s">
        <v>48</v>
      </c>
      <c r="B10" s="6" t="s">
        <v>14</v>
      </c>
      <c r="C10" s="6" t="s">
        <v>15</v>
      </c>
      <c r="D10" s="6" t="s">
        <v>49</v>
      </c>
      <c r="E10" s="6" t="s">
        <v>50</v>
      </c>
      <c r="F10" s="6" t="s">
        <v>40</v>
      </c>
      <c r="G10" s="7">
        <v>0.03</v>
      </c>
      <c r="H10" s="6" t="s">
        <v>19</v>
      </c>
      <c r="I10" s="6" t="s">
        <v>20</v>
      </c>
      <c r="J10" s="6">
        <v>2014.0</v>
      </c>
      <c r="L10" s="6">
        <v>3.0</v>
      </c>
      <c r="M10" s="8">
        <f t="shared" si="1"/>
        <v>0.09</v>
      </c>
      <c r="P10" s="9"/>
    </row>
    <row r="11">
      <c r="A11" s="6" t="s">
        <v>51</v>
      </c>
      <c r="B11" s="6" t="s">
        <v>52</v>
      </c>
      <c r="C11" s="6" t="s">
        <v>15</v>
      </c>
      <c r="D11" s="6" t="s">
        <v>53</v>
      </c>
      <c r="E11" s="6" t="s">
        <v>54</v>
      </c>
      <c r="F11" s="6" t="s">
        <v>40</v>
      </c>
      <c r="G11" s="7">
        <v>0.04</v>
      </c>
      <c r="H11" s="6" t="s">
        <v>19</v>
      </c>
      <c r="I11" s="6" t="s">
        <v>20</v>
      </c>
      <c r="J11" s="6">
        <v>2014.0</v>
      </c>
      <c r="K11" s="10">
        <v>46024.0</v>
      </c>
      <c r="L11" s="6">
        <v>2.0</v>
      </c>
      <c r="M11" s="8">
        <f t="shared" si="1"/>
        <v>0.08</v>
      </c>
      <c r="P11" s="9"/>
    </row>
    <row r="12">
      <c r="A12" s="6" t="s">
        <v>55</v>
      </c>
      <c r="B12" s="6" t="s">
        <v>56</v>
      </c>
      <c r="C12" s="6" t="s">
        <v>15</v>
      </c>
      <c r="D12" s="6" t="s">
        <v>57</v>
      </c>
      <c r="E12" s="6" t="s">
        <v>58</v>
      </c>
      <c r="F12" s="6" t="s">
        <v>40</v>
      </c>
      <c r="G12" s="7">
        <v>0.03</v>
      </c>
      <c r="H12" s="6" t="s">
        <v>19</v>
      </c>
      <c r="I12" s="6" t="s">
        <v>20</v>
      </c>
      <c r="J12" s="6">
        <v>2014.0</v>
      </c>
      <c r="K12" s="10">
        <v>46083.0</v>
      </c>
      <c r="L12" s="6">
        <v>4.0</v>
      </c>
      <c r="M12" s="8">
        <f t="shared" si="1"/>
        <v>0.12</v>
      </c>
      <c r="P12" s="9"/>
    </row>
    <row r="13">
      <c r="A13" s="6" t="s">
        <v>59</v>
      </c>
      <c r="B13" s="6" t="s">
        <v>14</v>
      </c>
      <c r="C13" s="6" t="s">
        <v>15</v>
      </c>
      <c r="D13" s="6" t="s">
        <v>60</v>
      </c>
      <c r="E13" s="6" t="s">
        <v>61</v>
      </c>
      <c r="F13" s="6" t="s">
        <v>40</v>
      </c>
      <c r="G13" s="7">
        <v>0.03</v>
      </c>
      <c r="H13" s="6" t="s">
        <v>19</v>
      </c>
      <c r="I13" s="6" t="s">
        <v>20</v>
      </c>
      <c r="J13" s="6">
        <v>2014.0</v>
      </c>
      <c r="L13" s="6">
        <v>5.0</v>
      </c>
      <c r="M13" s="8">
        <f t="shared" si="1"/>
        <v>0.15</v>
      </c>
      <c r="P13" s="9"/>
    </row>
    <row r="14">
      <c r="A14" s="6" t="s">
        <v>62</v>
      </c>
      <c r="B14" s="6" t="s">
        <v>63</v>
      </c>
      <c r="C14" s="6" t="s">
        <v>15</v>
      </c>
      <c r="D14" s="6" t="s">
        <v>64</v>
      </c>
      <c r="E14" s="6" t="s">
        <v>54</v>
      </c>
      <c r="F14" s="6" t="s">
        <v>40</v>
      </c>
      <c r="G14" s="7">
        <v>0.03</v>
      </c>
      <c r="H14" s="6" t="s">
        <v>19</v>
      </c>
      <c r="I14" s="6" t="s">
        <v>20</v>
      </c>
      <c r="J14" s="6">
        <v>2014.0</v>
      </c>
      <c r="L14" s="6">
        <v>3.0</v>
      </c>
      <c r="M14" s="8">
        <f t="shared" si="1"/>
        <v>0.09</v>
      </c>
      <c r="P14" s="9"/>
    </row>
    <row r="15">
      <c r="A15" s="6" t="s">
        <v>65</v>
      </c>
      <c r="B15" s="6" t="s">
        <v>14</v>
      </c>
      <c r="C15" s="6" t="s">
        <v>15</v>
      </c>
      <c r="D15" s="6" t="s">
        <v>66</v>
      </c>
      <c r="E15" s="6" t="s">
        <v>50</v>
      </c>
      <c r="F15" s="6" t="s">
        <v>40</v>
      </c>
      <c r="G15" s="7">
        <v>0.05</v>
      </c>
      <c r="H15" s="6" t="s">
        <v>19</v>
      </c>
      <c r="I15" s="6" t="s">
        <v>20</v>
      </c>
      <c r="J15" s="6">
        <v>2014.0</v>
      </c>
      <c r="L15" s="6">
        <v>3.0</v>
      </c>
      <c r="M15" s="8">
        <f t="shared" si="1"/>
        <v>0.15</v>
      </c>
      <c r="P15" s="9"/>
    </row>
    <row r="16">
      <c r="A16" s="6" t="s">
        <v>67</v>
      </c>
      <c r="B16" s="6" t="s">
        <v>68</v>
      </c>
      <c r="C16" s="6" t="s">
        <v>22</v>
      </c>
      <c r="D16" s="6" t="s">
        <v>69</v>
      </c>
      <c r="E16" s="6" t="s">
        <v>61</v>
      </c>
      <c r="F16" s="6" t="s">
        <v>40</v>
      </c>
      <c r="G16" s="7">
        <v>0.03</v>
      </c>
      <c r="H16" s="6" t="s">
        <v>19</v>
      </c>
      <c r="I16" s="6" t="s">
        <v>20</v>
      </c>
      <c r="J16" s="6">
        <v>2014.0</v>
      </c>
      <c r="L16" s="6">
        <v>2.0</v>
      </c>
      <c r="M16" s="8">
        <f t="shared" si="1"/>
        <v>0.06</v>
      </c>
      <c r="P16" s="9"/>
    </row>
    <row r="17">
      <c r="A17" s="6" t="s">
        <v>70</v>
      </c>
      <c r="B17" s="6" t="s">
        <v>33</v>
      </c>
      <c r="C17" s="6" t="s">
        <v>15</v>
      </c>
      <c r="D17" s="6" t="s">
        <v>71</v>
      </c>
      <c r="E17" s="6" t="s">
        <v>50</v>
      </c>
      <c r="F17" s="6" t="s">
        <v>40</v>
      </c>
      <c r="G17" s="7">
        <v>0.03</v>
      </c>
      <c r="H17" s="6" t="s">
        <v>19</v>
      </c>
      <c r="I17" s="6" t="s">
        <v>20</v>
      </c>
      <c r="J17" s="6">
        <v>2014.0</v>
      </c>
      <c r="L17" s="6">
        <v>3.0</v>
      </c>
      <c r="M17" s="8">
        <f t="shared" si="1"/>
        <v>0.09</v>
      </c>
      <c r="P17" s="9"/>
    </row>
    <row r="18">
      <c r="A18" s="6" t="s">
        <v>72</v>
      </c>
      <c r="B18" s="6" t="s">
        <v>33</v>
      </c>
      <c r="C18" s="6" t="s">
        <v>15</v>
      </c>
      <c r="D18" s="6" t="s">
        <v>73</v>
      </c>
      <c r="E18" s="6" t="s">
        <v>39</v>
      </c>
      <c r="F18" s="6" t="s">
        <v>40</v>
      </c>
      <c r="G18" s="7">
        <v>0.03</v>
      </c>
      <c r="H18" s="6" t="s">
        <v>19</v>
      </c>
      <c r="I18" s="6" t="s">
        <v>20</v>
      </c>
      <c r="J18" s="6">
        <v>2014.0</v>
      </c>
      <c r="L18" s="6">
        <v>2.0</v>
      </c>
      <c r="M18" s="8">
        <f t="shared" si="1"/>
        <v>0.06</v>
      </c>
      <c r="P18" s="9"/>
    </row>
    <row r="19">
      <c r="A19" s="6" t="s">
        <v>74</v>
      </c>
      <c r="B19" s="6" t="s">
        <v>75</v>
      </c>
      <c r="C19" s="6" t="s">
        <v>15</v>
      </c>
      <c r="D19" s="6" t="s">
        <v>76</v>
      </c>
      <c r="E19" s="6" t="s">
        <v>50</v>
      </c>
      <c r="F19" s="6" t="s">
        <v>40</v>
      </c>
      <c r="G19" s="7">
        <v>0.03</v>
      </c>
      <c r="H19" s="6" t="s">
        <v>19</v>
      </c>
      <c r="I19" s="6" t="s">
        <v>20</v>
      </c>
      <c r="J19" s="6">
        <v>2014.0</v>
      </c>
      <c r="K19" s="10">
        <v>46023.0</v>
      </c>
      <c r="L19" s="6">
        <v>5.0</v>
      </c>
      <c r="M19" s="8">
        <f t="shared" si="1"/>
        <v>0.15</v>
      </c>
      <c r="P19" s="9"/>
    </row>
    <row r="20">
      <c r="A20" s="6" t="s">
        <v>77</v>
      </c>
      <c r="B20" s="6" t="s">
        <v>78</v>
      </c>
      <c r="C20" s="6" t="s">
        <v>22</v>
      </c>
      <c r="D20" s="6" t="s">
        <v>79</v>
      </c>
      <c r="E20" s="6">
        <v>6.0</v>
      </c>
      <c r="F20" s="6" t="s">
        <v>80</v>
      </c>
      <c r="G20" s="7">
        <v>0.05</v>
      </c>
      <c r="H20" s="6" t="s">
        <v>19</v>
      </c>
      <c r="I20" s="6" t="s">
        <v>20</v>
      </c>
      <c r="J20" s="6">
        <v>2014.0</v>
      </c>
      <c r="K20" s="10">
        <v>46116.0</v>
      </c>
      <c r="L20" s="6">
        <v>1.0</v>
      </c>
      <c r="M20" s="8">
        <f t="shared" si="1"/>
        <v>0.05</v>
      </c>
      <c r="P20" s="9"/>
    </row>
    <row r="21">
      <c r="A21" s="6" t="s">
        <v>81</v>
      </c>
      <c r="B21" s="6" t="s">
        <v>82</v>
      </c>
      <c r="C21" s="6" t="s">
        <v>22</v>
      </c>
      <c r="D21" s="6" t="s">
        <v>83</v>
      </c>
      <c r="E21" s="6">
        <v>2.0</v>
      </c>
      <c r="F21" s="6" t="s">
        <v>80</v>
      </c>
      <c r="G21" s="7">
        <v>0.05</v>
      </c>
      <c r="H21" s="6" t="s">
        <v>19</v>
      </c>
      <c r="I21" s="6" t="s">
        <v>20</v>
      </c>
      <c r="J21" s="6">
        <v>2014.0</v>
      </c>
      <c r="L21" s="6">
        <v>1.0</v>
      </c>
      <c r="M21" s="8">
        <f t="shared" si="1"/>
        <v>0.05</v>
      </c>
      <c r="P21" s="9"/>
    </row>
    <row r="22">
      <c r="A22" s="6" t="s">
        <v>81</v>
      </c>
      <c r="B22" s="6" t="s">
        <v>82</v>
      </c>
      <c r="C22" s="6" t="s">
        <v>22</v>
      </c>
      <c r="D22" s="6" t="s">
        <v>83</v>
      </c>
      <c r="E22" s="6">
        <v>2.0</v>
      </c>
      <c r="F22" s="6" t="s">
        <v>80</v>
      </c>
      <c r="G22" s="7">
        <v>0.25</v>
      </c>
      <c r="H22" s="6" t="s">
        <v>19</v>
      </c>
      <c r="I22" s="6" t="s">
        <v>31</v>
      </c>
      <c r="J22" s="6">
        <v>2014.0</v>
      </c>
      <c r="L22" s="6">
        <v>1.0</v>
      </c>
      <c r="M22" s="8">
        <f t="shared" si="1"/>
        <v>0.25</v>
      </c>
      <c r="P22" s="9"/>
    </row>
    <row r="23">
      <c r="A23" s="6" t="s">
        <v>84</v>
      </c>
      <c r="B23" s="6" t="s">
        <v>85</v>
      </c>
      <c r="C23" s="6" t="s">
        <v>15</v>
      </c>
      <c r="D23" s="6" t="s">
        <v>86</v>
      </c>
      <c r="E23" s="6" t="s">
        <v>87</v>
      </c>
      <c r="F23" s="6" t="s">
        <v>88</v>
      </c>
      <c r="G23" s="7">
        <v>0.03</v>
      </c>
      <c r="H23" s="6" t="s">
        <v>19</v>
      </c>
      <c r="I23" s="6" t="s">
        <v>20</v>
      </c>
      <c r="J23" s="6">
        <v>2014.0</v>
      </c>
      <c r="K23" s="6" t="s">
        <v>89</v>
      </c>
      <c r="L23" s="6">
        <v>5.0</v>
      </c>
      <c r="M23" s="8">
        <f t="shared" si="1"/>
        <v>0.15</v>
      </c>
      <c r="P23" s="9"/>
    </row>
    <row r="24">
      <c r="A24" s="6" t="s">
        <v>90</v>
      </c>
      <c r="B24" s="6" t="s">
        <v>28</v>
      </c>
      <c r="C24" s="6" t="s">
        <v>15</v>
      </c>
      <c r="D24" s="6" t="s">
        <v>91</v>
      </c>
      <c r="E24" s="6" t="s">
        <v>92</v>
      </c>
      <c r="F24" s="6" t="s">
        <v>88</v>
      </c>
      <c r="G24" s="7">
        <v>0.03</v>
      </c>
      <c r="H24" s="6" t="s">
        <v>19</v>
      </c>
      <c r="I24" s="6" t="s">
        <v>20</v>
      </c>
      <c r="J24" s="6">
        <v>2014.0</v>
      </c>
      <c r="K24" s="10">
        <v>46175.0</v>
      </c>
      <c r="L24" s="6">
        <v>2.0</v>
      </c>
      <c r="M24" s="8">
        <f t="shared" si="1"/>
        <v>0.06</v>
      </c>
      <c r="P24" s="9"/>
    </row>
    <row r="25">
      <c r="A25" s="6" t="s">
        <v>93</v>
      </c>
      <c r="B25" s="6" t="s">
        <v>94</v>
      </c>
      <c r="C25" s="6" t="s">
        <v>15</v>
      </c>
      <c r="D25" s="6" t="s">
        <v>95</v>
      </c>
      <c r="E25" s="6" t="s">
        <v>96</v>
      </c>
      <c r="F25" s="6" t="s">
        <v>88</v>
      </c>
      <c r="G25" s="7">
        <v>0.03</v>
      </c>
      <c r="H25" s="6" t="s">
        <v>19</v>
      </c>
      <c r="I25" s="6" t="s">
        <v>20</v>
      </c>
      <c r="J25" s="6">
        <v>2014.0</v>
      </c>
      <c r="K25" s="10">
        <v>46147.0</v>
      </c>
      <c r="L25" s="6">
        <v>2.0</v>
      </c>
      <c r="M25" s="8">
        <f t="shared" si="1"/>
        <v>0.06</v>
      </c>
      <c r="P25" s="9"/>
    </row>
    <row r="26">
      <c r="A26" s="6" t="s">
        <v>97</v>
      </c>
      <c r="B26" s="6" t="s">
        <v>33</v>
      </c>
      <c r="C26" s="6" t="s">
        <v>15</v>
      </c>
      <c r="D26" s="6" t="s">
        <v>98</v>
      </c>
      <c r="E26" s="6" t="s">
        <v>87</v>
      </c>
      <c r="F26" s="6" t="s">
        <v>88</v>
      </c>
      <c r="G26" s="7">
        <v>0.03</v>
      </c>
      <c r="H26" s="6" t="s">
        <v>19</v>
      </c>
      <c r="I26" s="6" t="s">
        <v>20</v>
      </c>
      <c r="J26" s="6">
        <v>2014.0</v>
      </c>
      <c r="L26" s="6">
        <v>3.0</v>
      </c>
      <c r="M26" s="8">
        <f t="shared" si="1"/>
        <v>0.09</v>
      </c>
      <c r="P26" s="9"/>
    </row>
    <row r="27">
      <c r="A27" s="6" t="s">
        <v>97</v>
      </c>
      <c r="B27" s="6" t="s">
        <v>33</v>
      </c>
      <c r="C27" s="6" t="s">
        <v>15</v>
      </c>
      <c r="D27" s="6" t="s">
        <v>98</v>
      </c>
      <c r="E27" s="6" t="s">
        <v>87</v>
      </c>
      <c r="F27" s="6" t="s">
        <v>88</v>
      </c>
      <c r="G27" s="7">
        <v>0.26</v>
      </c>
      <c r="H27" s="6" t="s">
        <v>19</v>
      </c>
      <c r="I27" s="6" t="s">
        <v>20</v>
      </c>
      <c r="J27" s="6">
        <v>2014.0</v>
      </c>
      <c r="L27" s="6">
        <v>1.0</v>
      </c>
      <c r="M27" s="8">
        <f t="shared" si="1"/>
        <v>0.26</v>
      </c>
      <c r="P27" s="9"/>
    </row>
    <row r="28">
      <c r="A28" s="6" t="s">
        <v>99</v>
      </c>
      <c r="B28" s="6" t="s">
        <v>100</v>
      </c>
      <c r="C28" s="6" t="s">
        <v>101</v>
      </c>
      <c r="D28" s="6" t="s">
        <v>102</v>
      </c>
      <c r="E28" s="6" t="s">
        <v>103</v>
      </c>
      <c r="F28" s="6" t="s">
        <v>88</v>
      </c>
      <c r="G28" s="7">
        <v>0.03</v>
      </c>
      <c r="H28" s="6" t="s">
        <v>19</v>
      </c>
      <c r="I28" s="6" t="s">
        <v>20</v>
      </c>
      <c r="J28" s="6">
        <v>2014.0</v>
      </c>
      <c r="K28" s="10">
        <v>46083.0</v>
      </c>
      <c r="L28" s="6">
        <v>1.0</v>
      </c>
      <c r="M28" s="8">
        <f t="shared" si="1"/>
        <v>0.03</v>
      </c>
      <c r="P28" s="9"/>
    </row>
    <row r="29">
      <c r="A29" s="6" t="s">
        <v>104</v>
      </c>
      <c r="B29" s="6" t="s">
        <v>105</v>
      </c>
      <c r="C29" s="6" t="s">
        <v>101</v>
      </c>
      <c r="D29" s="6" t="s">
        <v>106</v>
      </c>
      <c r="E29" s="6" t="s">
        <v>87</v>
      </c>
      <c r="F29" s="6" t="s">
        <v>88</v>
      </c>
      <c r="G29" s="7">
        <v>0.25</v>
      </c>
      <c r="H29" s="6" t="s">
        <v>19</v>
      </c>
      <c r="I29" s="6" t="s">
        <v>20</v>
      </c>
      <c r="J29" s="6">
        <v>2014.0</v>
      </c>
      <c r="K29" s="10">
        <v>46024.0</v>
      </c>
      <c r="L29" s="6">
        <v>2.0</v>
      </c>
      <c r="M29" s="8">
        <f t="shared" si="1"/>
        <v>0.5</v>
      </c>
      <c r="P29" s="9"/>
    </row>
    <row r="30">
      <c r="A30" s="6" t="s">
        <v>107</v>
      </c>
      <c r="B30" s="6" t="s">
        <v>108</v>
      </c>
      <c r="C30" s="6" t="s">
        <v>101</v>
      </c>
      <c r="D30" s="6" t="s">
        <v>109</v>
      </c>
      <c r="E30" s="6" t="s">
        <v>110</v>
      </c>
      <c r="F30" s="6" t="s">
        <v>88</v>
      </c>
      <c r="G30" s="7">
        <v>0.85</v>
      </c>
      <c r="H30" s="6" t="s">
        <v>19</v>
      </c>
      <c r="I30" s="6" t="s">
        <v>31</v>
      </c>
      <c r="J30" s="6">
        <v>2014.0</v>
      </c>
      <c r="K30" s="10">
        <v>46179.0</v>
      </c>
      <c r="L30" s="6">
        <v>1.0</v>
      </c>
      <c r="M30" s="8">
        <f t="shared" si="1"/>
        <v>0.85</v>
      </c>
      <c r="P30" s="9"/>
    </row>
    <row r="31">
      <c r="A31" s="6" t="s">
        <v>107</v>
      </c>
      <c r="B31" s="6" t="s">
        <v>108</v>
      </c>
      <c r="C31" s="6" t="s">
        <v>101</v>
      </c>
      <c r="D31" s="6" t="s">
        <v>109</v>
      </c>
      <c r="E31" s="6" t="s">
        <v>110</v>
      </c>
      <c r="F31" s="6" t="s">
        <v>88</v>
      </c>
      <c r="G31" s="7">
        <v>0.56</v>
      </c>
      <c r="H31" s="6" t="s">
        <v>19</v>
      </c>
      <c r="I31" s="6" t="s">
        <v>20</v>
      </c>
      <c r="J31" s="6">
        <v>2014.0</v>
      </c>
      <c r="K31" s="10">
        <v>46179.0</v>
      </c>
      <c r="L31" s="6">
        <v>2.0</v>
      </c>
      <c r="M31" s="8">
        <f t="shared" si="1"/>
        <v>1.12</v>
      </c>
      <c r="P31" s="9"/>
    </row>
    <row r="32">
      <c r="A32" s="6" t="s">
        <v>111</v>
      </c>
      <c r="B32" s="6" t="s">
        <v>14</v>
      </c>
      <c r="C32" s="6" t="s">
        <v>22</v>
      </c>
      <c r="D32" s="6" t="s">
        <v>112</v>
      </c>
      <c r="E32" s="6" t="s">
        <v>113</v>
      </c>
      <c r="F32" s="6" t="s">
        <v>88</v>
      </c>
      <c r="G32" s="7">
        <v>0.03</v>
      </c>
      <c r="H32" s="6" t="s">
        <v>19</v>
      </c>
      <c r="I32" s="6" t="s">
        <v>20</v>
      </c>
      <c r="J32" s="6">
        <v>2014.0</v>
      </c>
      <c r="L32" s="6">
        <v>5.0</v>
      </c>
      <c r="M32" s="8">
        <f t="shared" si="1"/>
        <v>0.15</v>
      </c>
      <c r="P32" s="9"/>
    </row>
    <row r="33">
      <c r="A33" s="6" t="s">
        <v>114</v>
      </c>
      <c r="B33" s="6" t="s">
        <v>115</v>
      </c>
      <c r="C33" s="6" t="s">
        <v>15</v>
      </c>
      <c r="D33" s="6" t="s">
        <v>116</v>
      </c>
      <c r="E33" s="6" t="s">
        <v>113</v>
      </c>
      <c r="F33" s="6" t="s">
        <v>88</v>
      </c>
      <c r="G33" s="7">
        <v>0.26</v>
      </c>
      <c r="H33" s="6" t="s">
        <v>19</v>
      </c>
      <c r="I33" s="6" t="s">
        <v>20</v>
      </c>
      <c r="J33" s="6">
        <v>2014.0</v>
      </c>
      <c r="K33" s="10">
        <v>46023.0</v>
      </c>
      <c r="L33" s="6">
        <v>6.0</v>
      </c>
      <c r="M33" s="8">
        <f t="shared" si="1"/>
        <v>1.56</v>
      </c>
      <c r="P33" s="9"/>
    </row>
    <row r="34">
      <c r="A34" s="6" t="s">
        <v>117</v>
      </c>
      <c r="B34" s="6" t="s">
        <v>14</v>
      </c>
      <c r="C34" s="6" t="s">
        <v>15</v>
      </c>
      <c r="D34" s="6" t="s">
        <v>118</v>
      </c>
      <c r="E34" s="6" t="s">
        <v>87</v>
      </c>
      <c r="F34" s="6" t="s">
        <v>88</v>
      </c>
      <c r="G34" s="7">
        <v>0.03</v>
      </c>
      <c r="H34" s="6" t="s">
        <v>19</v>
      </c>
      <c r="I34" s="6" t="s">
        <v>20</v>
      </c>
      <c r="J34" s="6">
        <v>2014.0</v>
      </c>
      <c r="L34" s="6">
        <v>6.0</v>
      </c>
      <c r="M34" s="8">
        <f t="shared" si="1"/>
        <v>0.18</v>
      </c>
      <c r="P34" s="9"/>
    </row>
    <row r="35">
      <c r="A35" s="6" t="s">
        <v>119</v>
      </c>
      <c r="B35" s="6" t="s">
        <v>63</v>
      </c>
      <c r="C35" s="6" t="s">
        <v>15</v>
      </c>
      <c r="D35" s="6" t="s">
        <v>120</v>
      </c>
      <c r="E35" s="6" t="s">
        <v>87</v>
      </c>
      <c r="F35" s="6" t="s">
        <v>88</v>
      </c>
      <c r="G35" s="7">
        <v>0.03</v>
      </c>
      <c r="H35" s="6" t="s">
        <v>19</v>
      </c>
      <c r="I35" s="6" t="s">
        <v>20</v>
      </c>
      <c r="J35" s="6">
        <v>2014.0</v>
      </c>
      <c r="L35" s="6">
        <v>3.0</v>
      </c>
      <c r="M35" s="8">
        <f t="shared" si="1"/>
        <v>0.09</v>
      </c>
      <c r="P35" s="9"/>
    </row>
    <row r="36">
      <c r="A36" s="6" t="s">
        <v>121</v>
      </c>
      <c r="B36" s="6" t="s">
        <v>122</v>
      </c>
      <c r="C36" s="6" t="s">
        <v>15</v>
      </c>
      <c r="D36" s="6" t="s">
        <v>123</v>
      </c>
      <c r="E36" s="6" t="s">
        <v>124</v>
      </c>
      <c r="F36" s="6" t="s">
        <v>88</v>
      </c>
      <c r="G36" s="7">
        <v>0.03</v>
      </c>
      <c r="H36" s="6" t="s">
        <v>19</v>
      </c>
      <c r="I36" s="6" t="s">
        <v>20</v>
      </c>
      <c r="J36" s="6">
        <v>2014.0</v>
      </c>
      <c r="K36" s="10">
        <v>46056.0</v>
      </c>
      <c r="L36" s="6">
        <v>4.0</v>
      </c>
      <c r="M36" s="8">
        <f t="shared" si="1"/>
        <v>0.12</v>
      </c>
      <c r="P36" s="9"/>
    </row>
    <row r="37">
      <c r="A37" s="6" t="s">
        <v>125</v>
      </c>
      <c r="B37" s="6" t="s">
        <v>68</v>
      </c>
      <c r="C37" s="6" t="s">
        <v>22</v>
      </c>
      <c r="D37" s="6" t="s">
        <v>126</v>
      </c>
      <c r="E37" s="6" t="s">
        <v>96</v>
      </c>
      <c r="F37" s="6" t="s">
        <v>88</v>
      </c>
      <c r="G37" s="7">
        <v>0.05</v>
      </c>
      <c r="H37" s="6" t="s">
        <v>19</v>
      </c>
      <c r="I37" s="6" t="s">
        <v>20</v>
      </c>
      <c r="J37" s="6">
        <v>2014.0</v>
      </c>
      <c r="L37" s="6">
        <v>2.0</v>
      </c>
      <c r="M37" s="8">
        <f t="shared" si="1"/>
        <v>0.1</v>
      </c>
      <c r="P37" s="9"/>
    </row>
    <row r="38">
      <c r="A38" s="6" t="s">
        <v>127</v>
      </c>
      <c r="B38" s="6" t="s">
        <v>14</v>
      </c>
      <c r="C38" s="6" t="s">
        <v>15</v>
      </c>
      <c r="D38" s="6" t="s">
        <v>128</v>
      </c>
      <c r="E38" s="6" t="s">
        <v>129</v>
      </c>
      <c r="F38" s="6" t="s">
        <v>88</v>
      </c>
      <c r="G38" s="7">
        <v>0.03</v>
      </c>
      <c r="H38" s="6" t="s">
        <v>19</v>
      </c>
      <c r="I38" s="6" t="s">
        <v>20</v>
      </c>
      <c r="J38" s="6">
        <v>2014.0</v>
      </c>
      <c r="L38" s="6">
        <v>2.0</v>
      </c>
      <c r="M38" s="8">
        <f t="shared" si="1"/>
        <v>0.06</v>
      </c>
      <c r="P38" s="9"/>
    </row>
    <row r="39">
      <c r="A39" s="6" t="s">
        <v>130</v>
      </c>
      <c r="B39" s="6" t="s">
        <v>131</v>
      </c>
      <c r="C39" s="6" t="s">
        <v>22</v>
      </c>
      <c r="D39" s="6" t="s">
        <v>132</v>
      </c>
      <c r="E39" s="6" t="s">
        <v>103</v>
      </c>
      <c r="F39" s="6" t="s">
        <v>88</v>
      </c>
      <c r="G39" s="7">
        <v>0.05</v>
      </c>
      <c r="H39" s="6" t="s">
        <v>19</v>
      </c>
      <c r="I39" s="6" t="s">
        <v>20</v>
      </c>
      <c r="J39" s="6">
        <v>2014.0</v>
      </c>
      <c r="K39" s="10">
        <v>46116.0</v>
      </c>
      <c r="L39" s="6">
        <v>1.0</v>
      </c>
      <c r="M39" s="8">
        <f t="shared" si="1"/>
        <v>0.05</v>
      </c>
      <c r="P39" s="9"/>
    </row>
    <row r="40">
      <c r="A40" s="6" t="s">
        <v>133</v>
      </c>
      <c r="B40" s="6" t="s">
        <v>134</v>
      </c>
      <c r="C40" s="6" t="s">
        <v>15</v>
      </c>
      <c r="D40" s="6" t="s">
        <v>135</v>
      </c>
      <c r="E40" s="6" t="s">
        <v>103</v>
      </c>
      <c r="F40" s="6" t="s">
        <v>88</v>
      </c>
      <c r="G40" s="7">
        <v>0.03</v>
      </c>
      <c r="H40" s="6" t="s">
        <v>19</v>
      </c>
      <c r="I40" s="6" t="s">
        <v>20</v>
      </c>
      <c r="J40" s="6">
        <v>2014.0</v>
      </c>
      <c r="K40" s="10">
        <v>46082.0</v>
      </c>
      <c r="L40" s="6">
        <v>2.0</v>
      </c>
      <c r="M40" s="8">
        <f t="shared" si="1"/>
        <v>0.06</v>
      </c>
      <c r="P40" s="9"/>
    </row>
    <row r="41">
      <c r="A41" s="6" t="s">
        <v>136</v>
      </c>
      <c r="B41" s="6" t="s">
        <v>14</v>
      </c>
      <c r="C41" s="6" t="s">
        <v>22</v>
      </c>
      <c r="D41" s="6" t="s">
        <v>137</v>
      </c>
      <c r="E41" s="6" t="s">
        <v>103</v>
      </c>
      <c r="F41" s="6" t="s">
        <v>88</v>
      </c>
      <c r="G41" s="7">
        <v>0.08</v>
      </c>
      <c r="H41" s="6" t="s">
        <v>19</v>
      </c>
      <c r="I41" s="6" t="s">
        <v>20</v>
      </c>
      <c r="J41" s="6">
        <v>2014.0</v>
      </c>
      <c r="L41" s="6">
        <v>1.0</v>
      </c>
      <c r="M41" s="8">
        <f t="shared" si="1"/>
        <v>0.08</v>
      </c>
      <c r="P41" s="9"/>
    </row>
    <row r="42">
      <c r="A42" s="6" t="s">
        <v>138</v>
      </c>
      <c r="B42" s="6" t="s">
        <v>139</v>
      </c>
      <c r="C42" s="6" t="s">
        <v>22</v>
      </c>
      <c r="D42" s="6" t="s">
        <v>140</v>
      </c>
      <c r="E42" s="6" t="s">
        <v>141</v>
      </c>
      <c r="F42" s="6" t="s">
        <v>88</v>
      </c>
      <c r="G42" s="7">
        <v>0.06</v>
      </c>
      <c r="H42" s="6" t="s">
        <v>19</v>
      </c>
      <c r="I42" s="6" t="s">
        <v>20</v>
      </c>
      <c r="J42" s="6">
        <v>2014.0</v>
      </c>
      <c r="K42" s="10">
        <v>46116.0</v>
      </c>
      <c r="L42" s="6">
        <v>1.0</v>
      </c>
      <c r="M42" s="8">
        <f t="shared" si="1"/>
        <v>0.06</v>
      </c>
      <c r="P42" s="9"/>
    </row>
    <row r="43">
      <c r="A43" s="6" t="s">
        <v>142</v>
      </c>
      <c r="B43" s="6" t="s">
        <v>143</v>
      </c>
      <c r="C43" s="6" t="s">
        <v>22</v>
      </c>
      <c r="D43" s="6" t="s">
        <v>144</v>
      </c>
      <c r="E43" s="6" t="s">
        <v>124</v>
      </c>
      <c r="F43" s="6" t="s">
        <v>88</v>
      </c>
      <c r="G43" s="7">
        <v>0.05</v>
      </c>
      <c r="H43" s="6" t="s">
        <v>19</v>
      </c>
      <c r="I43" s="6" t="s">
        <v>20</v>
      </c>
      <c r="J43" s="6">
        <v>2014.0</v>
      </c>
      <c r="K43" s="10">
        <v>46114.0</v>
      </c>
      <c r="L43" s="6">
        <v>1.0</v>
      </c>
      <c r="M43" s="8">
        <f t="shared" si="1"/>
        <v>0.05</v>
      </c>
      <c r="P43" s="9"/>
    </row>
    <row r="44">
      <c r="A44" s="6" t="s">
        <v>145</v>
      </c>
      <c r="B44" s="6" t="s">
        <v>14</v>
      </c>
      <c r="C44" s="6" t="s">
        <v>22</v>
      </c>
      <c r="D44" s="6" t="s">
        <v>146</v>
      </c>
      <c r="E44" s="6" t="s">
        <v>113</v>
      </c>
      <c r="F44" s="6" t="s">
        <v>88</v>
      </c>
      <c r="G44" s="7">
        <v>0.05</v>
      </c>
      <c r="H44" s="6" t="s">
        <v>19</v>
      </c>
      <c r="I44" s="6" t="s">
        <v>20</v>
      </c>
      <c r="J44" s="6">
        <v>2014.0</v>
      </c>
      <c r="L44" s="6">
        <v>1.0</v>
      </c>
      <c r="M44" s="8">
        <f t="shared" si="1"/>
        <v>0.05</v>
      </c>
      <c r="P44" s="9"/>
    </row>
    <row r="45">
      <c r="A45" s="6" t="s">
        <v>147</v>
      </c>
      <c r="B45" s="6" t="s">
        <v>148</v>
      </c>
      <c r="C45" s="6" t="s">
        <v>149</v>
      </c>
      <c r="D45" s="6" t="s">
        <v>150</v>
      </c>
      <c r="E45" s="6" t="s">
        <v>151</v>
      </c>
      <c r="F45" s="6" t="s">
        <v>152</v>
      </c>
      <c r="G45" s="7">
        <v>5.44</v>
      </c>
      <c r="H45" s="6" t="s">
        <v>19</v>
      </c>
      <c r="I45" s="6" t="s">
        <v>20</v>
      </c>
      <c r="J45" s="6">
        <v>2014.0</v>
      </c>
      <c r="L45" s="6">
        <v>1.0</v>
      </c>
      <c r="M45" s="8">
        <f t="shared" si="1"/>
        <v>5.44</v>
      </c>
      <c r="P45" s="9"/>
    </row>
    <row r="46">
      <c r="A46" s="6" t="s">
        <v>153</v>
      </c>
      <c r="B46" s="6" t="s">
        <v>154</v>
      </c>
      <c r="C46" s="6" t="s">
        <v>149</v>
      </c>
      <c r="D46" s="6" t="s">
        <v>155</v>
      </c>
      <c r="E46" s="6" t="s">
        <v>156</v>
      </c>
      <c r="F46" s="6" t="s">
        <v>157</v>
      </c>
      <c r="G46" s="7">
        <v>5.95</v>
      </c>
      <c r="H46" s="6" t="s">
        <v>19</v>
      </c>
      <c r="I46" s="6" t="s">
        <v>20</v>
      </c>
      <c r="J46" s="6">
        <v>2014.0</v>
      </c>
      <c r="K46" s="10">
        <v>46207.0</v>
      </c>
      <c r="L46" s="6">
        <v>1.0</v>
      </c>
      <c r="M46" s="8">
        <f t="shared" si="1"/>
        <v>5.95</v>
      </c>
      <c r="P46" s="9"/>
    </row>
    <row r="47">
      <c r="A47" s="6" t="s">
        <v>158</v>
      </c>
      <c r="B47" s="6" t="s">
        <v>159</v>
      </c>
      <c r="C47" s="6" t="s">
        <v>160</v>
      </c>
      <c r="D47" s="6" t="s">
        <v>161</v>
      </c>
      <c r="E47" s="6" t="s">
        <v>162</v>
      </c>
      <c r="F47" s="6" t="s">
        <v>163</v>
      </c>
      <c r="G47" s="7">
        <v>29.5</v>
      </c>
      <c r="H47" s="6" t="s">
        <v>164</v>
      </c>
      <c r="I47" s="6" t="s">
        <v>31</v>
      </c>
      <c r="J47" s="6">
        <v>2014.0</v>
      </c>
      <c r="K47" s="10">
        <v>46147.0</v>
      </c>
      <c r="L47" s="6">
        <v>1.0</v>
      </c>
      <c r="M47" s="8">
        <f t="shared" si="1"/>
        <v>29.5</v>
      </c>
      <c r="P47" s="9"/>
    </row>
    <row r="48">
      <c r="A48" s="6" t="s">
        <v>165</v>
      </c>
      <c r="B48" s="6" t="s">
        <v>154</v>
      </c>
      <c r="C48" s="6" t="s">
        <v>149</v>
      </c>
      <c r="D48" s="6" t="s">
        <v>166</v>
      </c>
      <c r="E48" s="6" t="s">
        <v>167</v>
      </c>
      <c r="F48" s="6" t="s">
        <v>157</v>
      </c>
      <c r="G48" s="7">
        <v>0.41</v>
      </c>
      <c r="H48" s="6" t="s">
        <v>19</v>
      </c>
      <c r="I48" s="6" t="s">
        <v>20</v>
      </c>
      <c r="J48" s="6">
        <v>2014.0</v>
      </c>
      <c r="K48" s="10">
        <v>46117.0</v>
      </c>
      <c r="L48" s="6">
        <v>1.0</v>
      </c>
      <c r="M48" s="8">
        <f t="shared" si="1"/>
        <v>0.41</v>
      </c>
      <c r="P48" s="9"/>
    </row>
    <row r="49">
      <c r="A49" s="6" t="s">
        <v>168</v>
      </c>
      <c r="B49" s="6" t="s">
        <v>68</v>
      </c>
      <c r="C49" s="6" t="s">
        <v>22</v>
      </c>
      <c r="D49" s="6" t="s">
        <v>169</v>
      </c>
      <c r="E49" s="6" t="s">
        <v>50</v>
      </c>
      <c r="F49" s="6" t="s">
        <v>170</v>
      </c>
      <c r="G49" s="7">
        <v>0.05</v>
      </c>
      <c r="H49" s="6" t="s">
        <v>19</v>
      </c>
      <c r="I49" s="6" t="s">
        <v>20</v>
      </c>
      <c r="J49" s="6">
        <v>2014.0</v>
      </c>
      <c r="L49" s="6">
        <v>2.0</v>
      </c>
      <c r="M49" s="8">
        <f t="shared" si="1"/>
        <v>0.1</v>
      </c>
      <c r="P49" s="9"/>
    </row>
    <row r="50">
      <c r="A50" s="6" t="s">
        <v>171</v>
      </c>
      <c r="B50" s="6" t="s">
        <v>139</v>
      </c>
      <c r="C50" s="6" t="s">
        <v>15</v>
      </c>
      <c r="D50" s="6" t="s">
        <v>172</v>
      </c>
      <c r="E50" s="6" t="s">
        <v>173</v>
      </c>
      <c r="F50" s="6" t="s">
        <v>170</v>
      </c>
      <c r="G50" s="7">
        <v>0.05</v>
      </c>
      <c r="H50" s="6" t="s">
        <v>19</v>
      </c>
      <c r="I50" s="6" t="s">
        <v>20</v>
      </c>
      <c r="J50" s="6">
        <v>2014.0</v>
      </c>
      <c r="K50" s="10">
        <v>46057.0</v>
      </c>
      <c r="L50" s="6">
        <v>2.0</v>
      </c>
      <c r="M50" s="8">
        <f t="shared" si="1"/>
        <v>0.1</v>
      </c>
      <c r="P50" s="9"/>
    </row>
    <row r="51">
      <c r="A51" s="6" t="s">
        <v>174</v>
      </c>
      <c r="B51" s="6" t="s">
        <v>68</v>
      </c>
      <c r="C51" s="6" t="s">
        <v>22</v>
      </c>
      <c r="D51" s="6" t="s">
        <v>175</v>
      </c>
      <c r="E51" s="6" t="s">
        <v>43</v>
      </c>
      <c r="F51" s="6" t="s">
        <v>170</v>
      </c>
      <c r="G51" s="7">
        <v>0.05</v>
      </c>
      <c r="H51" s="6" t="s">
        <v>19</v>
      </c>
      <c r="I51" s="6" t="s">
        <v>20</v>
      </c>
      <c r="J51" s="6">
        <v>2014.0</v>
      </c>
      <c r="L51" s="6">
        <v>3.0</v>
      </c>
      <c r="M51" s="8">
        <f t="shared" si="1"/>
        <v>0.15</v>
      </c>
      <c r="P51" s="9"/>
    </row>
    <row r="52">
      <c r="A52" s="6" t="s">
        <v>176</v>
      </c>
      <c r="B52" s="6" t="s">
        <v>177</v>
      </c>
      <c r="C52" s="6" t="s">
        <v>101</v>
      </c>
      <c r="D52" s="6" t="s">
        <v>178</v>
      </c>
      <c r="E52" s="6" t="s">
        <v>179</v>
      </c>
      <c r="F52" s="6" t="s">
        <v>170</v>
      </c>
      <c r="G52" s="7">
        <v>0.25</v>
      </c>
      <c r="H52" s="6" t="s">
        <v>19</v>
      </c>
      <c r="I52" s="6" t="s">
        <v>20</v>
      </c>
      <c r="J52" s="6">
        <v>2014.0</v>
      </c>
      <c r="K52" s="10">
        <v>46305.0</v>
      </c>
      <c r="L52" s="6">
        <v>1.0</v>
      </c>
      <c r="M52" s="8">
        <f t="shared" si="1"/>
        <v>0.25</v>
      </c>
      <c r="P52" s="9"/>
    </row>
    <row r="53">
      <c r="A53" s="6" t="s">
        <v>180</v>
      </c>
      <c r="B53" s="6" t="s">
        <v>68</v>
      </c>
      <c r="C53" s="6" t="s">
        <v>15</v>
      </c>
      <c r="D53" s="6" t="s">
        <v>181</v>
      </c>
      <c r="E53" s="6" t="s">
        <v>50</v>
      </c>
      <c r="F53" s="6" t="s">
        <v>170</v>
      </c>
      <c r="G53" s="7">
        <v>0.05</v>
      </c>
      <c r="H53" s="6" t="s">
        <v>19</v>
      </c>
      <c r="I53" s="6" t="s">
        <v>20</v>
      </c>
      <c r="J53" s="6">
        <v>2014.0</v>
      </c>
      <c r="L53" s="6">
        <v>1.0</v>
      </c>
      <c r="M53" s="8">
        <f t="shared" si="1"/>
        <v>0.05</v>
      </c>
      <c r="P53" s="9"/>
    </row>
    <row r="54">
      <c r="A54" s="6" t="s">
        <v>182</v>
      </c>
      <c r="B54" s="6" t="s">
        <v>183</v>
      </c>
      <c r="C54" s="6" t="s">
        <v>22</v>
      </c>
      <c r="D54" s="6" t="s">
        <v>184</v>
      </c>
      <c r="E54" s="6" t="s">
        <v>61</v>
      </c>
      <c r="F54" s="6" t="s">
        <v>170</v>
      </c>
      <c r="G54" s="7">
        <v>0.05</v>
      </c>
      <c r="H54" s="6" t="s">
        <v>19</v>
      </c>
      <c r="I54" s="6" t="s">
        <v>20</v>
      </c>
      <c r="J54" s="6">
        <v>2014.0</v>
      </c>
      <c r="K54" s="10">
        <v>46085.0</v>
      </c>
      <c r="L54" s="6">
        <v>1.0</v>
      </c>
      <c r="M54" s="8">
        <f t="shared" si="1"/>
        <v>0.05</v>
      </c>
      <c r="P54" s="9"/>
    </row>
    <row r="55">
      <c r="A55" s="6" t="s">
        <v>185</v>
      </c>
      <c r="B55" s="6" t="s">
        <v>186</v>
      </c>
      <c r="C55" s="6" t="s">
        <v>101</v>
      </c>
      <c r="D55" s="6" t="s">
        <v>187</v>
      </c>
      <c r="E55" s="6" t="s">
        <v>188</v>
      </c>
      <c r="F55" s="6" t="s">
        <v>170</v>
      </c>
      <c r="G55" s="7">
        <v>0.33</v>
      </c>
      <c r="H55" s="6" t="s">
        <v>19</v>
      </c>
      <c r="I55" s="6" t="s">
        <v>20</v>
      </c>
      <c r="J55" s="6">
        <v>2014.0</v>
      </c>
      <c r="K55" s="10">
        <v>46147.0</v>
      </c>
      <c r="L55" s="6">
        <v>1.0</v>
      </c>
      <c r="M55" s="8">
        <f t="shared" si="1"/>
        <v>0.33</v>
      </c>
      <c r="P55" s="9"/>
    </row>
    <row r="56">
      <c r="A56" s="6" t="s">
        <v>189</v>
      </c>
      <c r="B56" s="6" t="s">
        <v>190</v>
      </c>
      <c r="C56" s="6" t="s">
        <v>15</v>
      </c>
      <c r="D56" s="6" t="s">
        <v>191</v>
      </c>
      <c r="E56" s="6" t="s">
        <v>192</v>
      </c>
      <c r="F56" s="6" t="s">
        <v>80</v>
      </c>
      <c r="G56" s="7">
        <v>0.19</v>
      </c>
      <c r="H56" s="6" t="s">
        <v>193</v>
      </c>
      <c r="I56" s="6" t="s">
        <v>20</v>
      </c>
      <c r="J56" s="6">
        <v>2014.0</v>
      </c>
      <c r="L56" s="6">
        <v>2.0</v>
      </c>
      <c r="M56" s="8">
        <f t="shared" si="1"/>
        <v>0.38</v>
      </c>
      <c r="P56" s="9"/>
    </row>
    <row r="57">
      <c r="A57" s="6" t="s">
        <v>189</v>
      </c>
      <c r="B57" s="6" t="s">
        <v>190</v>
      </c>
      <c r="C57" s="6" t="s">
        <v>15</v>
      </c>
      <c r="D57" s="6" t="s">
        <v>191</v>
      </c>
      <c r="E57" s="6" t="s">
        <v>192</v>
      </c>
      <c r="F57" s="6" t="s">
        <v>80</v>
      </c>
      <c r="G57" s="7">
        <v>0.12</v>
      </c>
      <c r="H57" s="6" t="s">
        <v>194</v>
      </c>
      <c r="I57" s="6" t="s">
        <v>20</v>
      </c>
      <c r="J57" s="6">
        <v>2020.0</v>
      </c>
      <c r="L57" s="6">
        <v>2.0</v>
      </c>
      <c r="M57" s="8">
        <f t="shared" si="1"/>
        <v>0.24</v>
      </c>
      <c r="P57" s="9"/>
    </row>
    <row r="58">
      <c r="A58" s="6" t="s">
        <v>195</v>
      </c>
      <c r="B58" s="6" t="s">
        <v>190</v>
      </c>
      <c r="C58" s="6" t="s">
        <v>22</v>
      </c>
      <c r="D58" s="6" t="s">
        <v>196</v>
      </c>
      <c r="E58" s="6" t="s">
        <v>192</v>
      </c>
      <c r="F58" s="6" t="s">
        <v>157</v>
      </c>
      <c r="G58" s="7">
        <v>0.34</v>
      </c>
      <c r="H58" s="6" t="s">
        <v>193</v>
      </c>
      <c r="I58" s="6" t="s">
        <v>20</v>
      </c>
      <c r="J58" s="6">
        <v>2014.0</v>
      </c>
      <c r="L58" s="6">
        <v>2.0</v>
      </c>
      <c r="M58" s="8">
        <f t="shared" si="1"/>
        <v>0.68</v>
      </c>
      <c r="P58" s="9"/>
    </row>
    <row r="59">
      <c r="A59" s="6" t="s">
        <v>197</v>
      </c>
      <c r="B59" s="6" t="s">
        <v>190</v>
      </c>
      <c r="C59" s="6" t="s">
        <v>22</v>
      </c>
      <c r="D59" s="6" t="s">
        <v>198</v>
      </c>
      <c r="E59" s="6" t="s">
        <v>192</v>
      </c>
      <c r="F59" s="6" t="s">
        <v>170</v>
      </c>
      <c r="G59" s="7">
        <v>0.44</v>
      </c>
      <c r="H59" s="6" t="s">
        <v>193</v>
      </c>
      <c r="I59" s="6" t="s">
        <v>20</v>
      </c>
      <c r="J59" s="6">
        <v>2014.0</v>
      </c>
      <c r="L59" s="6">
        <v>1.0</v>
      </c>
      <c r="M59" s="8">
        <f t="shared" si="1"/>
        <v>0.44</v>
      </c>
      <c r="P59" s="9"/>
    </row>
    <row r="60">
      <c r="A60" s="6" t="s">
        <v>199</v>
      </c>
      <c r="B60" s="6" t="s">
        <v>200</v>
      </c>
      <c r="C60" s="6" t="s">
        <v>22</v>
      </c>
      <c r="D60" s="6" t="s">
        <v>201</v>
      </c>
      <c r="E60" s="6" t="s">
        <v>202</v>
      </c>
      <c r="F60" s="6" t="s">
        <v>157</v>
      </c>
      <c r="G60" s="7">
        <v>0.09</v>
      </c>
      <c r="H60" s="6" t="s">
        <v>193</v>
      </c>
      <c r="I60" s="6" t="s">
        <v>20</v>
      </c>
      <c r="J60" s="6">
        <v>2014.0</v>
      </c>
      <c r="K60" s="10">
        <v>46055.0</v>
      </c>
      <c r="L60" s="6">
        <v>1.0</v>
      </c>
      <c r="M60" s="8">
        <f t="shared" si="1"/>
        <v>0.09</v>
      </c>
      <c r="P60" s="9"/>
    </row>
    <row r="61">
      <c r="A61" s="6" t="s">
        <v>203</v>
      </c>
      <c r="B61" s="6" t="s">
        <v>204</v>
      </c>
      <c r="C61" s="6" t="s">
        <v>15</v>
      </c>
      <c r="D61" s="6" t="s">
        <v>205</v>
      </c>
      <c r="E61" s="6" t="s">
        <v>206</v>
      </c>
      <c r="F61" s="6" t="s">
        <v>157</v>
      </c>
      <c r="G61" s="7">
        <v>0.09</v>
      </c>
      <c r="H61" s="6" t="s">
        <v>193</v>
      </c>
      <c r="I61" s="6" t="s">
        <v>20</v>
      </c>
      <c r="J61" s="6">
        <v>2014.0</v>
      </c>
      <c r="K61" s="10">
        <v>46025.0</v>
      </c>
      <c r="L61" s="6">
        <v>1.0</v>
      </c>
      <c r="M61" s="8">
        <f t="shared" si="1"/>
        <v>0.09</v>
      </c>
      <c r="P61" s="9"/>
    </row>
    <row r="62">
      <c r="A62" s="6" t="s">
        <v>207</v>
      </c>
      <c r="B62" s="6" t="s">
        <v>208</v>
      </c>
      <c r="C62" s="6" t="s">
        <v>22</v>
      </c>
      <c r="D62" s="6" t="s">
        <v>209</v>
      </c>
      <c r="E62" s="6" t="s">
        <v>210</v>
      </c>
      <c r="F62" s="6" t="s">
        <v>157</v>
      </c>
      <c r="G62" s="7">
        <v>0.09</v>
      </c>
      <c r="H62" s="6" t="s">
        <v>193</v>
      </c>
      <c r="I62" s="6" t="s">
        <v>31</v>
      </c>
      <c r="J62" s="6">
        <v>2014.0</v>
      </c>
      <c r="K62" s="10">
        <v>46085.0</v>
      </c>
      <c r="L62" s="6">
        <v>1.0</v>
      </c>
      <c r="M62" s="8">
        <f t="shared" si="1"/>
        <v>0.09</v>
      </c>
      <c r="P62" s="9"/>
    </row>
    <row r="63">
      <c r="A63" s="6" t="s">
        <v>207</v>
      </c>
      <c r="B63" s="6" t="s">
        <v>208</v>
      </c>
      <c r="C63" s="6" t="s">
        <v>22</v>
      </c>
      <c r="D63" s="6" t="s">
        <v>209</v>
      </c>
      <c r="E63" s="6" t="s">
        <v>210</v>
      </c>
      <c r="F63" s="6" t="s">
        <v>157</v>
      </c>
      <c r="G63" s="7">
        <v>0.13</v>
      </c>
      <c r="H63" s="6" t="s">
        <v>193</v>
      </c>
      <c r="I63" s="6" t="s">
        <v>20</v>
      </c>
      <c r="J63" s="6">
        <v>2014.0</v>
      </c>
      <c r="K63" s="10">
        <v>46085.0</v>
      </c>
      <c r="L63" s="6">
        <v>1.0</v>
      </c>
      <c r="M63" s="8">
        <f t="shared" si="1"/>
        <v>0.13</v>
      </c>
      <c r="P63" s="9"/>
    </row>
    <row r="64">
      <c r="A64" s="6" t="s">
        <v>211</v>
      </c>
      <c r="B64" s="6" t="s">
        <v>212</v>
      </c>
      <c r="C64" s="6" t="s">
        <v>149</v>
      </c>
      <c r="D64" s="6" t="s">
        <v>213</v>
      </c>
      <c r="E64" s="6" t="s">
        <v>214</v>
      </c>
      <c r="F64" s="6" t="s">
        <v>157</v>
      </c>
      <c r="G64" s="7">
        <v>3.48</v>
      </c>
      <c r="H64" s="6" t="s">
        <v>193</v>
      </c>
      <c r="I64" s="6" t="s">
        <v>20</v>
      </c>
      <c r="J64" s="6">
        <v>2014.0</v>
      </c>
      <c r="K64" s="10">
        <v>46060.0</v>
      </c>
      <c r="L64" s="6">
        <v>1.0</v>
      </c>
      <c r="M64" s="8">
        <f t="shared" si="1"/>
        <v>3.48</v>
      </c>
      <c r="P64" s="9"/>
    </row>
    <row r="65">
      <c r="A65" s="6" t="s">
        <v>215</v>
      </c>
      <c r="B65" s="6" t="s">
        <v>204</v>
      </c>
      <c r="C65" s="6" t="s">
        <v>22</v>
      </c>
      <c r="D65" s="6" t="s">
        <v>216</v>
      </c>
      <c r="E65" s="6" t="s">
        <v>173</v>
      </c>
      <c r="F65" s="6" t="s">
        <v>170</v>
      </c>
      <c r="G65" s="7">
        <v>0.5</v>
      </c>
      <c r="H65" s="6" t="s">
        <v>193</v>
      </c>
      <c r="I65" s="6" t="s">
        <v>20</v>
      </c>
      <c r="J65" s="6">
        <v>2014.0</v>
      </c>
      <c r="K65" s="10">
        <v>46055.0</v>
      </c>
      <c r="L65" s="6">
        <v>2.0</v>
      </c>
      <c r="M65" s="8">
        <f t="shared" si="1"/>
        <v>1</v>
      </c>
      <c r="P65" s="9"/>
    </row>
    <row r="66">
      <c r="A66" s="6" t="s">
        <v>215</v>
      </c>
      <c r="B66" s="6" t="s">
        <v>204</v>
      </c>
      <c r="C66" s="6" t="s">
        <v>22</v>
      </c>
      <c r="D66" s="6" t="s">
        <v>216</v>
      </c>
      <c r="E66" s="6" t="s">
        <v>173</v>
      </c>
      <c r="F66" s="6" t="s">
        <v>170</v>
      </c>
      <c r="G66" s="7">
        <v>0.25</v>
      </c>
      <c r="H66" s="6" t="s">
        <v>193</v>
      </c>
      <c r="I66" s="6" t="s">
        <v>20</v>
      </c>
      <c r="J66" s="6">
        <v>2014.0</v>
      </c>
      <c r="K66" s="10">
        <v>46055.0</v>
      </c>
      <c r="L66" s="6">
        <v>2.0</v>
      </c>
      <c r="M66" s="8">
        <f t="shared" si="1"/>
        <v>0.5</v>
      </c>
      <c r="P66" s="9"/>
    </row>
    <row r="67">
      <c r="A67" s="6" t="s">
        <v>217</v>
      </c>
      <c r="B67" s="6" t="s">
        <v>14</v>
      </c>
      <c r="C67" s="6" t="s">
        <v>15</v>
      </c>
      <c r="D67" s="6" t="s">
        <v>218</v>
      </c>
      <c r="E67" s="6" t="s">
        <v>39</v>
      </c>
      <c r="F67" s="6" t="s">
        <v>170</v>
      </c>
      <c r="G67" s="7">
        <v>0.06</v>
      </c>
      <c r="H67" s="6" t="s">
        <v>193</v>
      </c>
      <c r="I67" s="6" t="s">
        <v>20</v>
      </c>
      <c r="J67" s="6">
        <v>2014.0</v>
      </c>
      <c r="L67" s="6">
        <v>2.0</v>
      </c>
      <c r="M67" s="8">
        <f t="shared" si="1"/>
        <v>0.12</v>
      </c>
      <c r="P67" s="9"/>
    </row>
    <row r="68">
      <c r="A68" s="6" t="s">
        <v>219</v>
      </c>
      <c r="B68" s="6" t="s">
        <v>220</v>
      </c>
      <c r="C68" s="6" t="s">
        <v>101</v>
      </c>
      <c r="D68" s="6" t="s">
        <v>221</v>
      </c>
      <c r="E68" s="6" t="s">
        <v>222</v>
      </c>
      <c r="F68" s="6" t="s">
        <v>170</v>
      </c>
      <c r="G68" s="7">
        <v>0.42</v>
      </c>
      <c r="H68" s="6" t="s">
        <v>193</v>
      </c>
      <c r="I68" s="6" t="s">
        <v>20</v>
      </c>
      <c r="J68" s="6">
        <v>2014.0</v>
      </c>
      <c r="K68" s="10">
        <v>46116.0</v>
      </c>
      <c r="L68" s="6">
        <v>1.0</v>
      </c>
      <c r="M68" s="8">
        <f t="shared" si="1"/>
        <v>0.42</v>
      </c>
      <c r="P68" s="9"/>
    </row>
    <row r="69">
      <c r="A69" s="6" t="s">
        <v>223</v>
      </c>
      <c r="B69" s="6" t="s">
        <v>14</v>
      </c>
      <c r="C69" s="6" t="s">
        <v>15</v>
      </c>
      <c r="D69" s="6" t="s">
        <v>224</v>
      </c>
      <c r="E69" s="6" t="s">
        <v>50</v>
      </c>
      <c r="F69" s="6" t="s">
        <v>170</v>
      </c>
      <c r="G69" s="7">
        <v>0.09</v>
      </c>
      <c r="H69" s="6" t="s">
        <v>193</v>
      </c>
      <c r="I69" s="6" t="s">
        <v>20</v>
      </c>
      <c r="J69" s="6">
        <v>2014.0</v>
      </c>
      <c r="L69" s="6">
        <v>1.0</v>
      </c>
      <c r="M69" s="8">
        <f t="shared" si="1"/>
        <v>0.09</v>
      </c>
      <c r="P69" s="9"/>
    </row>
    <row r="70">
      <c r="A70" s="6" t="s">
        <v>225</v>
      </c>
      <c r="B70" s="6" t="s">
        <v>68</v>
      </c>
      <c r="C70" s="6" t="s">
        <v>15</v>
      </c>
      <c r="D70" s="6" t="s">
        <v>226</v>
      </c>
      <c r="E70" s="6" t="s">
        <v>50</v>
      </c>
      <c r="F70" s="6" t="s">
        <v>170</v>
      </c>
      <c r="G70" s="7">
        <v>3.15</v>
      </c>
      <c r="H70" s="6" t="s">
        <v>193</v>
      </c>
      <c r="I70" s="6" t="s">
        <v>20</v>
      </c>
      <c r="J70" s="6">
        <v>2014.0</v>
      </c>
      <c r="L70" s="6">
        <v>1.0</v>
      </c>
      <c r="M70" s="8">
        <f t="shared" si="1"/>
        <v>3.15</v>
      </c>
      <c r="P70" s="9"/>
    </row>
    <row r="71">
      <c r="A71" s="6" t="s">
        <v>227</v>
      </c>
      <c r="B71" s="6" t="s">
        <v>228</v>
      </c>
      <c r="C71" s="6" t="s">
        <v>22</v>
      </c>
      <c r="D71" s="6" t="s">
        <v>229</v>
      </c>
      <c r="E71" s="6" t="s">
        <v>39</v>
      </c>
      <c r="F71" s="6" t="s">
        <v>170</v>
      </c>
      <c r="G71" s="7">
        <v>0.1</v>
      </c>
      <c r="H71" s="6" t="s">
        <v>193</v>
      </c>
      <c r="I71" s="6" t="s">
        <v>20</v>
      </c>
      <c r="J71" s="6">
        <v>2014.0</v>
      </c>
      <c r="K71" s="10">
        <v>46148.0</v>
      </c>
      <c r="L71" s="6">
        <v>1.0</v>
      </c>
      <c r="M71" s="8">
        <f t="shared" si="1"/>
        <v>0.1</v>
      </c>
      <c r="P71" s="9"/>
    </row>
    <row r="72">
      <c r="A72" s="6" t="s">
        <v>230</v>
      </c>
      <c r="B72" s="6" t="s">
        <v>231</v>
      </c>
      <c r="C72" s="6" t="s">
        <v>22</v>
      </c>
      <c r="D72" s="6" t="s">
        <v>232</v>
      </c>
      <c r="E72" s="6" t="s">
        <v>61</v>
      </c>
      <c r="F72" s="6" t="s">
        <v>170</v>
      </c>
      <c r="G72" s="7">
        <v>0.09</v>
      </c>
      <c r="H72" s="6" t="s">
        <v>193</v>
      </c>
      <c r="I72" s="6" t="s">
        <v>20</v>
      </c>
      <c r="J72" s="6">
        <v>2014.0</v>
      </c>
      <c r="K72" s="10">
        <v>46084.0</v>
      </c>
      <c r="L72" s="6">
        <v>1.0</v>
      </c>
      <c r="M72" s="8">
        <f t="shared" si="1"/>
        <v>0.09</v>
      </c>
      <c r="P72" s="9"/>
    </row>
    <row r="73">
      <c r="A73" s="6" t="s">
        <v>233</v>
      </c>
      <c r="B73" s="6" t="s">
        <v>68</v>
      </c>
      <c r="C73" s="6" t="s">
        <v>15</v>
      </c>
      <c r="D73" s="6" t="s">
        <v>234</v>
      </c>
      <c r="E73" s="6" t="s">
        <v>58</v>
      </c>
      <c r="F73" s="6" t="s">
        <v>170</v>
      </c>
      <c r="G73" s="7">
        <v>0.13</v>
      </c>
      <c r="H73" s="6" t="s">
        <v>193</v>
      </c>
      <c r="I73" s="6" t="s">
        <v>20</v>
      </c>
      <c r="J73" s="6">
        <v>2014.0</v>
      </c>
      <c r="L73" s="6">
        <v>1.0</v>
      </c>
      <c r="M73" s="8">
        <f t="shared" si="1"/>
        <v>0.13</v>
      </c>
      <c r="P73" s="9"/>
    </row>
    <row r="74">
      <c r="A74" s="6" t="s">
        <v>233</v>
      </c>
      <c r="B74" s="6" t="s">
        <v>68</v>
      </c>
      <c r="C74" s="6" t="s">
        <v>15</v>
      </c>
      <c r="D74" s="6" t="s">
        <v>234</v>
      </c>
      <c r="E74" s="6" t="s">
        <v>58</v>
      </c>
      <c r="F74" s="6" t="s">
        <v>170</v>
      </c>
      <c r="G74" s="7">
        <v>0.03</v>
      </c>
      <c r="H74" s="6" t="s">
        <v>235</v>
      </c>
      <c r="I74" s="6" t="s">
        <v>20</v>
      </c>
      <c r="J74" s="6">
        <v>2019.0</v>
      </c>
      <c r="L74" s="6">
        <v>1.0</v>
      </c>
      <c r="M74" s="8">
        <f t="shared" si="1"/>
        <v>0.03</v>
      </c>
      <c r="P74" s="9"/>
    </row>
    <row r="75">
      <c r="A75" s="6" t="s">
        <v>236</v>
      </c>
      <c r="B75" s="6" t="s">
        <v>63</v>
      </c>
      <c r="C75" s="6" t="s">
        <v>22</v>
      </c>
      <c r="D75" s="6" t="s">
        <v>237</v>
      </c>
      <c r="E75" s="6" t="s">
        <v>54</v>
      </c>
      <c r="F75" s="6" t="s">
        <v>170</v>
      </c>
      <c r="G75" s="7">
        <v>14.99</v>
      </c>
      <c r="H75" s="6" t="s">
        <v>193</v>
      </c>
      <c r="I75" s="6" t="s">
        <v>20</v>
      </c>
      <c r="J75" s="6">
        <v>2014.0</v>
      </c>
      <c r="L75" s="6">
        <v>1.0</v>
      </c>
      <c r="M75" s="8">
        <f t="shared" si="1"/>
        <v>14.99</v>
      </c>
      <c r="P75" s="9"/>
    </row>
    <row r="76">
      <c r="A76" s="6" t="s">
        <v>238</v>
      </c>
      <c r="B76" s="6" t="s">
        <v>68</v>
      </c>
      <c r="C76" s="6" t="s">
        <v>22</v>
      </c>
      <c r="D76" s="6" t="s">
        <v>239</v>
      </c>
      <c r="E76" s="6" t="s">
        <v>54</v>
      </c>
      <c r="F76" s="6" t="s">
        <v>170</v>
      </c>
      <c r="G76" s="7">
        <v>0.09</v>
      </c>
      <c r="H76" s="6" t="s">
        <v>193</v>
      </c>
      <c r="I76" s="6" t="s">
        <v>20</v>
      </c>
      <c r="J76" s="6">
        <v>2014.0</v>
      </c>
      <c r="L76" s="6">
        <v>1.0</v>
      </c>
      <c r="M76" s="8">
        <f t="shared" si="1"/>
        <v>0.09</v>
      </c>
      <c r="P76" s="9"/>
    </row>
    <row r="77">
      <c r="A77" s="6" t="s">
        <v>240</v>
      </c>
      <c r="B77" s="6" t="s">
        <v>14</v>
      </c>
      <c r="C77" s="6" t="s">
        <v>15</v>
      </c>
      <c r="D77" s="6" t="s">
        <v>241</v>
      </c>
      <c r="E77" s="6" t="s">
        <v>222</v>
      </c>
      <c r="F77" s="6" t="s">
        <v>170</v>
      </c>
      <c r="G77" s="7">
        <v>0.06</v>
      </c>
      <c r="H77" s="6" t="s">
        <v>193</v>
      </c>
      <c r="I77" s="6" t="s">
        <v>20</v>
      </c>
      <c r="J77" s="6">
        <v>2014.0</v>
      </c>
      <c r="L77" s="6">
        <v>1.0</v>
      </c>
      <c r="M77" s="8">
        <f t="shared" si="1"/>
        <v>0.06</v>
      </c>
      <c r="P77" s="9"/>
    </row>
    <row r="78">
      <c r="A78" s="6" t="s">
        <v>242</v>
      </c>
      <c r="B78" s="6" t="s">
        <v>68</v>
      </c>
      <c r="C78" s="6" t="s">
        <v>101</v>
      </c>
      <c r="D78" s="6" t="s">
        <v>243</v>
      </c>
      <c r="E78" s="6" t="s">
        <v>244</v>
      </c>
      <c r="F78" s="6" t="s">
        <v>170</v>
      </c>
      <c r="G78" s="7">
        <v>0.84</v>
      </c>
      <c r="H78" s="6" t="s">
        <v>193</v>
      </c>
      <c r="I78" s="6" t="s">
        <v>20</v>
      </c>
      <c r="J78" s="6">
        <v>2014.0</v>
      </c>
      <c r="L78" s="6">
        <v>1.0</v>
      </c>
      <c r="M78" s="8">
        <f t="shared" si="1"/>
        <v>0.84</v>
      </c>
      <c r="P78" s="9"/>
    </row>
    <row r="79">
      <c r="A79" s="6" t="s">
        <v>245</v>
      </c>
      <c r="B79" s="6" t="s">
        <v>68</v>
      </c>
      <c r="C79" s="6" t="s">
        <v>101</v>
      </c>
      <c r="D79" s="6" t="s">
        <v>246</v>
      </c>
      <c r="E79" s="6" t="s">
        <v>188</v>
      </c>
      <c r="F79" s="6" t="s">
        <v>170</v>
      </c>
      <c r="G79" s="7">
        <v>17.95</v>
      </c>
      <c r="H79" s="6" t="s">
        <v>193</v>
      </c>
      <c r="I79" s="6" t="s">
        <v>20</v>
      </c>
      <c r="J79" s="6">
        <v>2014.0</v>
      </c>
      <c r="L79" s="6">
        <v>1.0</v>
      </c>
      <c r="M79" s="8">
        <f t="shared" si="1"/>
        <v>17.95</v>
      </c>
      <c r="P79" s="9"/>
    </row>
    <row r="80">
      <c r="A80" s="6" t="s">
        <v>247</v>
      </c>
      <c r="B80" s="6" t="s">
        <v>248</v>
      </c>
      <c r="C80" s="6" t="s">
        <v>101</v>
      </c>
      <c r="D80" s="6" t="s">
        <v>249</v>
      </c>
      <c r="E80" s="6" t="s">
        <v>173</v>
      </c>
      <c r="F80" s="6" t="s">
        <v>170</v>
      </c>
      <c r="G80" s="7">
        <v>2.39</v>
      </c>
      <c r="H80" s="6" t="s">
        <v>193</v>
      </c>
      <c r="I80" s="6" t="s">
        <v>20</v>
      </c>
      <c r="J80" s="6">
        <v>2014.0</v>
      </c>
      <c r="K80" s="10">
        <v>46084.0</v>
      </c>
      <c r="L80" s="6">
        <v>1.0</v>
      </c>
      <c r="M80" s="8">
        <f t="shared" si="1"/>
        <v>2.39</v>
      </c>
      <c r="P80" s="9"/>
    </row>
    <row r="81">
      <c r="A81" s="6" t="s">
        <v>250</v>
      </c>
      <c r="B81" s="6" t="s">
        <v>251</v>
      </c>
      <c r="C81" s="6" t="s">
        <v>101</v>
      </c>
      <c r="D81" s="6" t="s">
        <v>252</v>
      </c>
      <c r="E81" s="6" t="s">
        <v>173</v>
      </c>
      <c r="F81" s="6" t="s">
        <v>170</v>
      </c>
      <c r="G81" s="7">
        <v>9.5</v>
      </c>
      <c r="H81" s="6" t="s">
        <v>193</v>
      </c>
      <c r="I81" s="6" t="s">
        <v>20</v>
      </c>
      <c r="J81" s="6">
        <v>2014.0</v>
      </c>
      <c r="K81" s="10">
        <v>46084.0</v>
      </c>
      <c r="L81" s="6">
        <v>1.0</v>
      </c>
      <c r="M81" s="8">
        <f t="shared" si="1"/>
        <v>9.5</v>
      </c>
      <c r="P81" s="9"/>
    </row>
    <row r="82">
      <c r="A82" s="6" t="s">
        <v>253</v>
      </c>
      <c r="B82" s="6" t="s">
        <v>254</v>
      </c>
      <c r="C82" s="6" t="s">
        <v>22</v>
      </c>
      <c r="D82" s="6" t="s">
        <v>255</v>
      </c>
      <c r="E82" s="6" t="s">
        <v>50</v>
      </c>
      <c r="F82" s="6" t="s">
        <v>170</v>
      </c>
      <c r="G82" s="7">
        <v>0.09</v>
      </c>
      <c r="H82" s="6" t="s">
        <v>193</v>
      </c>
      <c r="I82" s="6" t="s">
        <v>20</v>
      </c>
      <c r="J82" s="6">
        <v>2014.0</v>
      </c>
      <c r="K82" s="10">
        <v>46023.0</v>
      </c>
      <c r="L82" s="6">
        <v>1.0</v>
      </c>
      <c r="M82" s="8">
        <f t="shared" si="1"/>
        <v>0.09</v>
      </c>
      <c r="P82" s="9"/>
    </row>
    <row r="83">
      <c r="A83" s="6" t="s">
        <v>256</v>
      </c>
      <c r="B83" s="6" t="s">
        <v>254</v>
      </c>
      <c r="C83" s="6" t="s">
        <v>22</v>
      </c>
      <c r="D83" s="6" t="s">
        <v>257</v>
      </c>
      <c r="E83" s="6" t="s">
        <v>58</v>
      </c>
      <c r="F83" s="6" t="s">
        <v>170</v>
      </c>
      <c r="G83" s="7">
        <v>0.17</v>
      </c>
      <c r="H83" s="6" t="s">
        <v>193</v>
      </c>
      <c r="I83" s="6" t="s">
        <v>20</v>
      </c>
      <c r="J83" s="6">
        <v>2014.0</v>
      </c>
      <c r="K83" s="10">
        <v>46055.0</v>
      </c>
      <c r="L83" s="6">
        <v>1.0</v>
      </c>
      <c r="M83" s="8">
        <f t="shared" si="1"/>
        <v>0.17</v>
      </c>
      <c r="P83" s="9"/>
    </row>
    <row r="84">
      <c r="A84" s="6" t="s">
        <v>258</v>
      </c>
      <c r="B84" s="6" t="s">
        <v>204</v>
      </c>
      <c r="C84" s="6" t="s">
        <v>22</v>
      </c>
      <c r="D84" s="6" t="s">
        <v>259</v>
      </c>
      <c r="E84" s="6" t="s">
        <v>222</v>
      </c>
      <c r="F84" s="6" t="s">
        <v>170</v>
      </c>
      <c r="G84" s="7">
        <v>1.99</v>
      </c>
      <c r="H84" s="6" t="s">
        <v>193</v>
      </c>
      <c r="I84" s="6" t="s">
        <v>20</v>
      </c>
      <c r="J84" s="6">
        <v>2014.0</v>
      </c>
      <c r="K84" s="10">
        <v>46055.0</v>
      </c>
      <c r="L84" s="6">
        <v>1.0</v>
      </c>
      <c r="M84" s="8">
        <f t="shared" si="1"/>
        <v>1.99</v>
      </c>
      <c r="P84" s="9"/>
    </row>
    <row r="85">
      <c r="A85" s="6" t="s">
        <v>260</v>
      </c>
      <c r="B85" s="6" t="s">
        <v>261</v>
      </c>
      <c r="C85" s="6" t="s">
        <v>22</v>
      </c>
      <c r="D85" s="6" t="s">
        <v>262</v>
      </c>
      <c r="E85" s="6" t="s">
        <v>47</v>
      </c>
      <c r="F85" s="6" t="s">
        <v>170</v>
      </c>
      <c r="G85" s="7">
        <v>0.06</v>
      </c>
      <c r="H85" s="6" t="s">
        <v>193</v>
      </c>
      <c r="I85" s="6" t="s">
        <v>20</v>
      </c>
      <c r="J85" s="6">
        <v>2014.0</v>
      </c>
      <c r="K85" s="10">
        <v>46083.0</v>
      </c>
      <c r="L85" s="6">
        <v>1.0</v>
      </c>
      <c r="M85" s="8">
        <f t="shared" si="1"/>
        <v>0.06</v>
      </c>
      <c r="P85" s="9"/>
    </row>
    <row r="86">
      <c r="A86" s="6" t="s">
        <v>263</v>
      </c>
      <c r="B86" s="6" t="s">
        <v>14</v>
      </c>
      <c r="C86" s="6" t="s">
        <v>22</v>
      </c>
      <c r="D86" s="6" t="s">
        <v>264</v>
      </c>
      <c r="E86" s="6" t="s">
        <v>265</v>
      </c>
      <c r="F86" s="6" t="s">
        <v>152</v>
      </c>
      <c r="G86" s="7">
        <v>0.06</v>
      </c>
      <c r="H86" s="6" t="s">
        <v>193</v>
      </c>
      <c r="I86" s="6" t="s">
        <v>20</v>
      </c>
      <c r="J86" s="6">
        <v>2014.0</v>
      </c>
      <c r="L86" s="6">
        <v>1.0</v>
      </c>
      <c r="M86" s="8">
        <f t="shared" si="1"/>
        <v>0.06</v>
      </c>
      <c r="P86" s="9"/>
    </row>
    <row r="87">
      <c r="A87" s="6" t="s">
        <v>266</v>
      </c>
      <c r="B87" s="6" t="s">
        <v>267</v>
      </c>
      <c r="C87" s="6" t="s">
        <v>15</v>
      </c>
      <c r="D87" s="6" t="s">
        <v>268</v>
      </c>
      <c r="E87" s="6" t="s">
        <v>269</v>
      </c>
      <c r="F87" s="6" t="s">
        <v>152</v>
      </c>
      <c r="G87" s="7">
        <v>0.06</v>
      </c>
      <c r="H87" s="6" t="s">
        <v>193</v>
      </c>
      <c r="I87" s="6" t="s">
        <v>20</v>
      </c>
      <c r="J87" s="6">
        <v>2014.0</v>
      </c>
      <c r="K87" s="10">
        <v>46024.0</v>
      </c>
      <c r="L87" s="6">
        <v>2.0</v>
      </c>
      <c r="M87" s="8">
        <f t="shared" si="1"/>
        <v>0.12</v>
      </c>
      <c r="P87" s="9"/>
    </row>
    <row r="88">
      <c r="A88" s="6" t="s">
        <v>270</v>
      </c>
      <c r="B88" s="6" t="s">
        <v>271</v>
      </c>
      <c r="C88" s="6" t="s">
        <v>15</v>
      </c>
      <c r="D88" s="6" t="s">
        <v>272</v>
      </c>
      <c r="E88" s="6" t="s">
        <v>273</v>
      </c>
      <c r="F88" s="6" t="s">
        <v>152</v>
      </c>
      <c r="G88" s="7">
        <v>0.06</v>
      </c>
      <c r="H88" s="6" t="s">
        <v>193</v>
      </c>
      <c r="I88" s="6" t="s">
        <v>20</v>
      </c>
      <c r="J88" s="6">
        <v>2014.0</v>
      </c>
      <c r="K88" s="10">
        <v>46023.0</v>
      </c>
      <c r="L88" s="6">
        <v>1.0</v>
      </c>
      <c r="M88" s="8">
        <f t="shared" si="1"/>
        <v>0.06</v>
      </c>
      <c r="P88" s="9"/>
    </row>
    <row r="89">
      <c r="A89" s="6" t="s">
        <v>274</v>
      </c>
      <c r="B89" s="6" t="s">
        <v>68</v>
      </c>
      <c r="C89" s="6" t="s">
        <v>15</v>
      </c>
      <c r="D89" s="6" t="s">
        <v>275</v>
      </c>
      <c r="E89" s="6" t="s">
        <v>276</v>
      </c>
      <c r="F89" s="6" t="s">
        <v>277</v>
      </c>
      <c r="G89" s="7">
        <v>0.08</v>
      </c>
      <c r="H89" s="6" t="s">
        <v>193</v>
      </c>
      <c r="I89" s="6" t="s">
        <v>20</v>
      </c>
      <c r="J89" s="6">
        <v>2014.0</v>
      </c>
      <c r="L89" s="6">
        <v>1.0</v>
      </c>
      <c r="M89" s="8">
        <f t="shared" si="1"/>
        <v>0.08</v>
      </c>
      <c r="P89" s="9"/>
    </row>
    <row r="90">
      <c r="A90" s="6" t="s">
        <v>274</v>
      </c>
      <c r="B90" s="6" t="s">
        <v>68</v>
      </c>
      <c r="C90" s="6" t="s">
        <v>15</v>
      </c>
      <c r="D90" s="6" t="s">
        <v>275</v>
      </c>
      <c r="E90" s="6" t="s">
        <v>276</v>
      </c>
      <c r="F90" s="6" t="s">
        <v>277</v>
      </c>
      <c r="G90" s="7">
        <v>0.05</v>
      </c>
      <c r="H90" s="6" t="s">
        <v>278</v>
      </c>
      <c r="I90" s="6" t="s">
        <v>20</v>
      </c>
      <c r="J90" s="6">
        <v>2019.0</v>
      </c>
      <c r="L90" s="6">
        <v>1.0</v>
      </c>
      <c r="M90" s="8">
        <f t="shared" si="1"/>
        <v>0.05</v>
      </c>
      <c r="P90" s="9"/>
    </row>
    <row r="91">
      <c r="A91" s="6" t="s">
        <v>279</v>
      </c>
      <c r="B91" s="6" t="s">
        <v>280</v>
      </c>
      <c r="C91" s="6" t="s">
        <v>22</v>
      </c>
      <c r="D91" s="6" t="s">
        <v>281</v>
      </c>
      <c r="E91" s="6" t="s">
        <v>282</v>
      </c>
      <c r="F91" s="6" t="s">
        <v>277</v>
      </c>
      <c r="G91" s="7">
        <v>0.49</v>
      </c>
      <c r="H91" s="6" t="s">
        <v>193</v>
      </c>
      <c r="I91" s="6" t="s">
        <v>20</v>
      </c>
      <c r="J91" s="6">
        <v>2014.0</v>
      </c>
      <c r="K91" s="10">
        <v>46025.0</v>
      </c>
      <c r="L91" s="6">
        <v>1.0</v>
      </c>
      <c r="M91" s="8">
        <f t="shared" si="1"/>
        <v>0.49</v>
      </c>
      <c r="P91" s="9"/>
    </row>
    <row r="92">
      <c r="A92" s="6" t="s">
        <v>279</v>
      </c>
      <c r="B92" s="6" t="s">
        <v>280</v>
      </c>
      <c r="C92" s="6" t="s">
        <v>22</v>
      </c>
      <c r="D92" s="6" t="s">
        <v>281</v>
      </c>
      <c r="E92" s="6" t="s">
        <v>282</v>
      </c>
      <c r="F92" s="6" t="s">
        <v>277</v>
      </c>
      <c r="G92" s="7">
        <v>0.4</v>
      </c>
      <c r="H92" s="6" t="s">
        <v>283</v>
      </c>
      <c r="I92" s="6" t="s">
        <v>20</v>
      </c>
      <c r="J92" s="6">
        <v>2015.0</v>
      </c>
      <c r="K92" s="10">
        <v>46025.0</v>
      </c>
      <c r="L92" s="6">
        <v>2.0</v>
      </c>
      <c r="M92" s="8">
        <f t="shared" si="1"/>
        <v>0.8</v>
      </c>
      <c r="P92" s="9"/>
    </row>
    <row r="93">
      <c r="A93" s="6" t="s">
        <v>279</v>
      </c>
      <c r="B93" s="6" t="s">
        <v>280</v>
      </c>
      <c r="C93" s="6" t="s">
        <v>22</v>
      </c>
      <c r="D93" s="6" t="s">
        <v>281</v>
      </c>
      <c r="E93" s="6" t="s">
        <v>282</v>
      </c>
      <c r="F93" s="6" t="s">
        <v>277</v>
      </c>
      <c r="G93" s="7">
        <v>1.19</v>
      </c>
      <c r="H93" s="6" t="s">
        <v>284</v>
      </c>
      <c r="I93" s="6" t="s">
        <v>20</v>
      </c>
      <c r="J93" s="6">
        <v>2018.0</v>
      </c>
      <c r="K93" s="10">
        <v>46025.0</v>
      </c>
      <c r="L93" s="6">
        <v>1.0</v>
      </c>
      <c r="M93" s="8">
        <f t="shared" si="1"/>
        <v>1.19</v>
      </c>
      <c r="P93" s="9"/>
    </row>
    <row r="94">
      <c r="A94" s="6" t="s">
        <v>285</v>
      </c>
      <c r="B94" s="6" t="s">
        <v>105</v>
      </c>
      <c r="C94" s="6" t="s">
        <v>15</v>
      </c>
      <c r="D94" s="6" t="s">
        <v>286</v>
      </c>
      <c r="E94" s="6" t="s">
        <v>54</v>
      </c>
      <c r="F94" s="6" t="s">
        <v>170</v>
      </c>
      <c r="G94" s="7">
        <v>0.09</v>
      </c>
      <c r="H94" s="6" t="s">
        <v>193</v>
      </c>
      <c r="I94" s="6" t="s">
        <v>20</v>
      </c>
      <c r="J94" s="6">
        <v>2014.0</v>
      </c>
      <c r="K94" s="10">
        <v>46023.0</v>
      </c>
      <c r="L94" s="6">
        <v>1.0</v>
      </c>
      <c r="M94" s="8">
        <f t="shared" si="1"/>
        <v>0.09</v>
      </c>
      <c r="P94" s="9"/>
    </row>
    <row r="95">
      <c r="A95" s="6" t="s">
        <v>287</v>
      </c>
      <c r="B95" s="6" t="s">
        <v>288</v>
      </c>
      <c r="C95" s="6" t="s">
        <v>22</v>
      </c>
      <c r="D95" s="6" t="s">
        <v>289</v>
      </c>
      <c r="E95" s="6" t="s">
        <v>47</v>
      </c>
      <c r="F95" s="6" t="s">
        <v>170</v>
      </c>
      <c r="G95" s="7">
        <v>0.06</v>
      </c>
      <c r="H95" s="6" t="s">
        <v>193</v>
      </c>
      <c r="I95" s="6" t="s">
        <v>20</v>
      </c>
      <c r="J95" s="6">
        <v>2014.0</v>
      </c>
      <c r="L95" s="6">
        <v>1.0</v>
      </c>
      <c r="M95" s="8">
        <f t="shared" si="1"/>
        <v>0.06</v>
      </c>
      <c r="P95" s="9"/>
    </row>
    <row r="96">
      <c r="A96" s="6" t="s">
        <v>290</v>
      </c>
      <c r="B96" s="6" t="s">
        <v>190</v>
      </c>
      <c r="C96" s="6" t="s">
        <v>15</v>
      </c>
      <c r="D96" s="6" t="s">
        <v>291</v>
      </c>
      <c r="E96" s="6" t="s">
        <v>292</v>
      </c>
      <c r="F96" s="6" t="s">
        <v>80</v>
      </c>
      <c r="G96" s="7">
        <v>0.19</v>
      </c>
      <c r="H96" s="6" t="s">
        <v>193</v>
      </c>
      <c r="I96" s="6" t="s">
        <v>20</v>
      </c>
      <c r="J96" s="6">
        <v>2014.0</v>
      </c>
      <c r="L96" s="6">
        <v>2.0</v>
      </c>
      <c r="M96" s="8">
        <f t="shared" si="1"/>
        <v>0.38</v>
      </c>
      <c r="P96" s="9"/>
    </row>
    <row r="97">
      <c r="A97" s="6" t="s">
        <v>293</v>
      </c>
      <c r="B97" s="6" t="s">
        <v>294</v>
      </c>
      <c r="C97" s="6" t="s">
        <v>295</v>
      </c>
      <c r="D97" s="6" t="s">
        <v>296</v>
      </c>
      <c r="E97" s="6"/>
      <c r="F97" s="6" t="s">
        <v>80</v>
      </c>
      <c r="G97" s="7">
        <v>0.1</v>
      </c>
      <c r="H97" s="6" t="s">
        <v>297</v>
      </c>
      <c r="I97" s="6" t="s">
        <v>20</v>
      </c>
      <c r="J97" s="6">
        <v>2026.0</v>
      </c>
      <c r="K97" s="6"/>
      <c r="L97" s="6">
        <v>1.0</v>
      </c>
      <c r="M97" s="8">
        <f t="shared" si="1"/>
        <v>0.1</v>
      </c>
      <c r="P97" s="9"/>
    </row>
    <row r="98">
      <c r="A98" s="6" t="s">
        <v>298</v>
      </c>
      <c r="B98" s="6" t="s">
        <v>190</v>
      </c>
      <c r="C98" s="6" t="s">
        <v>22</v>
      </c>
      <c r="D98" s="6" t="s">
        <v>299</v>
      </c>
      <c r="E98" s="6" t="s">
        <v>292</v>
      </c>
      <c r="F98" s="6" t="s">
        <v>80</v>
      </c>
      <c r="G98" s="7">
        <v>0.39</v>
      </c>
      <c r="H98" s="6" t="s">
        <v>193</v>
      </c>
      <c r="I98" s="6" t="s">
        <v>20</v>
      </c>
      <c r="J98" s="6">
        <v>2014.0</v>
      </c>
      <c r="L98" s="6">
        <v>2.0</v>
      </c>
      <c r="M98" s="8">
        <f t="shared" si="1"/>
        <v>0.78</v>
      </c>
      <c r="P98" s="9"/>
    </row>
    <row r="99">
      <c r="A99" s="6" t="s">
        <v>300</v>
      </c>
      <c r="B99" s="6" t="s">
        <v>301</v>
      </c>
      <c r="C99" s="6" t="s">
        <v>101</v>
      </c>
      <c r="D99" s="6" t="s">
        <v>302</v>
      </c>
      <c r="E99" s="6" t="s">
        <v>303</v>
      </c>
      <c r="F99" s="6" t="s">
        <v>157</v>
      </c>
      <c r="G99" s="7">
        <v>0.9</v>
      </c>
      <c r="H99" s="6" t="s">
        <v>193</v>
      </c>
      <c r="I99" s="6" t="s">
        <v>20</v>
      </c>
      <c r="J99" s="6">
        <v>2014.0</v>
      </c>
      <c r="K99" s="10">
        <v>46115.0</v>
      </c>
      <c r="L99" s="6">
        <v>1.0</v>
      </c>
      <c r="M99" s="8">
        <f t="shared" si="1"/>
        <v>0.9</v>
      </c>
      <c r="P99" s="9"/>
    </row>
    <row r="100">
      <c r="A100" s="6" t="s">
        <v>304</v>
      </c>
      <c r="B100" s="6" t="s">
        <v>14</v>
      </c>
      <c r="C100" s="6" t="s">
        <v>101</v>
      </c>
      <c r="D100" s="6" t="s">
        <v>305</v>
      </c>
      <c r="E100" s="6" t="s">
        <v>306</v>
      </c>
      <c r="F100" s="6" t="s">
        <v>157</v>
      </c>
      <c r="G100" s="7">
        <v>0.23</v>
      </c>
      <c r="H100" s="6" t="s">
        <v>193</v>
      </c>
      <c r="I100" s="6" t="s">
        <v>20</v>
      </c>
      <c r="J100" s="6">
        <v>2014.0</v>
      </c>
      <c r="L100" s="6">
        <v>1.0</v>
      </c>
      <c r="M100" s="8">
        <f t="shared" si="1"/>
        <v>0.23</v>
      </c>
      <c r="P100" s="9"/>
    </row>
    <row r="101">
      <c r="A101" s="6" t="s">
        <v>307</v>
      </c>
      <c r="B101" s="6" t="s">
        <v>308</v>
      </c>
      <c r="C101" s="6" t="s">
        <v>15</v>
      </c>
      <c r="D101" s="6" t="s">
        <v>309</v>
      </c>
      <c r="E101" s="6" t="s">
        <v>310</v>
      </c>
      <c r="F101" s="6" t="s">
        <v>157</v>
      </c>
      <c r="G101" s="7">
        <v>0.06</v>
      </c>
      <c r="H101" s="6" t="s">
        <v>193</v>
      </c>
      <c r="I101" s="6" t="s">
        <v>20</v>
      </c>
      <c r="J101" s="6">
        <v>2014.0</v>
      </c>
      <c r="K101" s="10">
        <v>46114.0</v>
      </c>
      <c r="L101" s="6">
        <v>1.0</v>
      </c>
      <c r="M101" s="8">
        <f t="shared" si="1"/>
        <v>0.06</v>
      </c>
      <c r="P101" s="9"/>
    </row>
    <row r="102">
      <c r="A102" s="6" t="s">
        <v>311</v>
      </c>
      <c r="B102" s="6" t="s">
        <v>14</v>
      </c>
      <c r="C102" s="6" t="s">
        <v>22</v>
      </c>
      <c r="D102" s="6" t="s">
        <v>312</v>
      </c>
      <c r="E102" s="6" t="s">
        <v>313</v>
      </c>
      <c r="F102" s="6" t="s">
        <v>157</v>
      </c>
      <c r="G102" s="7">
        <v>0.44</v>
      </c>
      <c r="H102" s="6" t="s">
        <v>193</v>
      </c>
      <c r="I102" s="6" t="s">
        <v>20</v>
      </c>
      <c r="J102" s="6">
        <v>2014.0</v>
      </c>
      <c r="L102" s="6">
        <v>1.0</v>
      </c>
      <c r="M102" s="8">
        <f t="shared" si="1"/>
        <v>0.44</v>
      </c>
      <c r="P102" s="9"/>
    </row>
    <row r="103">
      <c r="A103" s="6" t="s">
        <v>314</v>
      </c>
      <c r="B103" s="6" t="s">
        <v>288</v>
      </c>
      <c r="C103" s="6" t="s">
        <v>22</v>
      </c>
      <c r="D103" s="6" t="s">
        <v>315</v>
      </c>
      <c r="E103" s="6" t="s">
        <v>316</v>
      </c>
      <c r="F103" s="6" t="s">
        <v>152</v>
      </c>
      <c r="G103" s="7">
        <v>0.08</v>
      </c>
      <c r="H103" s="6" t="s">
        <v>193</v>
      </c>
      <c r="I103" s="6" t="s">
        <v>20</v>
      </c>
      <c r="J103" s="6">
        <v>2014.0</v>
      </c>
      <c r="L103" s="6">
        <v>1.0</v>
      </c>
      <c r="M103" s="8">
        <f t="shared" si="1"/>
        <v>0.08</v>
      </c>
      <c r="P103" s="9"/>
    </row>
    <row r="104">
      <c r="A104" s="6" t="s">
        <v>317</v>
      </c>
      <c r="B104" s="6" t="s">
        <v>318</v>
      </c>
      <c r="C104" s="6" t="s">
        <v>15</v>
      </c>
      <c r="D104" s="6" t="s">
        <v>319</v>
      </c>
      <c r="E104" s="6" t="s">
        <v>269</v>
      </c>
      <c r="F104" s="6" t="s">
        <v>152</v>
      </c>
      <c r="G104" s="7">
        <v>0.94</v>
      </c>
      <c r="H104" s="6" t="s">
        <v>193</v>
      </c>
      <c r="I104" s="6" t="s">
        <v>20</v>
      </c>
      <c r="J104" s="6">
        <v>2014.0</v>
      </c>
      <c r="K104" s="10">
        <v>46024.0</v>
      </c>
      <c r="L104" s="6">
        <v>1.0</v>
      </c>
      <c r="M104" s="8">
        <f t="shared" si="1"/>
        <v>0.94</v>
      </c>
      <c r="P104" s="9"/>
    </row>
    <row r="105">
      <c r="A105" s="6" t="s">
        <v>320</v>
      </c>
      <c r="B105" s="6" t="s">
        <v>271</v>
      </c>
      <c r="C105" s="6" t="s">
        <v>15</v>
      </c>
      <c r="D105" s="6" t="s">
        <v>321</v>
      </c>
      <c r="E105" s="6" t="s">
        <v>269</v>
      </c>
      <c r="F105" s="6" t="s">
        <v>152</v>
      </c>
      <c r="G105" s="7">
        <v>0.06</v>
      </c>
      <c r="H105" s="6" t="s">
        <v>193</v>
      </c>
      <c r="I105" s="6" t="s">
        <v>20</v>
      </c>
      <c r="J105" s="6">
        <v>2014.0</v>
      </c>
      <c r="K105" s="10">
        <v>46054.0</v>
      </c>
      <c r="L105" s="6">
        <v>1.0</v>
      </c>
      <c r="M105" s="8">
        <f t="shared" si="1"/>
        <v>0.06</v>
      </c>
      <c r="P105" s="9"/>
    </row>
    <row r="106">
      <c r="A106" s="6" t="s">
        <v>322</v>
      </c>
      <c r="B106" s="6" t="s">
        <v>14</v>
      </c>
      <c r="C106" s="6" t="s">
        <v>101</v>
      </c>
      <c r="D106" s="6" t="s">
        <v>323</v>
      </c>
      <c r="E106" s="6" t="s">
        <v>151</v>
      </c>
      <c r="F106" s="6" t="s">
        <v>152</v>
      </c>
      <c r="G106" s="7">
        <v>0.45</v>
      </c>
      <c r="H106" s="6" t="s">
        <v>193</v>
      </c>
      <c r="I106" s="6" t="s">
        <v>20</v>
      </c>
      <c r="J106" s="6">
        <v>2014.0</v>
      </c>
      <c r="L106" s="6">
        <v>1.0</v>
      </c>
      <c r="M106" s="8">
        <f t="shared" si="1"/>
        <v>0.45</v>
      </c>
      <c r="P106" s="9"/>
    </row>
    <row r="107">
      <c r="A107" s="6" t="s">
        <v>324</v>
      </c>
      <c r="B107" s="6" t="s">
        <v>325</v>
      </c>
      <c r="C107" s="6" t="s">
        <v>22</v>
      </c>
      <c r="D107" s="6" t="s">
        <v>326</v>
      </c>
      <c r="E107" s="6" t="s">
        <v>265</v>
      </c>
      <c r="F107" s="6" t="s">
        <v>152</v>
      </c>
      <c r="G107" s="7">
        <v>0.15</v>
      </c>
      <c r="H107" s="6" t="s">
        <v>193</v>
      </c>
      <c r="I107" s="6" t="s">
        <v>20</v>
      </c>
      <c r="J107" s="6">
        <v>2014.0</v>
      </c>
      <c r="K107" s="10">
        <v>46056.0</v>
      </c>
      <c r="L107" s="6">
        <v>1.0</v>
      </c>
      <c r="M107" s="8">
        <f t="shared" si="1"/>
        <v>0.15</v>
      </c>
      <c r="P107" s="9"/>
    </row>
    <row r="108">
      <c r="A108" s="6" t="s">
        <v>327</v>
      </c>
      <c r="B108" s="6" t="s">
        <v>328</v>
      </c>
      <c r="C108" s="6" t="s">
        <v>15</v>
      </c>
      <c r="D108" s="6" t="s">
        <v>329</v>
      </c>
      <c r="E108" s="6" t="s">
        <v>265</v>
      </c>
      <c r="F108" s="6" t="s">
        <v>152</v>
      </c>
      <c r="G108" s="7">
        <v>0.06</v>
      </c>
      <c r="H108" s="6" t="s">
        <v>193</v>
      </c>
      <c r="I108" s="6" t="s">
        <v>20</v>
      </c>
      <c r="J108" s="6">
        <v>2014.0</v>
      </c>
      <c r="K108" s="10">
        <v>46055.0</v>
      </c>
      <c r="L108" s="6">
        <v>1.0</v>
      </c>
      <c r="M108" s="8">
        <f t="shared" si="1"/>
        <v>0.06</v>
      </c>
      <c r="P108" s="9"/>
    </row>
    <row r="109">
      <c r="A109" s="6" t="s">
        <v>330</v>
      </c>
      <c r="B109" s="6" t="s">
        <v>14</v>
      </c>
      <c r="C109" s="6" t="s">
        <v>15</v>
      </c>
      <c r="D109" s="6" t="s">
        <v>331</v>
      </c>
      <c r="E109" s="6" t="s">
        <v>273</v>
      </c>
      <c r="F109" s="6" t="s">
        <v>152</v>
      </c>
      <c r="G109" s="7">
        <v>0.06</v>
      </c>
      <c r="H109" s="6" t="s">
        <v>193</v>
      </c>
      <c r="I109" s="6" t="s">
        <v>20</v>
      </c>
      <c r="J109" s="6">
        <v>2014.0</v>
      </c>
      <c r="L109" s="6">
        <v>1.0</v>
      </c>
      <c r="M109" s="8">
        <f t="shared" si="1"/>
        <v>0.06</v>
      </c>
      <c r="P109" s="9"/>
    </row>
    <row r="110">
      <c r="A110" s="6" t="s">
        <v>332</v>
      </c>
      <c r="B110" s="6" t="s">
        <v>14</v>
      </c>
      <c r="C110" s="6" t="s">
        <v>15</v>
      </c>
      <c r="D110" s="6" t="s">
        <v>333</v>
      </c>
      <c r="E110" s="6" t="s">
        <v>273</v>
      </c>
      <c r="F110" s="6" t="s">
        <v>152</v>
      </c>
      <c r="G110" s="7">
        <v>0.19</v>
      </c>
      <c r="H110" s="6" t="s">
        <v>193</v>
      </c>
      <c r="I110" s="6" t="s">
        <v>20</v>
      </c>
      <c r="J110" s="6">
        <v>2014.0</v>
      </c>
      <c r="L110" s="6">
        <v>1.0</v>
      </c>
      <c r="M110" s="8">
        <f t="shared" si="1"/>
        <v>0.19</v>
      </c>
      <c r="P110" s="9"/>
    </row>
    <row r="111">
      <c r="A111" s="6" t="s">
        <v>334</v>
      </c>
      <c r="B111" s="6" t="s">
        <v>220</v>
      </c>
      <c r="C111" s="6" t="s">
        <v>101</v>
      </c>
      <c r="D111" s="6" t="s">
        <v>335</v>
      </c>
      <c r="E111" s="6" t="s">
        <v>336</v>
      </c>
      <c r="F111" s="6" t="s">
        <v>88</v>
      </c>
      <c r="G111" s="7">
        <v>0.15</v>
      </c>
      <c r="H111" s="6" t="s">
        <v>193</v>
      </c>
      <c r="I111" s="6" t="s">
        <v>20</v>
      </c>
      <c r="J111" s="6">
        <v>2014.0</v>
      </c>
      <c r="K111" s="10">
        <v>46178.0</v>
      </c>
      <c r="L111" s="6">
        <v>1.0</v>
      </c>
      <c r="M111" s="8">
        <f t="shared" si="1"/>
        <v>0.15</v>
      </c>
      <c r="P111" s="9"/>
    </row>
    <row r="112">
      <c r="A112" s="6" t="s">
        <v>337</v>
      </c>
      <c r="B112" s="6" t="s">
        <v>338</v>
      </c>
      <c r="C112" s="6" t="s">
        <v>339</v>
      </c>
      <c r="D112" s="6" t="s">
        <v>340</v>
      </c>
      <c r="E112" s="6" t="s">
        <v>341</v>
      </c>
      <c r="F112" s="6" t="s">
        <v>88</v>
      </c>
      <c r="G112" s="7">
        <v>3.5</v>
      </c>
      <c r="H112" s="6" t="s">
        <v>193</v>
      </c>
      <c r="I112" s="6" t="s">
        <v>31</v>
      </c>
      <c r="J112" s="6">
        <v>2014.0</v>
      </c>
      <c r="K112" s="10">
        <v>46115.0</v>
      </c>
      <c r="L112" s="6">
        <v>1.0</v>
      </c>
      <c r="M112" s="8">
        <f t="shared" si="1"/>
        <v>3.5</v>
      </c>
      <c r="P112" s="9"/>
    </row>
    <row r="113">
      <c r="A113" s="6" t="s">
        <v>342</v>
      </c>
      <c r="B113" s="6" t="s">
        <v>343</v>
      </c>
      <c r="C113" s="6" t="s">
        <v>15</v>
      </c>
      <c r="D113" s="6" t="s">
        <v>344</v>
      </c>
      <c r="E113" s="6" t="s">
        <v>129</v>
      </c>
      <c r="F113" s="6" t="s">
        <v>88</v>
      </c>
      <c r="G113" s="7">
        <v>0.06</v>
      </c>
      <c r="H113" s="6" t="s">
        <v>193</v>
      </c>
      <c r="I113" s="6" t="s">
        <v>20</v>
      </c>
      <c r="J113" s="6">
        <v>2014.0</v>
      </c>
      <c r="K113" s="6" t="s">
        <v>345</v>
      </c>
      <c r="L113" s="6">
        <v>2.0</v>
      </c>
      <c r="M113" s="8">
        <f t="shared" si="1"/>
        <v>0.12</v>
      </c>
      <c r="P113" s="9"/>
    </row>
    <row r="114">
      <c r="A114" s="6" t="s">
        <v>346</v>
      </c>
      <c r="B114" s="6" t="s">
        <v>347</v>
      </c>
      <c r="C114" s="6" t="s">
        <v>22</v>
      </c>
      <c r="D114" s="6" t="s">
        <v>348</v>
      </c>
      <c r="E114" s="6" t="s">
        <v>113</v>
      </c>
      <c r="F114" s="6" t="s">
        <v>88</v>
      </c>
      <c r="G114" s="7">
        <v>0.09</v>
      </c>
      <c r="H114" s="6" t="s">
        <v>193</v>
      </c>
      <c r="I114" s="6" t="s">
        <v>20</v>
      </c>
      <c r="J114" s="6">
        <v>2014.0</v>
      </c>
      <c r="K114" s="10">
        <v>46024.0</v>
      </c>
      <c r="L114" s="6">
        <v>2.0</v>
      </c>
      <c r="M114" s="8">
        <f t="shared" si="1"/>
        <v>0.18</v>
      </c>
      <c r="P114" s="9"/>
    </row>
    <row r="115">
      <c r="A115" s="6" t="s">
        <v>349</v>
      </c>
      <c r="B115" s="6" t="s">
        <v>350</v>
      </c>
      <c r="C115" s="6" t="s">
        <v>15</v>
      </c>
      <c r="D115" s="6" t="s">
        <v>351</v>
      </c>
      <c r="E115" s="6" t="s">
        <v>87</v>
      </c>
      <c r="F115" s="6" t="s">
        <v>88</v>
      </c>
      <c r="G115" s="7">
        <v>0.06</v>
      </c>
      <c r="H115" s="6" t="s">
        <v>193</v>
      </c>
      <c r="I115" s="6" t="s">
        <v>20</v>
      </c>
      <c r="J115" s="6">
        <v>2014.0</v>
      </c>
      <c r="K115" s="10">
        <v>46082.0</v>
      </c>
      <c r="L115" s="6">
        <v>1.0</v>
      </c>
      <c r="M115" s="8">
        <f t="shared" si="1"/>
        <v>0.06</v>
      </c>
      <c r="P115" s="9"/>
    </row>
    <row r="116">
      <c r="A116" s="6" t="s">
        <v>352</v>
      </c>
      <c r="B116" s="6" t="s">
        <v>353</v>
      </c>
      <c r="C116" s="6" t="s">
        <v>15</v>
      </c>
      <c r="D116" s="6" t="s">
        <v>354</v>
      </c>
      <c r="E116" s="6" t="s">
        <v>87</v>
      </c>
      <c r="F116" s="6" t="s">
        <v>88</v>
      </c>
      <c r="G116" s="7">
        <v>0.06</v>
      </c>
      <c r="H116" s="6" t="s">
        <v>193</v>
      </c>
      <c r="I116" s="6" t="s">
        <v>20</v>
      </c>
      <c r="J116" s="6">
        <v>2014.0</v>
      </c>
      <c r="K116" s="10">
        <v>46024.0</v>
      </c>
      <c r="L116" s="6">
        <v>1.0</v>
      </c>
      <c r="M116" s="8">
        <f t="shared" si="1"/>
        <v>0.06</v>
      </c>
      <c r="P116" s="9"/>
    </row>
    <row r="117">
      <c r="A117" s="6" t="s">
        <v>355</v>
      </c>
      <c r="B117" s="6" t="s">
        <v>14</v>
      </c>
      <c r="C117" s="6" t="s">
        <v>15</v>
      </c>
      <c r="D117" s="6" t="s">
        <v>356</v>
      </c>
      <c r="E117" s="6" t="s">
        <v>141</v>
      </c>
      <c r="F117" s="6" t="s">
        <v>88</v>
      </c>
      <c r="G117" s="7">
        <v>0.06</v>
      </c>
      <c r="H117" s="6" t="s">
        <v>193</v>
      </c>
      <c r="I117" s="6" t="s">
        <v>20</v>
      </c>
      <c r="J117" s="6">
        <v>2014.0</v>
      </c>
      <c r="L117" s="6">
        <v>2.0</v>
      </c>
      <c r="M117" s="8">
        <f t="shared" si="1"/>
        <v>0.12</v>
      </c>
      <c r="P117" s="9"/>
    </row>
    <row r="118">
      <c r="A118" s="6" t="s">
        <v>357</v>
      </c>
      <c r="B118" s="6" t="s">
        <v>358</v>
      </c>
      <c r="C118" s="6" t="s">
        <v>101</v>
      </c>
      <c r="D118" s="6" t="s">
        <v>359</v>
      </c>
      <c r="E118" s="6" t="s">
        <v>110</v>
      </c>
      <c r="F118" s="6" t="s">
        <v>88</v>
      </c>
      <c r="G118" s="7">
        <v>0.24</v>
      </c>
      <c r="H118" s="6" t="s">
        <v>193</v>
      </c>
      <c r="I118" s="6" t="s">
        <v>20</v>
      </c>
      <c r="J118" s="6">
        <v>2014.0</v>
      </c>
      <c r="K118" s="10">
        <v>46178.0</v>
      </c>
      <c r="L118" s="6">
        <v>1.0</v>
      </c>
      <c r="M118" s="8">
        <f t="shared" si="1"/>
        <v>0.24</v>
      </c>
      <c r="P118" s="9"/>
    </row>
    <row r="119">
      <c r="A119" s="6" t="s">
        <v>360</v>
      </c>
      <c r="B119" s="6" t="s">
        <v>105</v>
      </c>
      <c r="C119" s="6" t="s">
        <v>15</v>
      </c>
      <c r="D119" s="6" t="s">
        <v>361</v>
      </c>
      <c r="E119" s="6" t="s">
        <v>103</v>
      </c>
      <c r="F119" s="6" t="s">
        <v>88</v>
      </c>
      <c r="G119" s="7">
        <v>0.25</v>
      </c>
      <c r="H119" s="6" t="s">
        <v>193</v>
      </c>
      <c r="I119" s="6" t="s">
        <v>20</v>
      </c>
      <c r="J119" s="6">
        <v>2014.0</v>
      </c>
      <c r="K119" s="10">
        <v>46055.0</v>
      </c>
      <c r="L119" s="6">
        <v>1.0</v>
      </c>
      <c r="M119" s="8">
        <f t="shared" si="1"/>
        <v>0.25</v>
      </c>
      <c r="P119" s="9"/>
    </row>
    <row r="120">
      <c r="A120" s="6" t="s">
        <v>362</v>
      </c>
      <c r="B120" s="6" t="s">
        <v>105</v>
      </c>
      <c r="C120" s="6" t="s">
        <v>22</v>
      </c>
      <c r="D120" s="6" t="s">
        <v>363</v>
      </c>
      <c r="E120" s="6" t="s">
        <v>87</v>
      </c>
      <c r="F120" s="6" t="s">
        <v>88</v>
      </c>
      <c r="G120" s="7">
        <v>0.13</v>
      </c>
      <c r="H120" s="6" t="s">
        <v>193</v>
      </c>
      <c r="I120" s="6" t="s">
        <v>20</v>
      </c>
      <c r="J120" s="6">
        <v>2014.0</v>
      </c>
      <c r="K120" s="10">
        <v>46054.0</v>
      </c>
      <c r="L120" s="6">
        <v>1.0</v>
      </c>
      <c r="M120" s="8">
        <f t="shared" si="1"/>
        <v>0.13</v>
      </c>
      <c r="P120" s="9"/>
    </row>
    <row r="121">
      <c r="A121" s="6" t="s">
        <v>364</v>
      </c>
      <c r="B121" s="6" t="s">
        <v>365</v>
      </c>
      <c r="C121" s="6" t="s">
        <v>22</v>
      </c>
      <c r="D121" s="6" t="s">
        <v>366</v>
      </c>
      <c r="E121" s="6" t="s">
        <v>87</v>
      </c>
      <c r="F121" s="6" t="s">
        <v>88</v>
      </c>
      <c r="G121" s="7">
        <v>0.09</v>
      </c>
      <c r="H121" s="6" t="s">
        <v>193</v>
      </c>
      <c r="I121" s="6" t="s">
        <v>20</v>
      </c>
      <c r="J121" s="6">
        <v>2014.0</v>
      </c>
      <c r="K121" s="10">
        <v>46054.0</v>
      </c>
      <c r="L121" s="6">
        <v>1.0</v>
      </c>
      <c r="M121" s="8">
        <f t="shared" si="1"/>
        <v>0.09</v>
      </c>
      <c r="P121" s="9"/>
    </row>
    <row r="122">
      <c r="A122" s="6" t="s">
        <v>367</v>
      </c>
      <c r="B122" s="6" t="s">
        <v>288</v>
      </c>
      <c r="C122" s="6" t="s">
        <v>15</v>
      </c>
      <c r="D122" s="6" t="s">
        <v>368</v>
      </c>
      <c r="E122" s="6" t="s">
        <v>141</v>
      </c>
      <c r="F122" s="6" t="s">
        <v>88</v>
      </c>
      <c r="G122" s="7">
        <v>0.08</v>
      </c>
      <c r="H122" s="6" t="s">
        <v>193</v>
      </c>
      <c r="I122" s="6" t="s">
        <v>20</v>
      </c>
      <c r="J122" s="6">
        <v>2014.0</v>
      </c>
      <c r="L122" s="6">
        <v>1.0</v>
      </c>
      <c r="M122" s="8">
        <f t="shared" si="1"/>
        <v>0.08</v>
      </c>
      <c r="P122" s="9"/>
    </row>
    <row r="123">
      <c r="A123" s="6" t="s">
        <v>369</v>
      </c>
      <c r="B123" s="6" t="s">
        <v>14</v>
      </c>
      <c r="C123" s="6" t="s">
        <v>15</v>
      </c>
      <c r="D123" s="6" t="s">
        <v>370</v>
      </c>
      <c r="E123" s="6" t="s">
        <v>371</v>
      </c>
      <c r="F123" s="6" t="s">
        <v>88</v>
      </c>
      <c r="G123" s="7">
        <v>0.09</v>
      </c>
      <c r="H123" s="6" t="s">
        <v>193</v>
      </c>
      <c r="I123" s="6" t="s">
        <v>20</v>
      </c>
      <c r="J123" s="6">
        <v>2014.0</v>
      </c>
      <c r="L123" s="6">
        <v>1.0</v>
      </c>
      <c r="M123" s="8">
        <f t="shared" si="1"/>
        <v>0.09</v>
      </c>
      <c r="P123" s="9"/>
    </row>
    <row r="124">
      <c r="A124" s="6" t="s">
        <v>372</v>
      </c>
      <c r="B124" s="6" t="s">
        <v>14</v>
      </c>
      <c r="C124" s="6" t="s">
        <v>15</v>
      </c>
      <c r="D124" s="6" t="s">
        <v>373</v>
      </c>
      <c r="E124" s="6" t="s">
        <v>113</v>
      </c>
      <c r="F124" s="6" t="s">
        <v>88</v>
      </c>
      <c r="G124" s="7">
        <v>0.06</v>
      </c>
      <c r="H124" s="6" t="s">
        <v>193</v>
      </c>
      <c r="I124" s="6" t="s">
        <v>20</v>
      </c>
      <c r="J124" s="6">
        <v>2014.0</v>
      </c>
      <c r="L124" s="6">
        <v>1.0</v>
      </c>
      <c r="M124" s="8">
        <f t="shared" si="1"/>
        <v>0.06</v>
      </c>
      <c r="P124" s="9"/>
    </row>
    <row r="125">
      <c r="A125" s="6" t="s">
        <v>374</v>
      </c>
      <c r="B125" s="6" t="s">
        <v>347</v>
      </c>
      <c r="C125" s="6" t="s">
        <v>15</v>
      </c>
      <c r="D125" s="6" t="s">
        <v>375</v>
      </c>
      <c r="E125" s="6" t="s">
        <v>92</v>
      </c>
      <c r="F125" s="6" t="s">
        <v>88</v>
      </c>
      <c r="G125" s="7">
        <v>0.06</v>
      </c>
      <c r="H125" s="6" t="s">
        <v>193</v>
      </c>
      <c r="I125" s="6" t="s">
        <v>20</v>
      </c>
      <c r="J125" s="6">
        <v>2014.0</v>
      </c>
      <c r="K125" s="10">
        <v>46084.0</v>
      </c>
      <c r="L125" s="6">
        <v>1.0</v>
      </c>
      <c r="M125" s="8">
        <f t="shared" si="1"/>
        <v>0.06</v>
      </c>
      <c r="P125" s="9"/>
    </row>
    <row r="126">
      <c r="A126" s="6" t="s">
        <v>376</v>
      </c>
      <c r="B126" s="6" t="s">
        <v>14</v>
      </c>
      <c r="C126" s="6" t="s">
        <v>15</v>
      </c>
      <c r="D126" s="6" t="s">
        <v>377</v>
      </c>
      <c r="E126" s="6" t="s">
        <v>87</v>
      </c>
      <c r="F126" s="6" t="s">
        <v>88</v>
      </c>
      <c r="G126" s="7">
        <v>1.05</v>
      </c>
      <c r="H126" s="6" t="s">
        <v>193</v>
      </c>
      <c r="I126" s="6" t="s">
        <v>20</v>
      </c>
      <c r="J126" s="6">
        <v>2014.0</v>
      </c>
      <c r="L126" s="6">
        <v>1.0</v>
      </c>
      <c r="M126" s="8">
        <f t="shared" si="1"/>
        <v>1.05</v>
      </c>
      <c r="P126" s="9"/>
    </row>
    <row r="127">
      <c r="A127" s="6" t="s">
        <v>376</v>
      </c>
      <c r="B127" s="6" t="s">
        <v>378</v>
      </c>
      <c r="C127" s="6" t="s">
        <v>295</v>
      </c>
      <c r="D127" s="6" t="s">
        <v>379</v>
      </c>
      <c r="E127" s="6" t="s">
        <v>380</v>
      </c>
      <c r="F127" s="6" t="s">
        <v>88</v>
      </c>
      <c r="G127" s="7">
        <v>0.5</v>
      </c>
      <c r="H127" s="6" t="s">
        <v>381</v>
      </c>
      <c r="I127" s="6" t="s">
        <v>20</v>
      </c>
      <c r="J127" s="6">
        <v>2011.0</v>
      </c>
      <c r="L127" s="6">
        <v>4.0</v>
      </c>
      <c r="M127" s="8"/>
      <c r="P127" s="9"/>
    </row>
    <row r="128">
      <c r="A128" s="6" t="s">
        <v>382</v>
      </c>
      <c r="B128" s="6" t="s">
        <v>14</v>
      </c>
      <c r="C128" s="6" t="s">
        <v>15</v>
      </c>
      <c r="D128" s="6" t="s">
        <v>383</v>
      </c>
      <c r="E128" s="6" t="s">
        <v>87</v>
      </c>
      <c r="F128" s="6" t="s">
        <v>88</v>
      </c>
      <c r="G128" s="7">
        <v>1.0</v>
      </c>
      <c r="H128" s="6" t="s">
        <v>193</v>
      </c>
      <c r="I128" s="6" t="s">
        <v>20</v>
      </c>
      <c r="J128" s="6">
        <v>2014.0</v>
      </c>
      <c r="L128" s="6">
        <v>1.0</v>
      </c>
      <c r="M128" s="8">
        <f t="shared" ref="M128:M515" si="2">L128*G128</f>
        <v>1</v>
      </c>
      <c r="P128" s="9"/>
    </row>
    <row r="129">
      <c r="A129" s="6" t="s">
        <v>384</v>
      </c>
      <c r="B129" s="6" t="s">
        <v>385</v>
      </c>
      <c r="C129" s="6" t="s">
        <v>15</v>
      </c>
      <c r="D129" s="6" t="s">
        <v>386</v>
      </c>
      <c r="E129" s="6" t="s">
        <v>47</v>
      </c>
      <c r="F129" s="6" t="s">
        <v>40</v>
      </c>
      <c r="G129" s="7">
        <v>0.05</v>
      </c>
      <c r="H129" s="6" t="s">
        <v>387</v>
      </c>
      <c r="I129" s="6" t="s">
        <v>31</v>
      </c>
      <c r="J129" s="6">
        <v>2025.0</v>
      </c>
      <c r="L129" s="6">
        <v>1.0</v>
      </c>
      <c r="M129" s="8">
        <f t="shared" si="2"/>
        <v>0.05</v>
      </c>
      <c r="P129" s="9"/>
    </row>
    <row r="130">
      <c r="A130" s="6" t="s">
        <v>388</v>
      </c>
      <c r="B130" s="6" t="s">
        <v>389</v>
      </c>
      <c r="C130" s="6" t="s">
        <v>15</v>
      </c>
      <c r="D130" s="6" t="s">
        <v>390</v>
      </c>
      <c r="E130" s="6" t="s">
        <v>58</v>
      </c>
      <c r="F130" s="6" t="s">
        <v>40</v>
      </c>
      <c r="G130" s="7">
        <v>0.24</v>
      </c>
      <c r="H130" s="6" t="s">
        <v>391</v>
      </c>
      <c r="I130" s="6" t="s">
        <v>31</v>
      </c>
      <c r="J130" s="6">
        <v>2025.0</v>
      </c>
      <c r="K130" s="10">
        <v>46056.0</v>
      </c>
      <c r="L130" s="6">
        <v>1.0</v>
      </c>
      <c r="M130" s="8">
        <f t="shared" si="2"/>
        <v>0.24</v>
      </c>
      <c r="P130" s="9"/>
    </row>
    <row r="131">
      <c r="A131" s="6" t="s">
        <v>388</v>
      </c>
      <c r="B131" s="6" t="s">
        <v>389</v>
      </c>
      <c r="C131" s="6" t="s">
        <v>15</v>
      </c>
      <c r="D131" s="6" t="s">
        <v>390</v>
      </c>
      <c r="E131" s="6" t="s">
        <v>58</v>
      </c>
      <c r="F131" s="6" t="s">
        <v>40</v>
      </c>
      <c r="G131" s="7">
        <v>0.15</v>
      </c>
      <c r="H131" s="6" t="s">
        <v>391</v>
      </c>
      <c r="I131" s="6" t="s">
        <v>20</v>
      </c>
      <c r="J131" s="6">
        <v>2025.0</v>
      </c>
      <c r="K131" s="10">
        <v>46056.0</v>
      </c>
      <c r="L131" s="6">
        <v>7.0</v>
      </c>
      <c r="M131" s="8">
        <f t="shared" si="2"/>
        <v>1.05</v>
      </c>
      <c r="P131" s="9"/>
    </row>
    <row r="132">
      <c r="A132" s="6" t="s">
        <v>392</v>
      </c>
      <c r="B132" s="6" t="s">
        <v>393</v>
      </c>
      <c r="C132" s="6" t="s">
        <v>22</v>
      </c>
      <c r="D132" s="6" t="s">
        <v>394</v>
      </c>
      <c r="E132" s="6" t="s">
        <v>61</v>
      </c>
      <c r="F132" s="6" t="s">
        <v>40</v>
      </c>
      <c r="G132" s="7">
        <v>0.2</v>
      </c>
      <c r="H132" s="6" t="s">
        <v>395</v>
      </c>
      <c r="I132" s="6" t="s">
        <v>20</v>
      </c>
      <c r="J132" s="6">
        <v>2025.0</v>
      </c>
      <c r="K132" s="10">
        <v>46117.0</v>
      </c>
      <c r="L132" s="6">
        <v>1.0</v>
      </c>
      <c r="M132" s="8">
        <f t="shared" si="2"/>
        <v>0.2</v>
      </c>
      <c r="P132" s="9"/>
    </row>
    <row r="133">
      <c r="A133" s="6" t="s">
        <v>384</v>
      </c>
      <c r="B133" s="6" t="s">
        <v>385</v>
      </c>
      <c r="C133" s="6" t="s">
        <v>15</v>
      </c>
      <c r="D133" s="6" t="s">
        <v>386</v>
      </c>
      <c r="E133" s="6" t="s">
        <v>47</v>
      </c>
      <c r="F133" s="6" t="s">
        <v>40</v>
      </c>
      <c r="G133" s="7">
        <v>0.05</v>
      </c>
      <c r="H133" s="6" t="s">
        <v>387</v>
      </c>
      <c r="I133" s="6" t="s">
        <v>20</v>
      </c>
      <c r="J133" s="6">
        <v>2025.0</v>
      </c>
      <c r="L133" s="6">
        <v>3.0</v>
      </c>
      <c r="M133" s="8">
        <f t="shared" si="2"/>
        <v>0.15</v>
      </c>
      <c r="P133" s="9"/>
    </row>
    <row r="134">
      <c r="A134" s="6" t="s">
        <v>396</v>
      </c>
      <c r="B134" s="6" t="s">
        <v>68</v>
      </c>
      <c r="C134" s="6" t="s">
        <v>22</v>
      </c>
      <c r="D134" s="6" t="s">
        <v>397</v>
      </c>
      <c r="E134" s="6" t="s">
        <v>47</v>
      </c>
      <c r="F134" s="6" t="s">
        <v>170</v>
      </c>
      <c r="G134" s="7">
        <v>0.24</v>
      </c>
      <c r="H134" s="6" t="s">
        <v>398</v>
      </c>
      <c r="I134" s="6" t="s">
        <v>20</v>
      </c>
      <c r="J134" s="6">
        <v>2025.0</v>
      </c>
      <c r="L134" s="6">
        <v>1.0</v>
      </c>
      <c r="M134" s="8">
        <f t="shared" si="2"/>
        <v>0.24</v>
      </c>
      <c r="P134" s="9"/>
    </row>
    <row r="135">
      <c r="A135" s="6" t="s">
        <v>399</v>
      </c>
      <c r="B135" s="6" t="s">
        <v>14</v>
      </c>
      <c r="C135" s="6" t="s">
        <v>22</v>
      </c>
      <c r="D135" s="6" t="s">
        <v>400</v>
      </c>
      <c r="E135" s="6" t="s">
        <v>54</v>
      </c>
      <c r="F135" s="6" t="s">
        <v>170</v>
      </c>
      <c r="G135" s="7">
        <v>0.5</v>
      </c>
      <c r="H135" s="6" t="s">
        <v>398</v>
      </c>
      <c r="I135" s="6" t="s">
        <v>20</v>
      </c>
      <c r="J135" s="6">
        <v>2025.0</v>
      </c>
      <c r="L135" s="6">
        <v>2.0</v>
      </c>
      <c r="M135" s="8">
        <f t="shared" si="2"/>
        <v>1</v>
      </c>
      <c r="P135" s="9"/>
    </row>
    <row r="136">
      <c r="A136" s="6" t="s">
        <v>401</v>
      </c>
      <c r="B136" s="6" t="s">
        <v>14</v>
      </c>
      <c r="C136" s="6" t="s">
        <v>15</v>
      </c>
      <c r="D136" s="6" t="s">
        <v>402</v>
      </c>
      <c r="E136" s="6" t="s">
        <v>54</v>
      </c>
      <c r="F136" s="6" t="s">
        <v>170</v>
      </c>
      <c r="G136" s="7">
        <v>0.14</v>
      </c>
      <c r="H136" s="6" t="s">
        <v>398</v>
      </c>
      <c r="I136" s="6" t="s">
        <v>20</v>
      </c>
      <c r="J136" s="6">
        <v>2025.0</v>
      </c>
      <c r="L136" s="6">
        <v>6.0</v>
      </c>
      <c r="M136" s="8">
        <f t="shared" si="2"/>
        <v>0.84</v>
      </c>
      <c r="P136" s="9"/>
    </row>
    <row r="137">
      <c r="A137" s="6" t="s">
        <v>403</v>
      </c>
      <c r="B137" s="6" t="s">
        <v>404</v>
      </c>
      <c r="C137" s="6" t="s">
        <v>15</v>
      </c>
      <c r="D137" s="6" t="s">
        <v>405</v>
      </c>
      <c r="E137" s="6" t="s">
        <v>54</v>
      </c>
      <c r="F137" s="6" t="s">
        <v>170</v>
      </c>
      <c r="G137" s="7">
        <v>0.12</v>
      </c>
      <c r="H137" s="6" t="s">
        <v>398</v>
      </c>
      <c r="I137" s="6" t="s">
        <v>20</v>
      </c>
      <c r="J137" s="6">
        <v>2025.0</v>
      </c>
      <c r="L137" s="6">
        <v>5.0</v>
      </c>
      <c r="M137" s="8">
        <f t="shared" si="2"/>
        <v>0.6</v>
      </c>
      <c r="P137" s="9"/>
    </row>
    <row r="138">
      <c r="A138" s="6" t="s">
        <v>403</v>
      </c>
      <c r="B138" s="6" t="s">
        <v>404</v>
      </c>
      <c r="C138" s="6" t="s">
        <v>15</v>
      </c>
      <c r="D138" s="6" t="s">
        <v>405</v>
      </c>
      <c r="E138" s="6" t="s">
        <v>54</v>
      </c>
      <c r="F138" s="6" t="s">
        <v>170</v>
      </c>
      <c r="G138" s="7">
        <v>0.4</v>
      </c>
      <c r="H138" s="6" t="s">
        <v>398</v>
      </c>
      <c r="I138" s="6" t="s">
        <v>31</v>
      </c>
      <c r="J138" s="6">
        <v>2025.0</v>
      </c>
      <c r="L138" s="6">
        <v>2.0</v>
      </c>
      <c r="M138" s="8">
        <f t="shared" si="2"/>
        <v>0.8</v>
      </c>
      <c r="P138" s="9"/>
    </row>
    <row r="139">
      <c r="A139" s="6" t="s">
        <v>406</v>
      </c>
      <c r="B139" s="6" t="s">
        <v>177</v>
      </c>
      <c r="C139" s="6" t="s">
        <v>15</v>
      </c>
      <c r="D139" s="6" t="s">
        <v>407</v>
      </c>
      <c r="E139" s="6" t="s">
        <v>408</v>
      </c>
      <c r="F139" s="6" t="s">
        <v>170</v>
      </c>
      <c r="G139" s="7">
        <v>0.05</v>
      </c>
      <c r="H139" s="6" t="s">
        <v>398</v>
      </c>
      <c r="I139" s="6" t="s">
        <v>20</v>
      </c>
      <c r="J139" s="6">
        <v>2025.0</v>
      </c>
      <c r="K139" s="10">
        <v>46117.0</v>
      </c>
      <c r="L139" s="6">
        <v>4.0</v>
      </c>
      <c r="M139" s="8">
        <f t="shared" si="2"/>
        <v>0.2</v>
      </c>
      <c r="P139" s="9"/>
    </row>
    <row r="140">
      <c r="A140" s="6" t="s">
        <v>406</v>
      </c>
      <c r="B140" s="6" t="s">
        <v>177</v>
      </c>
      <c r="C140" s="6" t="s">
        <v>15</v>
      </c>
      <c r="D140" s="6" t="s">
        <v>407</v>
      </c>
      <c r="E140" s="6" t="s">
        <v>408</v>
      </c>
      <c r="F140" s="6" t="s">
        <v>170</v>
      </c>
      <c r="G140" s="7">
        <v>0.35</v>
      </c>
      <c r="H140" s="6" t="s">
        <v>398</v>
      </c>
      <c r="I140" s="6" t="s">
        <v>31</v>
      </c>
      <c r="J140" s="6">
        <v>2025.0</v>
      </c>
      <c r="K140" s="10">
        <v>46117.0</v>
      </c>
      <c r="L140" s="6">
        <v>1.0</v>
      </c>
      <c r="M140" s="8">
        <f t="shared" si="2"/>
        <v>0.35</v>
      </c>
      <c r="P140" s="9"/>
    </row>
    <row r="141">
      <c r="A141" s="6" t="s">
        <v>409</v>
      </c>
      <c r="B141" s="6" t="s">
        <v>404</v>
      </c>
      <c r="C141" s="6" t="s">
        <v>15</v>
      </c>
      <c r="D141" s="6" t="s">
        <v>410</v>
      </c>
      <c r="E141" s="6" t="s">
        <v>47</v>
      </c>
      <c r="F141" s="6" t="s">
        <v>170</v>
      </c>
      <c r="G141" s="7">
        <v>0.1</v>
      </c>
      <c r="H141" s="6" t="s">
        <v>398</v>
      </c>
      <c r="I141" s="6" t="s">
        <v>20</v>
      </c>
      <c r="J141" s="6">
        <v>2025.0</v>
      </c>
      <c r="L141" s="6">
        <v>2.0</v>
      </c>
      <c r="M141" s="8">
        <f t="shared" si="2"/>
        <v>0.2</v>
      </c>
      <c r="P141" s="9"/>
    </row>
    <row r="142">
      <c r="A142" s="6" t="s">
        <v>411</v>
      </c>
      <c r="B142" s="6" t="s">
        <v>412</v>
      </c>
      <c r="C142" s="6" t="s">
        <v>22</v>
      </c>
      <c r="D142" s="6" t="s">
        <v>413</v>
      </c>
      <c r="E142" s="6" t="s">
        <v>47</v>
      </c>
      <c r="F142" s="6" t="s">
        <v>170</v>
      </c>
      <c r="G142" s="7">
        <v>0.2</v>
      </c>
      <c r="H142" s="6" t="s">
        <v>398</v>
      </c>
      <c r="I142" s="6" t="s">
        <v>20</v>
      </c>
      <c r="J142" s="6">
        <v>2025.0</v>
      </c>
      <c r="K142" s="10">
        <v>46116.0</v>
      </c>
      <c r="L142" s="6">
        <v>2.0</v>
      </c>
      <c r="M142" s="8">
        <f t="shared" si="2"/>
        <v>0.4</v>
      </c>
      <c r="P142" s="9"/>
    </row>
    <row r="143">
      <c r="A143" s="6" t="s">
        <v>414</v>
      </c>
      <c r="B143" s="6" t="s">
        <v>415</v>
      </c>
      <c r="C143" s="6" t="s">
        <v>22</v>
      </c>
      <c r="D143" s="6" t="s">
        <v>416</v>
      </c>
      <c r="E143" s="6" t="s">
        <v>54</v>
      </c>
      <c r="F143" s="6" t="s">
        <v>170</v>
      </c>
      <c r="G143" s="7">
        <v>0.25</v>
      </c>
      <c r="H143" s="6" t="s">
        <v>398</v>
      </c>
      <c r="I143" s="6" t="s">
        <v>20</v>
      </c>
      <c r="J143" s="6">
        <v>2025.0</v>
      </c>
      <c r="K143" s="10">
        <v>46055.0</v>
      </c>
      <c r="L143" s="6">
        <v>3.0</v>
      </c>
      <c r="M143" s="8">
        <f t="shared" si="2"/>
        <v>0.75</v>
      </c>
      <c r="P143" s="9"/>
    </row>
    <row r="144">
      <c r="A144" s="6" t="s">
        <v>417</v>
      </c>
      <c r="B144" s="6" t="s">
        <v>105</v>
      </c>
      <c r="C144" s="6" t="s">
        <v>15</v>
      </c>
      <c r="D144" s="6" t="s">
        <v>418</v>
      </c>
      <c r="E144" s="6" t="s">
        <v>58</v>
      </c>
      <c r="F144" s="6" t="s">
        <v>170</v>
      </c>
      <c r="G144" s="7">
        <v>0.19</v>
      </c>
      <c r="H144" s="6" t="s">
        <v>398</v>
      </c>
      <c r="I144" s="6" t="s">
        <v>20</v>
      </c>
      <c r="J144" s="6">
        <v>2025.0</v>
      </c>
      <c r="K144" s="10">
        <v>46082.0</v>
      </c>
      <c r="L144" s="6">
        <v>10.0</v>
      </c>
      <c r="M144" s="8">
        <f t="shared" si="2"/>
        <v>1.9</v>
      </c>
      <c r="P144" s="9"/>
    </row>
    <row r="145">
      <c r="A145" s="6" t="s">
        <v>417</v>
      </c>
      <c r="B145" s="6" t="s">
        <v>105</v>
      </c>
      <c r="C145" s="6" t="s">
        <v>15</v>
      </c>
      <c r="D145" s="6" t="s">
        <v>418</v>
      </c>
      <c r="E145" s="6" t="s">
        <v>58</v>
      </c>
      <c r="F145" s="6" t="s">
        <v>170</v>
      </c>
      <c r="G145" s="7">
        <v>0.3</v>
      </c>
      <c r="H145" s="6" t="s">
        <v>398</v>
      </c>
      <c r="I145" s="6" t="s">
        <v>31</v>
      </c>
      <c r="J145" s="6">
        <v>2025.0</v>
      </c>
      <c r="K145" s="10">
        <v>46082.0</v>
      </c>
      <c r="L145" s="6">
        <v>1.0</v>
      </c>
      <c r="M145" s="8">
        <f t="shared" si="2"/>
        <v>0.3</v>
      </c>
      <c r="P145" s="9"/>
    </row>
    <row r="146">
      <c r="A146" s="6" t="s">
        <v>419</v>
      </c>
      <c r="B146" s="6" t="s">
        <v>420</v>
      </c>
      <c r="C146" s="6" t="s">
        <v>15</v>
      </c>
      <c r="D146" s="6" t="s">
        <v>421</v>
      </c>
      <c r="E146" s="6" t="s">
        <v>54</v>
      </c>
      <c r="F146" s="6" t="s">
        <v>170</v>
      </c>
      <c r="G146" s="7">
        <v>0.07</v>
      </c>
      <c r="H146" s="6" t="s">
        <v>398</v>
      </c>
      <c r="I146" s="6" t="s">
        <v>20</v>
      </c>
      <c r="J146" s="6">
        <v>2025.0</v>
      </c>
      <c r="K146" s="10">
        <v>46055.0</v>
      </c>
      <c r="L146" s="6">
        <v>6.0</v>
      </c>
      <c r="M146" s="8">
        <f t="shared" si="2"/>
        <v>0.42</v>
      </c>
      <c r="P146" s="9"/>
    </row>
    <row r="147">
      <c r="A147" s="6" t="s">
        <v>419</v>
      </c>
      <c r="B147" s="6" t="s">
        <v>420</v>
      </c>
      <c r="C147" s="6" t="s">
        <v>15</v>
      </c>
      <c r="D147" s="6" t="s">
        <v>421</v>
      </c>
      <c r="E147" s="6" t="s">
        <v>54</v>
      </c>
      <c r="F147" s="6" t="s">
        <v>170</v>
      </c>
      <c r="G147" s="7">
        <v>0.24</v>
      </c>
      <c r="H147" s="6" t="s">
        <v>398</v>
      </c>
      <c r="I147" s="6" t="s">
        <v>31</v>
      </c>
      <c r="J147" s="6">
        <v>2025.0</v>
      </c>
      <c r="K147" s="10">
        <v>46055.0</v>
      </c>
      <c r="L147" s="6">
        <v>1.0</v>
      </c>
      <c r="M147" s="8">
        <f t="shared" si="2"/>
        <v>0.24</v>
      </c>
      <c r="P147" s="9"/>
    </row>
    <row r="148">
      <c r="A148" s="6" t="s">
        <v>422</v>
      </c>
      <c r="B148" s="6" t="s">
        <v>423</v>
      </c>
      <c r="C148" s="6" t="s">
        <v>15</v>
      </c>
      <c r="D148" s="6" t="s">
        <v>424</v>
      </c>
      <c r="E148" s="6" t="s">
        <v>54</v>
      </c>
      <c r="F148" s="6" t="s">
        <v>170</v>
      </c>
      <c r="G148" s="7">
        <v>0.17</v>
      </c>
      <c r="H148" s="6" t="s">
        <v>398</v>
      </c>
      <c r="I148" s="6" t="s">
        <v>20</v>
      </c>
      <c r="J148" s="6">
        <v>2025.0</v>
      </c>
      <c r="K148" s="10">
        <v>46024.0</v>
      </c>
      <c r="L148" s="6">
        <v>10.0</v>
      </c>
      <c r="M148" s="8">
        <f t="shared" si="2"/>
        <v>1.7</v>
      </c>
      <c r="P148" s="9"/>
    </row>
    <row r="149">
      <c r="A149" s="6" t="s">
        <v>422</v>
      </c>
      <c r="B149" s="6" t="s">
        <v>423</v>
      </c>
      <c r="C149" s="6" t="s">
        <v>15</v>
      </c>
      <c r="D149" s="6" t="s">
        <v>424</v>
      </c>
      <c r="E149" s="6" t="s">
        <v>54</v>
      </c>
      <c r="F149" s="6" t="s">
        <v>170</v>
      </c>
      <c r="G149" s="7">
        <v>0.24</v>
      </c>
      <c r="H149" s="6" t="s">
        <v>398</v>
      </c>
      <c r="I149" s="6" t="s">
        <v>31</v>
      </c>
      <c r="J149" s="6">
        <v>2025.0</v>
      </c>
      <c r="K149" s="10">
        <v>46024.0</v>
      </c>
      <c r="L149" s="6">
        <v>1.0</v>
      </c>
      <c r="M149" s="8">
        <f t="shared" si="2"/>
        <v>0.24</v>
      </c>
      <c r="P149" s="9"/>
    </row>
    <row r="150">
      <c r="A150" s="6" t="s">
        <v>425</v>
      </c>
      <c r="B150" s="6" t="s">
        <v>68</v>
      </c>
      <c r="C150" s="6" t="s">
        <v>15</v>
      </c>
      <c r="D150" s="6" t="s">
        <v>426</v>
      </c>
      <c r="E150" s="6" t="s">
        <v>54</v>
      </c>
      <c r="F150" s="6" t="s">
        <v>170</v>
      </c>
      <c r="G150" s="7">
        <v>0.2</v>
      </c>
      <c r="H150" s="6" t="s">
        <v>398</v>
      </c>
      <c r="I150" s="6" t="s">
        <v>20</v>
      </c>
      <c r="J150" s="6">
        <v>2025.0</v>
      </c>
      <c r="L150" s="6">
        <v>3.0</v>
      </c>
      <c r="M150" s="8">
        <f t="shared" si="2"/>
        <v>0.6</v>
      </c>
      <c r="P150" s="9"/>
    </row>
    <row r="151">
      <c r="A151" s="6" t="s">
        <v>427</v>
      </c>
      <c r="B151" s="6" t="s">
        <v>14</v>
      </c>
      <c r="C151" s="6" t="s">
        <v>15</v>
      </c>
      <c r="D151" s="6" t="s">
        <v>428</v>
      </c>
      <c r="E151" s="6" t="s">
        <v>58</v>
      </c>
      <c r="F151" s="6" t="s">
        <v>170</v>
      </c>
      <c r="G151" s="7">
        <v>0.1</v>
      </c>
      <c r="H151" s="6" t="s">
        <v>398</v>
      </c>
      <c r="I151" s="6" t="s">
        <v>20</v>
      </c>
      <c r="J151" s="6">
        <v>2025.0</v>
      </c>
      <c r="L151" s="6">
        <v>7.0</v>
      </c>
      <c r="M151" s="8">
        <f t="shared" si="2"/>
        <v>0.7</v>
      </c>
      <c r="P151" s="9"/>
    </row>
    <row r="152">
      <c r="A152" s="6" t="s">
        <v>429</v>
      </c>
      <c r="B152" s="6" t="s">
        <v>220</v>
      </c>
      <c r="C152" s="6" t="s">
        <v>15</v>
      </c>
      <c r="D152" s="6" t="s">
        <v>430</v>
      </c>
      <c r="E152" s="6" t="s">
        <v>50</v>
      </c>
      <c r="F152" s="6" t="s">
        <v>170</v>
      </c>
      <c r="G152" s="7">
        <v>0.1</v>
      </c>
      <c r="H152" s="6" t="s">
        <v>398</v>
      </c>
      <c r="I152" s="6" t="s">
        <v>20</v>
      </c>
      <c r="J152" s="6">
        <v>2025.0</v>
      </c>
      <c r="K152" s="10">
        <v>46023.0</v>
      </c>
      <c r="L152" s="6">
        <v>6.0</v>
      </c>
      <c r="M152" s="8">
        <f t="shared" si="2"/>
        <v>0.6</v>
      </c>
      <c r="P152" s="9"/>
    </row>
    <row r="153">
      <c r="A153" s="6" t="s">
        <v>431</v>
      </c>
      <c r="B153" s="6" t="s">
        <v>432</v>
      </c>
      <c r="C153" s="6" t="s">
        <v>101</v>
      </c>
      <c r="D153" s="6" t="s">
        <v>433</v>
      </c>
      <c r="E153" s="6" t="s">
        <v>54</v>
      </c>
      <c r="F153" s="6" t="s">
        <v>170</v>
      </c>
      <c r="G153" s="7">
        <v>1.7</v>
      </c>
      <c r="H153" s="6" t="s">
        <v>398</v>
      </c>
      <c r="I153" s="6" t="s">
        <v>20</v>
      </c>
      <c r="J153" s="6">
        <v>2025.0</v>
      </c>
      <c r="K153" s="10">
        <v>46055.0</v>
      </c>
      <c r="L153" s="6">
        <v>1.0</v>
      </c>
      <c r="M153" s="8">
        <f t="shared" si="2"/>
        <v>1.7</v>
      </c>
      <c r="P153" s="9"/>
    </row>
    <row r="154">
      <c r="A154" s="6" t="s">
        <v>434</v>
      </c>
      <c r="B154" s="6" t="s">
        <v>435</v>
      </c>
      <c r="C154" s="6" t="s">
        <v>101</v>
      </c>
      <c r="D154" s="6" t="s">
        <v>436</v>
      </c>
      <c r="E154" s="6" t="s">
        <v>408</v>
      </c>
      <c r="F154" s="6" t="s">
        <v>170</v>
      </c>
      <c r="G154" s="7">
        <v>1.8</v>
      </c>
      <c r="H154" s="6" t="s">
        <v>398</v>
      </c>
      <c r="I154" s="6" t="s">
        <v>20</v>
      </c>
      <c r="J154" s="6">
        <v>2025.0</v>
      </c>
      <c r="K154" s="10">
        <v>46179.0</v>
      </c>
      <c r="L154" s="6">
        <v>1.0</v>
      </c>
      <c r="M154" s="8">
        <f t="shared" si="2"/>
        <v>1.8</v>
      </c>
      <c r="P154" s="9"/>
    </row>
    <row r="155">
      <c r="A155" s="6" t="s">
        <v>437</v>
      </c>
      <c r="B155" s="6" t="s">
        <v>63</v>
      </c>
      <c r="C155" s="6" t="s">
        <v>101</v>
      </c>
      <c r="D155" s="6" t="s">
        <v>438</v>
      </c>
      <c r="E155" s="6" t="s">
        <v>439</v>
      </c>
      <c r="F155" s="6" t="s">
        <v>170</v>
      </c>
      <c r="G155" s="7">
        <v>2.66</v>
      </c>
      <c r="H155" s="6" t="s">
        <v>398</v>
      </c>
      <c r="I155" s="6" t="s">
        <v>20</v>
      </c>
      <c r="J155" s="6">
        <v>2025.0</v>
      </c>
      <c r="L155" s="6">
        <v>1.0</v>
      </c>
      <c r="M155" s="8">
        <f t="shared" si="2"/>
        <v>2.66</v>
      </c>
      <c r="P155" s="9"/>
    </row>
    <row r="156">
      <c r="A156" s="6" t="s">
        <v>440</v>
      </c>
      <c r="B156" s="6" t="s">
        <v>14</v>
      </c>
      <c r="C156" s="6" t="s">
        <v>22</v>
      </c>
      <c r="D156" s="6" t="s">
        <v>441</v>
      </c>
      <c r="E156" s="6" t="s">
        <v>50</v>
      </c>
      <c r="F156" s="6" t="s">
        <v>170</v>
      </c>
      <c r="G156" s="7">
        <v>8.5</v>
      </c>
      <c r="H156" s="6" t="s">
        <v>398</v>
      </c>
      <c r="I156" s="6" t="s">
        <v>20</v>
      </c>
      <c r="J156" s="6">
        <v>2025.0</v>
      </c>
      <c r="L156" s="6">
        <v>1.0</v>
      </c>
      <c r="M156" s="8">
        <f t="shared" si="2"/>
        <v>8.5</v>
      </c>
      <c r="P156" s="9"/>
    </row>
    <row r="157">
      <c r="A157" s="6" t="s">
        <v>442</v>
      </c>
      <c r="B157" s="6" t="s">
        <v>63</v>
      </c>
      <c r="C157" s="6" t="s">
        <v>22</v>
      </c>
      <c r="D157" s="6" t="s">
        <v>443</v>
      </c>
      <c r="E157" s="6" t="s">
        <v>58</v>
      </c>
      <c r="F157" s="6" t="s">
        <v>170</v>
      </c>
      <c r="G157" s="7">
        <v>0.1</v>
      </c>
      <c r="H157" s="6" t="s">
        <v>398</v>
      </c>
      <c r="I157" s="6" t="s">
        <v>20</v>
      </c>
      <c r="J157" s="6">
        <v>2025.0</v>
      </c>
      <c r="L157" s="6">
        <v>1.0</v>
      </c>
      <c r="M157" s="8">
        <f t="shared" si="2"/>
        <v>0.1</v>
      </c>
      <c r="P157" s="9"/>
    </row>
    <row r="158">
      <c r="A158" s="6" t="s">
        <v>444</v>
      </c>
      <c r="B158" s="6" t="s">
        <v>404</v>
      </c>
      <c r="C158" s="6" t="s">
        <v>22</v>
      </c>
      <c r="D158" s="6" t="s">
        <v>445</v>
      </c>
      <c r="E158" s="6" t="s">
        <v>58</v>
      </c>
      <c r="F158" s="6" t="s">
        <v>170</v>
      </c>
      <c r="G158" s="7">
        <v>0.2</v>
      </c>
      <c r="H158" s="6" t="s">
        <v>398</v>
      </c>
      <c r="I158" s="6" t="s">
        <v>20</v>
      </c>
      <c r="J158" s="6">
        <v>2025.0</v>
      </c>
      <c r="L158" s="6">
        <v>1.0</v>
      </c>
      <c r="M158" s="8">
        <f t="shared" si="2"/>
        <v>0.2</v>
      </c>
      <c r="P158" s="9"/>
    </row>
    <row r="159">
      <c r="A159" s="6" t="s">
        <v>446</v>
      </c>
      <c r="B159" s="6" t="s">
        <v>14</v>
      </c>
      <c r="C159" s="6" t="s">
        <v>15</v>
      </c>
      <c r="D159" s="6" t="s">
        <v>447</v>
      </c>
      <c r="E159" s="6" t="s">
        <v>50</v>
      </c>
      <c r="F159" s="6" t="s">
        <v>170</v>
      </c>
      <c r="G159" s="7">
        <v>0.15</v>
      </c>
      <c r="H159" s="6" t="s">
        <v>398</v>
      </c>
      <c r="I159" s="6" t="s">
        <v>20</v>
      </c>
      <c r="J159" s="6">
        <v>2025.0</v>
      </c>
      <c r="L159" s="6">
        <v>3.0</v>
      </c>
      <c r="M159" s="8">
        <f t="shared" si="2"/>
        <v>0.45</v>
      </c>
      <c r="P159" s="9"/>
    </row>
    <row r="160">
      <c r="A160" s="6" t="s">
        <v>446</v>
      </c>
      <c r="B160" s="6" t="s">
        <v>14</v>
      </c>
      <c r="C160" s="6" t="s">
        <v>15</v>
      </c>
      <c r="D160" s="6" t="s">
        <v>447</v>
      </c>
      <c r="E160" s="6" t="s">
        <v>50</v>
      </c>
      <c r="F160" s="6" t="s">
        <v>170</v>
      </c>
      <c r="G160" s="7">
        <v>0.45</v>
      </c>
      <c r="H160" s="6" t="s">
        <v>398</v>
      </c>
      <c r="I160" s="6" t="s">
        <v>31</v>
      </c>
      <c r="J160" s="6">
        <v>2025.0</v>
      </c>
      <c r="L160" s="6">
        <v>1.0</v>
      </c>
      <c r="M160" s="8">
        <f t="shared" si="2"/>
        <v>0.45</v>
      </c>
      <c r="P160" s="9"/>
    </row>
    <row r="161">
      <c r="A161" s="6" t="s">
        <v>448</v>
      </c>
      <c r="B161" s="6" t="s">
        <v>14</v>
      </c>
      <c r="C161" s="6" t="s">
        <v>15</v>
      </c>
      <c r="D161" s="6" t="s">
        <v>449</v>
      </c>
      <c r="E161" s="6" t="s">
        <v>61</v>
      </c>
      <c r="F161" s="6" t="s">
        <v>170</v>
      </c>
      <c r="G161" s="7">
        <v>0.05</v>
      </c>
      <c r="H161" s="6" t="s">
        <v>398</v>
      </c>
      <c r="I161" s="6" t="s">
        <v>20</v>
      </c>
      <c r="J161" s="6">
        <v>2025.0</v>
      </c>
      <c r="L161" s="6">
        <v>11.0</v>
      </c>
      <c r="M161" s="8">
        <f t="shared" si="2"/>
        <v>0.55</v>
      </c>
      <c r="P161" s="9"/>
    </row>
    <row r="162">
      <c r="A162" s="6" t="s">
        <v>450</v>
      </c>
      <c r="B162" s="6" t="s">
        <v>68</v>
      </c>
      <c r="C162" s="6" t="s">
        <v>22</v>
      </c>
      <c r="D162" s="6" t="s">
        <v>451</v>
      </c>
      <c r="E162" s="6" t="s">
        <v>58</v>
      </c>
      <c r="F162" s="6" t="s">
        <v>170</v>
      </c>
      <c r="G162" s="7">
        <v>0.15</v>
      </c>
      <c r="H162" s="6" t="s">
        <v>398</v>
      </c>
      <c r="I162" s="6" t="s">
        <v>20</v>
      </c>
      <c r="J162" s="6">
        <v>2025.0</v>
      </c>
      <c r="L162" s="6">
        <v>2.0</v>
      </c>
      <c r="M162" s="8">
        <f t="shared" si="2"/>
        <v>0.3</v>
      </c>
      <c r="P162" s="9"/>
    </row>
    <row r="163">
      <c r="A163" s="6" t="s">
        <v>450</v>
      </c>
      <c r="B163" s="6" t="s">
        <v>68</v>
      </c>
      <c r="C163" s="6" t="s">
        <v>22</v>
      </c>
      <c r="D163" s="6" t="s">
        <v>451</v>
      </c>
      <c r="E163" s="6" t="s">
        <v>58</v>
      </c>
      <c r="F163" s="6" t="s">
        <v>170</v>
      </c>
      <c r="G163" s="7">
        <v>0.25</v>
      </c>
      <c r="H163" s="6" t="s">
        <v>398</v>
      </c>
      <c r="I163" s="6" t="s">
        <v>31</v>
      </c>
      <c r="J163" s="6">
        <v>2025.0</v>
      </c>
      <c r="L163" s="6">
        <v>1.0</v>
      </c>
      <c r="M163" s="8">
        <f t="shared" si="2"/>
        <v>0.25</v>
      </c>
      <c r="P163" s="9"/>
    </row>
    <row r="164">
      <c r="A164" s="6" t="s">
        <v>452</v>
      </c>
      <c r="B164" s="6" t="s">
        <v>453</v>
      </c>
      <c r="C164" s="6" t="s">
        <v>22</v>
      </c>
      <c r="D164" s="6" t="s">
        <v>454</v>
      </c>
      <c r="E164" s="6" t="s">
        <v>58</v>
      </c>
      <c r="F164" s="6" t="s">
        <v>170</v>
      </c>
      <c r="G164" s="7">
        <v>0.25</v>
      </c>
      <c r="H164" s="6" t="s">
        <v>398</v>
      </c>
      <c r="I164" s="6" t="s">
        <v>20</v>
      </c>
      <c r="J164" s="6">
        <v>2025.0</v>
      </c>
      <c r="K164" s="10">
        <v>46024.0</v>
      </c>
      <c r="L164" s="6">
        <v>3.0</v>
      </c>
      <c r="M164" s="8">
        <f t="shared" si="2"/>
        <v>0.75</v>
      </c>
      <c r="P164" s="9"/>
    </row>
    <row r="165">
      <c r="A165" s="6" t="s">
        <v>455</v>
      </c>
      <c r="B165" s="6" t="s">
        <v>456</v>
      </c>
      <c r="C165" s="6" t="s">
        <v>22</v>
      </c>
      <c r="D165" s="6" t="s">
        <v>457</v>
      </c>
      <c r="E165" s="6" t="s">
        <v>458</v>
      </c>
      <c r="F165" s="6" t="s">
        <v>459</v>
      </c>
      <c r="G165" s="7">
        <v>31.9</v>
      </c>
      <c r="H165" s="6" t="s">
        <v>398</v>
      </c>
      <c r="I165" s="6" t="s">
        <v>20</v>
      </c>
      <c r="J165" s="6">
        <v>2025.0</v>
      </c>
      <c r="K165" s="10">
        <v>46084.0</v>
      </c>
      <c r="L165" s="6">
        <v>1.0</v>
      </c>
      <c r="M165" s="8">
        <f t="shared" si="2"/>
        <v>31.9</v>
      </c>
      <c r="P165" s="9"/>
    </row>
    <row r="166">
      <c r="A166" s="6" t="s">
        <v>455</v>
      </c>
      <c r="B166" s="6" t="s">
        <v>456</v>
      </c>
      <c r="C166" s="6" t="s">
        <v>22</v>
      </c>
      <c r="D166" s="6" t="s">
        <v>457</v>
      </c>
      <c r="E166" s="6" t="s">
        <v>458</v>
      </c>
      <c r="F166" s="6" t="s">
        <v>459</v>
      </c>
      <c r="G166" s="7">
        <v>1.0</v>
      </c>
      <c r="H166" s="6" t="s">
        <v>398</v>
      </c>
      <c r="I166" s="6" t="s">
        <v>31</v>
      </c>
      <c r="J166" s="6">
        <v>2025.0</v>
      </c>
      <c r="K166" s="10">
        <v>46084.0</v>
      </c>
      <c r="L166" s="6">
        <v>1.0</v>
      </c>
      <c r="M166" s="8">
        <f t="shared" si="2"/>
        <v>1</v>
      </c>
      <c r="P166" s="9"/>
    </row>
    <row r="167">
      <c r="A167" s="6" t="s">
        <v>455</v>
      </c>
      <c r="B167" s="6" t="s">
        <v>456</v>
      </c>
      <c r="C167" s="6" t="s">
        <v>22</v>
      </c>
      <c r="D167" s="6" t="s">
        <v>457</v>
      </c>
      <c r="E167" s="6" t="s">
        <v>458</v>
      </c>
      <c r="F167" s="6" t="s">
        <v>459</v>
      </c>
      <c r="G167" s="7">
        <v>0.27</v>
      </c>
      <c r="H167" s="6" t="s">
        <v>398</v>
      </c>
      <c r="I167" s="6" t="s">
        <v>20</v>
      </c>
      <c r="J167" s="6">
        <v>2025.0</v>
      </c>
      <c r="K167" s="10">
        <v>46084.0</v>
      </c>
      <c r="L167" s="6">
        <v>1.0</v>
      </c>
      <c r="M167" s="8">
        <f t="shared" si="2"/>
        <v>0.27</v>
      </c>
      <c r="P167" s="9"/>
    </row>
    <row r="168">
      <c r="A168" s="6" t="s">
        <v>460</v>
      </c>
      <c r="B168" s="6" t="s">
        <v>461</v>
      </c>
      <c r="C168" s="6" t="s">
        <v>22</v>
      </c>
      <c r="D168" s="6" t="s">
        <v>462</v>
      </c>
      <c r="E168" s="6" t="s">
        <v>313</v>
      </c>
      <c r="F168" s="6" t="s">
        <v>463</v>
      </c>
      <c r="G168" s="7">
        <v>0.19</v>
      </c>
      <c r="H168" s="6" t="s">
        <v>464</v>
      </c>
      <c r="I168" s="6" t="s">
        <v>20</v>
      </c>
      <c r="J168" s="6">
        <v>2025.0</v>
      </c>
      <c r="K168" s="10">
        <v>46023.0</v>
      </c>
      <c r="L168" s="6">
        <v>1.0</v>
      </c>
      <c r="M168" s="8">
        <f t="shared" si="2"/>
        <v>0.19</v>
      </c>
      <c r="P168" s="9"/>
    </row>
    <row r="169">
      <c r="A169" s="6" t="s">
        <v>465</v>
      </c>
      <c r="B169" s="6" t="s">
        <v>466</v>
      </c>
      <c r="C169" s="6" t="s">
        <v>101</v>
      </c>
      <c r="D169" s="6" t="s">
        <v>467</v>
      </c>
      <c r="E169" s="6" t="s">
        <v>468</v>
      </c>
      <c r="F169" s="6" t="s">
        <v>469</v>
      </c>
      <c r="G169" s="7">
        <v>0.99</v>
      </c>
      <c r="H169" s="6" t="s">
        <v>398</v>
      </c>
      <c r="I169" s="6" t="s">
        <v>20</v>
      </c>
      <c r="J169" s="6">
        <v>2025.0</v>
      </c>
      <c r="K169" s="10">
        <v>46210.0</v>
      </c>
      <c r="L169" s="6">
        <v>1.0</v>
      </c>
      <c r="M169" s="8">
        <f t="shared" si="2"/>
        <v>0.99</v>
      </c>
      <c r="P169" s="9"/>
    </row>
    <row r="170">
      <c r="A170" s="6" t="s">
        <v>470</v>
      </c>
      <c r="B170" s="6" t="s">
        <v>471</v>
      </c>
      <c r="C170" s="6" t="s">
        <v>101</v>
      </c>
      <c r="D170" s="6" t="s">
        <v>472</v>
      </c>
      <c r="E170" s="6" t="s">
        <v>473</v>
      </c>
      <c r="F170" s="6" t="s">
        <v>474</v>
      </c>
      <c r="G170" s="7">
        <v>2.9</v>
      </c>
      <c r="H170" s="6" t="s">
        <v>398</v>
      </c>
      <c r="I170" s="6" t="s">
        <v>20</v>
      </c>
      <c r="J170" s="6">
        <v>2025.0</v>
      </c>
      <c r="K170" s="10">
        <v>46082.0</v>
      </c>
      <c r="L170" s="6">
        <v>1.0</v>
      </c>
      <c r="M170" s="8">
        <f t="shared" si="2"/>
        <v>2.9</v>
      </c>
      <c r="P170" s="9"/>
    </row>
    <row r="171">
      <c r="A171" s="6" t="s">
        <v>475</v>
      </c>
      <c r="B171" s="6" t="s">
        <v>476</v>
      </c>
      <c r="C171" s="6" t="s">
        <v>101</v>
      </c>
      <c r="D171" s="6" t="s">
        <v>477</v>
      </c>
      <c r="E171" s="6" t="s">
        <v>478</v>
      </c>
      <c r="F171" s="6" t="s">
        <v>479</v>
      </c>
      <c r="G171" s="7">
        <v>0.53</v>
      </c>
      <c r="H171" s="6" t="s">
        <v>398</v>
      </c>
      <c r="I171" s="6" t="s">
        <v>20</v>
      </c>
      <c r="J171" s="6">
        <v>2025.0</v>
      </c>
      <c r="K171" s="10">
        <v>46084.0</v>
      </c>
      <c r="L171" s="6">
        <v>1.0</v>
      </c>
      <c r="M171" s="8">
        <f t="shared" si="2"/>
        <v>0.53</v>
      </c>
      <c r="P171" s="9"/>
    </row>
    <row r="172">
      <c r="A172" s="6" t="s">
        <v>480</v>
      </c>
      <c r="B172" s="6" t="s">
        <v>453</v>
      </c>
      <c r="C172" s="6" t="s">
        <v>101</v>
      </c>
      <c r="D172" s="6" t="s">
        <v>481</v>
      </c>
      <c r="E172" s="6" t="s">
        <v>482</v>
      </c>
      <c r="F172" s="6" t="s">
        <v>483</v>
      </c>
      <c r="G172" s="7">
        <v>2.79</v>
      </c>
      <c r="H172" s="6" t="s">
        <v>398</v>
      </c>
      <c r="I172" s="6" t="s">
        <v>20</v>
      </c>
      <c r="J172" s="6">
        <v>2025.0</v>
      </c>
      <c r="K172" s="10">
        <v>46085.0</v>
      </c>
      <c r="L172" s="6">
        <v>1.0</v>
      </c>
      <c r="M172" s="8">
        <f t="shared" si="2"/>
        <v>2.79</v>
      </c>
      <c r="P172" s="9"/>
    </row>
    <row r="173">
      <c r="A173" s="6" t="s">
        <v>484</v>
      </c>
      <c r="B173" s="6" t="s">
        <v>338</v>
      </c>
      <c r="C173" s="6" t="s">
        <v>22</v>
      </c>
      <c r="D173" s="6" t="s">
        <v>485</v>
      </c>
      <c r="E173" s="6" t="s">
        <v>486</v>
      </c>
      <c r="F173" s="6" t="s">
        <v>487</v>
      </c>
      <c r="G173" s="7">
        <v>2.99</v>
      </c>
      <c r="H173" s="6" t="s">
        <v>398</v>
      </c>
      <c r="I173" s="6" t="s">
        <v>31</v>
      </c>
      <c r="J173" s="6">
        <v>2025.0</v>
      </c>
      <c r="K173" s="10">
        <v>46055.0</v>
      </c>
      <c r="L173" s="6">
        <v>1.0</v>
      </c>
      <c r="M173" s="8">
        <f t="shared" si="2"/>
        <v>2.99</v>
      </c>
      <c r="P173" s="9"/>
    </row>
    <row r="174">
      <c r="A174" s="6" t="s">
        <v>488</v>
      </c>
      <c r="B174" s="6" t="s">
        <v>489</v>
      </c>
      <c r="C174" s="6" t="s">
        <v>22</v>
      </c>
      <c r="D174" s="6" t="s">
        <v>490</v>
      </c>
      <c r="E174" s="6" t="s">
        <v>491</v>
      </c>
      <c r="F174" s="6" t="s">
        <v>492</v>
      </c>
      <c r="G174" s="7">
        <v>0.15</v>
      </c>
      <c r="H174" s="6" t="s">
        <v>398</v>
      </c>
      <c r="I174" s="6" t="s">
        <v>20</v>
      </c>
      <c r="J174" s="6">
        <v>2025.0</v>
      </c>
      <c r="K174" s="10">
        <v>46054.0</v>
      </c>
      <c r="L174" s="6">
        <v>2.0</v>
      </c>
      <c r="M174" s="8">
        <f t="shared" si="2"/>
        <v>0.3</v>
      </c>
      <c r="P174" s="9"/>
    </row>
    <row r="175">
      <c r="A175" s="6" t="s">
        <v>493</v>
      </c>
      <c r="B175" s="6" t="s">
        <v>494</v>
      </c>
      <c r="C175" s="6" t="s">
        <v>22</v>
      </c>
      <c r="D175" s="6" t="s">
        <v>495</v>
      </c>
      <c r="E175" s="6" t="s">
        <v>496</v>
      </c>
      <c r="F175" s="6" t="s">
        <v>497</v>
      </c>
      <c r="G175" s="7">
        <v>0.23</v>
      </c>
      <c r="H175" s="6" t="s">
        <v>398</v>
      </c>
      <c r="I175" s="6" t="s">
        <v>20</v>
      </c>
      <c r="J175" s="6">
        <v>2025.0</v>
      </c>
      <c r="K175" s="10">
        <v>46083.0</v>
      </c>
      <c r="L175" s="6">
        <v>4.0</v>
      </c>
      <c r="M175" s="8">
        <f t="shared" si="2"/>
        <v>0.92</v>
      </c>
      <c r="P175" s="9"/>
    </row>
    <row r="176">
      <c r="A176" s="6" t="s">
        <v>498</v>
      </c>
      <c r="B176" s="6" t="s">
        <v>499</v>
      </c>
      <c r="C176" s="6" t="s">
        <v>22</v>
      </c>
      <c r="D176" s="6" t="s">
        <v>500</v>
      </c>
      <c r="E176" s="6" t="s">
        <v>501</v>
      </c>
      <c r="F176" s="6" t="s">
        <v>502</v>
      </c>
      <c r="G176" s="7">
        <v>0.2</v>
      </c>
      <c r="H176" s="6" t="s">
        <v>391</v>
      </c>
      <c r="I176" s="6" t="s">
        <v>20</v>
      </c>
      <c r="J176" s="6">
        <v>2025.0</v>
      </c>
      <c r="K176" s="10">
        <v>46116.0</v>
      </c>
      <c r="L176" s="6">
        <v>2.0</v>
      </c>
      <c r="M176" s="8">
        <f t="shared" si="2"/>
        <v>0.4</v>
      </c>
      <c r="P176" s="9"/>
    </row>
    <row r="177">
      <c r="A177" s="6" t="s">
        <v>503</v>
      </c>
      <c r="B177" s="6" t="s">
        <v>453</v>
      </c>
      <c r="C177" s="6" t="s">
        <v>22</v>
      </c>
      <c r="D177" s="6" t="s">
        <v>504</v>
      </c>
      <c r="E177" s="6" t="s">
        <v>167</v>
      </c>
      <c r="F177" s="6" t="s">
        <v>505</v>
      </c>
      <c r="G177" s="7">
        <v>0.15</v>
      </c>
      <c r="H177" s="6" t="s">
        <v>398</v>
      </c>
      <c r="I177" s="6" t="s">
        <v>20</v>
      </c>
      <c r="J177" s="6">
        <v>2025.0</v>
      </c>
      <c r="K177" s="10">
        <v>46114.0</v>
      </c>
      <c r="L177" s="6">
        <v>6.0</v>
      </c>
      <c r="M177" s="8">
        <f t="shared" si="2"/>
        <v>0.9</v>
      </c>
      <c r="P177" s="9"/>
    </row>
    <row r="178">
      <c r="A178" s="6" t="s">
        <v>503</v>
      </c>
      <c r="B178" s="6" t="s">
        <v>453</v>
      </c>
      <c r="C178" s="6" t="s">
        <v>22</v>
      </c>
      <c r="D178" s="6" t="s">
        <v>504</v>
      </c>
      <c r="E178" s="6" t="s">
        <v>167</v>
      </c>
      <c r="F178" s="6" t="s">
        <v>505</v>
      </c>
      <c r="G178" s="7">
        <v>0.4</v>
      </c>
      <c r="H178" s="6" t="s">
        <v>398</v>
      </c>
      <c r="I178" s="6" t="s">
        <v>31</v>
      </c>
      <c r="J178" s="6">
        <v>2025.0</v>
      </c>
      <c r="K178" s="10">
        <v>46114.0</v>
      </c>
      <c r="L178" s="6">
        <v>1.0</v>
      </c>
      <c r="M178" s="8">
        <f t="shared" si="2"/>
        <v>0.4</v>
      </c>
      <c r="P178" s="9"/>
    </row>
    <row r="179">
      <c r="A179" s="6" t="s">
        <v>506</v>
      </c>
      <c r="B179" s="6" t="s">
        <v>507</v>
      </c>
      <c r="C179" s="6" t="s">
        <v>15</v>
      </c>
      <c r="D179" s="6" t="s">
        <v>508</v>
      </c>
      <c r="E179" s="6" t="s">
        <v>292</v>
      </c>
      <c r="F179" s="6" t="s">
        <v>80</v>
      </c>
      <c r="G179" s="7">
        <v>0.14</v>
      </c>
      <c r="H179" s="6" t="s">
        <v>398</v>
      </c>
      <c r="I179" s="6" t="s">
        <v>20</v>
      </c>
      <c r="J179" s="6">
        <v>2025.0</v>
      </c>
      <c r="L179" s="6">
        <v>7.0</v>
      </c>
      <c r="M179" s="8">
        <f t="shared" si="2"/>
        <v>0.98</v>
      </c>
      <c r="P179" s="9"/>
    </row>
    <row r="180">
      <c r="A180" s="6" t="s">
        <v>509</v>
      </c>
      <c r="B180" s="6" t="s">
        <v>507</v>
      </c>
      <c r="C180" s="6" t="s">
        <v>101</v>
      </c>
      <c r="D180" s="6" t="s">
        <v>510</v>
      </c>
      <c r="E180" s="6" t="s">
        <v>292</v>
      </c>
      <c r="F180" s="6" t="s">
        <v>80</v>
      </c>
      <c r="G180" s="7">
        <v>0.15</v>
      </c>
      <c r="H180" s="6" t="s">
        <v>398</v>
      </c>
      <c r="I180" s="6" t="s">
        <v>20</v>
      </c>
      <c r="J180" s="6">
        <v>2025.0</v>
      </c>
      <c r="L180" s="6">
        <v>3.0</v>
      </c>
      <c r="M180" s="8">
        <f t="shared" si="2"/>
        <v>0.45</v>
      </c>
      <c r="P180" s="9"/>
    </row>
    <row r="181">
      <c r="A181" s="6" t="s">
        <v>511</v>
      </c>
      <c r="B181" s="6" t="s">
        <v>507</v>
      </c>
      <c r="C181" s="6" t="s">
        <v>101</v>
      </c>
      <c r="D181" s="6" t="s">
        <v>512</v>
      </c>
      <c r="E181" s="6" t="s">
        <v>292</v>
      </c>
      <c r="F181" s="6" t="s">
        <v>80</v>
      </c>
      <c r="G181" s="7">
        <v>0.15</v>
      </c>
      <c r="H181" s="6" t="s">
        <v>398</v>
      </c>
      <c r="I181" s="6" t="s">
        <v>20</v>
      </c>
      <c r="J181" s="6">
        <v>2025.0</v>
      </c>
      <c r="L181" s="6">
        <v>3.0</v>
      </c>
      <c r="M181" s="8">
        <f t="shared" si="2"/>
        <v>0.45</v>
      </c>
      <c r="P181" s="9"/>
    </row>
    <row r="182">
      <c r="A182" s="6" t="s">
        <v>513</v>
      </c>
      <c r="B182" s="6" t="s">
        <v>507</v>
      </c>
      <c r="C182" s="6" t="s">
        <v>101</v>
      </c>
      <c r="D182" s="6" t="s">
        <v>514</v>
      </c>
      <c r="E182" s="6" t="s">
        <v>292</v>
      </c>
      <c r="F182" s="6" t="s">
        <v>80</v>
      </c>
      <c r="G182" s="7">
        <v>0.15</v>
      </c>
      <c r="H182" s="6" t="s">
        <v>398</v>
      </c>
      <c r="I182" s="6" t="s">
        <v>20</v>
      </c>
      <c r="J182" s="6">
        <v>2025.0</v>
      </c>
      <c r="L182" s="6">
        <v>2.0</v>
      </c>
      <c r="M182" s="8">
        <f t="shared" si="2"/>
        <v>0.3</v>
      </c>
      <c r="P182" s="9"/>
    </row>
    <row r="183">
      <c r="A183" s="6" t="s">
        <v>515</v>
      </c>
      <c r="B183" s="6" t="s">
        <v>507</v>
      </c>
      <c r="C183" s="6" t="s">
        <v>101</v>
      </c>
      <c r="D183" s="6" t="s">
        <v>516</v>
      </c>
      <c r="E183" s="6" t="s">
        <v>292</v>
      </c>
      <c r="F183" s="6" t="s">
        <v>80</v>
      </c>
      <c r="G183" s="7">
        <v>0.2</v>
      </c>
      <c r="H183" s="6" t="s">
        <v>398</v>
      </c>
      <c r="I183" s="6" t="s">
        <v>20</v>
      </c>
      <c r="J183" s="6">
        <v>2025.0</v>
      </c>
      <c r="L183" s="6">
        <v>4.0</v>
      </c>
      <c r="M183" s="8">
        <f t="shared" si="2"/>
        <v>0.8</v>
      </c>
      <c r="P183" s="9"/>
    </row>
    <row r="184">
      <c r="A184" s="6" t="s">
        <v>517</v>
      </c>
      <c r="B184" s="6" t="s">
        <v>507</v>
      </c>
      <c r="C184" s="6" t="s">
        <v>101</v>
      </c>
      <c r="D184" s="6" t="s">
        <v>518</v>
      </c>
      <c r="E184" s="6" t="s">
        <v>292</v>
      </c>
      <c r="F184" s="6" t="s">
        <v>80</v>
      </c>
      <c r="G184" s="7">
        <v>0.19</v>
      </c>
      <c r="H184" s="6" t="s">
        <v>398</v>
      </c>
      <c r="I184" s="6" t="s">
        <v>20</v>
      </c>
      <c r="J184" s="6">
        <v>2025.0</v>
      </c>
      <c r="L184" s="6">
        <v>2.0</v>
      </c>
      <c r="M184" s="8">
        <f t="shared" si="2"/>
        <v>0.38</v>
      </c>
      <c r="P184" s="9"/>
    </row>
    <row r="185">
      <c r="A185" s="6" t="s">
        <v>519</v>
      </c>
      <c r="B185" s="6" t="s">
        <v>507</v>
      </c>
      <c r="C185" s="6" t="s">
        <v>101</v>
      </c>
      <c r="D185" s="6" t="s">
        <v>520</v>
      </c>
      <c r="E185" s="6" t="s">
        <v>292</v>
      </c>
      <c r="F185" s="6" t="s">
        <v>80</v>
      </c>
      <c r="G185" s="7">
        <v>0.15</v>
      </c>
      <c r="H185" s="6" t="s">
        <v>398</v>
      </c>
      <c r="I185" s="6" t="s">
        <v>20</v>
      </c>
      <c r="J185" s="6">
        <v>2025.0</v>
      </c>
      <c r="L185" s="6">
        <v>2.0</v>
      </c>
      <c r="M185" s="8">
        <f t="shared" si="2"/>
        <v>0.3</v>
      </c>
      <c r="P185" s="9"/>
    </row>
    <row r="186">
      <c r="A186" s="6" t="s">
        <v>521</v>
      </c>
      <c r="B186" s="6" t="s">
        <v>507</v>
      </c>
      <c r="C186" s="6" t="s">
        <v>101</v>
      </c>
      <c r="D186" s="6" t="s">
        <v>522</v>
      </c>
      <c r="E186" s="6" t="s">
        <v>292</v>
      </c>
      <c r="F186" s="6" t="s">
        <v>80</v>
      </c>
      <c r="G186" s="7">
        <v>0.2</v>
      </c>
      <c r="H186" s="6" t="s">
        <v>398</v>
      </c>
      <c r="I186" s="6" t="s">
        <v>20</v>
      </c>
      <c r="J186" s="6">
        <v>2025.0</v>
      </c>
      <c r="L186" s="6">
        <v>3.0</v>
      </c>
      <c r="M186" s="8">
        <f t="shared" si="2"/>
        <v>0.6</v>
      </c>
      <c r="P186" s="9"/>
    </row>
    <row r="187">
      <c r="A187" s="6" t="s">
        <v>523</v>
      </c>
      <c r="B187" s="6" t="s">
        <v>507</v>
      </c>
      <c r="C187" s="6" t="s">
        <v>101</v>
      </c>
      <c r="D187" s="6" t="s">
        <v>524</v>
      </c>
      <c r="E187" s="6" t="s">
        <v>292</v>
      </c>
      <c r="F187" s="6" t="s">
        <v>80</v>
      </c>
      <c r="G187" s="7">
        <v>0.18</v>
      </c>
      <c r="H187" s="6" t="s">
        <v>398</v>
      </c>
      <c r="I187" s="6" t="s">
        <v>20</v>
      </c>
      <c r="J187" s="6">
        <v>2025.0</v>
      </c>
      <c r="L187" s="6">
        <v>3.0</v>
      </c>
      <c r="M187" s="8">
        <f t="shared" si="2"/>
        <v>0.54</v>
      </c>
      <c r="P187" s="9"/>
    </row>
    <row r="188">
      <c r="A188" s="6" t="s">
        <v>525</v>
      </c>
      <c r="B188" s="6" t="s">
        <v>507</v>
      </c>
      <c r="C188" s="6" t="s">
        <v>101</v>
      </c>
      <c r="D188" s="6" t="s">
        <v>526</v>
      </c>
      <c r="E188" s="6" t="s">
        <v>292</v>
      </c>
      <c r="F188" s="6" t="s">
        <v>80</v>
      </c>
      <c r="G188" s="7">
        <v>0.2</v>
      </c>
      <c r="H188" s="6" t="s">
        <v>398</v>
      </c>
      <c r="I188" s="6" t="s">
        <v>20</v>
      </c>
      <c r="J188" s="6">
        <v>2025.0</v>
      </c>
      <c r="L188" s="6">
        <v>3.0</v>
      </c>
      <c r="M188" s="8">
        <f t="shared" si="2"/>
        <v>0.6</v>
      </c>
      <c r="P188" s="9"/>
    </row>
    <row r="189">
      <c r="A189" s="6" t="s">
        <v>527</v>
      </c>
      <c r="B189" s="6" t="s">
        <v>507</v>
      </c>
      <c r="C189" s="6" t="s">
        <v>15</v>
      </c>
      <c r="D189" s="6" t="s">
        <v>528</v>
      </c>
      <c r="E189" s="6" t="s">
        <v>292</v>
      </c>
      <c r="F189" s="6" t="s">
        <v>80</v>
      </c>
      <c r="G189" s="7">
        <v>0.25</v>
      </c>
      <c r="H189" s="6" t="s">
        <v>398</v>
      </c>
      <c r="I189" s="6" t="s">
        <v>20</v>
      </c>
      <c r="J189" s="6">
        <v>2025.0</v>
      </c>
      <c r="L189" s="6">
        <v>5.0</v>
      </c>
      <c r="M189" s="8">
        <f t="shared" si="2"/>
        <v>1.25</v>
      </c>
      <c r="P189" s="9"/>
    </row>
    <row r="190">
      <c r="A190" s="6" t="s">
        <v>529</v>
      </c>
      <c r="B190" s="6" t="s">
        <v>507</v>
      </c>
      <c r="C190" s="6" t="s">
        <v>101</v>
      </c>
      <c r="D190" s="6" t="s">
        <v>530</v>
      </c>
      <c r="E190" s="6" t="s">
        <v>292</v>
      </c>
      <c r="F190" s="6" t="s">
        <v>80</v>
      </c>
      <c r="G190" s="7">
        <v>0.15</v>
      </c>
      <c r="H190" s="6" t="s">
        <v>398</v>
      </c>
      <c r="I190" s="6" t="s">
        <v>20</v>
      </c>
      <c r="J190" s="6">
        <v>2025.0</v>
      </c>
      <c r="L190" s="6">
        <v>3.0</v>
      </c>
      <c r="M190" s="8">
        <f t="shared" si="2"/>
        <v>0.45</v>
      </c>
      <c r="P190" s="9"/>
    </row>
    <row r="191">
      <c r="A191" s="6" t="s">
        <v>531</v>
      </c>
      <c r="B191" s="6" t="s">
        <v>507</v>
      </c>
      <c r="C191" s="6" t="s">
        <v>22</v>
      </c>
      <c r="D191" s="6" t="s">
        <v>532</v>
      </c>
      <c r="E191" s="6" t="s">
        <v>292</v>
      </c>
      <c r="F191" s="6" t="s">
        <v>80</v>
      </c>
      <c r="G191" s="7">
        <v>0.25</v>
      </c>
      <c r="H191" s="6" t="s">
        <v>398</v>
      </c>
      <c r="I191" s="6" t="s">
        <v>20</v>
      </c>
      <c r="J191" s="6">
        <v>2025.0</v>
      </c>
      <c r="L191" s="6">
        <v>2.0</v>
      </c>
      <c r="M191" s="8">
        <f t="shared" si="2"/>
        <v>0.5</v>
      </c>
      <c r="P191" s="9"/>
    </row>
    <row r="192">
      <c r="A192" s="6" t="s">
        <v>533</v>
      </c>
      <c r="B192" s="6" t="s">
        <v>507</v>
      </c>
      <c r="C192" s="6" t="s">
        <v>22</v>
      </c>
      <c r="D192" s="6" t="s">
        <v>534</v>
      </c>
      <c r="E192" s="6" t="s">
        <v>292</v>
      </c>
      <c r="F192" s="6" t="s">
        <v>80</v>
      </c>
      <c r="G192" s="7">
        <v>0.5</v>
      </c>
      <c r="H192" s="6" t="s">
        <v>398</v>
      </c>
      <c r="I192" s="6" t="s">
        <v>20</v>
      </c>
      <c r="J192" s="6">
        <v>2025.0</v>
      </c>
      <c r="L192" s="6">
        <v>3.0</v>
      </c>
      <c r="M192" s="8">
        <f t="shared" si="2"/>
        <v>1.5</v>
      </c>
      <c r="P192" s="9"/>
    </row>
    <row r="193">
      <c r="A193" s="6" t="s">
        <v>535</v>
      </c>
      <c r="B193" s="6" t="s">
        <v>82</v>
      </c>
      <c r="C193" s="6" t="s">
        <v>22</v>
      </c>
      <c r="D193" s="6" t="s">
        <v>536</v>
      </c>
      <c r="E193" s="6">
        <v>3.0</v>
      </c>
      <c r="F193" s="6" t="s">
        <v>80</v>
      </c>
      <c r="G193" s="7">
        <v>0.85</v>
      </c>
      <c r="H193" s="6" t="s">
        <v>398</v>
      </c>
      <c r="I193" s="6" t="s">
        <v>20</v>
      </c>
      <c r="J193" s="6">
        <v>2025.0</v>
      </c>
      <c r="L193" s="6">
        <v>1.0</v>
      </c>
      <c r="M193" s="8">
        <f t="shared" si="2"/>
        <v>0.85</v>
      </c>
      <c r="P193" s="9"/>
    </row>
    <row r="194">
      <c r="A194" s="6" t="s">
        <v>537</v>
      </c>
      <c r="B194" s="6" t="s">
        <v>538</v>
      </c>
      <c r="C194" s="6" t="s">
        <v>101</v>
      </c>
      <c r="D194" s="6" t="s">
        <v>539</v>
      </c>
      <c r="E194" s="6">
        <v>5.0</v>
      </c>
      <c r="F194" s="6" t="s">
        <v>80</v>
      </c>
      <c r="G194" s="7">
        <v>4.34</v>
      </c>
      <c r="H194" s="6" t="s">
        <v>398</v>
      </c>
      <c r="I194" s="6" t="s">
        <v>20</v>
      </c>
      <c r="J194" s="6">
        <v>2025.0</v>
      </c>
      <c r="K194" s="10">
        <v>46116.0</v>
      </c>
      <c r="L194" s="6">
        <v>1.0</v>
      </c>
      <c r="M194" s="8">
        <f t="shared" si="2"/>
        <v>4.34</v>
      </c>
      <c r="P194" s="9"/>
    </row>
    <row r="195">
      <c r="A195" s="6" t="s">
        <v>540</v>
      </c>
      <c r="B195" s="6" t="s">
        <v>148</v>
      </c>
      <c r="C195" s="6" t="s">
        <v>101</v>
      </c>
      <c r="D195" s="6" t="s">
        <v>541</v>
      </c>
      <c r="E195" s="6">
        <v>3.0</v>
      </c>
      <c r="F195" s="6" t="s">
        <v>80</v>
      </c>
      <c r="G195" s="7">
        <v>2.82</v>
      </c>
      <c r="H195" s="6" t="s">
        <v>398</v>
      </c>
      <c r="I195" s="6" t="s">
        <v>20</v>
      </c>
      <c r="J195" s="6">
        <v>2025.0</v>
      </c>
      <c r="L195" s="6">
        <v>1.0</v>
      </c>
      <c r="M195" s="8">
        <f t="shared" si="2"/>
        <v>2.82</v>
      </c>
      <c r="P195" s="9"/>
    </row>
    <row r="196">
      <c r="A196" s="6" t="s">
        <v>542</v>
      </c>
      <c r="B196" s="6" t="s">
        <v>543</v>
      </c>
      <c r="C196" s="6" t="s">
        <v>101</v>
      </c>
      <c r="D196" s="6" t="s">
        <v>544</v>
      </c>
      <c r="E196" s="6">
        <v>4.0</v>
      </c>
      <c r="F196" s="6" t="s">
        <v>80</v>
      </c>
      <c r="G196" s="7">
        <v>4.95</v>
      </c>
      <c r="H196" s="6" t="s">
        <v>398</v>
      </c>
      <c r="I196" s="6" t="s">
        <v>20</v>
      </c>
      <c r="J196" s="6">
        <v>2025.0</v>
      </c>
      <c r="K196" s="10">
        <v>46116.0</v>
      </c>
      <c r="L196" s="6">
        <v>1.0</v>
      </c>
      <c r="M196" s="8">
        <f t="shared" si="2"/>
        <v>4.95</v>
      </c>
      <c r="P196" s="9"/>
    </row>
    <row r="197">
      <c r="A197" s="6" t="s">
        <v>545</v>
      </c>
      <c r="B197" s="6" t="s">
        <v>546</v>
      </c>
      <c r="C197" s="6" t="s">
        <v>15</v>
      </c>
      <c r="D197" s="6" t="s">
        <v>547</v>
      </c>
      <c r="E197" s="6">
        <v>7.0</v>
      </c>
      <c r="F197" s="6" t="s">
        <v>80</v>
      </c>
      <c r="G197" s="7">
        <v>0.05</v>
      </c>
      <c r="H197" s="6" t="s">
        <v>548</v>
      </c>
      <c r="I197" s="6" t="s">
        <v>20</v>
      </c>
      <c r="J197" s="6">
        <v>2025.0</v>
      </c>
      <c r="K197" s="10">
        <v>46179.0</v>
      </c>
      <c r="L197" s="6">
        <v>7.0</v>
      </c>
      <c r="M197" s="8">
        <f t="shared" si="2"/>
        <v>0.35</v>
      </c>
      <c r="P197" s="9"/>
    </row>
    <row r="198">
      <c r="A198" s="6" t="s">
        <v>549</v>
      </c>
      <c r="B198" s="6" t="s">
        <v>550</v>
      </c>
      <c r="C198" s="6" t="s">
        <v>22</v>
      </c>
      <c r="D198" s="6" t="s">
        <v>551</v>
      </c>
      <c r="E198" s="6" t="s">
        <v>552</v>
      </c>
      <c r="F198" s="6" t="s">
        <v>277</v>
      </c>
      <c r="G198" s="7">
        <v>0.25</v>
      </c>
      <c r="H198" s="6" t="s">
        <v>398</v>
      </c>
      <c r="I198" s="6" t="s">
        <v>20</v>
      </c>
      <c r="J198" s="6">
        <v>2025.0</v>
      </c>
      <c r="K198" s="10">
        <v>46084.0</v>
      </c>
      <c r="L198" s="6">
        <v>1.0</v>
      </c>
      <c r="M198" s="8">
        <f t="shared" si="2"/>
        <v>0.25</v>
      </c>
      <c r="P198" s="9"/>
    </row>
    <row r="199">
      <c r="A199" s="6" t="s">
        <v>553</v>
      </c>
      <c r="B199" s="6" t="s">
        <v>554</v>
      </c>
      <c r="C199" s="6" t="s">
        <v>15</v>
      </c>
      <c r="D199" s="6" t="s">
        <v>555</v>
      </c>
      <c r="E199" s="6">
        <v>1.0</v>
      </c>
      <c r="F199" s="6" t="s">
        <v>80</v>
      </c>
      <c r="G199" s="7">
        <v>0.05</v>
      </c>
      <c r="H199" s="6" t="s">
        <v>556</v>
      </c>
      <c r="I199" s="6" t="s">
        <v>20</v>
      </c>
      <c r="J199" s="6">
        <v>2025.0</v>
      </c>
      <c r="L199" s="6">
        <v>8.0</v>
      </c>
      <c r="M199" s="8">
        <f t="shared" si="2"/>
        <v>0.4</v>
      </c>
      <c r="P199" s="9"/>
    </row>
    <row r="200">
      <c r="A200" s="6" t="s">
        <v>553</v>
      </c>
      <c r="B200" s="6" t="s">
        <v>554</v>
      </c>
      <c r="C200" s="6" t="s">
        <v>15</v>
      </c>
      <c r="D200" s="6" t="s">
        <v>555</v>
      </c>
      <c r="E200" s="6">
        <v>1.0</v>
      </c>
      <c r="F200" s="6" t="s">
        <v>80</v>
      </c>
      <c r="G200" s="7">
        <v>1.0</v>
      </c>
      <c r="H200" s="6" t="s">
        <v>556</v>
      </c>
      <c r="I200" s="6" t="s">
        <v>31</v>
      </c>
      <c r="J200" s="6">
        <v>2025.0</v>
      </c>
      <c r="L200" s="6">
        <v>2.0</v>
      </c>
      <c r="M200" s="8">
        <f t="shared" si="2"/>
        <v>2</v>
      </c>
      <c r="P200" s="9"/>
    </row>
    <row r="201">
      <c r="A201" s="6" t="s">
        <v>557</v>
      </c>
      <c r="B201" s="6" t="s">
        <v>554</v>
      </c>
      <c r="C201" s="6" t="s">
        <v>22</v>
      </c>
      <c r="D201" s="6" t="s">
        <v>558</v>
      </c>
      <c r="E201" s="6">
        <v>1.0</v>
      </c>
      <c r="F201" s="6" t="s">
        <v>80</v>
      </c>
      <c r="G201" s="7">
        <v>0.25</v>
      </c>
      <c r="H201" s="6" t="s">
        <v>464</v>
      </c>
      <c r="I201" s="6" t="s">
        <v>20</v>
      </c>
      <c r="J201" s="6">
        <v>2025.0</v>
      </c>
      <c r="L201" s="6">
        <v>1.0</v>
      </c>
      <c r="M201" s="8">
        <f t="shared" si="2"/>
        <v>0.25</v>
      </c>
      <c r="P201" s="9"/>
    </row>
    <row r="202">
      <c r="A202" s="6" t="s">
        <v>557</v>
      </c>
      <c r="B202" s="6" t="s">
        <v>554</v>
      </c>
      <c r="C202" s="6" t="s">
        <v>22</v>
      </c>
      <c r="D202" s="6" t="s">
        <v>558</v>
      </c>
      <c r="E202" s="6">
        <v>1.0</v>
      </c>
      <c r="F202" s="6" t="s">
        <v>80</v>
      </c>
      <c r="G202" s="7">
        <v>0.24</v>
      </c>
      <c r="H202" s="6" t="s">
        <v>464</v>
      </c>
      <c r="I202" s="6" t="s">
        <v>31</v>
      </c>
      <c r="J202" s="6">
        <v>2025.0</v>
      </c>
      <c r="L202" s="6">
        <v>1.0</v>
      </c>
      <c r="M202" s="8">
        <f t="shared" si="2"/>
        <v>0.24</v>
      </c>
      <c r="P202" s="9"/>
    </row>
    <row r="203">
      <c r="A203" s="6" t="s">
        <v>559</v>
      </c>
      <c r="B203" s="6" t="s">
        <v>404</v>
      </c>
      <c r="C203" s="6" t="s">
        <v>22</v>
      </c>
      <c r="D203" s="6" t="s">
        <v>560</v>
      </c>
      <c r="E203" s="6">
        <v>4.0</v>
      </c>
      <c r="F203" s="6" t="s">
        <v>80</v>
      </c>
      <c r="G203" s="7">
        <v>0.15</v>
      </c>
      <c r="H203" s="6" t="s">
        <v>398</v>
      </c>
      <c r="I203" s="6" t="s">
        <v>20</v>
      </c>
      <c r="J203" s="6">
        <v>2025.0</v>
      </c>
      <c r="L203" s="6">
        <v>1.0</v>
      </c>
      <c r="M203" s="8">
        <f t="shared" si="2"/>
        <v>0.15</v>
      </c>
      <c r="P203" s="9"/>
    </row>
    <row r="204">
      <c r="A204" s="6" t="s">
        <v>561</v>
      </c>
      <c r="B204" s="6" t="s">
        <v>562</v>
      </c>
      <c r="C204" s="6" t="s">
        <v>22</v>
      </c>
      <c r="D204" s="6" t="s">
        <v>563</v>
      </c>
      <c r="E204" s="6">
        <v>2.0</v>
      </c>
      <c r="F204" s="6" t="s">
        <v>80</v>
      </c>
      <c r="G204" s="7">
        <v>0.23</v>
      </c>
      <c r="H204" s="6" t="s">
        <v>398</v>
      </c>
      <c r="I204" s="6" t="s">
        <v>20</v>
      </c>
      <c r="J204" s="6">
        <v>2025.0</v>
      </c>
      <c r="K204" s="6" t="s">
        <v>564</v>
      </c>
      <c r="L204" s="6">
        <v>1.0</v>
      </c>
      <c r="M204" s="8">
        <f t="shared" si="2"/>
        <v>0.23</v>
      </c>
      <c r="P204" s="9"/>
    </row>
    <row r="205">
      <c r="A205" s="6" t="s">
        <v>565</v>
      </c>
      <c r="B205" s="6" t="s">
        <v>566</v>
      </c>
      <c r="C205" s="6" t="s">
        <v>22</v>
      </c>
      <c r="D205" s="6" t="s">
        <v>567</v>
      </c>
      <c r="E205" s="6">
        <v>4.0</v>
      </c>
      <c r="F205" s="6" t="s">
        <v>80</v>
      </c>
      <c r="G205" s="7">
        <v>0.25</v>
      </c>
      <c r="H205" s="6" t="s">
        <v>398</v>
      </c>
      <c r="I205" s="6" t="s">
        <v>20</v>
      </c>
      <c r="J205" s="6">
        <v>2025.0</v>
      </c>
      <c r="L205" s="6">
        <v>1.0</v>
      </c>
      <c r="M205" s="8">
        <f t="shared" si="2"/>
        <v>0.25</v>
      </c>
      <c r="P205" s="9"/>
    </row>
    <row r="206">
      <c r="A206" s="6" t="s">
        <v>565</v>
      </c>
      <c r="B206" s="6" t="s">
        <v>566</v>
      </c>
      <c r="C206" s="6" t="s">
        <v>22</v>
      </c>
      <c r="D206" s="6" t="s">
        <v>567</v>
      </c>
      <c r="E206" s="6">
        <v>4.0</v>
      </c>
      <c r="F206" s="6" t="s">
        <v>80</v>
      </c>
      <c r="G206" s="7">
        <v>0.89</v>
      </c>
      <c r="H206" s="6" t="s">
        <v>398</v>
      </c>
      <c r="I206" s="6" t="s">
        <v>31</v>
      </c>
      <c r="J206" s="6">
        <v>2025.0</v>
      </c>
      <c r="L206" s="6">
        <v>1.0</v>
      </c>
      <c r="M206" s="8">
        <f t="shared" si="2"/>
        <v>0.89</v>
      </c>
      <c r="P206" s="9"/>
    </row>
    <row r="207">
      <c r="A207" s="6" t="s">
        <v>568</v>
      </c>
      <c r="B207" s="6" t="s">
        <v>569</v>
      </c>
      <c r="C207" s="6" t="s">
        <v>15</v>
      </c>
      <c r="D207" s="6" t="s">
        <v>570</v>
      </c>
      <c r="E207" s="6">
        <v>3.0</v>
      </c>
      <c r="F207" s="6" t="s">
        <v>80</v>
      </c>
      <c r="G207" s="7">
        <v>0.05</v>
      </c>
      <c r="H207" s="6" t="s">
        <v>398</v>
      </c>
      <c r="I207" s="6" t="s">
        <v>20</v>
      </c>
      <c r="J207" s="6">
        <v>2025.0</v>
      </c>
      <c r="K207" s="10">
        <v>46056.0</v>
      </c>
      <c r="L207" s="6">
        <v>7.0</v>
      </c>
      <c r="M207" s="8">
        <f t="shared" si="2"/>
        <v>0.35</v>
      </c>
      <c r="P207" s="9"/>
    </row>
    <row r="208">
      <c r="A208" s="6" t="s">
        <v>571</v>
      </c>
      <c r="B208" s="6" t="s">
        <v>572</v>
      </c>
      <c r="C208" s="6" t="s">
        <v>15</v>
      </c>
      <c r="D208" s="6" t="s">
        <v>573</v>
      </c>
      <c r="E208" s="6">
        <v>3.0</v>
      </c>
      <c r="F208" s="6" t="s">
        <v>80</v>
      </c>
      <c r="G208" s="7">
        <v>0.03</v>
      </c>
      <c r="H208" s="6" t="s">
        <v>398</v>
      </c>
      <c r="I208" s="6" t="s">
        <v>20</v>
      </c>
      <c r="J208" s="6">
        <v>2025.0</v>
      </c>
      <c r="K208" s="10">
        <v>46113.0</v>
      </c>
      <c r="L208" s="6">
        <v>10.0</v>
      </c>
      <c r="M208" s="8">
        <f t="shared" si="2"/>
        <v>0.3</v>
      </c>
      <c r="P208" s="9"/>
    </row>
    <row r="209">
      <c r="A209" s="6" t="s">
        <v>574</v>
      </c>
      <c r="B209" s="6" t="s">
        <v>575</v>
      </c>
      <c r="C209" s="6" t="s">
        <v>15</v>
      </c>
      <c r="D209" s="6" t="s">
        <v>576</v>
      </c>
      <c r="E209" s="6">
        <v>2.0</v>
      </c>
      <c r="F209" s="6" t="s">
        <v>80</v>
      </c>
      <c r="G209" s="7">
        <v>0.15</v>
      </c>
      <c r="H209" s="6" t="s">
        <v>398</v>
      </c>
      <c r="I209" s="6" t="s">
        <v>20</v>
      </c>
      <c r="J209" s="6">
        <v>2025.0</v>
      </c>
      <c r="L209" s="6">
        <v>11.0</v>
      </c>
      <c r="M209" s="8">
        <f t="shared" si="2"/>
        <v>1.65</v>
      </c>
      <c r="P209" s="9"/>
    </row>
    <row r="210">
      <c r="A210" s="6" t="s">
        <v>577</v>
      </c>
      <c r="B210" s="6" t="s">
        <v>566</v>
      </c>
      <c r="C210" s="6" t="s">
        <v>15</v>
      </c>
      <c r="D210" s="6" t="s">
        <v>578</v>
      </c>
      <c r="E210" s="6">
        <v>1.0</v>
      </c>
      <c r="F210" s="6" t="s">
        <v>80</v>
      </c>
      <c r="G210" s="7">
        <v>0.1</v>
      </c>
      <c r="H210" s="6" t="s">
        <v>398</v>
      </c>
      <c r="I210" s="6" t="s">
        <v>20</v>
      </c>
      <c r="J210" s="6">
        <v>2025.0</v>
      </c>
      <c r="L210" s="6">
        <v>12.0</v>
      </c>
      <c r="M210" s="8">
        <f t="shared" si="2"/>
        <v>1.2</v>
      </c>
      <c r="P210" s="9"/>
    </row>
    <row r="211">
      <c r="A211" s="6" t="s">
        <v>577</v>
      </c>
      <c r="B211" s="6" t="s">
        <v>566</v>
      </c>
      <c r="C211" s="6" t="s">
        <v>15</v>
      </c>
      <c r="D211" s="6" t="s">
        <v>578</v>
      </c>
      <c r="E211" s="6">
        <v>1.0</v>
      </c>
      <c r="F211" s="6" t="s">
        <v>80</v>
      </c>
      <c r="G211" s="7">
        <v>0.4</v>
      </c>
      <c r="H211" s="6" t="s">
        <v>398</v>
      </c>
      <c r="I211" s="6" t="s">
        <v>31</v>
      </c>
      <c r="J211" s="6">
        <v>2025.0</v>
      </c>
      <c r="L211" s="6">
        <v>8.0</v>
      </c>
      <c r="M211" s="8">
        <f t="shared" si="2"/>
        <v>3.2</v>
      </c>
      <c r="P211" s="9"/>
    </row>
    <row r="212">
      <c r="A212" s="6" t="s">
        <v>579</v>
      </c>
      <c r="B212" s="6" t="s">
        <v>580</v>
      </c>
      <c r="C212" s="6" t="s">
        <v>22</v>
      </c>
      <c r="D212" s="6" t="s">
        <v>581</v>
      </c>
      <c r="E212" s="6">
        <v>6.0</v>
      </c>
      <c r="F212" s="6" t="s">
        <v>80</v>
      </c>
      <c r="G212" s="7">
        <v>0.4</v>
      </c>
      <c r="H212" s="6" t="s">
        <v>398</v>
      </c>
      <c r="I212" s="6" t="s">
        <v>31</v>
      </c>
      <c r="J212" s="6">
        <v>2025.0</v>
      </c>
      <c r="K212" s="10">
        <v>46148.0</v>
      </c>
      <c r="L212" s="6">
        <v>1.0</v>
      </c>
      <c r="M212" s="8">
        <f t="shared" si="2"/>
        <v>0.4</v>
      </c>
      <c r="P212" s="9"/>
    </row>
    <row r="213">
      <c r="A213" s="6" t="s">
        <v>579</v>
      </c>
      <c r="B213" s="6" t="s">
        <v>580</v>
      </c>
      <c r="C213" s="6" t="s">
        <v>22</v>
      </c>
      <c r="D213" s="6" t="s">
        <v>581</v>
      </c>
      <c r="E213" s="6">
        <v>6.0</v>
      </c>
      <c r="F213" s="6" t="s">
        <v>80</v>
      </c>
      <c r="G213" s="7">
        <v>0.18</v>
      </c>
      <c r="H213" s="6" t="s">
        <v>398</v>
      </c>
      <c r="I213" s="6" t="s">
        <v>20</v>
      </c>
      <c r="J213" s="6">
        <v>2025.0</v>
      </c>
      <c r="K213" s="10">
        <v>46148.0</v>
      </c>
      <c r="L213" s="6">
        <v>1.0</v>
      </c>
      <c r="M213" s="8">
        <f t="shared" si="2"/>
        <v>0.18</v>
      </c>
      <c r="P213" s="9"/>
    </row>
    <row r="214">
      <c r="A214" s="6" t="s">
        <v>582</v>
      </c>
      <c r="B214" s="6" t="s">
        <v>82</v>
      </c>
      <c r="C214" s="6" t="s">
        <v>15</v>
      </c>
      <c r="D214" s="6" t="s">
        <v>583</v>
      </c>
      <c r="E214" s="6">
        <v>3.0</v>
      </c>
      <c r="F214" s="6" t="s">
        <v>80</v>
      </c>
      <c r="G214" s="7">
        <v>0.14</v>
      </c>
      <c r="H214" s="6" t="s">
        <v>398</v>
      </c>
      <c r="I214" s="6" t="s">
        <v>20</v>
      </c>
      <c r="J214" s="6">
        <v>2025.0</v>
      </c>
      <c r="L214" s="6">
        <v>5.0</v>
      </c>
      <c r="M214" s="8">
        <f t="shared" si="2"/>
        <v>0.7</v>
      </c>
      <c r="P214" s="9"/>
    </row>
    <row r="215">
      <c r="A215" s="6" t="s">
        <v>584</v>
      </c>
      <c r="B215" s="6" t="s">
        <v>404</v>
      </c>
      <c r="C215" s="6" t="s">
        <v>15</v>
      </c>
      <c r="D215" s="6" t="s">
        <v>585</v>
      </c>
      <c r="E215" s="6">
        <v>2.0</v>
      </c>
      <c r="F215" s="6" t="s">
        <v>80</v>
      </c>
      <c r="G215" s="7">
        <v>0.04</v>
      </c>
      <c r="H215" s="6" t="s">
        <v>398</v>
      </c>
      <c r="I215" s="6" t="s">
        <v>20</v>
      </c>
      <c r="J215" s="6">
        <v>2025.0</v>
      </c>
      <c r="L215" s="6">
        <v>7.0</v>
      </c>
      <c r="M215" s="8">
        <f t="shared" si="2"/>
        <v>0.28</v>
      </c>
      <c r="P215" s="9"/>
    </row>
    <row r="216">
      <c r="A216" s="6" t="s">
        <v>584</v>
      </c>
      <c r="B216" s="6" t="s">
        <v>404</v>
      </c>
      <c r="C216" s="6" t="s">
        <v>15</v>
      </c>
      <c r="D216" s="6" t="s">
        <v>585</v>
      </c>
      <c r="E216" s="6">
        <v>2.0</v>
      </c>
      <c r="F216" s="6" t="s">
        <v>80</v>
      </c>
      <c r="G216" s="7">
        <v>0.3</v>
      </c>
      <c r="H216" s="6" t="s">
        <v>398</v>
      </c>
      <c r="I216" s="6" t="s">
        <v>31</v>
      </c>
      <c r="J216" s="6">
        <v>2025.0</v>
      </c>
      <c r="L216" s="6">
        <v>1.0</v>
      </c>
      <c r="M216" s="8">
        <f t="shared" si="2"/>
        <v>0.3</v>
      </c>
      <c r="P216" s="9"/>
    </row>
    <row r="217">
      <c r="A217" s="6" t="s">
        <v>586</v>
      </c>
      <c r="B217" s="6" t="s">
        <v>587</v>
      </c>
      <c r="C217" s="6" t="s">
        <v>22</v>
      </c>
      <c r="D217" s="6" t="s">
        <v>588</v>
      </c>
      <c r="E217" s="6" t="s">
        <v>589</v>
      </c>
      <c r="F217" s="6" t="s">
        <v>277</v>
      </c>
      <c r="G217" s="7">
        <v>0.21</v>
      </c>
      <c r="H217" s="6" t="s">
        <v>398</v>
      </c>
      <c r="I217" s="6" t="s">
        <v>20</v>
      </c>
      <c r="J217" s="6">
        <v>2025.0</v>
      </c>
      <c r="K217" s="10">
        <v>46024.0</v>
      </c>
      <c r="L217" s="6">
        <v>2.0</v>
      </c>
      <c r="M217" s="8">
        <f t="shared" si="2"/>
        <v>0.42</v>
      </c>
      <c r="P217" s="9"/>
    </row>
    <row r="218">
      <c r="A218" s="6" t="s">
        <v>590</v>
      </c>
      <c r="B218" s="6" t="s">
        <v>591</v>
      </c>
      <c r="C218" s="6" t="s">
        <v>15</v>
      </c>
      <c r="D218" s="6" t="s">
        <v>592</v>
      </c>
      <c r="E218" s="6" t="s">
        <v>282</v>
      </c>
      <c r="F218" s="6" t="s">
        <v>593</v>
      </c>
      <c r="G218" s="7">
        <v>0.05</v>
      </c>
      <c r="H218" s="6" t="s">
        <v>387</v>
      </c>
      <c r="I218" s="6" t="s">
        <v>20</v>
      </c>
      <c r="J218" s="6">
        <v>2025.0</v>
      </c>
      <c r="K218" s="10">
        <v>46083.0</v>
      </c>
      <c r="L218" s="6">
        <v>13.0</v>
      </c>
      <c r="M218" s="8">
        <f t="shared" si="2"/>
        <v>0.65</v>
      </c>
      <c r="P218" s="9"/>
    </row>
    <row r="219">
      <c r="A219" s="6" t="s">
        <v>590</v>
      </c>
      <c r="B219" s="6" t="s">
        <v>591</v>
      </c>
      <c r="C219" s="6" t="s">
        <v>15</v>
      </c>
      <c r="D219" s="6" t="s">
        <v>592</v>
      </c>
      <c r="E219" s="6" t="s">
        <v>282</v>
      </c>
      <c r="F219" s="6" t="s">
        <v>593</v>
      </c>
      <c r="G219" s="7">
        <v>0.05</v>
      </c>
      <c r="H219" s="6" t="s">
        <v>387</v>
      </c>
      <c r="I219" s="6" t="s">
        <v>31</v>
      </c>
      <c r="J219" s="6">
        <v>2025.0</v>
      </c>
      <c r="K219" s="10">
        <v>46083.0</v>
      </c>
      <c r="L219" s="6">
        <v>1.0</v>
      </c>
      <c r="M219" s="8">
        <f t="shared" si="2"/>
        <v>0.05</v>
      </c>
      <c r="P219" s="9"/>
    </row>
    <row r="220">
      <c r="A220" s="6" t="s">
        <v>594</v>
      </c>
      <c r="B220" s="6" t="s">
        <v>595</v>
      </c>
      <c r="C220" s="6" t="s">
        <v>22</v>
      </c>
      <c r="D220" s="6" t="s">
        <v>596</v>
      </c>
      <c r="E220" s="6" t="s">
        <v>597</v>
      </c>
      <c r="F220" s="6" t="s">
        <v>593</v>
      </c>
      <c r="G220" s="7">
        <v>0.25</v>
      </c>
      <c r="H220" s="6" t="s">
        <v>598</v>
      </c>
      <c r="I220" s="6" t="s">
        <v>20</v>
      </c>
      <c r="J220" s="6">
        <v>2025.0</v>
      </c>
      <c r="K220" s="10">
        <v>46056.0</v>
      </c>
      <c r="L220" s="6">
        <v>2.0</v>
      </c>
      <c r="M220" s="8">
        <f t="shared" si="2"/>
        <v>0.5</v>
      </c>
      <c r="P220" s="9"/>
    </row>
    <row r="221">
      <c r="A221" s="6" t="s">
        <v>599</v>
      </c>
      <c r="B221" s="6" t="s">
        <v>385</v>
      </c>
      <c r="C221" s="6" t="s">
        <v>15</v>
      </c>
      <c r="D221" s="6" t="s">
        <v>600</v>
      </c>
      <c r="E221" s="6" t="s">
        <v>589</v>
      </c>
      <c r="F221" s="6" t="s">
        <v>593</v>
      </c>
      <c r="G221" s="7">
        <v>0.1</v>
      </c>
      <c r="H221" s="6" t="s">
        <v>387</v>
      </c>
      <c r="I221" s="6" t="s">
        <v>20</v>
      </c>
      <c r="J221" s="6">
        <v>2025.0</v>
      </c>
      <c r="L221" s="6">
        <v>3.0</v>
      </c>
      <c r="M221" s="8">
        <f t="shared" si="2"/>
        <v>0.3</v>
      </c>
      <c r="P221" s="9"/>
    </row>
    <row r="222">
      <c r="A222" s="6" t="s">
        <v>601</v>
      </c>
      <c r="B222" s="6" t="s">
        <v>385</v>
      </c>
      <c r="C222" s="6" t="s">
        <v>15</v>
      </c>
      <c r="D222" s="6" t="s">
        <v>602</v>
      </c>
      <c r="E222" s="6" t="s">
        <v>603</v>
      </c>
      <c r="F222" s="6" t="s">
        <v>593</v>
      </c>
      <c r="G222" s="7">
        <v>0.9</v>
      </c>
      <c r="H222" s="6" t="s">
        <v>604</v>
      </c>
      <c r="I222" s="6" t="s">
        <v>31</v>
      </c>
      <c r="J222" s="6">
        <v>2025.0</v>
      </c>
      <c r="L222" s="6">
        <v>1.0</v>
      </c>
      <c r="M222" s="8">
        <f t="shared" si="2"/>
        <v>0.9</v>
      </c>
      <c r="P222" s="9"/>
    </row>
    <row r="223">
      <c r="A223" s="6" t="s">
        <v>601</v>
      </c>
      <c r="B223" s="6" t="s">
        <v>385</v>
      </c>
      <c r="C223" s="6" t="s">
        <v>15</v>
      </c>
      <c r="D223" s="6" t="s">
        <v>602</v>
      </c>
      <c r="E223" s="6" t="s">
        <v>603</v>
      </c>
      <c r="F223" s="6" t="s">
        <v>593</v>
      </c>
      <c r="G223" s="7">
        <v>0.2</v>
      </c>
      <c r="H223" s="6" t="s">
        <v>604</v>
      </c>
      <c r="I223" s="6" t="s">
        <v>20</v>
      </c>
      <c r="J223" s="6">
        <v>2025.0</v>
      </c>
      <c r="L223" s="6">
        <v>14.0</v>
      </c>
      <c r="M223" s="8">
        <f t="shared" si="2"/>
        <v>2.8</v>
      </c>
      <c r="P223" s="9"/>
    </row>
    <row r="224">
      <c r="A224" s="6" t="s">
        <v>605</v>
      </c>
      <c r="B224" s="6" t="s">
        <v>606</v>
      </c>
      <c r="C224" s="6" t="s">
        <v>15</v>
      </c>
      <c r="D224" s="6" t="s">
        <v>607</v>
      </c>
      <c r="E224" s="6" t="s">
        <v>589</v>
      </c>
      <c r="F224" s="6" t="s">
        <v>593</v>
      </c>
      <c r="G224" s="7">
        <v>0.1</v>
      </c>
      <c r="H224" s="6" t="s">
        <v>608</v>
      </c>
      <c r="I224" s="6" t="s">
        <v>20</v>
      </c>
      <c r="J224" s="6">
        <v>2025.0</v>
      </c>
      <c r="K224" s="10">
        <v>46023.0</v>
      </c>
      <c r="L224" s="6">
        <v>6.0</v>
      </c>
      <c r="M224" s="8">
        <f t="shared" si="2"/>
        <v>0.6</v>
      </c>
      <c r="P224" s="9"/>
    </row>
    <row r="225">
      <c r="A225" s="6" t="s">
        <v>605</v>
      </c>
      <c r="B225" s="6" t="s">
        <v>606</v>
      </c>
      <c r="C225" s="6" t="s">
        <v>15</v>
      </c>
      <c r="D225" s="6" t="s">
        <v>607</v>
      </c>
      <c r="E225" s="6" t="s">
        <v>589</v>
      </c>
      <c r="F225" s="6" t="s">
        <v>593</v>
      </c>
      <c r="G225" s="7">
        <v>0.1</v>
      </c>
      <c r="H225" s="6" t="s">
        <v>608</v>
      </c>
      <c r="I225" s="6" t="s">
        <v>31</v>
      </c>
      <c r="J225" s="6">
        <v>2025.0</v>
      </c>
      <c r="K225" s="10">
        <v>46023.0</v>
      </c>
      <c r="L225" s="6">
        <v>11.0</v>
      </c>
      <c r="M225" s="8">
        <f t="shared" si="2"/>
        <v>1.1</v>
      </c>
      <c r="P225" s="9"/>
    </row>
    <row r="226">
      <c r="A226" s="6" t="s">
        <v>609</v>
      </c>
      <c r="B226" s="6" t="s">
        <v>610</v>
      </c>
      <c r="C226" s="6" t="s">
        <v>22</v>
      </c>
      <c r="D226" s="6" t="s">
        <v>611</v>
      </c>
      <c r="E226" s="6" t="s">
        <v>282</v>
      </c>
      <c r="F226" s="6" t="s">
        <v>593</v>
      </c>
      <c r="G226" s="7">
        <v>0.21</v>
      </c>
      <c r="H226" s="6" t="s">
        <v>612</v>
      </c>
      <c r="I226" s="6" t="s">
        <v>20</v>
      </c>
      <c r="J226" s="6">
        <v>2025.0</v>
      </c>
      <c r="L226" s="6">
        <v>1.0</v>
      </c>
      <c r="M226" s="8">
        <f t="shared" si="2"/>
        <v>0.21</v>
      </c>
      <c r="P226" s="9"/>
    </row>
    <row r="227">
      <c r="A227" s="6" t="s">
        <v>613</v>
      </c>
      <c r="B227" s="6" t="s">
        <v>614</v>
      </c>
      <c r="C227" s="6" t="s">
        <v>15</v>
      </c>
      <c r="D227" s="6" t="s">
        <v>615</v>
      </c>
      <c r="E227" s="6" t="s">
        <v>282</v>
      </c>
      <c r="F227" s="6" t="s">
        <v>593</v>
      </c>
      <c r="G227" s="7">
        <v>0.05</v>
      </c>
      <c r="H227" s="6" t="s">
        <v>616</v>
      </c>
      <c r="I227" s="6" t="s">
        <v>20</v>
      </c>
      <c r="J227" s="6">
        <v>2025.0</v>
      </c>
      <c r="K227" s="10">
        <v>46056.0</v>
      </c>
      <c r="L227" s="6">
        <v>13.0</v>
      </c>
      <c r="M227" s="8">
        <f t="shared" si="2"/>
        <v>0.65</v>
      </c>
      <c r="P227" s="9"/>
    </row>
    <row r="228">
      <c r="A228" s="6" t="s">
        <v>599</v>
      </c>
      <c r="B228" s="6" t="s">
        <v>385</v>
      </c>
      <c r="C228" s="6" t="s">
        <v>15</v>
      </c>
      <c r="D228" s="6" t="s">
        <v>600</v>
      </c>
      <c r="E228" s="6" t="s">
        <v>589</v>
      </c>
      <c r="F228" s="6" t="s">
        <v>593</v>
      </c>
      <c r="G228" s="7">
        <v>0.1</v>
      </c>
      <c r="H228" s="6" t="s">
        <v>387</v>
      </c>
      <c r="I228" s="6" t="s">
        <v>31</v>
      </c>
      <c r="J228" s="6">
        <v>2025.0</v>
      </c>
      <c r="L228" s="6">
        <v>10.0</v>
      </c>
      <c r="M228" s="8">
        <f t="shared" si="2"/>
        <v>1</v>
      </c>
      <c r="P228" s="9"/>
    </row>
    <row r="229">
      <c r="A229" s="6" t="s">
        <v>617</v>
      </c>
      <c r="B229" s="6" t="s">
        <v>618</v>
      </c>
      <c r="C229" s="6" t="s">
        <v>22</v>
      </c>
      <c r="D229" s="6" t="s">
        <v>619</v>
      </c>
      <c r="E229" s="6" t="s">
        <v>620</v>
      </c>
      <c r="F229" s="6" t="s">
        <v>277</v>
      </c>
      <c r="G229" s="7">
        <v>0.05</v>
      </c>
      <c r="H229" s="6" t="s">
        <v>398</v>
      </c>
      <c r="I229" s="6" t="s">
        <v>20</v>
      </c>
      <c r="J229" s="6">
        <v>2025.0</v>
      </c>
      <c r="K229" s="10">
        <v>46084.0</v>
      </c>
      <c r="L229" s="6">
        <v>2.0</v>
      </c>
      <c r="M229" s="8">
        <f t="shared" si="2"/>
        <v>0.1</v>
      </c>
      <c r="P229" s="9"/>
    </row>
    <row r="230">
      <c r="A230" s="6" t="s">
        <v>621</v>
      </c>
      <c r="B230" s="6" t="s">
        <v>68</v>
      </c>
      <c r="C230" s="6" t="s">
        <v>22</v>
      </c>
      <c r="D230" s="6" t="s">
        <v>622</v>
      </c>
      <c r="E230" s="6" t="s">
        <v>552</v>
      </c>
      <c r="F230" s="6" t="s">
        <v>277</v>
      </c>
      <c r="G230" s="7">
        <v>0.2</v>
      </c>
      <c r="H230" s="6" t="s">
        <v>398</v>
      </c>
      <c r="I230" s="6" t="s">
        <v>20</v>
      </c>
      <c r="J230" s="6">
        <v>2025.0</v>
      </c>
      <c r="L230" s="6">
        <v>1.0</v>
      </c>
      <c r="M230" s="8">
        <f t="shared" si="2"/>
        <v>0.2</v>
      </c>
      <c r="P230" s="9"/>
    </row>
    <row r="231">
      <c r="A231" s="6" t="s">
        <v>623</v>
      </c>
      <c r="B231" s="6" t="s">
        <v>624</v>
      </c>
      <c r="C231" s="6" t="s">
        <v>22</v>
      </c>
      <c r="D231" s="6" t="s">
        <v>625</v>
      </c>
      <c r="E231" s="6" t="s">
        <v>620</v>
      </c>
      <c r="F231" s="6" t="s">
        <v>277</v>
      </c>
      <c r="G231" s="7">
        <v>0.2</v>
      </c>
      <c r="H231" s="6" t="s">
        <v>398</v>
      </c>
      <c r="I231" s="6" t="s">
        <v>20</v>
      </c>
      <c r="J231" s="6">
        <v>2025.0</v>
      </c>
      <c r="K231" s="10">
        <v>46083.0</v>
      </c>
      <c r="L231" s="6">
        <v>2.0</v>
      </c>
      <c r="M231" s="8">
        <f t="shared" si="2"/>
        <v>0.4</v>
      </c>
      <c r="P231" s="9"/>
    </row>
    <row r="232">
      <c r="A232" s="6" t="s">
        <v>623</v>
      </c>
      <c r="B232" s="6" t="s">
        <v>624</v>
      </c>
      <c r="C232" s="6" t="s">
        <v>22</v>
      </c>
      <c r="D232" s="6" t="s">
        <v>625</v>
      </c>
      <c r="E232" s="6" t="s">
        <v>620</v>
      </c>
      <c r="F232" s="6" t="s">
        <v>277</v>
      </c>
      <c r="G232" s="7">
        <v>0.9</v>
      </c>
      <c r="H232" s="6" t="s">
        <v>398</v>
      </c>
      <c r="I232" s="6" t="s">
        <v>31</v>
      </c>
      <c r="J232" s="6">
        <v>2025.0</v>
      </c>
      <c r="K232" s="10">
        <v>46083.0</v>
      </c>
      <c r="L232" s="6">
        <v>1.0</v>
      </c>
      <c r="M232" s="8">
        <f t="shared" si="2"/>
        <v>0.9</v>
      </c>
      <c r="P232" s="9"/>
    </row>
    <row r="233">
      <c r="A233" s="6" t="s">
        <v>626</v>
      </c>
      <c r="B233" s="6" t="s">
        <v>627</v>
      </c>
      <c r="C233" s="6" t="s">
        <v>22</v>
      </c>
      <c r="D233" s="6" t="s">
        <v>628</v>
      </c>
      <c r="E233" s="6" t="s">
        <v>629</v>
      </c>
      <c r="F233" s="6" t="s">
        <v>277</v>
      </c>
      <c r="G233" s="7">
        <v>0.2</v>
      </c>
      <c r="H233" s="6" t="s">
        <v>398</v>
      </c>
      <c r="I233" s="6" t="s">
        <v>20</v>
      </c>
      <c r="J233" s="6">
        <v>2025.0</v>
      </c>
      <c r="K233" s="10">
        <v>46024.0</v>
      </c>
      <c r="L233" s="6">
        <v>1.0</v>
      </c>
      <c r="M233" s="8">
        <f t="shared" si="2"/>
        <v>0.2</v>
      </c>
      <c r="P233" s="9"/>
    </row>
    <row r="234">
      <c r="A234" s="6" t="s">
        <v>630</v>
      </c>
      <c r="B234" s="6" t="s">
        <v>631</v>
      </c>
      <c r="C234" s="6" t="s">
        <v>15</v>
      </c>
      <c r="D234" s="6" t="s">
        <v>632</v>
      </c>
      <c r="E234" s="6" t="s">
        <v>552</v>
      </c>
      <c r="F234" s="6" t="s">
        <v>277</v>
      </c>
      <c r="G234" s="7">
        <v>0.05</v>
      </c>
      <c r="H234" s="6" t="s">
        <v>398</v>
      </c>
      <c r="I234" s="6" t="s">
        <v>20</v>
      </c>
      <c r="J234" s="6">
        <v>2025.0</v>
      </c>
      <c r="K234" s="10">
        <v>46055.0</v>
      </c>
      <c r="L234" s="6">
        <v>16.0</v>
      </c>
      <c r="M234" s="8">
        <f t="shared" si="2"/>
        <v>0.8</v>
      </c>
      <c r="P234" s="9"/>
    </row>
    <row r="235">
      <c r="A235" s="6" t="s">
        <v>633</v>
      </c>
      <c r="B235" s="6" t="s">
        <v>14</v>
      </c>
      <c r="C235" s="6" t="s">
        <v>22</v>
      </c>
      <c r="D235" s="6" t="s">
        <v>634</v>
      </c>
      <c r="E235" s="6" t="s">
        <v>629</v>
      </c>
      <c r="F235" s="6" t="s">
        <v>277</v>
      </c>
      <c r="G235" s="7">
        <v>3.8</v>
      </c>
      <c r="H235" s="6" t="s">
        <v>398</v>
      </c>
      <c r="I235" s="6" t="s">
        <v>20</v>
      </c>
      <c r="J235" s="6">
        <v>2025.0</v>
      </c>
      <c r="L235" s="6">
        <v>1.0</v>
      </c>
      <c r="M235" s="8">
        <f t="shared" si="2"/>
        <v>3.8</v>
      </c>
      <c r="P235" s="9"/>
    </row>
    <row r="236">
      <c r="A236" s="6" t="s">
        <v>635</v>
      </c>
      <c r="B236" s="6" t="s">
        <v>636</v>
      </c>
      <c r="C236" s="6" t="s">
        <v>22</v>
      </c>
      <c r="D236" s="6" t="s">
        <v>637</v>
      </c>
      <c r="E236" s="6" t="s">
        <v>638</v>
      </c>
      <c r="F236" s="6" t="s">
        <v>277</v>
      </c>
      <c r="G236" s="7">
        <v>3.24</v>
      </c>
      <c r="H236" s="6" t="s">
        <v>398</v>
      </c>
      <c r="I236" s="6" t="s">
        <v>20</v>
      </c>
      <c r="J236" s="6">
        <v>2025.0</v>
      </c>
      <c r="K236" s="10">
        <v>46117.0</v>
      </c>
      <c r="L236" s="6">
        <v>1.0</v>
      </c>
      <c r="M236" s="8">
        <f t="shared" si="2"/>
        <v>3.24</v>
      </c>
      <c r="P236" s="9"/>
    </row>
    <row r="237">
      <c r="A237" s="6" t="s">
        <v>639</v>
      </c>
      <c r="B237" s="6" t="s">
        <v>636</v>
      </c>
      <c r="C237" s="6" t="s">
        <v>101</v>
      </c>
      <c r="D237" s="6" t="s">
        <v>640</v>
      </c>
      <c r="E237" s="6" t="s">
        <v>620</v>
      </c>
      <c r="F237" s="6" t="s">
        <v>277</v>
      </c>
      <c r="G237" s="7">
        <v>1.42</v>
      </c>
      <c r="H237" s="6" t="s">
        <v>398</v>
      </c>
      <c r="I237" s="6" t="s">
        <v>20</v>
      </c>
      <c r="J237" s="6">
        <v>2025.0</v>
      </c>
      <c r="K237" s="10">
        <v>46114.0</v>
      </c>
      <c r="L237" s="6">
        <v>1.0</v>
      </c>
      <c r="M237" s="8">
        <f t="shared" si="2"/>
        <v>1.42</v>
      </c>
      <c r="P237" s="9"/>
    </row>
    <row r="238">
      <c r="A238" s="6" t="s">
        <v>641</v>
      </c>
      <c r="B238" s="6" t="s">
        <v>642</v>
      </c>
      <c r="C238" s="6" t="s">
        <v>101</v>
      </c>
      <c r="D238" s="6" t="s">
        <v>643</v>
      </c>
      <c r="E238" s="6" t="s">
        <v>644</v>
      </c>
      <c r="F238" s="6" t="s">
        <v>277</v>
      </c>
      <c r="G238" s="7">
        <v>4.79</v>
      </c>
      <c r="H238" s="6" t="s">
        <v>398</v>
      </c>
      <c r="I238" s="6" t="s">
        <v>20</v>
      </c>
      <c r="J238" s="6">
        <v>2025.0</v>
      </c>
      <c r="K238" s="10">
        <v>46116.0</v>
      </c>
      <c r="L238" s="6">
        <v>1.0</v>
      </c>
      <c r="M238" s="8">
        <f t="shared" si="2"/>
        <v>4.79</v>
      </c>
      <c r="P238" s="9"/>
    </row>
    <row r="239">
      <c r="A239" s="6" t="s">
        <v>645</v>
      </c>
      <c r="B239" s="6" t="s">
        <v>646</v>
      </c>
      <c r="C239" s="6" t="s">
        <v>101</v>
      </c>
      <c r="D239" s="6" t="s">
        <v>647</v>
      </c>
      <c r="E239" s="6" t="s">
        <v>648</v>
      </c>
      <c r="F239" s="6" t="s">
        <v>277</v>
      </c>
      <c r="G239" s="7">
        <v>8.39</v>
      </c>
      <c r="H239" s="6" t="s">
        <v>398</v>
      </c>
      <c r="I239" s="6" t="s">
        <v>20</v>
      </c>
      <c r="J239" s="6">
        <v>2025.0</v>
      </c>
      <c r="K239" s="10">
        <v>46055.0</v>
      </c>
      <c r="L239" s="6">
        <v>1.0</v>
      </c>
      <c r="M239" s="8">
        <f t="shared" si="2"/>
        <v>8.39</v>
      </c>
      <c r="P239" s="9"/>
    </row>
    <row r="240">
      <c r="A240" s="6" t="s">
        <v>649</v>
      </c>
      <c r="B240" s="6" t="s">
        <v>14</v>
      </c>
      <c r="C240" s="6" t="s">
        <v>15</v>
      </c>
      <c r="D240" s="6" t="s">
        <v>650</v>
      </c>
      <c r="E240" s="6" t="s">
        <v>620</v>
      </c>
      <c r="F240" s="6" t="s">
        <v>277</v>
      </c>
      <c r="G240" s="7">
        <v>0.1</v>
      </c>
      <c r="H240" s="6" t="s">
        <v>398</v>
      </c>
      <c r="I240" s="6" t="s">
        <v>20</v>
      </c>
      <c r="J240" s="6">
        <v>2025.0</v>
      </c>
      <c r="L240" s="6">
        <v>9.0</v>
      </c>
      <c r="M240" s="8">
        <f t="shared" si="2"/>
        <v>0.9</v>
      </c>
      <c r="P240" s="9"/>
    </row>
    <row r="241">
      <c r="A241" s="6" t="s">
        <v>649</v>
      </c>
      <c r="B241" s="6" t="s">
        <v>14</v>
      </c>
      <c r="C241" s="6" t="s">
        <v>15</v>
      </c>
      <c r="D241" s="6" t="s">
        <v>650</v>
      </c>
      <c r="E241" s="6" t="s">
        <v>620</v>
      </c>
      <c r="F241" s="6" t="s">
        <v>277</v>
      </c>
      <c r="G241" s="7">
        <v>0.4</v>
      </c>
      <c r="H241" s="6" t="s">
        <v>398</v>
      </c>
      <c r="I241" s="6" t="s">
        <v>31</v>
      </c>
      <c r="J241" s="6">
        <v>2025.0</v>
      </c>
      <c r="L241" s="6">
        <v>1.0</v>
      </c>
      <c r="M241" s="8">
        <f t="shared" si="2"/>
        <v>0.4</v>
      </c>
      <c r="P241" s="9"/>
    </row>
    <row r="242">
      <c r="A242" s="6" t="s">
        <v>651</v>
      </c>
      <c r="B242" s="6" t="s">
        <v>652</v>
      </c>
      <c r="C242" s="6" t="s">
        <v>15</v>
      </c>
      <c r="D242" s="6" t="s">
        <v>653</v>
      </c>
      <c r="E242" s="6" t="s">
        <v>654</v>
      </c>
      <c r="F242" s="6" t="s">
        <v>277</v>
      </c>
      <c r="G242" s="7">
        <v>0.1</v>
      </c>
      <c r="H242" s="6" t="s">
        <v>398</v>
      </c>
      <c r="I242" s="6" t="s">
        <v>20</v>
      </c>
      <c r="J242" s="6">
        <v>2025.0</v>
      </c>
      <c r="K242" s="10">
        <v>46116.0</v>
      </c>
      <c r="L242" s="6">
        <v>13.0</v>
      </c>
      <c r="M242" s="8">
        <f t="shared" si="2"/>
        <v>1.3</v>
      </c>
      <c r="P242" s="9"/>
    </row>
    <row r="243">
      <c r="A243" s="6" t="s">
        <v>655</v>
      </c>
      <c r="B243" s="6" t="s">
        <v>656</v>
      </c>
      <c r="C243" s="6" t="s">
        <v>15</v>
      </c>
      <c r="D243" s="6" t="s">
        <v>657</v>
      </c>
      <c r="E243" s="6" t="s">
        <v>658</v>
      </c>
      <c r="F243" s="6" t="s">
        <v>277</v>
      </c>
      <c r="G243" s="7">
        <v>0.08</v>
      </c>
      <c r="H243" s="6" t="s">
        <v>398</v>
      </c>
      <c r="I243" s="6" t="s">
        <v>20</v>
      </c>
      <c r="J243" s="6">
        <v>2025.0</v>
      </c>
      <c r="K243" s="10">
        <v>46115.0</v>
      </c>
      <c r="L243" s="6">
        <v>10.0</v>
      </c>
      <c r="M243" s="8">
        <f t="shared" si="2"/>
        <v>0.8</v>
      </c>
      <c r="P243" s="9"/>
    </row>
    <row r="244">
      <c r="A244" s="6" t="s">
        <v>655</v>
      </c>
      <c r="B244" s="6" t="s">
        <v>656</v>
      </c>
      <c r="C244" s="6" t="s">
        <v>15</v>
      </c>
      <c r="D244" s="6" t="s">
        <v>657</v>
      </c>
      <c r="E244" s="6" t="s">
        <v>658</v>
      </c>
      <c r="F244" s="6" t="s">
        <v>277</v>
      </c>
      <c r="G244" s="7">
        <v>0.35</v>
      </c>
      <c r="H244" s="6" t="s">
        <v>398</v>
      </c>
      <c r="I244" s="6" t="s">
        <v>31</v>
      </c>
      <c r="J244" s="6">
        <v>2025.0</v>
      </c>
      <c r="K244" s="10">
        <v>46115.0</v>
      </c>
      <c r="L244" s="6">
        <v>3.0</v>
      </c>
      <c r="M244" s="8">
        <f t="shared" si="2"/>
        <v>1.05</v>
      </c>
      <c r="P244" s="9"/>
    </row>
    <row r="245">
      <c r="A245" s="6" t="s">
        <v>659</v>
      </c>
      <c r="B245" s="6" t="s">
        <v>404</v>
      </c>
      <c r="C245" s="6" t="s">
        <v>15</v>
      </c>
      <c r="D245" s="6" t="s">
        <v>660</v>
      </c>
      <c r="E245" s="6" t="s">
        <v>552</v>
      </c>
      <c r="F245" s="6" t="s">
        <v>277</v>
      </c>
      <c r="G245" s="7">
        <v>0.75</v>
      </c>
      <c r="H245" s="6" t="s">
        <v>398</v>
      </c>
      <c r="I245" s="6" t="s">
        <v>20</v>
      </c>
      <c r="J245" s="6">
        <v>2025.0</v>
      </c>
      <c r="L245" s="6">
        <v>11.0</v>
      </c>
      <c r="M245" s="8">
        <f t="shared" si="2"/>
        <v>8.25</v>
      </c>
      <c r="P245" s="9"/>
    </row>
    <row r="246">
      <c r="A246" s="6" t="s">
        <v>661</v>
      </c>
      <c r="B246" s="6" t="s">
        <v>14</v>
      </c>
      <c r="C246" s="6" t="s">
        <v>15</v>
      </c>
      <c r="D246" s="6" t="s">
        <v>662</v>
      </c>
      <c r="E246" s="6" t="s">
        <v>658</v>
      </c>
      <c r="F246" s="6" t="s">
        <v>277</v>
      </c>
      <c r="G246" s="7">
        <v>0.05</v>
      </c>
      <c r="H246" s="6" t="s">
        <v>398</v>
      </c>
      <c r="I246" s="6" t="s">
        <v>20</v>
      </c>
      <c r="J246" s="6">
        <v>2025.0</v>
      </c>
      <c r="L246" s="6">
        <v>11.0</v>
      </c>
      <c r="M246" s="8">
        <f t="shared" si="2"/>
        <v>0.55</v>
      </c>
      <c r="P246" s="9"/>
    </row>
    <row r="247">
      <c r="A247" s="6" t="s">
        <v>663</v>
      </c>
      <c r="B247" s="6" t="s">
        <v>68</v>
      </c>
      <c r="C247" s="6" t="s">
        <v>22</v>
      </c>
      <c r="D247" s="6" t="s">
        <v>664</v>
      </c>
      <c r="E247" s="6" t="s">
        <v>658</v>
      </c>
      <c r="F247" s="6" t="s">
        <v>277</v>
      </c>
      <c r="G247" s="7">
        <v>0.25</v>
      </c>
      <c r="H247" s="6" t="s">
        <v>398</v>
      </c>
      <c r="I247" s="6" t="s">
        <v>20</v>
      </c>
      <c r="J247" s="6">
        <v>2025.0</v>
      </c>
      <c r="L247" s="6">
        <v>3.0</v>
      </c>
      <c r="M247" s="8">
        <f t="shared" si="2"/>
        <v>0.75</v>
      </c>
      <c r="P247" s="9"/>
    </row>
    <row r="248">
      <c r="A248" s="6" t="s">
        <v>665</v>
      </c>
      <c r="B248" s="6" t="s">
        <v>666</v>
      </c>
      <c r="C248" s="6" t="s">
        <v>15</v>
      </c>
      <c r="D248" s="6" t="s">
        <v>667</v>
      </c>
      <c r="E248" s="6" t="s">
        <v>620</v>
      </c>
      <c r="F248" s="6" t="s">
        <v>277</v>
      </c>
      <c r="G248" s="7">
        <v>0.1</v>
      </c>
      <c r="H248" s="6" t="s">
        <v>398</v>
      </c>
      <c r="I248" s="6" t="s">
        <v>20</v>
      </c>
      <c r="J248" s="6">
        <v>2025.0</v>
      </c>
      <c r="K248" s="10">
        <v>46055.0</v>
      </c>
      <c r="L248" s="6">
        <v>11.0</v>
      </c>
      <c r="M248" s="8">
        <f t="shared" si="2"/>
        <v>1.1</v>
      </c>
      <c r="P248" s="9"/>
    </row>
    <row r="249">
      <c r="A249" s="6" t="s">
        <v>665</v>
      </c>
      <c r="B249" s="6" t="s">
        <v>666</v>
      </c>
      <c r="C249" s="6" t="s">
        <v>15</v>
      </c>
      <c r="D249" s="6" t="s">
        <v>667</v>
      </c>
      <c r="E249" s="6" t="s">
        <v>620</v>
      </c>
      <c r="F249" s="6" t="s">
        <v>277</v>
      </c>
      <c r="G249" s="7">
        <v>0.25</v>
      </c>
      <c r="H249" s="6" t="s">
        <v>398</v>
      </c>
      <c r="I249" s="6" t="s">
        <v>31</v>
      </c>
      <c r="J249" s="6">
        <v>2025.0</v>
      </c>
      <c r="K249" s="10">
        <v>46055.0</v>
      </c>
      <c r="L249" s="6">
        <v>1.0</v>
      </c>
      <c r="M249" s="8">
        <f t="shared" si="2"/>
        <v>0.25</v>
      </c>
      <c r="P249" s="9"/>
    </row>
    <row r="250">
      <c r="A250" s="6" t="s">
        <v>668</v>
      </c>
      <c r="B250" s="6" t="s">
        <v>14</v>
      </c>
      <c r="C250" s="6" t="s">
        <v>15</v>
      </c>
      <c r="D250" s="6" t="s">
        <v>669</v>
      </c>
      <c r="E250" s="6" t="s">
        <v>552</v>
      </c>
      <c r="F250" s="6" t="s">
        <v>277</v>
      </c>
      <c r="G250" s="7">
        <v>0.1</v>
      </c>
      <c r="H250" s="6" t="s">
        <v>398</v>
      </c>
      <c r="I250" s="6" t="s">
        <v>20</v>
      </c>
      <c r="J250" s="6">
        <v>2025.0</v>
      </c>
      <c r="L250" s="6">
        <v>10.0</v>
      </c>
      <c r="M250" s="8">
        <f t="shared" si="2"/>
        <v>1</v>
      </c>
      <c r="P250" s="9"/>
    </row>
    <row r="251">
      <c r="A251" s="6" t="s">
        <v>668</v>
      </c>
      <c r="B251" s="6" t="s">
        <v>14</v>
      </c>
      <c r="C251" s="6" t="s">
        <v>15</v>
      </c>
      <c r="D251" s="6" t="s">
        <v>669</v>
      </c>
      <c r="E251" s="6" t="s">
        <v>552</v>
      </c>
      <c r="F251" s="6" t="s">
        <v>277</v>
      </c>
      <c r="G251" s="7">
        <v>0.3</v>
      </c>
      <c r="H251" s="6" t="s">
        <v>398</v>
      </c>
      <c r="I251" s="6" t="s">
        <v>31</v>
      </c>
      <c r="J251" s="6">
        <v>2025.0</v>
      </c>
      <c r="L251" s="6">
        <v>1.0</v>
      </c>
      <c r="M251" s="8">
        <f t="shared" si="2"/>
        <v>0.3</v>
      </c>
      <c r="P251" s="9"/>
    </row>
    <row r="252">
      <c r="A252" s="6" t="s">
        <v>670</v>
      </c>
      <c r="B252" s="6" t="s">
        <v>68</v>
      </c>
      <c r="C252" s="6" t="s">
        <v>22</v>
      </c>
      <c r="D252" s="6" t="s">
        <v>671</v>
      </c>
      <c r="E252" s="6" t="s">
        <v>648</v>
      </c>
      <c r="F252" s="6" t="s">
        <v>277</v>
      </c>
      <c r="G252" s="7">
        <v>0.2</v>
      </c>
      <c r="H252" s="6" t="s">
        <v>398</v>
      </c>
      <c r="I252" s="6" t="s">
        <v>20</v>
      </c>
      <c r="J252" s="6">
        <v>2025.0</v>
      </c>
      <c r="L252" s="6">
        <v>4.0</v>
      </c>
      <c r="M252" s="8">
        <f t="shared" si="2"/>
        <v>0.8</v>
      </c>
      <c r="P252" s="9"/>
    </row>
    <row r="253">
      <c r="A253" s="6" t="s">
        <v>672</v>
      </c>
      <c r="B253" s="6" t="s">
        <v>14</v>
      </c>
      <c r="C253" s="6" t="s">
        <v>15</v>
      </c>
      <c r="D253" s="6" t="s">
        <v>673</v>
      </c>
      <c r="E253" s="6" t="s">
        <v>552</v>
      </c>
      <c r="F253" s="6" t="s">
        <v>277</v>
      </c>
      <c r="G253" s="7">
        <v>0.15</v>
      </c>
      <c r="H253" s="6" t="s">
        <v>398</v>
      </c>
      <c r="I253" s="6" t="s">
        <v>20</v>
      </c>
      <c r="J253" s="6">
        <v>2025.0</v>
      </c>
      <c r="L253" s="6">
        <v>15.0</v>
      </c>
      <c r="M253" s="8">
        <f t="shared" si="2"/>
        <v>2.25</v>
      </c>
      <c r="P253" s="9"/>
    </row>
    <row r="254">
      <c r="A254" s="6" t="s">
        <v>674</v>
      </c>
      <c r="B254" s="6" t="s">
        <v>675</v>
      </c>
      <c r="C254" s="6" t="s">
        <v>15</v>
      </c>
      <c r="D254" s="6" t="s">
        <v>676</v>
      </c>
      <c r="E254" s="6" t="s">
        <v>265</v>
      </c>
      <c r="F254" s="6" t="s">
        <v>677</v>
      </c>
      <c r="G254" s="7">
        <v>0.4</v>
      </c>
      <c r="H254" s="6" t="s">
        <v>598</v>
      </c>
      <c r="I254" s="6" t="s">
        <v>31</v>
      </c>
      <c r="J254" s="6">
        <v>2025.0</v>
      </c>
      <c r="L254" s="6">
        <v>1.0</v>
      </c>
      <c r="M254" s="8">
        <f t="shared" si="2"/>
        <v>0.4</v>
      </c>
      <c r="P254" s="9"/>
    </row>
    <row r="255">
      <c r="A255" s="6" t="s">
        <v>674</v>
      </c>
      <c r="B255" s="6" t="s">
        <v>675</v>
      </c>
      <c r="C255" s="6" t="s">
        <v>15</v>
      </c>
      <c r="D255" s="6" t="s">
        <v>676</v>
      </c>
      <c r="E255" s="6" t="s">
        <v>265</v>
      </c>
      <c r="F255" s="6" t="s">
        <v>677</v>
      </c>
      <c r="G255" s="7">
        <v>0.05</v>
      </c>
      <c r="H255" s="6" t="s">
        <v>598</v>
      </c>
      <c r="I255" s="6" t="s">
        <v>678</v>
      </c>
      <c r="J255" s="6">
        <v>2025.0</v>
      </c>
      <c r="L255" s="6">
        <v>11.0</v>
      </c>
      <c r="M255" s="8">
        <f t="shared" si="2"/>
        <v>0.55</v>
      </c>
      <c r="P255" s="9"/>
    </row>
    <row r="256">
      <c r="A256" s="6" t="s">
        <v>679</v>
      </c>
      <c r="B256" s="6" t="s">
        <v>610</v>
      </c>
      <c r="C256" s="6" t="s">
        <v>15</v>
      </c>
      <c r="D256" s="6" t="s">
        <v>680</v>
      </c>
      <c r="E256" s="6" t="s">
        <v>681</v>
      </c>
      <c r="F256" s="6" t="s">
        <v>677</v>
      </c>
      <c r="G256" s="7">
        <v>0.04</v>
      </c>
      <c r="H256" s="6" t="s">
        <v>682</v>
      </c>
      <c r="I256" s="6" t="s">
        <v>20</v>
      </c>
      <c r="J256" s="6">
        <v>2025.0</v>
      </c>
      <c r="L256" s="6">
        <v>6.0</v>
      </c>
      <c r="M256" s="8">
        <f t="shared" si="2"/>
        <v>0.24</v>
      </c>
      <c r="P256" s="9"/>
    </row>
    <row r="257">
      <c r="A257" s="6" t="s">
        <v>683</v>
      </c>
      <c r="B257" s="6" t="s">
        <v>610</v>
      </c>
      <c r="C257" s="6" t="s">
        <v>15</v>
      </c>
      <c r="D257" s="6" t="s">
        <v>684</v>
      </c>
      <c r="E257" s="6" t="s">
        <v>273</v>
      </c>
      <c r="F257" s="6" t="s">
        <v>677</v>
      </c>
      <c r="G257" s="7">
        <v>0.1</v>
      </c>
      <c r="H257" s="6" t="s">
        <v>604</v>
      </c>
      <c r="I257" s="6" t="s">
        <v>20</v>
      </c>
      <c r="J257" s="6">
        <v>2025.0</v>
      </c>
      <c r="L257" s="6">
        <v>8.0</v>
      </c>
      <c r="M257" s="8">
        <f t="shared" si="2"/>
        <v>0.8</v>
      </c>
      <c r="P257" s="9"/>
    </row>
    <row r="258">
      <c r="A258" s="6" t="s">
        <v>685</v>
      </c>
      <c r="B258" s="6" t="s">
        <v>686</v>
      </c>
      <c r="C258" s="6" t="s">
        <v>15</v>
      </c>
      <c r="D258" s="6" t="s">
        <v>687</v>
      </c>
      <c r="E258" s="6" t="s">
        <v>265</v>
      </c>
      <c r="F258" s="6" t="s">
        <v>677</v>
      </c>
      <c r="G258" s="7">
        <v>0.91</v>
      </c>
      <c r="H258" s="6" t="s">
        <v>387</v>
      </c>
      <c r="I258" s="6" t="s">
        <v>31</v>
      </c>
      <c r="J258" s="6">
        <v>2025.0</v>
      </c>
      <c r="K258" s="10">
        <v>46084.0</v>
      </c>
      <c r="L258" s="6">
        <v>1.0</v>
      </c>
      <c r="M258" s="8">
        <f t="shared" si="2"/>
        <v>0.91</v>
      </c>
      <c r="P258" s="9"/>
    </row>
    <row r="259">
      <c r="A259" s="6" t="s">
        <v>688</v>
      </c>
      <c r="B259" s="6" t="s">
        <v>689</v>
      </c>
      <c r="C259" s="6" t="s">
        <v>15</v>
      </c>
      <c r="D259" s="6" t="s">
        <v>690</v>
      </c>
      <c r="E259" s="6" t="s">
        <v>269</v>
      </c>
      <c r="F259" s="6" t="s">
        <v>677</v>
      </c>
      <c r="G259" s="7">
        <v>0.2</v>
      </c>
      <c r="H259" s="6" t="s">
        <v>464</v>
      </c>
      <c r="I259" s="6" t="s">
        <v>31</v>
      </c>
      <c r="J259" s="6">
        <v>2025.0</v>
      </c>
      <c r="K259" s="10">
        <v>46024.0</v>
      </c>
      <c r="L259" s="6">
        <v>1.0</v>
      </c>
      <c r="M259" s="8">
        <f t="shared" si="2"/>
        <v>0.2</v>
      </c>
      <c r="P259" s="9"/>
    </row>
    <row r="260">
      <c r="A260" s="6" t="s">
        <v>688</v>
      </c>
      <c r="B260" s="6" t="s">
        <v>689</v>
      </c>
      <c r="C260" s="6" t="s">
        <v>15</v>
      </c>
      <c r="D260" s="6" t="s">
        <v>690</v>
      </c>
      <c r="E260" s="6" t="s">
        <v>269</v>
      </c>
      <c r="F260" s="6" t="s">
        <v>677</v>
      </c>
      <c r="G260" s="7">
        <v>0.05</v>
      </c>
      <c r="H260" s="6" t="s">
        <v>464</v>
      </c>
      <c r="I260" s="6" t="s">
        <v>20</v>
      </c>
      <c r="J260" s="6">
        <v>2025.0</v>
      </c>
      <c r="K260" s="10">
        <v>46024.0</v>
      </c>
      <c r="L260" s="6">
        <v>12.0</v>
      </c>
      <c r="M260" s="8">
        <f t="shared" si="2"/>
        <v>0.6</v>
      </c>
      <c r="P260" s="9"/>
    </row>
    <row r="261">
      <c r="A261" s="6" t="s">
        <v>685</v>
      </c>
      <c r="B261" s="6" t="s">
        <v>686</v>
      </c>
      <c r="C261" s="6" t="s">
        <v>15</v>
      </c>
      <c r="D261" s="6" t="s">
        <v>687</v>
      </c>
      <c r="E261" s="6" t="s">
        <v>265</v>
      </c>
      <c r="F261" s="6" t="s">
        <v>677</v>
      </c>
      <c r="G261" s="7">
        <v>0.14</v>
      </c>
      <c r="H261" s="6" t="s">
        <v>387</v>
      </c>
      <c r="I261" s="6" t="s">
        <v>678</v>
      </c>
      <c r="J261" s="6">
        <v>2025.0</v>
      </c>
      <c r="K261" s="10">
        <v>46084.0</v>
      </c>
      <c r="L261" s="6">
        <v>10.0</v>
      </c>
      <c r="M261" s="8">
        <f t="shared" si="2"/>
        <v>1.4</v>
      </c>
      <c r="P261" s="9"/>
    </row>
    <row r="262">
      <c r="A262" s="6" t="s">
        <v>691</v>
      </c>
      <c r="B262" s="6" t="s">
        <v>692</v>
      </c>
      <c r="C262" s="6" t="s">
        <v>22</v>
      </c>
      <c r="D262" s="6" t="s">
        <v>693</v>
      </c>
      <c r="E262" s="6" t="s">
        <v>694</v>
      </c>
      <c r="F262" s="6" t="s">
        <v>152</v>
      </c>
      <c r="G262" s="7">
        <v>1.36</v>
      </c>
      <c r="H262" s="6" t="s">
        <v>398</v>
      </c>
      <c r="I262" s="6" t="s">
        <v>20</v>
      </c>
      <c r="J262" s="6">
        <v>2025.0</v>
      </c>
      <c r="K262" s="6" t="s">
        <v>564</v>
      </c>
      <c r="L262" s="6">
        <v>1.0</v>
      </c>
      <c r="M262" s="8">
        <f t="shared" si="2"/>
        <v>1.36</v>
      </c>
      <c r="P262" s="9"/>
    </row>
    <row r="263">
      <c r="A263" s="6" t="s">
        <v>695</v>
      </c>
      <c r="B263" s="6" t="s">
        <v>636</v>
      </c>
      <c r="C263" s="6" t="s">
        <v>22</v>
      </c>
      <c r="D263" s="6" t="s">
        <v>696</v>
      </c>
      <c r="E263" s="6" t="s">
        <v>697</v>
      </c>
      <c r="F263" s="6" t="s">
        <v>152</v>
      </c>
      <c r="G263" s="7">
        <v>1.85</v>
      </c>
      <c r="H263" s="6" t="s">
        <v>398</v>
      </c>
      <c r="I263" s="6" t="s">
        <v>20</v>
      </c>
      <c r="J263" s="6">
        <v>2025.0</v>
      </c>
      <c r="K263" s="10">
        <v>46055.0</v>
      </c>
      <c r="L263" s="6">
        <v>1.0</v>
      </c>
      <c r="M263" s="8">
        <f t="shared" si="2"/>
        <v>1.85</v>
      </c>
      <c r="P263" s="9"/>
    </row>
    <row r="264">
      <c r="A264" s="6" t="s">
        <v>698</v>
      </c>
      <c r="B264" s="6" t="s">
        <v>68</v>
      </c>
      <c r="C264" s="6" t="s">
        <v>101</v>
      </c>
      <c r="D264" s="6" t="s">
        <v>699</v>
      </c>
      <c r="E264" s="6" t="s">
        <v>694</v>
      </c>
      <c r="F264" s="6" t="s">
        <v>152</v>
      </c>
      <c r="G264" s="7">
        <v>0.74</v>
      </c>
      <c r="H264" s="6" t="s">
        <v>398</v>
      </c>
      <c r="I264" s="6" t="s">
        <v>20</v>
      </c>
      <c r="J264" s="6">
        <v>2025.0</v>
      </c>
      <c r="L264" s="6">
        <v>1.0</v>
      </c>
      <c r="M264" s="8">
        <f t="shared" si="2"/>
        <v>0.74</v>
      </c>
      <c r="P264" s="9"/>
    </row>
    <row r="265">
      <c r="A265" s="6" t="s">
        <v>700</v>
      </c>
      <c r="B265" s="6" t="s">
        <v>404</v>
      </c>
      <c r="C265" s="6" t="s">
        <v>101</v>
      </c>
      <c r="D265" s="6" t="s">
        <v>701</v>
      </c>
      <c r="E265" s="6" t="s">
        <v>702</v>
      </c>
      <c r="F265" s="6" t="s">
        <v>152</v>
      </c>
      <c r="G265" s="7">
        <v>1.0</v>
      </c>
      <c r="H265" s="6" t="s">
        <v>398</v>
      </c>
      <c r="I265" s="6" t="s">
        <v>20</v>
      </c>
      <c r="J265" s="6">
        <v>2025.0</v>
      </c>
      <c r="L265" s="6">
        <v>1.0</v>
      </c>
      <c r="M265" s="8">
        <f t="shared" si="2"/>
        <v>1</v>
      </c>
      <c r="P265" s="9"/>
    </row>
    <row r="266">
      <c r="A266" s="6" t="s">
        <v>703</v>
      </c>
      <c r="B266" s="6" t="s">
        <v>704</v>
      </c>
      <c r="C266" s="6" t="s">
        <v>101</v>
      </c>
      <c r="D266" s="6" t="s">
        <v>705</v>
      </c>
      <c r="E266" s="6" t="s">
        <v>706</v>
      </c>
      <c r="F266" s="6" t="s">
        <v>152</v>
      </c>
      <c r="G266" s="7">
        <v>0.66</v>
      </c>
      <c r="H266" s="6" t="s">
        <v>398</v>
      </c>
      <c r="I266" s="6" t="s">
        <v>20</v>
      </c>
      <c r="J266" s="6">
        <v>2025.0</v>
      </c>
      <c r="K266" s="10">
        <v>46084.0</v>
      </c>
      <c r="L266" s="6">
        <v>3.0</v>
      </c>
      <c r="M266" s="8">
        <f t="shared" si="2"/>
        <v>1.98</v>
      </c>
      <c r="P266" s="9"/>
    </row>
    <row r="267">
      <c r="A267" s="6" t="s">
        <v>703</v>
      </c>
      <c r="B267" s="6" t="s">
        <v>704</v>
      </c>
      <c r="C267" s="6" t="s">
        <v>101</v>
      </c>
      <c r="D267" s="6" t="s">
        <v>705</v>
      </c>
      <c r="E267" s="6" t="s">
        <v>706</v>
      </c>
      <c r="F267" s="6" t="s">
        <v>152</v>
      </c>
      <c r="G267" s="7">
        <v>1.09</v>
      </c>
      <c r="H267" s="6" t="s">
        <v>398</v>
      </c>
      <c r="I267" s="6" t="s">
        <v>31</v>
      </c>
      <c r="J267" s="6">
        <v>2025.0</v>
      </c>
      <c r="K267" s="10">
        <v>46084.0</v>
      </c>
      <c r="L267" s="6">
        <v>1.0</v>
      </c>
      <c r="M267" s="8">
        <f t="shared" si="2"/>
        <v>1.09</v>
      </c>
      <c r="P267" s="9"/>
    </row>
    <row r="268">
      <c r="A268" s="6" t="s">
        <v>707</v>
      </c>
      <c r="B268" s="6" t="s">
        <v>708</v>
      </c>
      <c r="C268" s="6" t="s">
        <v>101</v>
      </c>
      <c r="D268" s="6" t="s">
        <v>709</v>
      </c>
      <c r="E268" s="6" t="s">
        <v>710</v>
      </c>
      <c r="F268" s="6" t="s">
        <v>152</v>
      </c>
      <c r="G268" s="7">
        <v>4.0</v>
      </c>
      <c r="H268" s="6" t="s">
        <v>398</v>
      </c>
      <c r="I268" s="6" t="s">
        <v>20</v>
      </c>
      <c r="J268" s="6">
        <v>2025.0</v>
      </c>
      <c r="K268" s="10">
        <v>46084.0</v>
      </c>
      <c r="L268" s="6">
        <v>1.0</v>
      </c>
      <c r="M268" s="8">
        <f t="shared" si="2"/>
        <v>4</v>
      </c>
      <c r="P268" s="9"/>
    </row>
    <row r="269">
      <c r="A269" s="6" t="s">
        <v>711</v>
      </c>
      <c r="B269" s="6" t="s">
        <v>82</v>
      </c>
      <c r="C269" s="6" t="s">
        <v>22</v>
      </c>
      <c r="D269" s="6" t="s">
        <v>712</v>
      </c>
      <c r="E269" s="6" t="s">
        <v>713</v>
      </c>
      <c r="F269" s="6" t="s">
        <v>152</v>
      </c>
      <c r="G269" s="7">
        <v>0.2</v>
      </c>
      <c r="H269" s="6" t="s">
        <v>398</v>
      </c>
      <c r="I269" s="6" t="s">
        <v>20</v>
      </c>
      <c r="J269" s="6">
        <v>2025.0</v>
      </c>
      <c r="L269" s="6">
        <v>1.0</v>
      </c>
      <c r="M269" s="8">
        <f t="shared" si="2"/>
        <v>0.2</v>
      </c>
      <c r="P269" s="9"/>
    </row>
    <row r="270">
      <c r="A270" s="6" t="s">
        <v>711</v>
      </c>
      <c r="B270" s="6" t="s">
        <v>82</v>
      </c>
      <c r="C270" s="6" t="s">
        <v>22</v>
      </c>
      <c r="D270" s="6" t="s">
        <v>712</v>
      </c>
      <c r="E270" s="6" t="s">
        <v>713</v>
      </c>
      <c r="F270" s="6" t="s">
        <v>152</v>
      </c>
      <c r="G270" s="7">
        <v>0.85</v>
      </c>
      <c r="H270" s="6" t="s">
        <v>398</v>
      </c>
      <c r="I270" s="6" t="s">
        <v>31</v>
      </c>
      <c r="J270" s="6">
        <v>2025.0</v>
      </c>
      <c r="L270" s="6">
        <v>1.0</v>
      </c>
      <c r="M270" s="8">
        <f t="shared" si="2"/>
        <v>0.85</v>
      </c>
      <c r="P270" s="9"/>
    </row>
    <row r="271">
      <c r="A271" s="6" t="s">
        <v>714</v>
      </c>
      <c r="B271" s="6" t="s">
        <v>715</v>
      </c>
      <c r="C271" s="6" t="s">
        <v>22</v>
      </c>
      <c r="D271" s="6" t="s">
        <v>716</v>
      </c>
      <c r="E271" s="6" t="s">
        <v>697</v>
      </c>
      <c r="F271" s="6" t="s">
        <v>152</v>
      </c>
      <c r="G271" s="7">
        <v>0.19</v>
      </c>
      <c r="H271" s="6" t="s">
        <v>398</v>
      </c>
      <c r="I271" s="6" t="s">
        <v>20</v>
      </c>
      <c r="J271" s="6">
        <v>2025.0</v>
      </c>
      <c r="K271" s="6" t="s">
        <v>717</v>
      </c>
      <c r="L271" s="6">
        <v>2.0</v>
      </c>
      <c r="M271" s="8">
        <f t="shared" si="2"/>
        <v>0.38</v>
      </c>
      <c r="P271" s="9"/>
    </row>
    <row r="272">
      <c r="A272" s="6" t="s">
        <v>718</v>
      </c>
      <c r="B272" s="6" t="s">
        <v>719</v>
      </c>
      <c r="C272" s="6" t="s">
        <v>22</v>
      </c>
      <c r="D272" s="6" t="s">
        <v>720</v>
      </c>
      <c r="E272" s="6" t="s">
        <v>721</v>
      </c>
      <c r="F272" s="6" t="s">
        <v>152</v>
      </c>
      <c r="G272" s="7">
        <v>0.24</v>
      </c>
      <c r="H272" s="6" t="s">
        <v>398</v>
      </c>
      <c r="I272" s="6" t="s">
        <v>20</v>
      </c>
      <c r="J272" s="6">
        <v>2025.0</v>
      </c>
      <c r="K272" s="10">
        <v>46056.0</v>
      </c>
      <c r="L272" s="6">
        <v>4.0</v>
      </c>
      <c r="M272" s="8">
        <f t="shared" si="2"/>
        <v>0.96</v>
      </c>
      <c r="P272" s="9"/>
    </row>
    <row r="273">
      <c r="A273" s="6" t="s">
        <v>722</v>
      </c>
      <c r="B273" s="6" t="s">
        <v>723</v>
      </c>
      <c r="C273" s="6" t="s">
        <v>22</v>
      </c>
      <c r="D273" s="6" t="s">
        <v>724</v>
      </c>
      <c r="E273" s="6" t="s">
        <v>697</v>
      </c>
      <c r="F273" s="6" t="s">
        <v>152</v>
      </c>
      <c r="G273" s="7">
        <v>0.24</v>
      </c>
      <c r="H273" s="6" t="s">
        <v>398</v>
      </c>
      <c r="I273" s="6" t="s">
        <v>20</v>
      </c>
      <c r="J273" s="6">
        <v>2025.0</v>
      </c>
      <c r="K273" s="10">
        <v>46056.0</v>
      </c>
      <c r="L273" s="6">
        <v>2.0</v>
      </c>
      <c r="M273" s="8">
        <f t="shared" si="2"/>
        <v>0.48</v>
      </c>
      <c r="P273" s="9"/>
    </row>
    <row r="274">
      <c r="A274" s="6" t="s">
        <v>725</v>
      </c>
      <c r="B274" s="6" t="s">
        <v>726</v>
      </c>
      <c r="C274" s="6" t="s">
        <v>15</v>
      </c>
      <c r="D274" s="6" t="s">
        <v>727</v>
      </c>
      <c r="E274" s="6" t="s">
        <v>697</v>
      </c>
      <c r="F274" s="6" t="s">
        <v>152</v>
      </c>
      <c r="G274" s="7">
        <v>0.05</v>
      </c>
      <c r="H274" s="6" t="s">
        <v>398</v>
      </c>
      <c r="I274" s="6" t="s">
        <v>20</v>
      </c>
      <c r="J274" s="6">
        <v>2025.0</v>
      </c>
      <c r="K274" s="10">
        <v>46082.0</v>
      </c>
      <c r="L274" s="6">
        <v>7.0</v>
      </c>
      <c r="M274" s="8">
        <f t="shared" si="2"/>
        <v>0.35</v>
      </c>
      <c r="P274" s="9"/>
    </row>
    <row r="275">
      <c r="A275" s="6" t="s">
        <v>725</v>
      </c>
      <c r="B275" s="6" t="s">
        <v>726</v>
      </c>
      <c r="C275" s="6" t="s">
        <v>15</v>
      </c>
      <c r="D275" s="6" t="s">
        <v>727</v>
      </c>
      <c r="E275" s="6" t="s">
        <v>697</v>
      </c>
      <c r="F275" s="6" t="s">
        <v>152</v>
      </c>
      <c r="G275" s="7">
        <v>0.25</v>
      </c>
      <c r="H275" s="6" t="s">
        <v>398</v>
      </c>
      <c r="I275" s="6" t="s">
        <v>31</v>
      </c>
      <c r="J275" s="6">
        <v>2025.0</v>
      </c>
      <c r="K275" s="10">
        <v>46082.0</v>
      </c>
      <c r="L275" s="6">
        <v>2.0</v>
      </c>
      <c r="M275" s="8">
        <f t="shared" si="2"/>
        <v>0.5</v>
      </c>
      <c r="P275" s="9"/>
    </row>
    <row r="276">
      <c r="A276" s="6" t="s">
        <v>728</v>
      </c>
      <c r="B276" s="6" t="s">
        <v>729</v>
      </c>
      <c r="C276" s="6" t="s">
        <v>15</v>
      </c>
      <c r="D276" s="6" t="s">
        <v>730</v>
      </c>
      <c r="E276" s="6" t="s">
        <v>713</v>
      </c>
      <c r="F276" s="6" t="s">
        <v>152</v>
      </c>
      <c r="G276" s="7">
        <v>0.05</v>
      </c>
      <c r="H276" s="6" t="s">
        <v>398</v>
      </c>
      <c r="I276" s="6" t="s">
        <v>20</v>
      </c>
      <c r="J276" s="6">
        <v>2025.0</v>
      </c>
      <c r="K276" s="10">
        <v>46023.0</v>
      </c>
      <c r="L276" s="6">
        <v>9.0</v>
      </c>
      <c r="M276" s="8">
        <f t="shared" si="2"/>
        <v>0.45</v>
      </c>
      <c r="P276" s="9"/>
    </row>
    <row r="277">
      <c r="A277" s="6" t="s">
        <v>728</v>
      </c>
      <c r="B277" s="6" t="s">
        <v>729</v>
      </c>
      <c r="C277" s="6" t="s">
        <v>15</v>
      </c>
      <c r="D277" s="6" t="s">
        <v>730</v>
      </c>
      <c r="E277" s="6" t="s">
        <v>713</v>
      </c>
      <c r="F277" s="6" t="s">
        <v>152</v>
      </c>
      <c r="G277" s="7">
        <v>0.4</v>
      </c>
      <c r="H277" s="6" t="s">
        <v>398</v>
      </c>
      <c r="I277" s="6" t="s">
        <v>31</v>
      </c>
      <c r="J277" s="6">
        <v>2025.0</v>
      </c>
      <c r="K277" s="10">
        <v>46023.0</v>
      </c>
      <c r="L277" s="6">
        <v>1.0</v>
      </c>
      <c r="M277" s="8">
        <f t="shared" si="2"/>
        <v>0.4</v>
      </c>
      <c r="P277" s="9"/>
    </row>
    <row r="278">
      <c r="A278" s="6" t="s">
        <v>731</v>
      </c>
      <c r="B278" s="6" t="s">
        <v>82</v>
      </c>
      <c r="C278" s="6" t="s">
        <v>15</v>
      </c>
      <c r="D278" s="6" t="s">
        <v>732</v>
      </c>
      <c r="E278" s="6" t="s">
        <v>733</v>
      </c>
      <c r="F278" s="6" t="s">
        <v>152</v>
      </c>
      <c r="G278" s="7">
        <v>0.1</v>
      </c>
      <c r="H278" s="6" t="s">
        <v>398</v>
      </c>
      <c r="I278" s="6" t="s">
        <v>20</v>
      </c>
      <c r="J278" s="6">
        <v>2025.0</v>
      </c>
      <c r="L278" s="6">
        <v>10.0</v>
      </c>
      <c r="M278" s="8">
        <f t="shared" si="2"/>
        <v>1</v>
      </c>
      <c r="P278" s="9"/>
    </row>
    <row r="279">
      <c r="A279" s="6" t="s">
        <v>731</v>
      </c>
      <c r="B279" s="6" t="s">
        <v>82</v>
      </c>
      <c r="C279" s="6" t="s">
        <v>15</v>
      </c>
      <c r="D279" s="6" t="s">
        <v>732</v>
      </c>
      <c r="E279" s="6" t="s">
        <v>733</v>
      </c>
      <c r="F279" s="6" t="s">
        <v>152</v>
      </c>
      <c r="G279" s="7">
        <v>0.35</v>
      </c>
      <c r="H279" s="6" t="s">
        <v>398</v>
      </c>
      <c r="I279" s="6" t="s">
        <v>31</v>
      </c>
      <c r="J279" s="6">
        <v>2025.0</v>
      </c>
      <c r="L279" s="6">
        <v>1.0</v>
      </c>
      <c r="M279" s="8">
        <f t="shared" si="2"/>
        <v>0.35</v>
      </c>
      <c r="P279" s="9"/>
    </row>
    <row r="280">
      <c r="A280" s="6" t="s">
        <v>734</v>
      </c>
      <c r="B280" s="6" t="s">
        <v>735</v>
      </c>
      <c r="C280" s="6" t="s">
        <v>15</v>
      </c>
      <c r="D280" s="6" t="s">
        <v>736</v>
      </c>
      <c r="E280" s="6" t="s">
        <v>721</v>
      </c>
      <c r="F280" s="6" t="s">
        <v>152</v>
      </c>
      <c r="G280" s="7">
        <v>0.1</v>
      </c>
      <c r="H280" s="6" t="s">
        <v>398</v>
      </c>
      <c r="I280" s="6" t="s">
        <v>20</v>
      </c>
      <c r="J280" s="6">
        <v>2025.0</v>
      </c>
      <c r="K280" s="10">
        <v>46055.0</v>
      </c>
      <c r="L280" s="6">
        <v>10.0</v>
      </c>
      <c r="M280" s="8">
        <f t="shared" si="2"/>
        <v>1</v>
      </c>
      <c r="P280" s="9"/>
    </row>
    <row r="281">
      <c r="A281" s="6" t="s">
        <v>734</v>
      </c>
      <c r="B281" s="6" t="s">
        <v>735</v>
      </c>
      <c r="C281" s="6" t="s">
        <v>15</v>
      </c>
      <c r="D281" s="6" t="s">
        <v>736</v>
      </c>
      <c r="E281" s="6" t="s">
        <v>721</v>
      </c>
      <c r="F281" s="6" t="s">
        <v>152</v>
      </c>
      <c r="G281" s="7">
        <v>0.25</v>
      </c>
      <c r="H281" s="6" t="s">
        <v>398</v>
      </c>
      <c r="I281" s="6" t="s">
        <v>31</v>
      </c>
      <c r="J281" s="6">
        <v>2025.0</v>
      </c>
      <c r="K281" s="10">
        <v>46055.0</v>
      </c>
      <c r="L281" s="6">
        <v>1.0</v>
      </c>
      <c r="M281" s="8">
        <f t="shared" si="2"/>
        <v>0.25</v>
      </c>
      <c r="P281" s="9"/>
    </row>
    <row r="282">
      <c r="A282" s="6" t="s">
        <v>737</v>
      </c>
      <c r="B282" s="6" t="s">
        <v>63</v>
      </c>
      <c r="C282" s="6" t="s">
        <v>22</v>
      </c>
      <c r="D282" s="6" t="s">
        <v>738</v>
      </c>
      <c r="E282" s="6" t="s">
        <v>697</v>
      </c>
      <c r="F282" s="6" t="s">
        <v>152</v>
      </c>
      <c r="G282" s="7">
        <v>0.19</v>
      </c>
      <c r="H282" s="6" t="s">
        <v>398</v>
      </c>
      <c r="I282" s="6" t="s">
        <v>20</v>
      </c>
      <c r="J282" s="6">
        <v>2025.0</v>
      </c>
      <c r="L282" s="6">
        <v>1.0</v>
      </c>
      <c r="M282" s="8">
        <f t="shared" si="2"/>
        <v>0.19</v>
      </c>
      <c r="P282" s="9"/>
    </row>
    <row r="283">
      <c r="A283" s="6" t="s">
        <v>739</v>
      </c>
      <c r="B283" s="6" t="s">
        <v>740</v>
      </c>
      <c r="C283" s="6" t="s">
        <v>22</v>
      </c>
      <c r="D283" s="6" t="s">
        <v>741</v>
      </c>
      <c r="E283" s="6" t="s">
        <v>694</v>
      </c>
      <c r="F283" s="6" t="s">
        <v>152</v>
      </c>
      <c r="G283" s="7">
        <v>0.24</v>
      </c>
      <c r="H283" s="6" t="s">
        <v>398</v>
      </c>
      <c r="I283" s="6" t="s">
        <v>20</v>
      </c>
      <c r="J283" s="6">
        <v>2025.0</v>
      </c>
      <c r="K283" s="10">
        <v>46055.0</v>
      </c>
      <c r="L283" s="6">
        <v>2.0</v>
      </c>
      <c r="M283" s="8">
        <f t="shared" si="2"/>
        <v>0.48</v>
      </c>
      <c r="P283" s="9"/>
    </row>
    <row r="284">
      <c r="A284" s="6" t="s">
        <v>742</v>
      </c>
      <c r="B284" s="6" t="s">
        <v>569</v>
      </c>
      <c r="C284" s="6" t="s">
        <v>22</v>
      </c>
      <c r="D284" s="6" t="s">
        <v>743</v>
      </c>
      <c r="E284" s="6" t="s">
        <v>721</v>
      </c>
      <c r="F284" s="6" t="s">
        <v>152</v>
      </c>
      <c r="G284" s="7">
        <v>0.15</v>
      </c>
      <c r="H284" s="6" t="s">
        <v>398</v>
      </c>
      <c r="I284" s="6" t="s">
        <v>20</v>
      </c>
      <c r="J284" s="6">
        <v>2025.0</v>
      </c>
      <c r="K284" s="10">
        <v>46116.0</v>
      </c>
      <c r="L284" s="6">
        <v>1.0</v>
      </c>
      <c r="M284" s="8">
        <f t="shared" si="2"/>
        <v>0.15</v>
      </c>
      <c r="P284" s="9"/>
    </row>
    <row r="285">
      <c r="A285" s="6" t="s">
        <v>744</v>
      </c>
      <c r="B285" s="6" t="s">
        <v>745</v>
      </c>
      <c r="C285" s="6" t="s">
        <v>22</v>
      </c>
      <c r="D285" s="6" t="s">
        <v>746</v>
      </c>
      <c r="E285" s="6" t="s">
        <v>721</v>
      </c>
      <c r="F285" s="6" t="s">
        <v>152</v>
      </c>
      <c r="G285" s="7">
        <v>0.2</v>
      </c>
      <c r="H285" s="6" t="s">
        <v>398</v>
      </c>
      <c r="I285" s="6" t="s">
        <v>20</v>
      </c>
      <c r="J285" s="6">
        <v>2025.0</v>
      </c>
      <c r="K285" s="10">
        <v>46084.0</v>
      </c>
      <c r="L285" s="6">
        <v>1.0</v>
      </c>
      <c r="M285" s="8">
        <f t="shared" si="2"/>
        <v>0.2</v>
      </c>
      <c r="P285" s="9"/>
    </row>
    <row r="286">
      <c r="A286" s="6" t="s">
        <v>744</v>
      </c>
      <c r="B286" s="6" t="s">
        <v>745</v>
      </c>
      <c r="C286" s="6" t="s">
        <v>22</v>
      </c>
      <c r="D286" s="6" t="s">
        <v>746</v>
      </c>
      <c r="E286" s="6" t="s">
        <v>721</v>
      </c>
      <c r="F286" s="6" t="s">
        <v>152</v>
      </c>
      <c r="G286" s="7">
        <v>0.4</v>
      </c>
      <c r="H286" s="6" t="s">
        <v>398</v>
      </c>
      <c r="I286" s="6" t="s">
        <v>31</v>
      </c>
      <c r="J286" s="6">
        <v>2025.0</v>
      </c>
      <c r="K286" s="10">
        <v>46084.0</v>
      </c>
      <c r="L286" s="6">
        <v>1.0</v>
      </c>
      <c r="M286" s="8">
        <f t="shared" si="2"/>
        <v>0.4</v>
      </c>
      <c r="P286" s="9"/>
    </row>
    <row r="287">
      <c r="A287" s="6" t="s">
        <v>747</v>
      </c>
      <c r="B287" s="6" t="s">
        <v>748</v>
      </c>
      <c r="C287" s="6" t="s">
        <v>22</v>
      </c>
      <c r="D287" s="6" t="s">
        <v>749</v>
      </c>
      <c r="E287" s="6" t="s">
        <v>713</v>
      </c>
      <c r="F287" s="6" t="s">
        <v>152</v>
      </c>
      <c r="G287" s="7">
        <v>0.45</v>
      </c>
      <c r="H287" s="6" t="s">
        <v>398</v>
      </c>
      <c r="I287" s="6" t="s">
        <v>20</v>
      </c>
      <c r="J287" s="6">
        <v>2025.0</v>
      </c>
      <c r="K287" s="6" t="s">
        <v>750</v>
      </c>
      <c r="L287" s="6">
        <v>2.0</v>
      </c>
      <c r="M287" s="8">
        <f t="shared" si="2"/>
        <v>0.9</v>
      </c>
      <c r="P287" s="9"/>
    </row>
    <row r="288">
      <c r="A288" s="6" t="s">
        <v>747</v>
      </c>
      <c r="B288" s="6" t="s">
        <v>748</v>
      </c>
      <c r="C288" s="6" t="s">
        <v>22</v>
      </c>
      <c r="D288" s="6" t="s">
        <v>749</v>
      </c>
      <c r="E288" s="6" t="s">
        <v>713</v>
      </c>
      <c r="F288" s="6" t="s">
        <v>152</v>
      </c>
      <c r="G288" s="7">
        <v>0.1</v>
      </c>
      <c r="H288" s="6" t="s">
        <v>398</v>
      </c>
      <c r="I288" s="6" t="s">
        <v>20</v>
      </c>
      <c r="J288" s="6">
        <v>2025.0</v>
      </c>
      <c r="K288" s="6" t="s">
        <v>750</v>
      </c>
      <c r="L288" s="6">
        <v>4.0</v>
      </c>
      <c r="M288" s="8">
        <f t="shared" si="2"/>
        <v>0.4</v>
      </c>
      <c r="P288" s="9"/>
    </row>
    <row r="289">
      <c r="A289" s="6" t="s">
        <v>751</v>
      </c>
      <c r="B289" s="6" t="s">
        <v>68</v>
      </c>
      <c r="C289" s="6" t="s">
        <v>15</v>
      </c>
      <c r="D289" s="6" t="s">
        <v>752</v>
      </c>
      <c r="E289" s="6" t="s">
        <v>721</v>
      </c>
      <c r="F289" s="6" t="s">
        <v>152</v>
      </c>
      <c r="G289" s="7">
        <v>0.1</v>
      </c>
      <c r="H289" s="6" t="s">
        <v>398</v>
      </c>
      <c r="I289" s="6" t="s">
        <v>20</v>
      </c>
      <c r="J289" s="6">
        <v>2025.0</v>
      </c>
      <c r="L289" s="6">
        <v>10.0</v>
      </c>
      <c r="M289" s="8">
        <f t="shared" si="2"/>
        <v>1</v>
      </c>
      <c r="P289" s="9"/>
    </row>
    <row r="290">
      <c r="A290" s="6" t="s">
        <v>753</v>
      </c>
      <c r="B290" s="6" t="s">
        <v>14</v>
      </c>
      <c r="C290" s="6" t="s">
        <v>15</v>
      </c>
      <c r="D290" s="6" t="s">
        <v>754</v>
      </c>
      <c r="E290" s="6" t="s">
        <v>694</v>
      </c>
      <c r="F290" s="6" t="s">
        <v>152</v>
      </c>
      <c r="G290" s="7">
        <v>0.05</v>
      </c>
      <c r="H290" s="6" t="s">
        <v>398</v>
      </c>
      <c r="I290" s="6" t="s">
        <v>20</v>
      </c>
      <c r="J290" s="6">
        <v>2025.0</v>
      </c>
      <c r="L290" s="6">
        <v>10.0</v>
      </c>
      <c r="M290" s="8">
        <f t="shared" si="2"/>
        <v>0.5</v>
      </c>
      <c r="P290" s="9"/>
    </row>
    <row r="291">
      <c r="A291" s="6" t="s">
        <v>753</v>
      </c>
      <c r="B291" s="6" t="s">
        <v>14</v>
      </c>
      <c r="C291" s="6" t="s">
        <v>15</v>
      </c>
      <c r="D291" s="6" t="s">
        <v>754</v>
      </c>
      <c r="E291" s="6" t="s">
        <v>694</v>
      </c>
      <c r="F291" s="6" t="s">
        <v>152</v>
      </c>
      <c r="G291" s="7">
        <v>0.2</v>
      </c>
      <c r="H291" s="6" t="s">
        <v>398</v>
      </c>
      <c r="I291" s="6" t="s">
        <v>31</v>
      </c>
      <c r="J291" s="6">
        <v>2025.0</v>
      </c>
      <c r="L291" s="6">
        <v>1.0</v>
      </c>
      <c r="M291" s="8">
        <f t="shared" si="2"/>
        <v>0.2</v>
      </c>
      <c r="P291" s="9"/>
    </row>
    <row r="292">
      <c r="A292" s="6" t="s">
        <v>755</v>
      </c>
      <c r="B292" s="6" t="s">
        <v>756</v>
      </c>
      <c r="C292" s="6" t="s">
        <v>15</v>
      </c>
      <c r="D292" s="6" t="s">
        <v>757</v>
      </c>
      <c r="E292" s="6" t="s">
        <v>694</v>
      </c>
      <c r="F292" s="6" t="s">
        <v>152</v>
      </c>
      <c r="G292" s="7">
        <v>0.05</v>
      </c>
      <c r="H292" s="6" t="s">
        <v>398</v>
      </c>
      <c r="I292" s="6" t="s">
        <v>20</v>
      </c>
      <c r="J292" s="6">
        <v>2025.0</v>
      </c>
      <c r="K292" s="10">
        <v>46055.0</v>
      </c>
      <c r="L292" s="6">
        <v>6.0</v>
      </c>
      <c r="M292" s="8">
        <f t="shared" si="2"/>
        <v>0.3</v>
      </c>
      <c r="P292" s="9"/>
    </row>
    <row r="293">
      <c r="A293" s="6" t="s">
        <v>758</v>
      </c>
      <c r="B293" s="6" t="s">
        <v>719</v>
      </c>
      <c r="C293" s="6" t="s">
        <v>15</v>
      </c>
      <c r="D293" s="6" t="s">
        <v>759</v>
      </c>
      <c r="E293" s="6" t="s">
        <v>706</v>
      </c>
      <c r="F293" s="6" t="s">
        <v>152</v>
      </c>
      <c r="G293" s="7">
        <v>0.09</v>
      </c>
      <c r="H293" s="6" t="s">
        <v>398</v>
      </c>
      <c r="I293" s="6" t="s">
        <v>20</v>
      </c>
      <c r="J293" s="6">
        <v>2025.0</v>
      </c>
      <c r="K293" s="10">
        <v>46083.0</v>
      </c>
      <c r="L293" s="6">
        <v>8.0</v>
      </c>
      <c r="M293" s="8">
        <f t="shared" si="2"/>
        <v>0.72</v>
      </c>
      <c r="P293" s="9"/>
    </row>
    <row r="294">
      <c r="A294" s="6" t="s">
        <v>760</v>
      </c>
      <c r="B294" s="6" t="s">
        <v>761</v>
      </c>
      <c r="C294" s="6" t="s">
        <v>101</v>
      </c>
      <c r="D294" s="6" t="s">
        <v>762</v>
      </c>
      <c r="E294" s="6" t="s">
        <v>763</v>
      </c>
      <c r="F294" s="6" t="s">
        <v>18</v>
      </c>
      <c r="G294" s="7">
        <v>0.79</v>
      </c>
      <c r="H294" s="6" t="s">
        <v>398</v>
      </c>
      <c r="I294" s="6" t="s">
        <v>20</v>
      </c>
      <c r="J294" s="6">
        <v>2025.0</v>
      </c>
      <c r="K294" s="10">
        <v>46085.0</v>
      </c>
      <c r="L294" s="6">
        <v>1.0</v>
      </c>
      <c r="M294" s="8">
        <f t="shared" si="2"/>
        <v>0.79</v>
      </c>
      <c r="P294" s="9"/>
    </row>
    <row r="295">
      <c r="A295" s="6" t="s">
        <v>764</v>
      </c>
      <c r="B295" s="6" t="s">
        <v>765</v>
      </c>
      <c r="C295" s="6" t="s">
        <v>101</v>
      </c>
      <c r="D295" s="6" t="s">
        <v>766</v>
      </c>
      <c r="E295" s="6" t="s">
        <v>767</v>
      </c>
      <c r="F295" s="6" t="s">
        <v>18</v>
      </c>
      <c r="G295" s="7">
        <v>2.85</v>
      </c>
      <c r="H295" s="6" t="s">
        <v>398</v>
      </c>
      <c r="I295" s="6" t="s">
        <v>20</v>
      </c>
      <c r="J295" s="6">
        <v>2025.0</v>
      </c>
      <c r="K295" s="10">
        <v>46084.0</v>
      </c>
      <c r="L295" s="6">
        <v>1.0</v>
      </c>
      <c r="M295" s="8">
        <f t="shared" si="2"/>
        <v>2.85</v>
      </c>
      <c r="P295" s="9"/>
    </row>
    <row r="296">
      <c r="A296" s="6" t="s">
        <v>768</v>
      </c>
      <c r="B296" s="6" t="s">
        <v>769</v>
      </c>
      <c r="C296" s="6" t="s">
        <v>15</v>
      </c>
      <c r="D296" s="6" t="s">
        <v>770</v>
      </c>
      <c r="E296" s="6" t="s">
        <v>35</v>
      </c>
      <c r="F296" s="6" t="s">
        <v>18</v>
      </c>
      <c r="G296" s="7">
        <v>0.04</v>
      </c>
      <c r="H296" s="6" t="s">
        <v>548</v>
      </c>
      <c r="I296" s="6" t="s">
        <v>20</v>
      </c>
      <c r="J296" s="6">
        <v>2025.0</v>
      </c>
      <c r="K296" s="10">
        <v>46116.0</v>
      </c>
      <c r="L296" s="6">
        <v>4.0</v>
      </c>
      <c r="M296" s="8">
        <f t="shared" si="2"/>
        <v>0.16</v>
      </c>
      <c r="P296" s="9"/>
    </row>
    <row r="297">
      <c r="A297" s="6" t="s">
        <v>771</v>
      </c>
      <c r="B297" s="6" t="s">
        <v>385</v>
      </c>
      <c r="C297" s="6" t="s">
        <v>22</v>
      </c>
      <c r="D297" s="6" t="s">
        <v>772</v>
      </c>
      <c r="E297" s="6" t="s">
        <v>17</v>
      </c>
      <c r="F297" s="6" t="s">
        <v>18</v>
      </c>
      <c r="G297" s="7">
        <v>0.76</v>
      </c>
      <c r="H297" s="6" t="s">
        <v>773</v>
      </c>
      <c r="I297" s="6" t="s">
        <v>31</v>
      </c>
      <c r="J297" s="6">
        <v>2025.0</v>
      </c>
      <c r="L297" s="6">
        <v>2.0</v>
      </c>
      <c r="M297" s="8">
        <f t="shared" si="2"/>
        <v>1.52</v>
      </c>
      <c r="P297" s="9"/>
    </row>
    <row r="298">
      <c r="A298" s="6" t="s">
        <v>774</v>
      </c>
      <c r="B298" s="6" t="s">
        <v>610</v>
      </c>
      <c r="C298" s="6" t="s">
        <v>15</v>
      </c>
      <c r="D298" s="6" t="s">
        <v>775</v>
      </c>
      <c r="E298" s="6" t="s">
        <v>24</v>
      </c>
      <c r="F298" s="6" t="s">
        <v>18</v>
      </c>
      <c r="G298" s="7">
        <v>0.1</v>
      </c>
      <c r="H298" s="6" t="s">
        <v>616</v>
      </c>
      <c r="I298" s="6" t="s">
        <v>20</v>
      </c>
      <c r="J298" s="6">
        <v>2025.0</v>
      </c>
      <c r="L298" s="6">
        <v>11.0</v>
      </c>
      <c r="M298" s="8">
        <f t="shared" si="2"/>
        <v>1.1</v>
      </c>
      <c r="P298" s="9"/>
    </row>
    <row r="299">
      <c r="A299" s="6" t="s">
        <v>774</v>
      </c>
      <c r="B299" s="6" t="s">
        <v>610</v>
      </c>
      <c r="C299" s="6" t="s">
        <v>15</v>
      </c>
      <c r="D299" s="6" t="s">
        <v>775</v>
      </c>
      <c r="E299" s="6" t="s">
        <v>24</v>
      </c>
      <c r="F299" s="6" t="s">
        <v>18</v>
      </c>
      <c r="G299" s="7">
        <v>0.1</v>
      </c>
      <c r="H299" s="6" t="s">
        <v>616</v>
      </c>
      <c r="I299" s="6" t="s">
        <v>31</v>
      </c>
      <c r="J299" s="6">
        <v>2025.0</v>
      </c>
      <c r="L299" s="6">
        <v>1.0</v>
      </c>
      <c r="M299" s="8">
        <f t="shared" si="2"/>
        <v>0.1</v>
      </c>
      <c r="P299" s="9"/>
    </row>
    <row r="300">
      <c r="A300" s="6" t="s">
        <v>776</v>
      </c>
      <c r="B300" s="6" t="s">
        <v>610</v>
      </c>
      <c r="C300" s="6" t="s">
        <v>15</v>
      </c>
      <c r="D300" s="6" t="s">
        <v>777</v>
      </c>
      <c r="E300" s="6" t="s">
        <v>24</v>
      </c>
      <c r="F300" s="6" t="s">
        <v>18</v>
      </c>
      <c r="G300" s="7">
        <v>0.05</v>
      </c>
      <c r="H300" s="6" t="s">
        <v>604</v>
      </c>
      <c r="I300" s="6" t="s">
        <v>20</v>
      </c>
      <c r="J300" s="6">
        <v>2025.0</v>
      </c>
      <c r="L300" s="6">
        <v>10.0</v>
      </c>
      <c r="M300" s="8">
        <f t="shared" si="2"/>
        <v>0.5</v>
      </c>
      <c r="P300" s="9"/>
    </row>
    <row r="301">
      <c r="A301" s="6" t="s">
        <v>778</v>
      </c>
      <c r="B301" s="6" t="s">
        <v>14</v>
      </c>
      <c r="C301" s="6" t="s">
        <v>22</v>
      </c>
      <c r="D301" s="6" t="s">
        <v>779</v>
      </c>
      <c r="E301" s="6" t="s">
        <v>780</v>
      </c>
      <c r="F301" s="6" t="s">
        <v>18</v>
      </c>
      <c r="G301" s="7">
        <v>0.2</v>
      </c>
      <c r="H301" s="6" t="s">
        <v>398</v>
      </c>
      <c r="I301" s="6" t="s">
        <v>20</v>
      </c>
      <c r="J301" s="6">
        <v>2025.0</v>
      </c>
      <c r="L301" s="6">
        <v>2.0</v>
      </c>
      <c r="M301" s="8">
        <f t="shared" si="2"/>
        <v>0.4</v>
      </c>
      <c r="P301" s="9"/>
    </row>
    <row r="302">
      <c r="A302" s="6" t="s">
        <v>778</v>
      </c>
      <c r="B302" s="6" t="s">
        <v>14</v>
      </c>
      <c r="C302" s="6" t="s">
        <v>22</v>
      </c>
      <c r="D302" s="6" t="s">
        <v>779</v>
      </c>
      <c r="E302" s="6" t="s">
        <v>780</v>
      </c>
      <c r="F302" s="6" t="s">
        <v>18</v>
      </c>
      <c r="G302" s="7">
        <v>1.28</v>
      </c>
      <c r="H302" s="6" t="s">
        <v>398</v>
      </c>
      <c r="I302" s="6" t="s">
        <v>31</v>
      </c>
      <c r="J302" s="6">
        <v>2025.0</v>
      </c>
      <c r="L302" s="6">
        <v>1.0</v>
      </c>
      <c r="M302" s="8">
        <f t="shared" si="2"/>
        <v>1.28</v>
      </c>
      <c r="P302" s="9"/>
    </row>
    <row r="303">
      <c r="A303" s="6" t="s">
        <v>781</v>
      </c>
      <c r="B303" s="6" t="s">
        <v>14</v>
      </c>
      <c r="C303" s="6" t="s">
        <v>22</v>
      </c>
      <c r="D303" s="6" t="s">
        <v>782</v>
      </c>
      <c r="E303" s="6" t="s">
        <v>783</v>
      </c>
      <c r="F303" s="6" t="s">
        <v>18</v>
      </c>
      <c r="G303" s="7">
        <v>0.18</v>
      </c>
      <c r="H303" s="6" t="s">
        <v>398</v>
      </c>
      <c r="I303" s="6" t="s">
        <v>20</v>
      </c>
      <c r="J303" s="6">
        <v>2025.0</v>
      </c>
      <c r="L303" s="6">
        <v>3.0</v>
      </c>
      <c r="M303" s="8">
        <f t="shared" si="2"/>
        <v>0.54</v>
      </c>
      <c r="P303" s="9"/>
    </row>
    <row r="304">
      <c r="A304" s="6" t="s">
        <v>784</v>
      </c>
      <c r="B304" s="6" t="s">
        <v>785</v>
      </c>
      <c r="C304" s="6" t="s">
        <v>22</v>
      </c>
      <c r="D304" s="6" t="s">
        <v>786</v>
      </c>
      <c r="E304" s="6" t="s">
        <v>292</v>
      </c>
      <c r="F304" s="6" t="s">
        <v>18</v>
      </c>
      <c r="G304" s="7">
        <v>0.15</v>
      </c>
      <c r="H304" s="6" t="s">
        <v>398</v>
      </c>
      <c r="I304" s="6" t="s">
        <v>20</v>
      </c>
      <c r="J304" s="6">
        <v>2025.0</v>
      </c>
      <c r="K304" s="10">
        <v>46055.0</v>
      </c>
      <c r="L304" s="6">
        <v>1.0</v>
      </c>
      <c r="M304" s="8">
        <f t="shared" si="2"/>
        <v>0.15</v>
      </c>
      <c r="P304" s="9"/>
    </row>
    <row r="305">
      <c r="A305" s="6" t="s">
        <v>787</v>
      </c>
      <c r="B305" s="6" t="s">
        <v>788</v>
      </c>
      <c r="C305" s="6" t="s">
        <v>22</v>
      </c>
      <c r="D305" s="6" t="s">
        <v>789</v>
      </c>
      <c r="E305" s="6" t="s">
        <v>790</v>
      </c>
      <c r="F305" s="6" t="s">
        <v>18</v>
      </c>
      <c r="G305" s="7">
        <v>0.5</v>
      </c>
      <c r="H305" s="6" t="s">
        <v>398</v>
      </c>
      <c r="I305" s="6" t="s">
        <v>20</v>
      </c>
      <c r="J305" s="6">
        <v>2025.0</v>
      </c>
      <c r="K305" s="10">
        <v>46056.0</v>
      </c>
      <c r="L305" s="6">
        <v>2.0</v>
      </c>
      <c r="M305" s="8">
        <f t="shared" si="2"/>
        <v>1</v>
      </c>
      <c r="P305" s="9"/>
    </row>
    <row r="306">
      <c r="A306" s="6" t="s">
        <v>791</v>
      </c>
      <c r="B306" s="6" t="s">
        <v>792</v>
      </c>
      <c r="C306" s="6" t="s">
        <v>22</v>
      </c>
      <c r="D306" s="6" t="s">
        <v>793</v>
      </c>
      <c r="E306" s="6" t="s">
        <v>783</v>
      </c>
      <c r="F306" s="6" t="s">
        <v>18</v>
      </c>
      <c r="G306" s="7">
        <v>0.24</v>
      </c>
      <c r="H306" s="6" t="s">
        <v>398</v>
      </c>
      <c r="I306" s="6" t="s">
        <v>20</v>
      </c>
      <c r="J306" s="6">
        <v>2025.0</v>
      </c>
      <c r="K306" s="10">
        <v>46055.0</v>
      </c>
      <c r="L306" s="6">
        <v>1.0</v>
      </c>
      <c r="M306" s="8">
        <f t="shared" si="2"/>
        <v>0.24</v>
      </c>
      <c r="P306" s="9"/>
    </row>
    <row r="307">
      <c r="A307" s="6" t="s">
        <v>794</v>
      </c>
      <c r="B307" s="6" t="s">
        <v>63</v>
      </c>
      <c r="C307" s="6" t="s">
        <v>22</v>
      </c>
      <c r="D307" s="6" t="s">
        <v>795</v>
      </c>
      <c r="E307" s="6" t="s">
        <v>783</v>
      </c>
      <c r="F307" s="6" t="s">
        <v>18</v>
      </c>
      <c r="G307" s="7">
        <v>1.14</v>
      </c>
      <c r="H307" s="6" t="s">
        <v>398</v>
      </c>
      <c r="I307" s="6" t="s">
        <v>31</v>
      </c>
      <c r="J307" s="6">
        <v>2025.0</v>
      </c>
      <c r="L307" s="6">
        <v>1.0</v>
      </c>
      <c r="M307" s="8">
        <f t="shared" si="2"/>
        <v>1.14</v>
      </c>
      <c r="P307" s="9"/>
    </row>
    <row r="308">
      <c r="A308" s="6" t="s">
        <v>794</v>
      </c>
      <c r="B308" s="6" t="s">
        <v>63</v>
      </c>
      <c r="C308" s="6" t="s">
        <v>22</v>
      </c>
      <c r="D308" s="6" t="s">
        <v>795</v>
      </c>
      <c r="E308" s="6" t="s">
        <v>783</v>
      </c>
      <c r="F308" s="6" t="s">
        <v>18</v>
      </c>
      <c r="G308" s="7">
        <v>0.28</v>
      </c>
      <c r="H308" s="6" t="s">
        <v>398</v>
      </c>
      <c r="I308" s="6" t="s">
        <v>20</v>
      </c>
      <c r="J308" s="6">
        <v>2025.0</v>
      </c>
      <c r="L308" s="6">
        <v>1.0</v>
      </c>
      <c r="M308" s="8">
        <f t="shared" si="2"/>
        <v>0.28</v>
      </c>
      <c r="P308" s="9"/>
    </row>
    <row r="309">
      <c r="A309" s="6" t="s">
        <v>796</v>
      </c>
      <c r="B309" s="6" t="s">
        <v>797</v>
      </c>
      <c r="C309" s="6" t="s">
        <v>22</v>
      </c>
      <c r="D309" s="6" t="s">
        <v>798</v>
      </c>
      <c r="E309" s="6" t="s">
        <v>799</v>
      </c>
      <c r="F309" s="6" t="s">
        <v>18</v>
      </c>
      <c r="G309" s="7">
        <v>0.25</v>
      </c>
      <c r="H309" s="6" t="s">
        <v>398</v>
      </c>
      <c r="I309" s="6" t="s">
        <v>20</v>
      </c>
      <c r="J309" s="6">
        <v>2025.0</v>
      </c>
      <c r="K309" s="10">
        <v>46242.0</v>
      </c>
      <c r="L309" s="6">
        <v>1.0</v>
      </c>
      <c r="M309" s="8">
        <f t="shared" si="2"/>
        <v>0.25</v>
      </c>
      <c r="P309" s="9"/>
    </row>
    <row r="310">
      <c r="A310" s="6" t="s">
        <v>800</v>
      </c>
      <c r="B310" s="6" t="s">
        <v>68</v>
      </c>
      <c r="C310" s="6" t="s">
        <v>22</v>
      </c>
      <c r="D310" s="6" t="s">
        <v>801</v>
      </c>
      <c r="E310" s="6" t="s">
        <v>763</v>
      </c>
      <c r="F310" s="6" t="s">
        <v>18</v>
      </c>
      <c r="G310" s="7">
        <v>0.2</v>
      </c>
      <c r="H310" s="6" t="s">
        <v>398</v>
      </c>
      <c r="I310" s="6" t="s">
        <v>20</v>
      </c>
      <c r="J310" s="6">
        <v>2025.0</v>
      </c>
      <c r="L310" s="6">
        <v>1.0</v>
      </c>
      <c r="M310" s="8">
        <f t="shared" si="2"/>
        <v>0.2</v>
      </c>
      <c r="P310" s="9"/>
    </row>
    <row r="311">
      <c r="A311" s="6" t="s">
        <v>802</v>
      </c>
      <c r="B311" s="6" t="s">
        <v>63</v>
      </c>
      <c r="C311" s="6" t="s">
        <v>22</v>
      </c>
      <c r="D311" s="6" t="s">
        <v>803</v>
      </c>
      <c r="E311" s="6" t="s">
        <v>783</v>
      </c>
      <c r="F311" s="6" t="s">
        <v>18</v>
      </c>
      <c r="G311" s="7">
        <v>0.15</v>
      </c>
      <c r="H311" s="6" t="s">
        <v>398</v>
      </c>
      <c r="I311" s="6" t="s">
        <v>20</v>
      </c>
      <c r="J311" s="6">
        <v>2025.0</v>
      </c>
      <c r="L311" s="6">
        <v>1.0</v>
      </c>
      <c r="M311" s="8">
        <f t="shared" si="2"/>
        <v>0.15</v>
      </c>
      <c r="P311" s="9"/>
    </row>
    <row r="312">
      <c r="A312" s="6" t="s">
        <v>804</v>
      </c>
      <c r="B312" s="6" t="s">
        <v>82</v>
      </c>
      <c r="C312" s="6" t="s">
        <v>22</v>
      </c>
      <c r="D312" s="6" t="s">
        <v>805</v>
      </c>
      <c r="E312" s="6" t="s">
        <v>763</v>
      </c>
      <c r="F312" s="6" t="s">
        <v>18</v>
      </c>
      <c r="G312" s="7">
        <v>0.28</v>
      </c>
      <c r="H312" s="6" t="s">
        <v>398</v>
      </c>
      <c r="I312" s="6" t="s">
        <v>20</v>
      </c>
      <c r="J312" s="6">
        <v>2025.0</v>
      </c>
      <c r="L312" s="6">
        <v>1.0</v>
      </c>
      <c r="M312" s="8">
        <f t="shared" si="2"/>
        <v>0.28</v>
      </c>
      <c r="P312" s="9"/>
    </row>
    <row r="313">
      <c r="A313" s="6" t="s">
        <v>806</v>
      </c>
      <c r="B313" s="6" t="s">
        <v>423</v>
      </c>
      <c r="C313" s="6" t="s">
        <v>22</v>
      </c>
      <c r="D313" s="6" t="s">
        <v>807</v>
      </c>
      <c r="E313" s="6" t="s">
        <v>780</v>
      </c>
      <c r="F313" s="6" t="s">
        <v>18</v>
      </c>
      <c r="G313" s="7">
        <v>0.23</v>
      </c>
      <c r="H313" s="6" t="s">
        <v>398</v>
      </c>
      <c r="I313" s="6" t="s">
        <v>20</v>
      </c>
      <c r="J313" s="6">
        <v>2025.0</v>
      </c>
      <c r="K313" s="10">
        <v>46084.0</v>
      </c>
      <c r="L313" s="6">
        <v>2.0</v>
      </c>
      <c r="M313" s="8">
        <f t="shared" si="2"/>
        <v>0.46</v>
      </c>
      <c r="P313" s="9"/>
    </row>
    <row r="314">
      <c r="A314" s="6" t="s">
        <v>808</v>
      </c>
      <c r="B314" s="6" t="s">
        <v>68</v>
      </c>
      <c r="C314" s="6" t="s">
        <v>15</v>
      </c>
      <c r="D314" s="6" t="s">
        <v>809</v>
      </c>
      <c r="E314" s="6" t="s">
        <v>783</v>
      </c>
      <c r="F314" s="6" t="s">
        <v>18</v>
      </c>
      <c r="G314" s="7">
        <v>0.05</v>
      </c>
      <c r="H314" s="6" t="s">
        <v>398</v>
      </c>
      <c r="I314" s="6" t="s">
        <v>20</v>
      </c>
      <c r="J314" s="6">
        <v>2025.0</v>
      </c>
      <c r="L314" s="6">
        <v>8.0</v>
      </c>
      <c r="M314" s="8">
        <f t="shared" si="2"/>
        <v>0.4</v>
      </c>
      <c r="P314" s="9"/>
    </row>
    <row r="315">
      <c r="A315" s="6" t="s">
        <v>810</v>
      </c>
      <c r="B315" s="6" t="s">
        <v>811</v>
      </c>
      <c r="C315" s="6" t="s">
        <v>15</v>
      </c>
      <c r="D315" s="6" t="s">
        <v>812</v>
      </c>
      <c r="E315" s="6" t="s">
        <v>783</v>
      </c>
      <c r="F315" s="6" t="s">
        <v>18</v>
      </c>
      <c r="G315" s="7">
        <v>0.05</v>
      </c>
      <c r="H315" s="6" t="s">
        <v>398</v>
      </c>
      <c r="I315" s="6" t="s">
        <v>20</v>
      </c>
      <c r="J315" s="6">
        <v>2025.0</v>
      </c>
      <c r="K315" s="10">
        <v>46082.0</v>
      </c>
      <c r="L315" s="6">
        <v>7.0</v>
      </c>
      <c r="M315" s="8">
        <f t="shared" si="2"/>
        <v>0.35</v>
      </c>
      <c r="P315" s="9"/>
    </row>
    <row r="316">
      <c r="A316" s="6" t="s">
        <v>813</v>
      </c>
      <c r="B316" s="6" t="s">
        <v>68</v>
      </c>
      <c r="C316" s="6" t="s">
        <v>15</v>
      </c>
      <c r="D316" s="6" t="s">
        <v>814</v>
      </c>
      <c r="E316" s="6" t="s">
        <v>783</v>
      </c>
      <c r="F316" s="6" t="s">
        <v>18</v>
      </c>
      <c r="G316" s="7">
        <v>0.05</v>
      </c>
      <c r="H316" s="6" t="s">
        <v>398</v>
      </c>
      <c r="I316" s="6" t="s">
        <v>20</v>
      </c>
      <c r="J316" s="6">
        <v>2025.0</v>
      </c>
      <c r="L316" s="6">
        <v>6.0</v>
      </c>
      <c r="M316" s="8">
        <f t="shared" si="2"/>
        <v>0.3</v>
      </c>
      <c r="P316" s="9"/>
    </row>
    <row r="317">
      <c r="A317" s="6" t="s">
        <v>815</v>
      </c>
      <c r="B317" s="6" t="s">
        <v>811</v>
      </c>
      <c r="C317" s="6" t="s">
        <v>15</v>
      </c>
      <c r="D317" s="6" t="s">
        <v>816</v>
      </c>
      <c r="E317" s="6" t="s">
        <v>780</v>
      </c>
      <c r="F317" s="6" t="s">
        <v>18</v>
      </c>
      <c r="G317" s="7">
        <v>0.05</v>
      </c>
      <c r="H317" s="6" t="s">
        <v>398</v>
      </c>
      <c r="I317" s="6" t="s">
        <v>20</v>
      </c>
      <c r="J317" s="6">
        <v>2025.0</v>
      </c>
      <c r="K317" s="10">
        <v>46023.0</v>
      </c>
      <c r="L317" s="6">
        <v>11.0</v>
      </c>
      <c r="M317" s="8">
        <f t="shared" si="2"/>
        <v>0.55</v>
      </c>
      <c r="P317" s="9"/>
    </row>
    <row r="318">
      <c r="A318" s="6" t="s">
        <v>817</v>
      </c>
      <c r="B318" s="6" t="s">
        <v>420</v>
      </c>
      <c r="C318" s="6" t="s">
        <v>15</v>
      </c>
      <c r="D318" s="6" t="s">
        <v>818</v>
      </c>
      <c r="E318" s="6" t="s">
        <v>783</v>
      </c>
      <c r="F318" s="6" t="s">
        <v>18</v>
      </c>
      <c r="G318" s="7">
        <v>0.18</v>
      </c>
      <c r="H318" s="6" t="s">
        <v>398</v>
      </c>
      <c r="I318" s="6" t="s">
        <v>20</v>
      </c>
      <c r="J318" s="6">
        <v>2025.0</v>
      </c>
      <c r="K318" s="10">
        <v>46023.0</v>
      </c>
      <c r="L318" s="6">
        <v>8.0</v>
      </c>
      <c r="M318" s="8">
        <f t="shared" si="2"/>
        <v>1.44</v>
      </c>
      <c r="P318" s="9"/>
    </row>
    <row r="319">
      <c r="A319" s="6" t="s">
        <v>819</v>
      </c>
      <c r="B319" s="6" t="s">
        <v>820</v>
      </c>
      <c r="C319" s="6" t="s">
        <v>15</v>
      </c>
      <c r="D319" s="6" t="s">
        <v>821</v>
      </c>
      <c r="E319" s="6" t="s">
        <v>822</v>
      </c>
      <c r="F319" s="6" t="s">
        <v>18</v>
      </c>
      <c r="G319" s="7">
        <v>0.1</v>
      </c>
      <c r="H319" s="6" t="s">
        <v>398</v>
      </c>
      <c r="I319" s="6" t="s">
        <v>20</v>
      </c>
      <c r="J319" s="6">
        <v>2025.0</v>
      </c>
      <c r="K319" s="10">
        <v>46116.0</v>
      </c>
      <c r="L319" s="6">
        <v>8.0</v>
      </c>
      <c r="M319" s="8">
        <f t="shared" si="2"/>
        <v>0.8</v>
      </c>
      <c r="P319" s="9"/>
    </row>
    <row r="320">
      <c r="A320" s="6" t="s">
        <v>823</v>
      </c>
      <c r="B320" s="6" t="s">
        <v>404</v>
      </c>
      <c r="C320" s="6" t="s">
        <v>15</v>
      </c>
      <c r="D320" s="6" t="s">
        <v>824</v>
      </c>
      <c r="E320" s="6" t="s">
        <v>790</v>
      </c>
      <c r="F320" s="6" t="s">
        <v>18</v>
      </c>
      <c r="G320" s="7">
        <v>0.1</v>
      </c>
      <c r="H320" s="6" t="s">
        <v>398</v>
      </c>
      <c r="I320" s="6" t="s">
        <v>20</v>
      </c>
      <c r="J320" s="6">
        <v>2025.0</v>
      </c>
      <c r="L320" s="6">
        <v>10.0</v>
      </c>
      <c r="M320" s="8">
        <f t="shared" si="2"/>
        <v>1</v>
      </c>
      <c r="P320" s="9"/>
    </row>
    <row r="321">
      <c r="A321" s="6" t="s">
        <v>825</v>
      </c>
      <c r="B321" s="6" t="s">
        <v>68</v>
      </c>
      <c r="C321" s="6" t="s">
        <v>15</v>
      </c>
      <c r="D321" s="6" t="s">
        <v>826</v>
      </c>
      <c r="E321" s="6" t="s">
        <v>780</v>
      </c>
      <c r="F321" s="6" t="s">
        <v>18</v>
      </c>
      <c r="G321" s="7">
        <v>0.1</v>
      </c>
      <c r="H321" s="6" t="s">
        <v>398</v>
      </c>
      <c r="I321" s="6" t="s">
        <v>20</v>
      </c>
      <c r="J321" s="6">
        <v>2025.0</v>
      </c>
      <c r="L321" s="6">
        <v>4.0</v>
      </c>
      <c r="M321" s="8">
        <f t="shared" si="2"/>
        <v>0.4</v>
      </c>
      <c r="P321" s="9"/>
    </row>
    <row r="322">
      <c r="A322" s="6" t="s">
        <v>825</v>
      </c>
      <c r="B322" s="6" t="s">
        <v>68</v>
      </c>
      <c r="C322" s="6" t="s">
        <v>15</v>
      </c>
      <c r="D322" s="6" t="s">
        <v>826</v>
      </c>
      <c r="E322" s="6" t="s">
        <v>780</v>
      </c>
      <c r="F322" s="6" t="s">
        <v>18</v>
      </c>
      <c r="G322" s="7">
        <v>0.24</v>
      </c>
      <c r="H322" s="6" t="s">
        <v>398</v>
      </c>
      <c r="I322" s="6" t="s">
        <v>31</v>
      </c>
      <c r="J322" s="6">
        <v>2025.0</v>
      </c>
      <c r="L322" s="6">
        <v>1.0</v>
      </c>
      <c r="M322" s="8">
        <f t="shared" si="2"/>
        <v>0.24</v>
      </c>
      <c r="P322" s="9"/>
    </row>
    <row r="323">
      <c r="A323" s="6" t="s">
        <v>827</v>
      </c>
      <c r="B323" s="6" t="s">
        <v>14</v>
      </c>
      <c r="C323" s="6" t="s">
        <v>15</v>
      </c>
      <c r="D323" s="6" t="s">
        <v>828</v>
      </c>
      <c r="E323" s="6" t="s">
        <v>783</v>
      </c>
      <c r="F323" s="6" t="s">
        <v>18</v>
      </c>
      <c r="G323" s="7">
        <v>0.05</v>
      </c>
      <c r="H323" s="6" t="s">
        <v>398</v>
      </c>
      <c r="I323" s="6" t="s">
        <v>20</v>
      </c>
      <c r="J323" s="6">
        <v>2025.0</v>
      </c>
      <c r="L323" s="6">
        <v>11.0</v>
      </c>
      <c r="M323" s="8">
        <f t="shared" si="2"/>
        <v>0.55</v>
      </c>
      <c r="P323" s="9"/>
    </row>
    <row r="324">
      <c r="A324" s="6" t="s">
        <v>829</v>
      </c>
      <c r="B324" s="6" t="s">
        <v>830</v>
      </c>
      <c r="C324" s="6" t="s">
        <v>15</v>
      </c>
      <c r="D324" s="6" t="s">
        <v>831</v>
      </c>
      <c r="E324" s="6" t="s">
        <v>832</v>
      </c>
      <c r="F324" s="6" t="s">
        <v>18</v>
      </c>
      <c r="G324" s="7">
        <v>0.1</v>
      </c>
      <c r="H324" s="6" t="s">
        <v>398</v>
      </c>
      <c r="I324" s="6" t="s">
        <v>20</v>
      </c>
      <c r="J324" s="6">
        <v>2025.0</v>
      </c>
      <c r="K324" s="10">
        <v>46179.0</v>
      </c>
      <c r="L324" s="6">
        <v>4.0</v>
      </c>
      <c r="M324" s="8">
        <f t="shared" si="2"/>
        <v>0.4</v>
      </c>
      <c r="P324" s="9"/>
    </row>
    <row r="325">
      <c r="A325" s="6" t="s">
        <v>829</v>
      </c>
      <c r="B325" s="6" t="s">
        <v>830</v>
      </c>
      <c r="C325" s="6" t="s">
        <v>15</v>
      </c>
      <c r="D325" s="6" t="s">
        <v>831</v>
      </c>
      <c r="E325" s="6" t="s">
        <v>832</v>
      </c>
      <c r="F325" s="6" t="s">
        <v>18</v>
      </c>
      <c r="G325" s="7">
        <v>0.24</v>
      </c>
      <c r="H325" s="6" t="s">
        <v>398</v>
      </c>
      <c r="I325" s="6" t="s">
        <v>31</v>
      </c>
      <c r="J325" s="6">
        <v>2025.0</v>
      </c>
      <c r="K325" s="10">
        <v>46179.0</v>
      </c>
      <c r="L325" s="6">
        <v>1.0</v>
      </c>
      <c r="M325" s="8">
        <f t="shared" si="2"/>
        <v>0.24</v>
      </c>
      <c r="P325" s="9"/>
    </row>
    <row r="326">
      <c r="A326" s="6" t="s">
        <v>833</v>
      </c>
      <c r="B326" s="6" t="s">
        <v>834</v>
      </c>
      <c r="C326" s="6" t="s">
        <v>15</v>
      </c>
      <c r="D326" s="6" t="s">
        <v>835</v>
      </c>
      <c r="E326" s="6" t="s">
        <v>790</v>
      </c>
      <c r="F326" s="6" t="s">
        <v>18</v>
      </c>
      <c r="G326" s="7">
        <v>0.1</v>
      </c>
      <c r="H326" s="6" t="s">
        <v>398</v>
      </c>
      <c r="I326" s="6" t="s">
        <v>20</v>
      </c>
      <c r="J326" s="6">
        <v>2025.0</v>
      </c>
      <c r="K326" s="10">
        <v>46056.0</v>
      </c>
      <c r="L326" s="6">
        <v>2.0</v>
      </c>
      <c r="M326" s="8">
        <f t="shared" si="2"/>
        <v>0.2</v>
      </c>
      <c r="P326" s="9"/>
    </row>
    <row r="327">
      <c r="A327" s="6" t="s">
        <v>836</v>
      </c>
      <c r="B327" s="6" t="s">
        <v>404</v>
      </c>
      <c r="C327" s="6" t="s">
        <v>101</v>
      </c>
      <c r="D327" s="6" t="s">
        <v>837</v>
      </c>
      <c r="E327" s="6" t="s">
        <v>838</v>
      </c>
      <c r="F327" s="6" t="s">
        <v>88</v>
      </c>
      <c r="G327" s="7">
        <v>3.2</v>
      </c>
      <c r="H327" s="6" t="s">
        <v>398</v>
      </c>
      <c r="I327" s="6" t="s">
        <v>20</v>
      </c>
      <c r="J327" s="6">
        <v>2025.0</v>
      </c>
      <c r="L327" s="6">
        <v>1.0</v>
      </c>
      <c r="M327" s="8">
        <f t="shared" si="2"/>
        <v>3.2</v>
      </c>
      <c r="P327" s="9"/>
    </row>
    <row r="328">
      <c r="A328" s="6" t="s">
        <v>839</v>
      </c>
      <c r="B328" s="6" t="s">
        <v>840</v>
      </c>
      <c r="C328" s="6" t="s">
        <v>101</v>
      </c>
      <c r="D328" s="6" t="s">
        <v>841</v>
      </c>
      <c r="E328" s="6" t="s">
        <v>842</v>
      </c>
      <c r="F328" s="6" t="s">
        <v>88</v>
      </c>
      <c r="G328" s="7">
        <v>2.3</v>
      </c>
      <c r="H328" s="6" t="s">
        <v>398</v>
      </c>
      <c r="I328" s="6" t="s">
        <v>20</v>
      </c>
      <c r="J328" s="6">
        <v>2025.0</v>
      </c>
      <c r="K328" s="10">
        <v>46179.0</v>
      </c>
      <c r="L328" s="6">
        <v>1.0</v>
      </c>
      <c r="M328" s="8">
        <f t="shared" si="2"/>
        <v>2.3</v>
      </c>
      <c r="P328" s="9"/>
    </row>
    <row r="329">
      <c r="A329" s="6" t="s">
        <v>843</v>
      </c>
      <c r="B329" s="6" t="s">
        <v>844</v>
      </c>
      <c r="C329" s="6" t="s">
        <v>101</v>
      </c>
      <c r="D329" s="6" t="s">
        <v>845</v>
      </c>
      <c r="E329" s="6" t="s">
        <v>842</v>
      </c>
      <c r="F329" s="6" t="s">
        <v>88</v>
      </c>
      <c r="G329" s="7">
        <v>0.73</v>
      </c>
      <c r="H329" s="6" t="s">
        <v>398</v>
      </c>
      <c r="I329" s="6" t="s">
        <v>20</v>
      </c>
      <c r="J329" s="6">
        <v>2025.0</v>
      </c>
      <c r="K329" s="10">
        <v>46146.0</v>
      </c>
      <c r="L329" s="6">
        <v>1.0</v>
      </c>
      <c r="M329" s="8">
        <f t="shared" si="2"/>
        <v>0.73</v>
      </c>
      <c r="P329" s="9"/>
    </row>
    <row r="330">
      <c r="A330" s="6" t="s">
        <v>846</v>
      </c>
      <c r="B330" s="6" t="s">
        <v>847</v>
      </c>
      <c r="C330" s="6" t="s">
        <v>15</v>
      </c>
      <c r="D330" s="6" t="s">
        <v>848</v>
      </c>
      <c r="E330" s="6" t="s">
        <v>87</v>
      </c>
      <c r="F330" s="6" t="s">
        <v>88</v>
      </c>
      <c r="G330" s="7">
        <v>0.05</v>
      </c>
      <c r="H330" s="6" t="s">
        <v>598</v>
      </c>
      <c r="I330" s="6" t="s">
        <v>20</v>
      </c>
      <c r="J330" s="6">
        <v>2025.0</v>
      </c>
      <c r="K330" s="10">
        <v>46082.0</v>
      </c>
      <c r="L330" s="6">
        <v>6.0</v>
      </c>
      <c r="M330" s="8">
        <f t="shared" si="2"/>
        <v>0.3</v>
      </c>
      <c r="P330" s="9"/>
    </row>
    <row r="331">
      <c r="A331" s="6" t="s">
        <v>846</v>
      </c>
      <c r="B331" s="6" t="s">
        <v>847</v>
      </c>
      <c r="C331" s="6" t="s">
        <v>15</v>
      </c>
      <c r="D331" s="6" t="s">
        <v>848</v>
      </c>
      <c r="E331" s="6" t="s">
        <v>87</v>
      </c>
      <c r="F331" s="6" t="s">
        <v>88</v>
      </c>
      <c r="G331" s="7">
        <v>0.05</v>
      </c>
      <c r="H331" s="6" t="s">
        <v>598</v>
      </c>
      <c r="I331" s="6" t="s">
        <v>31</v>
      </c>
      <c r="J331" s="6">
        <v>2025.0</v>
      </c>
      <c r="K331" s="10">
        <v>46082.0</v>
      </c>
      <c r="L331" s="6">
        <v>1.0</v>
      </c>
      <c r="M331" s="8">
        <f t="shared" si="2"/>
        <v>0.05</v>
      </c>
      <c r="P331" s="9"/>
    </row>
    <row r="332">
      <c r="A332" s="6" t="s">
        <v>849</v>
      </c>
      <c r="B332" s="6" t="s">
        <v>850</v>
      </c>
      <c r="C332" s="6" t="s">
        <v>15</v>
      </c>
      <c r="D332" s="6" t="s">
        <v>851</v>
      </c>
      <c r="E332" s="6" t="s">
        <v>103</v>
      </c>
      <c r="F332" s="6" t="s">
        <v>88</v>
      </c>
      <c r="G332" s="7">
        <v>0.05</v>
      </c>
      <c r="H332" s="6" t="s">
        <v>616</v>
      </c>
      <c r="I332" s="6" t="s">
        <v>20</v>
      </c>
      <c r="J332" s="6">
        <v>2025.0</v>
      </c>
      <c r="K332" s="10">
        <v>46024.0</v>
      </c>
      <c r="L332" s="6">
        <v>3.0</v>
      </c>
      <c r="M332" s="8">
        <f t="shared" si="2"/>
        <v>0.15</v>
      </c>
      <c r="P332" s="9"/>
    </row>
    <row r="333">
      <c r="A333" s="6" t="s">
        <v>852</v>
      </c>
      <c r="B333" s="6" t="s">
        <v>853</v>
      </c>
      <c r="C333" s="6" t="s">
        <v>22</v>
      </c>
      <c r="D333" s="6" t="s">
        <v>854</v>
      </c>
      <c r="E333" s="6" t="s">
        <v>87</v>
      </c>
      <c r="F333" s="6" t="s">
        <v>88</v>
      </c>
      <c r="G333" s="7">
        <v>0.05</v>
      </c>
      <c r="H333" s="6" t="s">
        <v>598</v>
      </c>
      <c r="I333" s="6" t="s">
        <v>20</v>
      </c>
      <c r="J333" s="6">
        <v>2025.0</v>
      </c>
      <c r="K333" s="10">
        <v>46024.0</v>
      </c>
      <c r="L333" s="6">
        <v>2.0</v>
      </c>
      <c r="M333" s="8">
        <f t="shared" si="2"/>
        <v>0.1</v>
      </c>
      <c r="P333" s="9"/>
    </row>
    <row r="334">
      <c r="A334" s="6" t="s">
        <v>855</v>
      </c>
      <c r="B334" s="6" t="s">
        <v>610</v>
      </c>
      <c r="C334" s="6" t="s">
        <v>15</v>
      </c>
      <c r="D334" s="6" t="s">
        <v>856</v>
      </c>
      <c r="E334" s="6" t="s">
        <v>113</v>
      </c>
      <c r="F334" s="6" t="s">
        <v>88</v>
      </c>
      <c r="G334" s="7">
        <v>0.2</v>
      </c>
      <c r="H334" s="6" t="s">
        <v>857</v>
      </c>
      <c r="I334" s="6" t="s">
        <v>20</v>
      </c>
      <c r="J334" s="6">
        <v>2025.0</v>
      </c>
      <c r="L334" s="6">
        <v>6.0</v>
      </c>
      <c r="M334" s="8">
        <f t="shared" si="2"/>
        <v>1.2</v>
      </c>
      <c r="P334" s="9"/>
    </row>
    <row r="335">
      <c r="A335" s="6" t="s">
        <v>858</v>
      </c>
      <c r="B335" s="6" t="s">
        <v>859</v>
      </c>
      <c r="C335" s="6" t="s">
        <v>15</v>
      </c>
      <c r="D335" s="6" t="s">
        <v>860</v>
      </c>
      <c r="E335" s="6" t="s">
        <v>842</v>
      </c>
      <c r="F335" s="6" t="s">
        <v>88</v>
      </c>
      <c r="G335" s="7">
        <v>0.05</v>
      </c>
      <c r="H335" s="6" t="s">
        <v>398</v>
      </c>
      <c r="I335" s="6" t="s">
        <v>20</v>
      </c>
      <c r="J335" s="6">
        <v>2025.0</v>
      </c>
      <c r="K335" s="10">
        <v>46117.0</v>
      </c>
      <c r="L335" s="6">
        <v>7.0</v>
      </c>
      <c r="M335" s="8">
        <f t="shared" si="2"/>
        <v>0.35</v>
      </c>
      <c r="P335" s="9"/>
    </row>
    <row r="336">
      <c r="A336" s="6" t="s">
        <v>858</v>
      </c>
      <c r="B336" s="6" t="s">
        <v>859</v>
      </c>
      <c r="C336" s="6" t="s">
        <v>15</v>
      </c>
      <c r="D336" s="6" t="s">
        <v>860</v>
      </c>
      <c r="E336" s="6" t="s">
        <v>842</v>
      </c>
      <c r="F336" s="6" t="s">
        <v>88</v>
      </c>
      <c r="G336" s="7">
        <v>0.24</v>
      </c>
      <c r="H336" s="6" t="s">
        <v>398</v>
      </c>
      <c r="I336" s="6" t="s">
        <v>31</v>
      </c>
      <c r="J336" s="6">
        <v>2025.0</v>
      </c>
      <c r="K336" s="10">
        <v>46117.0</v>
      </c>
      <c r="L336" s="6">
        <v>2.0</v>
      </c>
      <c r="M336" s="8">
        <f t="shared" si="2"/>
        <v>0.48</v>
      </c>
      <c r="P336" s="9"/>
    </row>
    <row r="337">
      <c r="A337" s="6" t="s">
        <v>861</v>
      </c>
      <c r="B337" s="6" t="s">
        <v>68</v>
      </c>
      <c r="C337" s="6" t="s">
        <v>15</v>
      </c>
      <c r="D337" s="6" t="s">
        <v>862</v>
      </c>
      <c r="E337" s="6" t="s">
        <v>863</v>
      </c>
      <c r="F337" s="6" t="s">
        <v>88</v>
      </c>
      <c r="G337" s="7">
        <v>0.1</v>
      </c>
      <c r="H337" s="6" t="s">
        <v>398</v>
      </c>
      <c r="I337" s="6" t="s">
        <v>20</v>
      </c>
      <c r="J337" s="6">
        <v>2025.0</v>
      </c>
      <c r="L337" s="6">
        <v>7.0</v>
      </c>
      <c r="M337" s="8">
        <f t="shared" si="2"/>
        <v>0.7</v>
      </c>
      <c r="P337" s="9"/>
    </row>
    <row r="338">
      <c r="A338" s="6" t="s">
        <v>864</v>
      </c>
      <c r="B338" s="6" t="s">
        <v>14</v>
      </c>
      <c r="C338" s="6" t="s">
        <v>15</v>
      </c>
      <c r="D338" s="6" t="s">
        <v>865</v>
      </c>
      <c r="E338" s="6" t="s">
        <v>866</v>
      </c>
      <c r="F338" s="6" t="s">
        <v>88</v>
      </c>
      <c r="G338" s="7">
        <v>0.05</v>
      </c>
      <c r="H338" s="6" t="s">
        <v>398</v>
      </c>
      <c r="I338" s="6" t="s">
        <v>20</v>
      </c>
      <c r="J338" s="6">
        <v>2025.0</v>
      </c>
      <c r="L338" s="6">
        <v>6.0</v>
      </c>
      <c r="M338" s="8">
        <f t="shared" si="2"/>
        <v>0.3</v>
      </c>
      <c r="P338" s="9"/>
    </row>
    <row r="339">
      <c r="A339" s="6" t="s">
        <v>867</v>
      </c>
      <c r="B339" s="6" t="s">
        <v>14</v>
      </c>
      <c r="C339" s="6" t="s">
        <v>15</v>
      </c>
      <c r="D339" s="6" t="s">
        <v>868</v>
      </c>
      <c r="E339" s="6" t="s">
        <v>838</v>
      </c>
      <c r="F339" s="6" t="s">
        <v>88</v>
      </c>
      <c r="G339" s="7">
        <v>0.05</v>
      </c>
      <c r="H339" s="6" t="s">
        <v>398</v>
      </c>
      <c r="I339" s="6" t="s">
        <v>20</v>
      </c>
      <c r="J339" s="6">
        <v>2025.0</v>
      </c>
      <c r="L339" s="6">
        <v>8.0</v>
      </c>
      <c r="M339" s="8">
        <f t="shared" si="2"/>
        <v>0.4</v>
      </c>
      <c r="P339" s="9"/>
    </row>
    <row r="340">
      <c r="A340" s="6" t="s">
        <v>867</v>
      </c>
      <c r="B340" s="6" t="s">
        <v>14</v>
      </c>
      <c r="C340" s="6" t="s">
        <v>15</v>
      </c>
      <c r="D340" s="6" t="s">
        <v>868</v>
      </c>
      <c r="E340" s="6" t="s">
        <v>838</v>
      </c>
      <c r="F340" s="6" t="s">
        <v>88</v>
      </c>
      <c r="G340" s="7">
        <v>0.25</v>
      </c>
      <c r="H340" s="6" t="s">
        <v>398</v>
      </c>
      <c r="I340" s="6" t="s">
        <v>31</v>
      </c>
      <c r="J340" s="6">
        <v>2025.0</v>
      </c>
      <c r="L340" s="6">
        <v>1.0</v>
      </c>
      <c r="M340" s="8">
        <f t="shared" si="2"/>
        <v>0.25</v>
      </c>
      <c r="P340" s="9"/>
    </row>
    <row r="341">
      <c r="A341" s="6" t="s">
        <v>869</v>
      </c>
      <c r="B341" s="6" t="s">
        <v>68</v>
      </c>
      <c r="C341" s="6" t="s">
        <v>15</v>
      </c>
      <c r="D341" s="6" t="s">
        <v>870</v>
      </c>
      <c r="E341" s="6" t="s">
        <v>871</v>
      </c>
      <c r="F341" s="6" t="s">
        <v>88</v>
      </c>
      <c r="G341" s="7">
        <v>0.05</v>
      </c>
      <c r="H341" s="6" t="s">
        <v>398</v>
      </c>
      <c r="I341" s="6" t="s">
        <v>20</v>
      </c>
      <c r="J341" s="6">
        <v>2025.0</v>
      </c>
      <c r="L341" s="6">
        <v>6.0</v>
      </c>
      <c r="M341" s="8">
        <f t="shared" si="2"/>
        <v>0.3</v>
      </c>
      <c r="P341" s="9"/>
    </row>
    <row r="342">
      <c r="A342" s="6" t="s">
        <v>869</v>
      </c>
      <c r="B342" s="6" t="s">
        <v>68</v>
      </c>
      <c r="C342" s="6" t="s">
        <v>15</v>
      </c>
      <c r="D342" s="6" t="s">
        <v>870</v>
      </c>
      <c r="E342" s="6" t="s">
        <v>871</v>
      </c>
      <c r="F342" s="6" t="s">
        <v>88</v>
      </c>
      <c r="G342" s="7">
        <v>0.14</v>
      </c>
      <c r="H342" s="6" t="s">
        <v>398</v>
      </c>
      <c r="I342" s="6" t="s">
        <v>31</v>
      </c>
      <c r="J342" s="6">
        <v>2025.0</v>
      </c>
      <c r="L342" s="6">
        <v>3.0</v>
      </c>
      <c r="M342" s="8">
        <f t="shared" si="2"/>
        <v>0.42</v>
      </c>
      <c r="P342" s="9"/>
    </row>
    <row r="343">
      <c r="A343" s="6" t="s">
        <v>872</v>
      </c>
      <c r="B343" s="6" t="s">
        <v>873</v>
      </c>
      <c r="C343" s="6" t="s">
        <v>15</v>
      </c>
      <c r="D343" s="6" t="s">
        <v>874</v>
      </c>
      <c r="E343" s="6" t="s">
        <v>838</v>
      </c>
      <c r="F343" s="6" t="s">
        <v>88</v>
      </c>
      <c r="G343" s="7">
        <v>0.05</v>
      </c>
      <c r="H343" s="6" t="s">
        <v>398</v>
      </c>
      <c r="I343" s="6" t="s">
        <v>20</v>
      </c>
      <c r="J343" s="6">
        <v>2025.0</v>
      </c>
      <c r="K343" s="10">
        <v>46113.0</v>
      </c>
      <c r="L343" s="6">
        <v>5.0</v>
      </c>
      <c r="M343" s="8">
        <f t="shared" si="2"/>
        <v>0.25</v>
      </c>
      <c r="P343" s="9"/>
    </row>
    <row r="344">
      <c r="A344" s="6" t="s">
        <v>872</v>
      </c>
      <c r="B344" s="6" t="s">
        <v>873</v>
      </c>
      <c r="C344" s="6" t="s">
        <v>15</v>
      </c>
      <c r="D344" s="6" t="s">
        <v>874</v>
      </c>
      <c r="E344" s="6" t="s">
        <v>838</v>
      </c>
      <c r="F344" s="6" t="s">
        <v>88</v>
      </c>
      <c r="G344" s="7">
        <v>0.24</v>
      </c>
      <c r="H344" s="6" t="s">
        <v>398</v>
      </c>
      <c r="I344" s="6" t="s">
        <v>31</v>
      </c>
      <c r="J344" s="6">
        <v>2025.0</v>
      </c>
      <c r="K344" s="10">
        <v>46113.0</v>
      </c>
      <c r="L344" s="6">
        <v>1.0</v>
      </c>
      <c r="M344" s="8">
        <f t="shared" si="2"/>
        <v>0.24</v>
      </c>
      <c r="P344" s="9"/>
    </row>
    <row r="345">
      <c r="A345" s="6" t="s">
        <v>875</v>
      </c>
      <c r="B345" s="6" t="s">
        <v>404</v>
      </c>
      <c r="C345" s="6" t="s">
        <v>15</v>
      </c>
      <c r="D345" s="6" t="s">
        <v>876</v>
      </c>
      <c r="E345" s="6" t="s">
        <v>838</v>
      </c>
      <c r="F345" s="6" t="s">
        <v>88</v>
      </c>
      <c r="G345" s="7">
        <v>0.09</v>
      </c>
      <c r="H345" s="6" t="s">
        <v>398</v>
      </c>
      <c r="I345" s="6" t="s">
        <v>20</v>
      </c>
      <c r="J345" s="6">
        <v>2025.0</v>
      </c>
      <c r="L345" s="6">
        <v>5.0</v>
      </c>
      <c r="M345" s="8">
        <f t="shared" si="2"/>
        <v>0.45</v>
      </c>
      <c r="P345" s="9"/>
    </row>
    <row r="346">
      <c r="A346" s="6" t="s">
        <v>877</v>
      </c>
      <c r="B346" s="6" t="s">
        <v>82</v>
      </c>
      <c r="C346" s="6" t="s">
        <v>22</v>
      </c>
      <c r="D346" s="6" t="s">
        <v>878</v>
      </c>
      <c r="E346" s="6" t="s">
        <v>871</v>
      </c>
      <c r="F346" s="6" t="s">
        <v>88</v>
      </c>
      <c r="G346" s="7">
        <v>0.2</v>
      </c>
      <c r="H346" s="6" t="s">
        <v>398</v>
      </c>
      <c r="I346" s="6" t="s">
        <v>20</v>
      </c>
      <c r="J346" s="6">
        <v>2025.0</v>
      </c>
      <c r="L346" s="6">
        <v>1.0</v>
      </c>
      <c r="M346" s="8">
        <f t="shared" si="2"/>
        <v>0.2</v>
      </c>
      <c r="P346" s="9"/>
    </row>
    <row r="347">
      <c r="A347" s="6" t="s">
        <v>879</v>
      </c>
      <c r="B347" s="6" t="s">
        <v>63</v>
      </c>
      <c r="C347" s="6" t="s">
        <v>22</v>
      </c>
      <c r="D347" s="6" t="s">
        <v>880</v>
      </c>
      <c r="E347" s="6" t="s">
        <v>871</v>
      </c>
      <c r="F347" s="6" t="s">
        <v>88</v>
      </c>
      <c r="G347" s="7">
        <v>0.14</v>
      </c>
      <c r="H347" s="6" t="s">
        <v>398</v>
      </c>
      <c r="I347" s="6" t="s">
        <v>20</v>
      </c>
      <c r="J347" s="6">
        <v>2025.0</v>
      </c>
      <c r="L347" s="6">
        <v>1.0</v>
      </c>
      <c r="M347" s="8">
        <f t="shared" si="2"/>
        <v>0.14</v>
      </c>
      <c r="P347" s="9"/>
    </row>
    <row r="348">
      <c r="A348" s="6" t="s">
        <v>881</v>
      </c>
      <c r="B348" s="6" t="s">
        <v>882</v>
      </c>
      <c r="C348" s="6" t="s">
        <v>22</v>
      </c>
      <c r="D348" s="6" t="s">
        <v>883</v>
      </c>
      <c r="E348" s="6" t="s">
        <v>838</v>
      </c>
      <c r="F348" s="6" t="s">
        <v>88</v>
      </c>
      <c r="G348" s="7">
        <v>0.05</v>
      </c>
      <c r="H348" s="6" t="s">
        <v>398</v>
      </c>
      <c r="I348" s="6" t="s">
        <v>20</v>
      </c>
      <c r="J348" s="6">
        <v>2025.0</v>
      </c>
      <c r="K348" s="10">
        <v>46024.0</v>
      </c>
      <c r="L348" s="6">
        <v>2.0</v>
      </c>
      <c r="M348" s="8">
        <f t="shared" si="2"/>
        <v>0.1</v>
      </c>
      <c r="P348" s="9"/>
    </row>
    <row r="349">
      <c r="A349" s="6" t="s">
        <v>884</v>
      </c>
      <c r="B349" s="6" t="s">
        <v>476</v>
      </c>
      <c r="C349" s="6" t="s">
        <v>22</v>
      </c>
      <c r="D349" s="6" t="s">
        <v>885</v>
      </c>
      <c r="E349" s="6" t="s">
        <v>863</v>
      </c>
      <c r="F349" s="6" t="s">
        <v>88</v>
      </c>
      <c r="G349" s="7">
        <v>1.13</v>
      </c>
      <c r="H349" s="6" t="s">
        <v>398</v>
      </c>
      <c r="I349" s="6" t="s">
        <v>31</v>
      </c>
      <c r="J349" s="6">
        <v>2025.0</v>
      </c>
      <c r="K349" s="10">
        <v>46055.0</v>
      </c>
      <c r="L349" s="6">
        <v>1.0</v>
      </c>
      <c r="M349" s="8">
        <f t="shared" si="2"/>
        <v>1.13</v>
      </c>
      <c r="P349" s="9"/>
    </row>
    <row r="350">
      <c r="A350" s="6" t="s">
        <v>886</v>
      </c>
      <c r="B350" s="6" t="s">
        <v>887</v>
      </c>
      <c r="C350" s="6" t="s">
        <v>15</v>
      </c>
      <c r="D350" s="6" t="s">
        <v>888</v>
      </c>
      <c r="E350" s="6" t="s">
        <v>871</v>
      </c>
      <c r="F350" s="6" t="s">
        <v>88</v>
      </c>
      <c r="G350" s="7">
        <v>0.05</v>
      </c>
      <c r="H350" s="6" t="s">
        <v>398</v>
      </c>
      <c r="I350" s="6" t="s">
        <v>20</v>
      </c>
      <c r="J350" s="6">
        <v>2025.0</v>
      </c>
      <c r="K350" s="10">
        <v>46084.0</v>
      </c>
      <c r="L350" s="6">
        <v>4.0</v>
      </c>
      <c r="M350" s="8">
        <f t="shared" si="2"/>
        <v>0.2</v>
      </c>
      <c r="P350" s="9"/>
    </row>
    <row r="351">
      <c r="A351" s="6" t="s">
        <v>886</v>
      </c>
      <c r="B351" s="6" t="s">
        <v>887</v>
      </c>
      <c r="C351" s="6" t="s">
        <v>15</v>
      </c>
      <c r="D351" s="6" t="s">
        <v>888</v>
      </c>
      <c r="E351" s="6" t="s">
        <v>871</v>
      </c>
      <c r="F351" s="6" t="s">
        <v>88</v>
      </c>
      <c r="G351" s="7">
        <v>0.4</v>
      </c>
      <c r="H351" s="6" t="s">
        <v>398</v>
      </c>
      <c r="I351" s="6" t="s">
        <v>31</v>
      </c>
      <c r="J351" s="6">
        <v>2025.0</v>
      </c>
      <c r="K351" s="10">
        <v>46084.0</v>
      </c>
      <c r="L351" s="6">
        <v>2.0</v>
      </c>
      <c r="M351" s="8">
        <f t="shared" si="2"/>
        <v>0.8</v>
      </c>
      <c r="P351" s="9"/>
    </row>
    <row r="352">
      <c r="A352" s="6" t="s">
        <v>889</v>
      </c>
      <c r="B352" s="6" t="s">
        <v>14</v>
      </c>
      <c r="C352" s="6" t="s">
        <v>22</v>
      </c>
      <c r="D352" s="6" t="s">
        <v>890</v>
      </c>
      <c r="E352" s="6" t="s">
        <v>871</v>
      </c>
      <c r="F352" s="6" t="s">
        <v>88</v>
      </c>
      <c r="G352" s="7">
        <v>0.14</v>
      </c>
      <c r="H352" s="6" t="s">
        <v>398</v>
      </c>
      <c r="I352" s="6" t="s">
        <v>20</v>
      </c>
      <c r="J352" s="6">
        <v>2025.0</v>
      </c>
      <c r="L352" s="6">
        <v>3.0</v>
      </c>
      <c r="M352" s="8">
        <f t="shared" si="2"/>
        <v>0.42</v>
      </c>
      <c r="P352" s="9"/>
    </row>
    <row r="353">
      <c r="A353" s="6" t="s">
        <v>891</v>
      </c>
      <c r="B353" s="6" t="s">
        <v>68</v>
      </c>
      <c r="C353" s="6" t="s">
        <v>22</v>
      </c>
      <c r="D353" s="6" t="s">
        <v>892</v>
      </c>
      <c r="E353" s="6" t="s">
        <v>893</v>
      </c>
      <c r="F353" s="6" t="s">
        <v>88</v>
      </c>
      <c r="G353" s="7">
        <v>0.19</v>
      </c>
      <c r="H353" s="6" t="s">
        <v>398</v>
      </c>
      <c r="I353" s="6" t="s">
        <v>20</v>
      </c>
      <c r="J353" s="6">
        <v>2025.0</v>
      </c>
      <c r="L353" s="6">
        <v>3.0</v>
      </c>
      <c r="M353" s="8">
        <f t="shared" si="2"/>
        <v>0.57</v>
      </c>
      <c r="P353" s="9"/>
    </row>
    <row r="354">
      <c r="A354" s="6" t="s">
        <v>891</v>
      </c>
      <c r="B354" s="6" t="s">
        <v>68</v>
      </c>
      <c r="C354" s="6" t="s">
        <v>22</v>
      </c>
      <c r="D354" s="6" t="s">
        <v>892</v>
      </c>
      <c r="E354" s="6" t="s">
        <v>893</v>
      </c>
      <c r="F354" s="6" t="s">
        <v>88</v>
      </c>
      <c r="G354" s="7">
        <v>0.4</v>
      </c>
      <c r="H354" s="6" t="s">
        <v>398</v>
      </c>
      <c r="I354" s="6" t="s">
        <v>31</v>
      </c>
      <c r="J354" s="6">
        <v>2025.0</v>
      </c>
      <c r="L354" s="6">
        <v>1.0</v>
      </c>
      <c r="M354" s="8">
        <f t="shared" si="2"/>
        <v>0.4</v>
      </c>
      <c r="P354" s="9"/>
    </row>
    <row r="355">
      <c r="A355" s="6" t="s">
        <v>894</v>
      </c>
      <c r="B355" s="6" t="s">
        <v>895</v>
      </c>
      <c r="C355" s="6" t="s">
        <v>15</v>
      </c>
      <c r="D355" s="6" t="s">
        <v>896</v>
      </c>
      <c r="E355" s="6" t="s">
        <v>863</v>
      </c>
      <c r="F355" s="6" t="s">
        <v>88</v>
      </c>
      <c r="G355" s="7">
        <v>0.05</v>
      </c>
      <c r="H355" s="6" t="s">
        <v>398</v>
      </c>
      <c r="I355" s="6" t="s">
        <v>20</v>
      </c>
      <c r="J355" s="6">
        <v>2025.0</v>
      </c>
      <c r="K355" s="10">
        <v>46113.0</v>
      </c>
      <c r="L355" s="6">
        <v>7.0</v>
      </c>
      <c r="M355" s="8">
        <f t="shared" si="2"/>
        <v>0.35</v>
      </c>
      <c r="P355" s="9"/>
    </row>
    <row r="356">
      <c r="A356" s="6" t="s">
        <v>897</v>
      </c>
      <c r="B356" s="6" t="s">
        <v>33</v>
      </c>
      <c r="C356" s="6" t="s">
        <v>15</v>
      </c>
      <c r="D356" s="6" t="s">
        <v>898</v>
      </c>
      <c r="E356" s="6" t="s">
        <v>863</v>
      </c>
      <c r="F356" s="6" t="s">
        <v>88</v>
      </c>
      <c r="G356" s="7">
        <v>0.02</v>
      </c>
      <c r="H356" s="6" t="s">
        <v>398</v>
      </c>
      <c r="I356" s="6" t="s">
        <v>20</v>
      </c>
      <c r="J356" s="6">
        <v>2025.0</v>
      </c>
      <c r="L356" s="6">
        <v>10.0</v>
      </c>
      <c r="M356" s="8">
        <f t="shared" si="2"/>
        <v>0.2</v>
      </c>
      <c r="P356" s="9"/>
    </row>
    <row r="357">
      <c r="A357" s="6" t="s">
        <v>897</v>
      </c>
      <c r="B357" s="6" t="s">
        <v>33</v>
      </c>
      <c r="C357" s="6" t="s">
        <v>15</v>
      </c>
      <c r="D357" s="6" t="s">
        <v>898</v>
      </c>
      <c r="E357" s="6" t="s">
        <v>863</v>
      </c>
      <c r="F357" s="6" t="s">
        <v>88</v>
      </c>
      <c r="G357" s="7">
        <v>0.2</v>
      </c>
      <c r="H357" s="6" t="s">
        <v>398</v>
      </c>
      <c r="I357" s="6" t="s">
        <v>20</v>
      </c>
      <c r="J357" s="6">
        <v>2025.0</v>
      </c>
      <c r="L357" s="6">
        <v>1.0</v>
      </c>
      <c r="M357" s="8">
        <f t="shared" si="2"/>
        <v>0.2</v>
      </c>
      <c r="P357" s="9"/>
    </row>
    <row r="358">
      <c r="A358" s="6" t="s">
        <v>899</v>
      </c>
      <c r="B358" s="6" t="s">
        <v>14</v>
      </c>
      <c r="C358" s="6" t="s">
        <v>15</v>
      </c>
      <c r="D358" s="6" t="s">
        <v>900</v>
      </c>
      <c r="E358" s="6" t="s">
        <v>838</v>
      </c>
      <c r="F358" s="6" t="s">
        <v>88</v>
      </c>
      <c r="G358" s="7">
        <v>0.1</v>
      </c>
      <c r="H358" s="6" t="s">
        <v>398</v>
      </c>
      <c r="I358" s="6" t="s">
        <v>20</v>
      </c>
      <c r="J358" s="6">
        <v>2025.0</v>
      </c>
      <c r="L358" s="6">
        <v>8.0</v>
      </c>
      <c r="M358" s="8">
        <f t="shared" si="2"/>
        <v>0.8</v>
      </c>
      <c r="P358" s="9"/>
    </row>
    <row r="359">
      <c r="A359" s="6" t="s">
        <v>899</v>
      </c>
      <c r="B359" s="6" t="s">
        <v>14</v>
      </c>
      <c r="C359" s="6" t="s">
        <v>15</v>
      </c>
      <c r="D359" s="6" t="s">
        <v>900</v>
      </c>
      <c r="E359" s="6" t="s">
        <v>838</v>
      </c>
      <c r="F359" s="6" t="s">
        <v>88</v>
      </c>
      <c r="G359" s="7">
        <v>0.4</v>
      </c>
      <c r="H359" s="6" t="s">
        <v>398</v>
      </c>
      <c r="I359" s="6" t="s">
        <v>31</v>
      </c>
      <c r="J359" s="6">
        <v>2025.0</v>
      </c>
      <c r="L359" s="6">
        <v>1.0</v>
      </c>
      <c r="M359" s="8">
        <f t="shared" si="2"/>
        <v>0.4</v>
      </c>
      <c r="P359" s="9"/>
    </row>
    <row r="360">
      <c r="A360" s="6" t="s">
        <v>901</v>
      </c>
      <c r="B360" s="6" t="s">
        <v>887</v>
      </c>
      <c r="C360" s="6" t="s">
        <v>22</v>
      </c>
      <c r="D360" s="6" t="s">
        <v>902</v>
      </c>
      <c r="E360" s="6" t="s">
        <v>893</v>
      </c>
      <c r="F360" s="6" t="s">
        <v>88</v>
      </c>
      <c r="G360" s="7">
        <v>0.21</v>
      </c>
      <c r="H360" s="6" t="s">
        <v>398</v>
      </c>
      <c r="I360" s="6" t="s">
        <v>20</v>
      </c>
      <c r="J360" s="6">
        <v>2025.0</v>
      </c>
      <c r="K360" s="10">
        <v>46117.0</v>
      </c>
      <c r="L360" s="6">
        <v>3.0</v>
      </c>
      <c r="M360" s="8">
        <f t="shared" si="2"/>
        <v>0.63</v>
      </c>
      <c r="P360" s="9"/>
    </row>
    <row r="361">
      <c r="A361" s="6" t="s">
        <v>903</v>
      </c>
      <c r="B361" s="6" t="s">
        <v>14</v>
      </c>
      <c r="C361" s="6" t="s">
        <v>22</v>
      </c>
      <c r="D361" s="6" t="s">
        <v>904</v>
      </c>
      <c r="E361" s="6" t="s">
        <v>863</v>
      </c>
      <c r="F361" s="6" t="s">
        <v>88</v>
      </c>
      <c r="G361" s="7">
        <v>0.19</v>
      </c>
      <c r="H361" s="6" t="s">
        <v>398</v>
      </c>
      <c r="I361" s="6" t="s">
        <v>20</v>
      </c>
      <c r="J361" s="6">
        <v>2025.0</v>
      </c>
      <c r="L361" s="6">
        <v>2.0</v>
      </c>
      <c r="M361" s="8">
        <f t="shared" si="2"/>
        <v>0.38</v>
      </c>
      <c r="P361" s="9"/>
    </row>
    <row r="362">
      <c r="A362" s="6" t="s">
        <v>903</v>
      </c>
      <c r="B362" s="6" t="s">
        <v>14</v>
      </c>
      <c r="C362" s="6" t="s">
        <v>22</v>
      </c>
      <c r="D362" s="6" t="s">
        <v>904</v>
      </c>
      <c r="E362" s="6" t="s">
        <v>863</v>
      </c>
      <c r="F362" s="6" t="s">
        <v>88</v>
      </c>
      <c r="G362" s="7">
        <v>0.49</v>
      </c>
      <c r="H362" s="6" t="s">
        <v>398</v>
      </c>
      <c r="I362" s="6" t="s">
        <v>31</v>
      </c>
      <c r="J362" s="6">
        <v>2025.0</v>
      </c>
      <c r="L362" s="6">
        <v>1.0</v>
      </c>
      <c r="M362" s="8">
        <f t="shared" si="2"/>
        <v>0.49</v>
      </c>
      <c r="P362" s="9"/>
    </row>
    <row r="363">
      <c r="A363" s="6" t="s">
        <v>905</v>
      </c>
      <c r="B363" s="6" t="s">
        <v>543</v>
      </c>
      <c r="C363" s="6" t="s">
        <v>101</v>
      </c>
      <c r="D363" s="6" t="s">
        <v>906</v>
      </c>
      <c r="E363" s="6" t="s">
        <v>871</v>
      </c>
      <c r="F363" s="6" t="s">
        <v>88</v>
      </c>
      <c r="G363" s="7">
        <v>0.5</v>
      </c>
      <c r="H363" s="6" t="s">
        <v>398</v>
      </c>
      <c r="I363" s="6" t="s">
        <v>20</v>
      </c>
      <c r="J363" s="6">
        <v>2025.0</v>
      </c>
      <c r="K363" s="10">
        <v>46145.0</v>
      </c>
      <c r="L363" s="6">
        <v>1.0</v>
      </c>
      <c r="M363" s="8">
        <f t="shared" si="2"/>
        <v>0.5</v>
      </c>
      <c r="P363" s="9"/>
    </row>
    <row r="364">
      <c r="A364" s="6" t="s">
        <v>907</v>
      </c>
      <c r="B364" s="6" t="s">
        <v>68</v>
      </c>
      <c r="C364" s="6" t="s">
        <v>22</v>
      </c>
      <c r="D364" s="6" t="s">
        <v>908</v>
      </c>
      <c r="E364" s="6" t="s">
        <v>909</v>
      </c>
      <c r="F364" s="6" t="s">
        <v>88</v>
      </c>
      <c r="G364" s="7">
        <v>0.5</v>
      </c>
      <c r="H364" s="6" t="s">
        <v>398</v>
      </c>
      <c r="I364" s="6" t="s">
        <v>31</v>
      </c>
      <c r="J364" s="6">
        <v>2025.0</v>
      </c>
      <c r="L364" s="6">
        <v>1.0</v>
      </c>
      <c r="M364" s="8">
        <f t="shared" si="2"/>
        <v>0.5</v>
      </c>
      <c r="P364" s="9"/>
    </row>
    <row r="365">
      <c r="A365" s="6" t="s">
        <v>910</v>
      </c>
      <c r="B365" s="6" t="s">
        <v>543</v>
      </c>
      <c r="C365" s="6" t="s">
        <v>22</v>
      </c>
      <c r="D365" s="6" t="s">
        <v>911</v>
      </c>
      <c r="E365" s="6" t="s">
        <v>912</v>
      </c>
      <c r="F365" s="6" t="s">
        <v>88</v>
      </c>
      <c r="G365" s="7">
        <v>0.1</v>
      </c>
      <c r="H365" s="6" t="s">
        <v>398</v>
      </c>
      <c r="I365" s="6" t="s">
        <v>20</v>
      </c>
      <c r="J365" s="6">
        <v>2025.0</v>
      </c>
      <c r="K365" s="10">
        <v>46086.0</v>
      </c>
      <c r="L365" s="6">
        <v>1.0</v>
      </c>
      <c r="M365" s="8">
        <f t="shared" si="2"/>
        <v>0.1</v>
      </c>
      <c r="P365" s="9"/>
    </row>
    <row r="366">
      <c r="A366" s="6" t="s">
        <v>884</v>
      </c>
      <c r="B366" s="6" t="s">
        <v>476</v>
      </c>
      <c r="C366" s="6" t="s">
        <v>22</v>
      </c>
      <c r="D366" s="6" t="s">
        <v>885</v>
      </c>
      <c r="E366" s="6" t="s">
        <v>863</v>
      </c>
      <c r="F366" s="6" t="s">
        <v>88</v>
      </c>
      <c r="G366" s="7">
        <v>0.19</v>
      </c>
      <c r="H366" s="6" t="s">
        <v>398</v>
      </c>
      <c r="I366" s="6" t="s">
        <v>20</v>
      </c>
      <c r="J366" s="6">
        <v>2025.0</v>
      </c>
      <c r="K366" s="10">
        <v>46055.0</v>
      </c>
      <c r="L366" s="6">
        <v>1.0</v>
      </c>
      <c r="M366" s="8">
        <f t="shared" si="2"/>
        <v>0.19</v>
      </c>
      <c r="P366" s="9"/>
    </row>
    <row r="367">
      <c r="A367" s="6" t="s">
        <v>913</v>
      </c>
      <c r="B367" s="6" t="s">
        <v>33</v>
      </c>
      <c r="C367" s="6" t="s">
        <v>22</v>
      </c>
      <c r="D367" s="6" t="s">
        <v>914</v>
      </c>
      <c r="E367" s="6" t="s">
        <v>915</v>
      </c>
      <c r="F367" s="6" t="s">
        <v>88</v>
      </c>
      <c r="G367" s="7">
        <v>0.05</v>
      </c>
      <c r="H367" s="6" t="s">
        <v>398</v>
      </c>
      <c r="I367" s="6" t="s">
        <v>20</v>
      </c>
      <c r="J367" s="6">
        <v>2025.0</v>
      </c>
      <c r="L367" s="6">
        <v>1.0</v>
      </c>
      <c r="M367" s="8">
        <f t="shared" si="2"/>
        <v>0.05</v>
      </c>
      <c r="P367" s="9"/>
    </row>
    <row r="368">
      <c r="A368" s="6" t="s">
        <v>916</v>
      </c>
      <c r="B368" s="6" t="s">
        <v>68</v>
      </c>
      <c r="C368" s="6" t="s">
        <v>22</v>
      </c>
      <c r="D368" s="6" t="s">
        <v>917</v>
      </c>
      <c r="E368" s="6" t="s">
        <v>918</v>
      </c>
      <c r="F368" s="6" t="s">
        <v>152</v>
      </c>
      <c r="G368" s="7">
        <v>0.12</v>
      </c>
      <c r="H368" s="6" t="s">
        <v>398</v>
      </c>
      <c r="I368" s="6" t="s">
        <v>20</v>
      </c>
      <c r="J368" s="6">
        <v>2025.0</v>
      </c>
      <c r="L368" s="6">
        <v>1.0</v>
      </c>
      <c r="M368" s="8">
        <f t="shared" si="2"/>
        <v>0.12</v>
      </c>
      <c r="P368" s="9"/>
    </row>
    <row r="369">
      <c r="A369" s="6" t="s">
        <v>919</v>
      </c>
      <c r="B369" s="6" t="s">
        <v>14</v>
      </c>
      <c r="C369" s="6" t="s">
        <v>22</v>
      </c>
      <c r="D369" s="6" t="s">
        <v>920</v>
      </c>
      <c r="E369" s="6" t="s">
        <v>694</v>
      </c>
      <c r="F369" s="6" t="s">
        <v>152</v>
      </c>
      <c r="G369" s="7">
        <v>0.25</v>
      </c>
      <c r="H369" s="6" t="s">
        <v>398</v>
      </c>
      <c r="I369" s="6" t="s">
        <v>20</v>
      </c>
      <c r="J369" s="6">
        <v>2025.0</v>
      </c>
      <c r="L369" s="6">
        <v>1.0</v>
      </c>
      <c r="M369" s="8">
        <f t="shared" si="2"/>
        <v>0.25</v>
      </c>
      <c r="P369" s="9"/>
    </row>
    <row r="370">
      <c r="A370" s="6" t="s">
        <v>921</v>
      </c>
      <c r="B370" s="6" t="s">
        <v>636</v>
      </c>
      <c r="C370" s="6" t="s">
        <v>22</v>
      </c>
      <c r="D370" s="6" t="s">
        <v>922</v>
      </c>
      <c r="E370" s="6" t="s">
        <v>694</v>
      </c>
      <c r="F370" s="6" t="s">
        <v>152</v>
      </c>
      <c r="G370" s="7">
        <v>0.11</v>
      </c>
      <c r="H370" s="6" t="s">
        <v>398</v>
      </c>
      <c r="I370" s="6" t="s">
        <v>20</v>
      </c>
      <c r="J370" s="6">
        <v>2025.0</v>
      </c>
      <c r="K370" s="10">
        <v>46024.0</v>
      </c>
      <c r="L370" s="6">
        <v>1.0</v>
      </c>
      <c r="M370" s="8">
        <f t="shared" si="2"/>
        <v>0.11</v>
      </c>
      <c r="P370" s="9"/>
    </row>
    <row r="371">
      <c r="A371" s="6" t="s">
        <v>921</v>
      </c>
      <c r="B371" s="6" t="s">
        <v>636</v>
      </c>
      <c r="C371" s="6" t="s">
        <v>22</v>
      </c>
      <c r="D371" s="6" t="s">
        <v>922</v>
      </c>
      <c r="E371" s="6" t="s">
        <v>694</v>
      </c>
      <c r="F371" s="6" t="s">
        <v>152</v>
      </c>
      <c r="G371" s="7">
        <v>0.99</v>
      </c>
      <c r="H371" s="6" t="s">
        <v>398</v>
      </c>
      <c r="I371" s="6" t="s">
        <v>31</v>
      </c>
      <c r="J371" s="6">
        <v>2025.0</v>
      </c>
      <c r="K371" s="10">
        <v>46024.0</v>
      </c>
      <c r="L371" s="6">
        <v>1.0</v>
      </c>
      <c r="M371" s="8">
        <f t="shared" si="2"/>
        <v>0.99</v>
      </c>
      <c r="P371" s="9"/>
    </row>
    <row r="372">
      <c r="A372" s="6" t="s">
        <v>923</v>
      </c>
      <c r="B372" s="6" t="s">
        <v>404</v>
      </c>
      <c r="C372" s="6" t="s">
        <v>22</v>
      </c>
      <c r="D372" s="6" t="s">
        <v>924</v>
      </c>
      <c r="E372" s="6" t="s">
        <v>694</v>
      </c>
      <c r="F372" s="6" t="s">
        <v>152</v>
      </c>
      <c r="G372" s="7">
        <v>0.15</v>
      </c>
      <c r="H372" s="6" t="s">
        <v>398</v>
      </c>
      <c r="I372" s="6" t="s">
        <v>20</v>
      </c>
      <c r="J372" s="6">
        <v>2025.0</v>
      </c>
      <c r="L372" s="6">
        <v>1.0</v>
      </c>
      <c r="M372" s="8">
        <f t="shared" si="2"/>
        <v>0.15</v>
      </c>
      <c r="P372" s="9"/>
    </row>
    <row r="373">
      <c r="A373" s="6" t="s">
        <v>923</v>
      </c>
      <c r="B373" s="6" t="s">
        <v>404</v>
      </c>
      <c r="C373" s="6" t="s">
        <v>22</v>
      </c>
      <c r="D373" s="6" t="s">
        <v>924</v>
      </c>
      <c r="E373" s="6" t="s">
        <v>694</v>
      </c>
      <c r="F373" s="6" t="s">
        <v>152</v>
      </c>
      <c r="G373" s="7">
        <v>0.5</v>
      </c>
      <c r="H373" s="6" t="s">
        <v>398</v>
      </c>
      <c r="I373" s="6" t="s">
        <v>31</v>
      </c>
      <c r="J373" s="6">
        <v>2025.0</v>
      </c>
      <c r="L373" s="6">
        <v>1.0</v>
      </c>
      <c r="M373" s="8">
        <f t="shared" si="2"/>
        <v>0.5</v>
      </c>
      <c r="P373" s="9"/>
    </row>
    <row r="374">
      <c r="A374" s="6" t="s">
        <v>925</v>
      </c>
      <c r="B374" s="6" t="s">
        <v>14</v>
      </c>
      <c r="C374" s="6" t="s">
        <v>22</v>
      </c>
      <c r="D374" s="6" t="s">
        <v>926</v>
      </c>
      <c r="E374" s="6" t="s">
        <v>697</v>
      </c>
      <c r="F374" s="6" t="s">
        <v>152</v>
      </c>
      <c r="G374" s="7">
        <v>0.19</v>
      </c>
      <c r="H374" s="6" t="s">
        <v>398</v>
      </c>
      <c r="I374" s="6" t="s">
        <v>20</v>
      </c>
      <c r="J374" s="6">
        <v>2025.0</v>
      </c>
      <c r="L374" s="6">
        <v>1.0</v>
      </c>
      <c r="M374" s="8">
        <f t="shared" si="2"/>
        <v>0.19</v>
      </c>
      <c r="P374" s="9"/>
    </row>
    <row r="375">
      <c r="A375" s="6" t="s">
        <v>927</v>
      </c>
      <c r="B375" s="6" t="s">
        <v>928</v>
      </c>
      <c r="C375" s="6" t="s">
        <v>22</v>
      </c>
      <c r="D375" s="6" t="s">
        <v>929</v>
      </c>
      <c r="E375" s="6" t="s">
        <v>930</v>
      </c>
      <c r="F375" s="6" t="s">
        <v>170</v>
      </c>
      <c r="G375" s="7">
        <v>0.37</v>
      </c>
      <c r="H375" s="6" t="s">
        <v>398</v>
      </c>
      <c r="I375" s="6" t="s">
        <v>20</v>
      </c>
      <c r="J375" s="6">
        <v>2025.0</v>
      </c>
      <c r="K375" s="10">
        <v>46023.0</v>
      </c>
      <c r="L375" s="6">
        <v>1.0</v>
      </c>
      <c r="M375" s="8">
        <f t="shared" si="2"/>
        <v>0.37</v>
      </c>
      <c r="P375" s="9"/>
    </row>
    <row r="376">
      <c r="A376" s="6" t="s">
        <v>931</v>
      </c>
      <c r="B376" s="6" t="s">
        <v>68</v>
      </c>
      <c r="C376" s="6" t="s">
        <v>22</v>
      </c>
      <c r="D376" s="6" t="s">
        <v>932</v>
      </c>
      <c r="E376" s="6" t="s">
        <v>933</v>
      </c>
      <c r="F376" s="6" t="s">
        <v>170</v>
      </c>
      <c r="G376" s="7">
        <v>0.21</v>
      </c>
      <c r="H376" s="6" t="s">
        <v>398</v>
      </c>
      <c r="I376" s="6" t="s">
        <v>20</v>
      </c>
      <c r="J376" s="6">
        <v>2025.0</v>
      </c>
      <c r="L376" s="6">
        <v>1.0</v>
      </c>
      <c r="M376" s="8">
        <f t="shared" si="2"/>
        <v>0.21</v>
      </c>
      <c r="P376" s="9"/>
    </row>
    <row r="377">
      <c r="A377" s="6" t="s">
        <v>934</v>
      </c>
      <c r="B377" s="6" t="s">
        <v>404</v>
      </c>
      <c r="C377" s="6" t="s">
        <v>22</v>
      </c>
      <c r="D377" s="6" t="s">
        <v>935</v>
      </c>
      <c r="E377" s="6" t="s">
        <v>930</v>
      </c>
      <c r="F377" s="6" t="s">
        <v>170</v>
      </c>
      <c r="G377" s="7">
        <v>0.14</v>
      </c>
      <c r="H377" s="6" t="s">
        <v>398</v>
      </c>
      <c r="I377" s="6" t="s">
        <v>20</v>
      </c>
      <c r="J377" s="6">
        <v>2025.0</v>
      </c>
      <c r="L377" s="6">
        <v>1.0</v>
      </c>
      <c r="M377" s="8">
        <f t="shared" si="2"/>
        <v>0.14</v>
      </c>
      <c r="P377" s="9"/>
    </row>
    <row r="378">
      <c r="A378" s="6" t="s">
        <v>936</v>
      </c>
      <c r="B378" s="6" t="s">
        <v>937</v>
      </c>
      <c r="C378" s="6" t="s">
        <v>22</v>
      </c>
      <c r="D378" s="6" t="s">
        <v>938</v>
      </c>
      <c r="E378" s="6" t="s">
        <v>939</v>
      </c>
      <c r="F378" s="6" t="s">
        <v>170</v>
      </c>
      <c r="G378" s="7">
        <v>0.19</v>
      </c>
      <c r="H378" s="6" t="s">
        <v>398</v>
      </c>
      <c r="I378" s="6" t="s">
        <v>20</v>
      </c>
      <c r="J378" s="6">
        <v>2025.0</v>
      </c>
      <c r="K378" s="10">
        <v>46084.0</v>
      </c>
      <c r="L378" s="6">
        <v>1.0</v>
      </c>
      <c r="M378" s="8">
        <f t="shared" si="2"/>
        <v>0.19</v>
      </c>
      <c r="P378" s="9"/>
    </row>
    <row r="379">
      <c r="A379" s="6" t="s">
        <v>409</v>
      </c>
      <c r="B379" s="6" t="s">
        <v>404</v>
      </c>
      <c r="C379" s="6" t="s">
        <v>15</v>
      </c>
      <c r="D379" s="6" t="s">
        <v>410</v>
      </c>
      <c r="E379" s="6" t="s">
        <v>940</v>
      </c>
      <c r="F379" s="6" t="s">
        <v>170</v>
      </c>
      <c r="G379" s="7">
        <v>0.1</v>
      </c>
      <c r="H379" s="6" t="s">
        <v>398</v>
      </c>
      <c r="I379" s="6" t="s">
        <v>20</v>
      </c>
      <c r="J379" s="6">
        <v>2025.0</v>
      </c>
      <c r="L379" s="6">
        <v>2.0</v>
      </c>
      <c r="M379" s="8">
        <f t="shared" si="2"/>
        <v>0.2</v>
      </c>
      <c r="P379" s="9"/>
    </row>
    <row r="380">
      <c r="A380" s="6" t="s">
        <v>941</v>
      </c>
      <c r="B380" s="6" t="s">
        <v>68</v>
      </c>
      <c r="C380" s="6" t="s">
        <v>22</v>
      </c>
      <c r="D380" s="6" t="s">
        <v>942</v>
      </c>
      <c r="E380" s="6" t="s">
        <v>943</v>
      </c>
      <c r="F380" s="6" t="s">
        <v>170</v>
      </c>
      <c r="G380" s="7">
        <v>0.14</v>
      </c>
      <c r="H380" s="6" t="s">
        <v>398</v>
      </c>
      <c r="I380" s="6" t="s">
        <v>20</v>
      </c>
      <c r="J380" s="6">
        <v>2025.0</v>
      </c>
      <c r="L380" s="6">
        <v>1.0</v>
      </c>
      <c r="M380" s="8">
        <f t="shared" si="2"/>
        <v>0.14</v>
      </c>
      <c r="P380" s="9"/>
    </row>
    <row r="381">
      <c r="A381" s="6" t="s">
        <v>941</v>
      </c>
      <c r="B381" s="6" t="s">
        <v>68</v>
      </c>
      <c r="C381" s="6" t="s">
        <v>22</v>
      </c>
      <c r="D381" s="6" t="s">
        <v>942</v>
      </c>
      <c r="E381" s="6" t="s">
        <v>943</v>
      </c>
      <c r="F381" s="6" t="s">
        <v>170</v>
      </c>
      <c r="G381" s="7">
        <v>0.49</v>
      </c>
      <c r="H381" s="6" t="s">
        <v>398</v>
      </c>
      <c r="I381" s="6" t="s">
        <v>31</v>
      </c>
      <c r="J381" s="6">
        <v>2025.0</v>
      </c>
      <c r="L381" s="6">
        <v>1.0</v>
      </c>
      <c r="M381" s="8">
        <f t="shared" si="2"/>
        <v>0.49</v>
      </c>
      <c r="P381" s="9"/>
    </row>
    <row r="382">
      <c r="A382" s="6" t="s">
        <v>944</v>
      </c>
      <c r="B382" s="6" t="s">
        <v>68</v>
      </c>
      <c r="C382" s="6" t="s">
        <v>22</v>
      </c>
      <c r="D382" s="6" t="s">
        <v>945</v>
      </c>
      <c r="E382" s="6" t="s">
        <v>767</v>
      </c>
      <c r="F382" s="6" t="s">
        <v>18</v>
      </c>
      <c r="G382" s="7">
        <v>0.29</v>
      </c>
      <c r="H382" s="6" t="s">
        <v>398</v>
      </c>
      <c r="I382" s="6" t="s">
        <v>20</v>
      </c>
      <c r="J382" s="6">
        <v>2025.0</v>
      </c>
      <c r="L382" s="6">
        <v>1.0</v>
      </c>
      <c r="M382" s="8">
        <f t="shared" si="2"/>
        <v>0.29</v>
      </c>
      <c r="P382" s="9"/>
    </row>
    <row r="383">
      <c r="A383" s="6" t="s">
        <v>944</v>
      </c>
      <c r="B383" s="6" t="s">
        <v>68</v>
      </c>
      <c r="C383" s="6" t="s">
        <v>22</v>
      </c>
      <c r="D383" s="6" t="s">
        <v>945</v>
      </c>
      <c r="E383" s="6" t="s">
        <v>767</v>
      </c>
      <c r="F383" s="6" t="s">
        <v>18</v>
      </c>
      <c r="G383" s="7">
        <v>0.99</v>
      </c>
      <c r="H383" s="6" t="s">
        <v>398</v>
      </c>
      <c r="I383" s="6" t="s">
        <v>31</v>
      </c>
      <c r="J383" s="6">
        <v>2025.0</v>
      </c>
      <c r="L383" s="6">
        <v>1.0</v>
      </c>
      <c r="M383" s="8">
        <f t="shared" si="2"/>
        <v>0.99</v>
      </c>
      <c r="P383" s="9"/>
    </row>
    <row r="384">
      <c r="A384" s="6" t="s">
        <v>946</v>
      </c>
      <c r="B384" s="6" t="s">
        <v>947</v>
      </c>
      <c r="C384" s="6" t="s">
        <v>22</v>
      </c>
      <c r="D384" s="6" t="s">
        <v>948</v>
      </c>
      <c r="E384" s="6" t="s">
        <v>949</v>
      </c>
      <c r="F384" s="6" t="s">
        <v>18</v>
      </c>
      <c r="G384" s="7">
        <v>0.19</v>
      </c>
      <c r="H384" s="6" t="s">
        <v>398</v>
      </c>
      <c r="I384" s="6" t="s">
        <v>20</v>
      </c>
      <c r="J384" s="6">
        <v>2025.0</v>
      </c>
      <c r="K384" s="10">
        <v>46210.0</v>
      </c>
      <c r="L384" s="6">
        <v>1.0</v>
      </c>
      <c r="M384" s="8">
        <f t="shared" si="2"/>
        <v>0.19</v>
      </c>
      <c r="P384" s="9"/>
    </row>
    <row r="385">
      <c r="A385" s="6" t="s">
        <v>950</v>
      </c>
      <c r="B385" s="6" t="s">
        <v>951</v>
      </c>
      <c r="C385" s="6" t="s">
        <v>22</v>
      </c>
      <c r="D385" s="6" t="s">
        <v>952</v>
      </c>
      <c r="E385" s="6" t="s">
        <v>767</v>
      </c>
      <c r="F385" s="6" t="s">
        <v>18</v>
      </c>
      <c r="G385" s="7">
        <v>0.14</v>
      </c>
      <c r="H385" s="6" t="s">
        <v>398</v>
      </c>
      <c r="I385" s="6" t="s">
        <v>20</v>
      </c>
      <c r="J385" s="6">
        <v>2025.0</v>
      </c>
      <c r="K385" s="10">
        <v>46056.0</v>
      </c>
      <c r="L385" s="6">
        <v>1.0</v>
      </c>
      <c r="M385" s="8">
        <f t="shared" si="2"/>
        <v>0.14</v>
      </c>
      <c r="P385" s="9"/>
    </row>
    <row r="386">
      <c r="A386" s="6" t="s">
        <v>953</v>
      </c>
      <c r="B386" s="6" t="s">
        <v>954</v>
      </c>
      <c r="C386" s="6" t="s">
        <v>22</v>
      </c>
      <c r="D386" s="6" t="s">
        <v>955</v>
      </c>
      <c r="E386" s="6" t="s">
        <v>790</v>
      </c>
      <c r="F386" s="6" t="s">
        <v>18</v>
      </c>
      <c r="G386" s="7">
        <v>0.19</v>
      </c>
      <c r="H386" s="6" t="s">
        <v>398</v>
      </c>
      <c r="I386" s="6" t="s">
        <v>20</v>
      </c>
      <c r="J386" s="6">
        <v>2025.0</v>
      </c>
      <c r="K386" s="10">
        <v>46083.0</v>
      </c>
      <c r="L386" s="6">
        <v>1.0</v>
      </c>
      <c r="M386" s="8">
        <f t="shared" si="2"/>
        <v>0.19</v>
      </c>
      <c r="P386" s="9"/>
    </row>
    <row r="387">
      <c r="A387" s="6" t="s">
        <v>956</v>
      </c>
      <c r="B387" s="6" t="s">
        <v>432</v>
      </c>
      <c r="C387" s="6" t="s">
        <v>22</v>
      </c>
      <c r="D387" s="6" t="s">
        <v>957</v>
      </c>
      <c r="E387" s="6" t="s">
        <v>958</v>
      </c>
      <c r="F387" s="6" t="s">
        <v>959</v>
      </c>
      <c r="G387" s="7">
        <v>0.13</v>
      </c>
      <c r="H387" s="6" t="s">
        <v>398</v>
      </c>
      <c r="I387" s="6" t="s">
        <v>20</v>
      </c>
      <c r="J387" s="6">
        <v>2025.0</v>
      </c>
      <c r="K387" s="10">
        <v>46024.0</v>
      </c>
      <c r="L387" s="6">
        <v>1.0</v>
      </c>
      <c r="M387" s="8">
        <f t="shared" si="2"/>
        <v>0.13</v>
      </c>
      <c r="P387" s="9"/>
    </row>
    <row r="388">
      <c r="A388" s="6" t="s">
        <v>960</v>
      </c>
      <c r="B388" s="6" t="s">
        <v>961</v>
      </c>
      <c r="C388" s="6" t="s">
        <v>22</v>
      </c>
      <c r="D388" s="6" t="s">
        <v>962</v>
      </c>
      <c r="E388" s="6" t="s">
        <v>963</v>
      </c>
      <c r="F388" s="6" t="s">
        <v>964</v>
      </c>
      <c r="G388" s="7">
        <v>0.32</v>
      </c>
      <c r="H388" s="6" t="s">
        <v>398</v>
      </c>
      <c r="I388" s="6" t="s">
        <v>20</v>
      </c>
      <c r="J388" s="6">
        <v>2025.0</v>
      </c>
      <c r="K388" s="10">
        <v>46055.0</v>
      </c>
      <c r="L388" s="6">
        <v>1.0</v>
      </c>
      <c r="M388" s="8">
        <f t="shared" si="2"/>
        <v>0.32</v>
      </c>
      <c r="P388" s="9"/>
    </row>
    <row r="389">
      <c r="A389" s="6" t="s">
        <v>965</v>
      </c>
      <c r="B389" s="6" t="s">
        <v>966</v>
      </c>
      <c r="C389" s="6" t="s">
        <v>22</v>
      </c>
      <c r="D389" s="6" t="s">
        <v>967</v>
      </c>
      <c r="E389" s="6" t="s">
        <v>968</v>
      </c>
      <c r="F389" s="6" t="s">
        <v>969</v>
      </c>
      <c r="G389" s="7">
        <v>0.26</v>
      </c>
      <c r="H389" s="6" t="s">
        <v>398</v>
      </c>
      <c r="I389" s="6" t="s">
        <v>20</v>
      </c>
      <c r="J389" s="6">
        <v>2025.0</v>
      </c>
      <c r="K389" s="10">
        <v>46146.0</v>
      </c>
      <c r="L389" s="6">
        <v>2.0</v>
      </c>
      <c r="M389" s="8">
        <f t="shared" si="2"/>
        <v>0.52</v>
      </c>
      <c r="P389" s="9"/>
    </row>
    <row r="390">
      <c r="A390" s="6" t="s">
        <v>970</v>
      </c>
      <c r="B390" s="6" t="s">
        <v>971</v>
      </c>
      <c r="C390" s="6" t="s">
        <v>22</v>
      </c>
      <c r="D390" s="6" t="s">
        <v>972</v>
      </c>
      <c r="E390" s="6" t="s">
        <v>973</v>
      </c>
      <c r="F390" s="6" t="s">
        <v>974</v>
      </c>
      <c r="G390" s="7">
        <v>0.2</v>
      </c>
      <c r="H390" s="6" t="s">
        <v>398</v>
      </c>
      <c r="I390" s="6" t="s">
        <v>20</v>
      </c>
      <c r="J390" s="6">
        <v>2025.0</v>
      </c>
      <c r="K390" s="10">
        <v>46084.0</v>
      </c>
      <c r="L390" s="6">
        <v>1.0</v>
      </c>
      <c r="M390" s="8">
        <f t="shared" si="2"/>
        <v>0.2</v>
      </c>
      <c r="P390" s="9"/>
    </row>
    <row r="391">
      <c r="A391" s="6" t="s">
        <v>975</v>
      </c>
      <c r="B391" s="6" t="s">
        <v>432</v>
      </c>
      <c r="C391" s="6" t="s">
        <v>22</v>
      </c>
      <c r="D391" s="6" t="s">
        <v>976</v>
      </c>
      <c r="E391" s="6" t="s">
        <v>977</v>
      </c>
      <c r="F391" s="6" t="s">
        <v>978</v>
      </c>
      <c r="G391" s="7">
        <v>0.25</v>
      </c>
      <c r="H391" s="6" t="s">
        <v>398</v>
      </c>
      <c r="I391" s="6" t="s">
        <v>20</v>
      </c>
      <c r="J391" s="6">
        <v>2025.0</v>
      </c>
      <c r="K391" s="10">
        <v>46179.0</v>
      </c>
      <c r="L391" s="6">
        <v>2.0</v>
      </c>
      <c r="M391" s="8">
        <f t="shared" si="2"/>
        <v>0.5</v>
      </c>
      <c r="P391" s="9"/>
    </row>
    <row r="392">
      <c r="A392" s="6" t="s">
        <v>979</v>
      </c>
      <c r="B392" s="6" t="s">
        <v>980</v>
      </c>
      <c r="C392" s="6" t="s">
        <v>22</v>
      </c>
      <c r="D392" s="6" t="s">
        <v>981</v>
      </c>
      <c r="E392" s="6" t="s">
        <v>982</v>
      </c>
      <c r="F392" s="6" t="s">
        <v>983</v>
      </c>
      <c r="G392" s="7">
        <v>0.19</v>
      </c>
      <c r="H392" s="6" t="s">
        <v>398</v>
      </c>
      <c r="I392" s="6" t="s">
        <v>20</v>
      </c>
      <c r="J392" s="6">
        <v>2025.0</v>
      </c>
      <c r="K392" s="10">
        <v>46055.0</v>
      </c>
      <c r="L392" s="6">
        <v>1.0</v>
      </c>
      <c r="M392" s="8">
        <f t="shared" si="2"/>
        <v>0.19</v>
      </c>
      <c r="P392" s="9"/>
    </row>
    <row r="393">
      <c r="A393" s="6" t="s">
        <v>984</v>
      </c>
      <c r="B393" s="6" t="s">
        <v>985</v>
      </c>
      <c r="C393" s="6" t="s">
        <v>22</v>
      </c>
      <c r="D393" s="6" t="s">
        <v>986</v>
      </c>
      <c r="E393" s="6" t="s">
        <v>987</v>
      </c>
      <c r="F393" s="6" t="s">
        <v>988</v>
      </c>
      <c r="G393" s="7">
        <v>0.25</v>
      </c>
      <c r="H393" s="6" t="s">
        <v>398</v>
      </c>
      <c r="I393" s="6" t="s">
        <v>20</v>
      </c>
      <c r="J393" s="6">
        <v>2025.0</v>
      </c>
      <c r="K393" s="10">
        <v>46055.0</v>
      </c>
      <c r="L393" s="6">
        <v>1.0</v>
      </c>
      <c r="M393" s="8">
        <f t="shared" si="2"/>
        <v>0.25</v>
      </c>
      <c r="P393" s="9"/>
    </row>
    <row r="394">
      <c r="A394" s="6" t="s">
        <v>989</v>
      </c>
      <c r="B394" s="6" t="s">
        <v>432</v>
      </c>
      <c r="C394" s="6" t="s">
        <v>22</v>
      </c>
      <c r="D394" s="6" t="s">
        <v>990</v>
      </c>
      <c r="E394" s="6" t="s">
        <v>620</v>
      </c>
      <c r="F394" s="6" t="s">
        <v>277</v>
      </c>
      <c r="G394" s="7">
        <v>0.2</v>
      </c>
      <c r="H394" s="6" t="s">
        <v>398</v>
      </c>
      <c r="I394" s="6" t="s">
        <v>20</v>
      </c>
      <c r="J394" s="6">
        <v>2025.0</v>
      </c>
      <c r="K394" s="10">
        <v>46083.0</v>
      </c>
      <c r="L394" s="6">
        <v>1.0</v>
      </c>
      <c r="M394" s="8">
        <f t="shared" si="2"/>
        <v>0.2</v>
      </c>
      <c r="P394" s="9"/>
    </row>
    <row r="395">
      <c r="A395" s="6" t="s">
        <v>991</v>
      </c>
      <c r="B395" s="6" t="s">
        <v>68</v>
      </c>
      <c r="C395" s="6" t="s">
        <v>22</v>
      </c>
      <c r="D395" s="6" t="s">
        <v>992</v>
      </c>
      <c r="E395" s="6" t="s">
        <v>993</v>
      </c>
      <c r="F395" s="6" t="s">
        <v>277</v>
      </c>
      <c r="G395" s="7">
        <v>0.2</v>
      </c>
      <c r="H395" s="6" t="s">
        <v>398</v>
      </c>
      <c r="I395" s="6" t="s">
        <v>20</v>
      </c>
      <c r="J395" s="6">
        <v>2025.0</v>
      </c>
      <c r="L395" s="6">
        <v>1.0</v>
      </c>
      <c r="M395" s="8">
        <f t="shared" si="2"/>
        <v>0.2</v>
      </c>
      <c r="P395" s="9"/>
    </row>
    <row r="396">
      <c r="A396" s="6" t="s">
        <v>994</v>
      </c>
      <c r="B396" s="6" t="s">
        <v>63</v>
      </c>
      <c r="C396" s="6" t="s">
        <v>22</v>
      </c>
      <c r="D396" s="6" t="s">
        <v>995</v>
      </c>
      <c r="E396" s="6" t="s">
        <v>638</v>
      </c>
      <c r="F396" s="6" t="s">
        <v>277</v>
      </c>
      <c r="G396" s="7">
        <v>0.1</v>
      </c>
      <c r="H396" s="6" t="s">
        <v>398</v>
      </c>
      <c r="I396" s="6" t="s">
        <v>20</v>
      </c>
      <c r="J396" s="6">
        <v>2025.0</v>
      </c>
      <c r="L396" s="6">
        <v>1.0</v>
      </c>
      <c r="M396" s="8">
        <f t="shared" si="2"/>
        <v>0.1</v>
      </c>
      <c r="P396" s="9"/>
    </row>
    <row r="397">
      <c r="A397" s="6" t="s">
        <v>996</v>
      </c>
      <c r="B397" s="6" t="s">
        <v>569</v>
      </c>
      <c r="C397" s="6" t="s">
        <v>22</v>
      </c>
      <c r="D397" s="6" t="s">
        <v>997</v>
      </c>
      <c r="E397" s="6" t="s">
        <v>658</v>
      </c>
      <c r="F397" s="6" t="s">
        <v>277</v>
      </c>
      <c r="G397" s="7">
        <v>0.22</v>
      </c>
      <c r="H397" s="6" t="s">
        <v>398</v>
      </c>
      <c r="I397" s="6" t="s">
        <v>20</v>
      </c>
      <c r="J397" s="6">
        <v>2025.0</v>
      </c>
      <c r="K397" s="10">
        <v>46116.0</v>
      </c>
      <c r="L397" s="6">
        <v>1.0</v>
      </c>
      <c r="M397" s="8">
        <f t="shared" si="2"/>
        <v>0.22</v>
      </c>
      <c r="P397" s="9"/>
    </row>
    <row r="398">
      <c r="A398" s="6" t="s">
        <v>998</v>
      </c>
      <c r="B398" s="6" t="s">
        <v>68</v>
      </c>
      <c r="C398" s="6" t="s">
        <v>15</v>
      </c>
      <c r="D398" s="6" t="s">
        <v>999</v>
      </c>
      <c r="E398" s="6" t="s">
        <v>694</v>
      </c>
      <c r="F398" s="6" t="s">
        <v>152</v>
      </c>
      <c r="G398" s="7">
        <v>0.13</v>
      </c>
      <c r="H398" s="6" t="s">
        <v>1000</v>
      </c>
      <c r="I398" s="6" t="s">
        <v>20</v>
      </c>
      <c r="J398" s="6">
        <v>2026.0</v>
      </c>
      <c r="L398" s="6">
        <v>3.0</v>
      </c>
      <c r="M398" s="8">
        <f t="shared" si="2"/>
        <v>0.39</v>
      </c>
      <c r="P398" s="9"/>
    </row>
    <row r="399">
      <c r="A399" s="6" t="s">
        <v>1001</v>
      </c>
      <c r="B399" s="6" t="s">
        <v>1002</v>
      </c>
      <c r="C399" s="6" t="s">
        <v>15</v>
      </c>
      <c r="D399" s="6" t="s">
        <v>1003</v>
      </c>
      <c r="E399" s="6" t="s">
        <v>694</v>
      </c>
      <c r="F399" s="6" t="s">
        <v>152</v>
      </c>
      <c r="G399" s="7">
        <v>0.13</v>
      </c>
      <c r="H399" s="6" t="s">
        <v>1000</v>
      </c>
      <c r="I399" s="6" t="s">
        <v>20</v>
      </c>
      <c r="J399" s="6">
        <v>2026.0</v>
      </c>
      <c r="K399" s="10">
        <v>46055.0</v>
      </c>
      <c r="L399" s="6">
        <v>1.0</v>
      </c>
      <c r="M399" s="8">
        <f t="shared" si="2"/>
        <v>0.13</v>
      </c>
      <c r="P399" s="9"/>
    </row>
    <row r="400">
      <c r="A400" s="6" t="s">
        <v>1004</v>
      </c>
      <c r="B400" s="6" t="s">
        <v>1002</v>
      </c>
      <c r="C400" s="6" t="s">
        <v>15</v>
      </c>
      <c r="D400" s="6" t="s">
        <v>1005</v>
      </c>
      <c r="E400" s="6" t="s">
        <v>697</v>
      </c>
      <c r="F400" s="6" t="s">
        <v>152</v>
      </c>
      <c r="G400" s="7">
        <v>0.15</v>
      </c>
      <c r="H400" s="6" t="s">
        <v>1000</v>
      </c>
      <c r="I400" s="6" t="s">
        <v>20</v>
      </c>
      <c r="J400" s="6">
        <v>2026.0</v>
      </c>
      <c r="K400" s="10">
        <v>46114.0</v>
      </c>
      <c r="L400" s="6">
        <v>1.0</v>
      </c>
      <c r="M400" s="8">
        <f t="shared" si="2"/>
        <v>0.15</v>
      </c>
      <c r="P400" s="9"/>
    </row>
    <row r="401">
      <c r="A401" s="6" t="s">
        <v>1006</v>
      </c>
      <c r="B401" s="6" t="s">
        <v>68</v>
      </c>
      <c r="C401" s="6" t="s">
        <v>15</v>
      </c>
      <c r="D401" s="6" t="s">
        <v>1007</v>
      </c>
      <c r="E401" s="6" t="s">
        <v>702</v>
      </c>
      <c r="F401" s="6" t="s">
        <v>152</v>
      </c>
      <c r="G401" s="7">
        <v>0.13</v>
      </c>
      <c r="H401" s="6" t="s">
        <v>1000</v>
      </c>
      <c r="I401" s="6" t="s">
        <v>20</v>
      </c>
      <c r="J401" s="6">
        <v>2026.0</v>
      </c>
      <c r="L401" s="6">
        <v>1.0</v>
      </c>
      <c r="M401" s="8">
        <f t="shared" si="2"/>
        <v>0.13</v>
      </c>
      <c r="P401" s="9"/>
    </row>
    <row r="402">
      <c r="A402" s="6" t="s">
        <v>1008</v>
      </c>
      <c r="B402" s="6" t="s">
        <v>420</v>
      </c>
      <c r="C402" s="6" t="s">
        <v>15</v>
      </c>
      <c r="D402" s="6" t="s">
        <v>1009</v>
      </c>
      <c r="E402" s="6" t="s">
        <v>713</v>
      </c>
      <c r="F402" s="6" t="s">
        <v>152</v>
      </c>
      <c r="G402" s="7">
        <v>0.13</v>
      </c>
      <c r="H402" s="6" t="s">
        <v>1000</v>
      </c>
      <c r="I402" s="6" t="s">
        <v>20</v>
      </c>
      <c r="J402" s="6">
        <v>2026.0</v>
      </c>
      <c r="K402" s="10">
        <v>46054.0</v>
      </c>
      <c r="L402" s="6">
        <v>2.0</v>
      </c>
      <c r="M402" s="8">
        <f t="shared" si="2"/>
        <v>0.26</v>
      </c>
      <c r="P402" s="9"/>
    </row>
    <row r="403">
      <c r="A403" s="6" t="s">
        <v>1010</v>
      </c>
      <c r="B403" s="6" t="s">
        <v>1011</v>
      </c>
      <c r="C403" s="6" t="s">
        <v>15</v>
      </c>
      <c r="D403" s="6" t="s">
        <v>1012</v>
      </c>
      <c r="E403" s="6" t="s">
        <v>915</v>
      </c>
      <c r="F403" s="6" t="s">
        <v>88</v>
      </c>
      <c r="G403" s="7">
        <v>0.13</v>
      </c>
      <c r="H403" s="6" t="s">
        <v>1000</v>
      </c>
      <c r="I403" s="6" t="s">
        <v>20</v>
      </c>
      <c r="J403" s="6">
        <v>2026.0</v>
      </c>
      <c r="K403" s="10">
        <v>46023.0</v>
      </c>
      <c r="L403" s="6">
        <v>2.0</v>
      </c>
      <c r="M403" s="8">
        <f t="shared" si="2"/>
        <v>0.26</v>
      </c>
      <c r="P403" s="9"/>
    </row>
    <row r="404">
      <c r="A404" s="6" t="s">
        <v>1013</v>
      </c>
      <c r="B404" s="6" t="s">
        <v>68</v>
      </c>
      <c r="C404" s="6" t="s">
        <v>15</v>
      </c>
      <c r="D404" s="6" t="s">
        <v>1014</v>
      </c>
      <c r="E404" s="6" t="s">
        <v>893</v>
      </c>
      <c r="F404" s="6" t="s">
        <v>88</v>
      </c>
      <c r="G404" s="7">
        <v>0.13</v>
      </c>
      <c r="H404" s="6" t="s">
        <v>1000</v>
      </c>
      <c r="I404" s="6" t="s">
        <v>20</v>
      </c>
      <c r="J404" s="6">
        <v>2026.0</v>
      </c>
      <c r="L404" s="6">
        <v>1.0</v>
      </c>
      <c r="M404" s="8">
        <f t="shared" si="2"/>
        <v>0.13</v>
      </c>
      <c r="P404" s="9"/>
    </row>
    <row r="405">
      <c r="A405" s="6" t="s">
        <v>1015</v>
      </c>
      <c r="B405" s="6" t="s">
        <v>1016</v>
      </c>
      <c r="C405" s="6" t="s">
        <v>22</v>
      </c>
      <c r="D405" s="6" t="s">
        <v>1017</v>
      </c>
      <c r="E405" s="6" t="s">
        <v>912</v>
      </c>
      <c r="F405" s="6" t="s">
        <v>88</v>
      </c>
      <c r="G405" s="7">
        <v>0.69</v>
      </c>
      <c r="H405" s="6" t="s">
        <v>1000</v>
      </c>
      <c r="I405" s="6" t="s">
        <v>20</v>
      </c>
      <c r="J405" s="6">
        <v>2026.0</v>
      </c>
      <c r="K405" s="10">
        <v>46115.0</v>
      </c>
      <c r="L405" s="6">
        <v>1.0</v>
      </c>
      <c r="M405" s="8">
        <f t="shared" si="2"/>
        <v>0.69</v>
      </c>
      <c r="P405" s="9"/>
    </row>
    <row r="406">
      <c r="A406" s="6" t="s">
        <v>1018</v>
      </c>
      <c r="B406" s="6" t="s">
        <v>33</v>
      </c>
      <c r="C406" s="6" t="s">
        <v>15</v>
      </c>
      <c r="D406" s="6" t="s">
        <v>1019</v>
      </c>
      <c r="E406" s="6" t="s">
        <v>863</v>
      </c>
      <c r="F406" s="6" t="s">
        <v>88</v>
      </c>
      <c r="G406" s="7">
        <v>0.13</v>
      </c>
      <c r="H406" s="6" t="s">
        <v>1000</v>
      </c>
      <c r="I406" s="6" t="s">
        <v>20</v>
      </c>
      <c r="J406" s="6">
        <v>2026.0</v>
      </c>
      <c r="L406" s="6">
        <v>1.0</v>
      </c>
      <c r="M406" s="8">
        <f t="shared" si="2"/>
        <v>0.13</v>
      </c>
      <c r="P406" s="9"/>
    </row>
    <row r="407">
      <c r="A407" s="6" t="s">
        <v>1020</v>
      </c>
      <c r="B407" s="6" t="s">
        <v>1021</v>
      </c>
      <c r="C407" s="6" t="s">
        <v>15</v>
      </c>
      <c r="D407" s="6" t="s">
        <v>1022</v>
      </c>
      <c r="E407" s="6" t="s">
        <v>838</v>
      </c>
      <c r="F407" s="6" t="s">
        <v>88</v>
      </c>
      <c r="G407" s="7">
        <v>0.13</v>
      </c>
      <c r="H407" s="6" t="s">
        <v>1000</v>
      </c>
      <c r="I407" s="6" t="s">
        <v>20</v>
      </c>
      <c r="J407" s="6">
        <v>2026.0</v>
      </c>
      <c r="K407" s="10">
        <v>46083.0</v>
      </c>
      <c r="L407" s="6">
        <v>1.0</v>
      </c>
      <c r="M407" s="8">
        <f t="shared" si="2"/>
        <v>0.13</v>
      </c>
      <c r="P407" s="9"/>
    </row>
    <row r="408">
      <c r="A408" s="6" t="s">
        <v>1023</v>
      </c>
      <c r="B408" s="6" t="s">
        <v>14</v>
      </c>
      <c r="C408" s="6" t="s">
        <v>15</v>
      </c>
      <c r="D408" s="6" t="s">
        <v>1024</v>
      </c>
      <c r="E408" s="6" t="s">
        <v>863</v>
      </c>
      <c r="F408" s="6" t="s">
        <v>88</v>
      </c>
      <c r="G408" s="7">
        <v>0.13</v>
      </c>
      <c r="H408" s="6" t="s">
        <v>1000</v>
      </c>
      <c r="I408" s="6" t="s">
        <v>20</v>
      </c>
      <c r="J408" s="6">
        <v>2026.0</v>
      </c>
      <c r="L408" s="6">
        <v>1.0</v>
      </c>
      <c r="M408" s="8">
        <f t="shared" si="2"/>
        <v>0.13</v>
      </c>
      <c r="P408" s="9"/>
    </row>
    <row r="409">
      <c r="A409" s="6" t="s">
        <v>1025</v>
      </c>
      <c r="B409" s="6" t="s">
        <v>1026</v>
      </c>
      <c r="C409" s="6" t="s">
        <v>22</v>
      </c>
      <c r="D409" s="6" t="s">
        <v>1027</v>
      </c>
      <c r="E409" s="6" t="s">
        <v>863</v>
      </c>
      <c r="F409" s="6" t="s">
        <v>88</v>
      </c>
      <c r="G409" s="7">
        <v>0.69</v>
      </c>
      <c r="H409" s="6" t="s">
        <v>1000</v>
      </c>
      <c r="I409" s="6" t="s">
        <v>20</v>
      </c>
      <c r="J409" s="6">
        <v>2026.0</v>
      </c>
      <c r="L409" s="6">
        <v>2.0</v>
      </c>
      <c r="M409" s="8">
        <f t="shared" si="2"/>
        <v>1.38</v>
      </c>
      <c r="P409" s="9"/>
    </row>
    <row r="410">
      <c r="A410" s="6" t="s">
        <v>1028</v>
      </c>
      <c r="B410" s="6" t="s">
        <v>1021</v>
      </c>
      <c r="C410" s="6" t="s">
        <v>15</v>
      </c>
      <c r="D410" s="6" t="s">
        <v>1029</v>
      </c>
      <c r="E410" s="6" t="s">
        <v>863</v>
      </c>
      <c r="F410" s="6" t="s">
        <v>88</v>
      </c>
      <c r="G410" s="7">
        <v>0.13</v>
      </c>
      <c r="H410" s="6" t="s">
        <v>1000</v>
      </c>
      <c r="I410" s="6" t="s">
        <v>20</v>
      </c>
      <c r="J410" s="6">
        <v>2026.0</v>
      </c>
      <c r="K410" s="10">
        <v>46055.0</v>
      </c>
      <c r="L410" s="6">
        <v>1.0</v>
      </c>
      <c r="M410" s="8">
        <f t="shared" si="2"/>
        <v>0.13</v>
      </c>
      <c r="P410" s="9"/>
    </row>
    <row r="411">
      <c r="A411" s="6" t="s">
        <v>1030</v>
      </c>
      <c r="B411" s="6" t="s">
        <v>569</v>
      </c>
      <c r="C411" s="6" t="s">
        <v>15</v>
      </c>
      <c r="D411" s="6" t="s">
        <v>1031</v>
      </c>
      <c r="E411" s="6" t="s">
        <v>1032</v>
      </c>
      <c r="F411" s="6" t="s">
        <v>80</v>
      </c>
      <c r="G411" s="7">
        <v>0.13</v>
      </c>
      <c r="H411" s="6" t="s">
        <v>1000</v>
      </c>
      <c r="I411" s="6" t="s">
        <v>20</v>
      </c>
      <c r="J411" s="6">
        <v>2026.0</v>
      </c>
      <c r="K411" s="10">
        <v>46084.0</v>
      </c>
      <c r="L411" s="6">
        <v>1.0</v>
      </c>
      <c r="M411" s="8">
        <f t="shared" si="2"/>
        <v>0.13</v>
      </c>
      <c r="P411" s="9"/>
    </row>
    <row r="412">
      <c r="A412" s="6" t="s">
        <v>1033</v>
      </c>
      <c r="B412" s="6" t="s">
        <v>1011</v>
      </c>
      <c r="C412" s="6" t="s">
        <v>15</v>
      </c>
      <c r="D412" s="6" t="s">
        <v>1034</v>
      </c>
      <c r="E412" s="6" t="s">
        <v>1035</v>
      </c>
      <c r="F412" s="6" t="s">
        <v>80</v>
      </c>
      <c r="G412" s="7">
        <v>0.13</v>
      </c>
      <c r="H412" s="6" t="s">
        <v>1000</v>
      </c>
      <c r="I412" s="6" t="s">
        <v>20</v>
      </c>
      <c r="J412" s="6">
        <v>2026.0</v>
      </c>
      <c r="K412" s="10">
        <v>46082.0</v>
      </c>
      <c r="L412" s="6">
        <v>1.0</v>
      </c>
      <c r="M412" s="8">
        <f t="shared" si="2"/>
        <v>0.13</v>
      </c>
      <c r="P412" s="9"/>
    </row>
    <row r="413">
      <c r="A413" s="6" t="s">
        <v>1036</v>
      </c>
      <c r="B413" s="6" t="s">
        <v>1037</v>
      </c>
      <c r="C413" s="6" t="s">
        <v>15</v>
      </c>
      <c r="D413" s="6" t="s">
        <v>1038</v>
      </c>
      <c r="E413" s="6" t="s">
        <v>790</v>
      </c>
      <c r="F413" s="6" t="s">
        <v>18</v>
      </c>
      <c r="G413" s="7">
        <v>0.13</v>
      </c>
      <c r="H413" s="6" t="s">
        <v>1000</v>
      </c>
      <c r="I413" s="6" t="s">
        <v>20</v>
      </c>
      <c r="J413" s="6">
        <v>2026.0</v>
      </c>
      <c r="K413" s="10">
        <v>46056.0</v>
      </c>
      <c r="L413" s="6">
        <v>1.0</v>
      </c>
      <c r="M413" s="8">
        <f t="shared" si="2"/>
        <v>0.13</v>
      </c>
      <c r="P413" s="9"/>
    </row>
    <row r="414">
      <c r="A414" s="6" t="s">
        <v>1039</v>
      </c>
      <c r="B414" s="6" t="s">
        <v>1026</v>
      </c>
      <c r="C414" s="6" t="s">
        <v>22</v>
      </c>
      <c r="D414" s="6" t="s">
        <v>1040</v>
      </c>
      <c r="E414" s="6" t="s">
        <v>783</v>
      </c>
      <c r="F414" s="6" t="s">
        <v>18</v>
      </c>
      <c r="G414" s="7">
        <v>0.64</v>
      </c>
      <c r="H414" s="6" t="s">
        <v>1000</v>
      </c>
      <c r="I414" s="6" t="s">
        <v>20</v>
      </c>
      <c r="J414" s="6">
        <v>2026.0</v>
      </c>
      <c r="L414" s="6">
        <v>2.0</v>
      </c>
      <c r="M414" s="8">
        <f t="shared" si="2"/>
        <v>1.28</v>
      </c>
      <c r="P414" s="9"/>
    </row>
    <row r="415">
      <c r="A415" s="6" t="s">
        <v>1041</v>
      </c>
      <c r="B415" s="6" t="s">
        <v>1042</v>
      </c>
      <c r="C415" s="6" t="s">
        <v>15</v>
      </c>
      <c r="D415" s="6" t="s">
        <v>1043</v>
      </c>
      <c r="E415" s="6" t="s">
        <v>780</v>
      </c>
      <c r="F415" s="6" t="s">
        <v>18</v>
      </c>
      <c r="G415" s="7">
        <v>0.13</v>
      </c>
      <c r="H415" s="6" t="s">
        <v>1000</v>
      </c>
      <c r="I415" s="6" t="s">
        <v>20</v>
      </c>
      <c r="J415" s="6">
        <v>2026.0</v>
      </c>
      <c r="K415" s="10">
        <v>46023.0</v>
      </c>
      <c r="L415" s="6">
        <v>1.0</v>
      </c>
      <c r="M415" s="8">
        <f t="shared" si="2"/>
        <v>0.13</v>
      </c>
      <c r="P415" s="9"/>
    </row>
    <row r="416">
      <c r="A416" s="6" t="s">
        <v>1044</v>
      </c>
      <c r="B416" s="6" t="s">
        <v>1045</v>
      </c>
      <c r="C416" s="6" t="s">
        <v>15</v>
      </c>
      <c r="D416" s="6" t="s">
        <v>1046</v>
      </c>
      <c r="E416" s="6" t="s">
        <v>822</v>
      </c>
      <c r="F416" s="6" t="s">
        <v>18</v>
      </c>
      <c r="G416" s="7">
        <v>0.13</v>
      </c>
      <c r="H416" s="6" t="s">
        <v>1000</v>
      </c>
      <c r="I416" s="6" t="s">
        <v>20</v>
      </c>
      <c r="J416" s="6">
        <v>2026.0</v>
      </c>
      <c r="K416" s="10">
        <v>46116.0</v>
      </c>
      <c r="L416" s="6">
        <v>1.0</v>
      </c>
      <c r="M416" s="8">
        <f t="shared" si="2"/>
        <v>0.13</v>
      </c>
      <c r="P416" s="9"/>
    </row>
    <row r="417">
      <c r="A417" s="6" t="s">
        <v>1047</v>
      </c>
      <c r="B417" s="6" t="s">
        <v>1048</v>
      </c>
      <c r="C417" s="6" t="s">
        <v>15</v>
      </c>
      <c r="D417" s="6" t="s">
        <v>1049</v>
      </c>
      <c r="E417" s="6" t="s">
        <v>790</v>
      </c>
      <c r="F417" s="6" t="s">
        <v>18</v>
      </c>
      <c r="G417" s="7">
        <v>0.13</v>
      </c>
      <c r="H417" s="6" t="s">
        <v>1000</v>
      </c>
      <c r="I417" s="6" t="s">
        <v>20</v>
      </c>
      <c r="J417" s="6">
        <v>2026.0</v>
      </c>
      <c r="K417" s="10">
        <v>46084.0</v>
      </c>
      <c r="L417" s="6">
        <v>4.0</v>
      </c>
      <c r="M417" s="8">
        <f t="shared" si="2"/>
        <v>0.52</v>
      </c>
      <c r="P417" s="9"/>
    </row>
    <row r="418">
      <c r="A418" s="6" t="s">
        <v>1047</v>
      </c>
      <c r="B418" s="6" t="s">
        <v>1048</v>
      </c>
      <c r="C418" s="6" t="s">
        <v>15</v>
      </c>
      <c r="D418" s="6" t="s">
        <v>1049</v>
      </c>
      <c r="E418" s="6" t="s">
        <v>790</v>
      </c>
      <c r="F418" s="6" t="s">
        <v>18</v>
      </c>
      <c r="G418" s="7">
        <v>0.84</v>
      </c>
      <c r="H418" s="6" t="s">
        <v>1000</v>
      </c>
      <c r="I418" s="6" t="s">
        <v>20</v>
      </c>
      <c r="J418" s="6">
        <v>2026.0</v>
      </c>
      <c r="K418" s="10">
        <v>46084.0</v>
      </c>
      <c r="L418" s="6">
        <v>1.0</v>
      </c>
      <c r="M418" s="8">
        <f t="shared" si="2"/>
        <v>0.84</v>
      </c>
      <c r="P418" s="9"/>
    </row>
    <row r="419">
      <c r="A419" s="6" t="s">
        <v>1047</v>
      </c>
      <c r="B419" s="6" t="s">
        <v>1048</v>
      </c>
      <c r="C419" s="6" t="s">
        <v>15</v>
      </c>
      <c r="D419" s="6" t="s">
        <v>1049</v>
      </c>
      <c r="E419" s="6" t="s">
        <v>790</v>
      </c>
      <c r="F419" s="6" t="s">
        <v>18</v>
      </c>
      <c r="G419" s="7">
        <v>0.13</v>
      </c>
      <c r="H419" s="6" t="s">
        <v>1000</v>
      </c>
      <c r="I419" s="6" t="s">
        <v>20</v>
      </c>
      <c r="J419" s="6">
        <v>2026.0</v>
      </c>
      <c r="K419" s="10">
        <v>46084.0</v>
      </c>
      <c r="L419" s="6">
        <v>2.0</v>
      </c>
      <c r="M419" s="8">
        <f t="shared" si="2"/>
        <v>0.26</v>
      </c>
      <c r="P419" s="9"/>
    </row>
    <row r="420">
      <c r="A420" s="6" t="s">
        <v>1047</v>
      </c>
      <c r="B420" s="6" t="s">
        <v>1048</v>
      </c>
      <c r="C420" s="6" t="s">
        <v>15</v>
      </c>
      <c r="D420" s="6" t="s">
        <v>1049</v>
      </c>
      <c r="E420" s="6" t="s">
        <v>790</v>
      </c>
      <c r="F420" s="6" t="s">
        <v>18</v>
      </c>
      <c r="G420" s="7">
        <v>0.34</v>
      </c>
      <c r="H420" s="6" t="s">
        <v>1000</v>
      </c>
      <c r="I420" s="6" t="s">
        <v>31</v>
      </c>
      <c r="J420" s="6">
        <v>2026.0</v>
      </c>
      <c r="K420" s="10">
        <v>46084.0</v>
      </c>
      <c r="L420" s="6">
        <v>1.0</v>
      </c>
      <c r="M420" s="8">
        <f t="shared" si="2"/>
        <v>0.34</v>
      </c>
      <c r="P420" s="9"/>
    </row>
    <row r="421">
      <c r="A421" s="6" t="s">
        <v>1050</v>
      </c>
      <c r="B421" s="6" t="s">
        <v>1051</v>
      </c>
      <c r="C421" s="6" t="s">
        <v>15</v>
      </c>
      <c r="D421" s="6" t="s">
        <v>1052</v>
      </c>
      <c r="E421" s="6" t="s">
        <v>783</v>
      </c>
      <c r="F421" s="6" t="s">
        <v>18</v>
      </c>
      <c r="G421" s="7">
        <v>0.35</v>
      </c>
      <c r="H421" s="6" t="s">
        <v>1000</v>
      </c>
      <c r="I421" s="6" t="s">
        <v>31</v>
      </c>
      <c r="J421" s="6">
        <v>2026.0</v>
      </c>
      <c r="K421" s="10">
        <v>46055.0</v>
      </c>
      <c r="L421" s="6">
        <v>1.0</v>
      </c>
      <c r="M421" s="8">
        <f t="shared" si="2"/>
        <v>0.35</v>
      </c>
      <c r="P421" s="9"/>
    </row>
    <row r="422">
      <c r="A422" s="6" t="s">
        <v>1050</v>
      </c>
      <c r="B422" s="6" t="s">
        <v>1051</v>
      </c>
      <c r="C422" s="6" t="s">
        <v>15</v>
      </c>
      <c r="D422" s="6" t="s">
        <v>1052</v>
      </c>
      <c r="E422" s="6" t="s">
        <v>783</v>
      </c>
      <c r="F422" s="6" t="s">
        <v>18</v>
      </c>
      <c r="G422" s="7">
        <v>0.13</v>
      </c>
      <c r="H422" s="6" t="s">
        <v>1000</v>
      </c>
      <c r="I422" s="6" t="s">
        <v>20</v>
      </c>
      <c r="J422" s="6">
        <v>2026.0</v>
      </c>
      <c r="K422" s="10">
        <v>46055.0</v>
      </c>
      <c r="L422" s="6">
        <v>1.0</v>
      </c>
      <c r="M422" s="8">
        <f t="shared" si="2"/>
        <v>0.13</v>
      </c>
      <c r="P422" s="9"/>
    </row>
    <row r="423">
      <c r="A423" s="6" t="s">
        <v>1053</v>
      </c>
      <c r="B423" s="6" t="s">
        <v>14</v>
      </c>
      <c r="C423" s="6" t="s">
        <v>15</v>
      </c>
      <c r="D423" s="6" t="s">
        <v>1054</v>
      </c>
      <c r="E423" s="6" t="s">
        <v>1055</v>
      </c>
      <c r="F423" s="6" t="s">
        <v>170</v>
      </c>
      <c r="G423" s="7">
        <v>0.13</v>
      </c>
      <c r="H423" s="6" t="s">
        <v>1000</v>
      </c>
      <c r="I423" s="6" t="s">
        <v>20</v>
      </c>
      <c r="J423" s="6">
        <v>2026.0</v>
      </c>
      <c r="L423" s="6">
        <v>1.0</v>
      </c>
      <c r="M423" s="8">
        <f t="shared" si="2"/>
        <v>0.13</v>
      </c>
      <c r="P423" s="9"/>
    </row>
    <row r="424">
      <c r="A424" s="6" t="s">
        <v>1056</v>
      </c>
      <c r="B424" s="6" t="s">
        <v>1057</v>
      </c>
      <c r="C424" s="6" t="s">
        <v>15</v>
      </c>
      <c r="D424" s="6" t="s">
        <v>1058</v>
      </c>
      <c r="E424" s="6" t="s">
        <v>940</v>
      </c>
      <c r="F424" s="6" t="s">
        <v>170</v>
      </c>
      <c r="G424" s="7">
        <v>0.13</v>
      </c>
      <c r="H424" s="6" t="s">
        <v>1000</v>
      </c>
      <c r="I424" s="6" t="s">
        <v>20</v>
      </c>
      <c r="J424" s="6">
        <v>2026.0</v>
      </c>
      <c r="K424" s="10">
        <v>46056.0</v>
      </c>
      <c r="L424" s="6">
        <v>1.0</v>
      </c>
      <c r="M424" s="8">
        <f t="shared" si="2"/>
        <v>0.13</v>
      </c>
      <c r="P424" s="9"/>
    </row>
    <row r="425">
      <c r="A425" s="6" t="s">
        <v>1059</v>
      </c>
      <c r="B425" s="6" t="s">
        <v>14</v>
      </c>
      <c r="C425" s="6" t="s">
        <v>15</v>
      </c>
      <c r="D425" s="6" t="s">
        <v>1060</v>
      </c>
      <c r="E425" s="6" t="s">
        <v>1055</v>
      </c>
      <c r="F425" s="6" t="s">
        <v>170</v>
      </c>
      <c r="G425" s="7">
        <v>0.13</v>
      </c>
      <c r="H425" s="6" t="s">
        <v>1000</v>
      </c>
      <c r="I425" s="6" t="s">
        <v>20</v>
      </c>
      <c r="J425" s="6">
        <v>2026.0</v>
      </c>
      <c r="L425" s="6">
        <v>2.0</v>
      </c>
      <c r="M425" s="8">
        <f t="shared" si="2"/>
        <v>0.26</v>
      </c>
      <c r="P425" s="9"/>
    </row>
    <row r="426">
      <c r="A426" s="6" t="s">
        <v>1061</v>
      </c>
      <c r="B426" s="6" t="s">
        <v>1062</v>
      </c>
      <c r="C426" s="6" t="s">
        <v>15</v>
      </c>
      <c r="D426" s="6" t="s">
        <v>1063</v>
      </c>
      <c r="E426" s="6" t="s">
        <v>930</v>
      </c>
      <c r="F426" s="6" t="s">
        <v>170</v>
      </c>
      <c r="G426" s="7">
        <v>0.13</v>
      </c>
      <c r="H426" s="6" t="s">
        <v>1000</v>
      </c>
      <c r="I426" s="6" t="s">
        <v>20</v>
      </c>
      <c r="J426" s="6">
        <v>2026.0</v>
      </c>
      <c r="K426" s="10">
        <v>46054.0</v>
      </c>
      <c r="L426" s="6">
        <v>2.0</v>
      </c>
      <c r="M426" s="8">
        <f t="shared" si="2"/>
        <v>0.26</v>
      </c>
      <c r="P426" s="9"/>
    </row>
    <row r="427">
      <c r="A427" s="6" t="s">
        <v>1064</v>
      </c>
      <c r="B427" s="6" t="s">
        <v>14</v>
      </c>
      <c r="C427" s="6" t="s">
        <v>22</v>
      </c>
      <c r="D427" s="6" t="s">
        <v>1065</v>
      </c>
      <c r="E427" s="6" t="s">
        <v>939</v>
      </c>
      <c r="F427" s="6" t="s">
        <v>170</v>
      </c>
      <c r="G427" s="7">
        <v>0.44</v>
      </c>
      <c r="H427" s="6" t="s">
        <v>1000</v>
      </c>
      <c r="I427" s="6" t="s">
        <v>20</v>
      </c>
      <c r="J427" s="6">
        <v>2026.0</v>
      </c>
      <c r="L427" s="6">
        <v>1.0</v>
      </c>
      <c r="M427" s="8">
        <f t="shared" si="2"/>
        <v>0.44</v>
      </c>
      <c r="P427" s="9"/>
    </row>
    <row r="428">
      <c r="A428" s="6" t="s">
        <v>1066</v>
      </c>
      <c r="B428" s="6" t="s">
        <v>1067</v>
      </c>
      <c r="C428" s="6" t="s">
        <v>15</v>
      </c>
      <c r="D428" s="6" t="s">
        <v>1068</v>
      </c>
      <c r="E428" s="6" t="s">
        <v>1069</v>
      </c>
      <c r="F428" s="6" t="s">
        <v>170</v>
      </c>
      <c r="G428" s="7">
        <v>0.13</v>
      </c>
      <c r="H428" s="6" t="s">
        <v>1000</v>
      </c>
      <c r="I428" s="6" t="s">
        <v>20</v>
      </c>
      <c r="J428" s="6">
        <v>2026.0</v>
      </c>
      <c r="K428" s="10">
        <v>46056.0</v>
      </c>
      <c r="L428" s="6">
        <v>1.0</v>
      </c>
      <c r="M428" s="8">
        <f t="shared" si="2"/>
        <v>0.13</v>
      </c>
      <c r="P428" s="9"/>
    </row>
    <row r="429">
      <c r="A429" s="6" t="s">
        <v>1070</v>
      </c>
      <c r="B429" s="6" t="s">
        <v>1071</v>
      </c>
      <c r="C429" s="6" t="s">
        <v>15</v>
      </c>
      <c r="D429" s="6" t="s">
        <v>1072</v>
      </c>
      <c r="E429" s="6" t="s">
        <v>993</v>
      </c>
      <c r="F429" s="6" t="s">
        <v>277</v>
      </c>
      <c r="G429" s="7">
        <v>0.13</v>
      </c>
      <c r="H429" s="6" t="s">
        <v>1000</v>
      </c>
      <c r="I429" s="6" t="s">
        <v>20</v>
      </c>
      <c r="J429" s="6">
        <v>2026.0</v>
      </c>
      <c r="K429" s="10">
        <v>46116.0</v>
      </c>
      <c r="L429" s="6">
        <v>1.0</v>
      </c>
      <c r="M429" s="8">
        <f t="shared" si="2"/>
        <v>0.13</v>
      </c>
      <c r="P429" s="9"/>
    </row>
    <row r="430">
      <c r="A430" s="6" t="s">
        <v>1073</v>
      </c>
      <c r="B430" s="6" t="s">
        <v>14</v>
      </c>
      <c r="C430" s="6" t="s">
        <v>15</v>
      </c>
      <c r="D430" s="6" t="s">
        <v>1074</v>
      </c>
      <c r="E430" s="6" t="s">
        <v>620</v>
      </c>
      <c r="F430" s="6" t="s">
        <v>277</v>
      </c>
      <c r="G430" s="7">
        <v>0.24</v>
      </c>
      <c r="H430" s="6" t="s">
        <v>1000</v>
      </c>
      <c r="I430" s="6" t="s">
        <v>20</v>
      </c>
      <c r="J430" s="6">
        <v>2026.0</v>
      </c>
      <c r="L430" s="6">
        <v>2.0</v>
      </c>
      <c r="M430" s="8">
        <f t="shared" si="2"/>
        <v>0.48</v>
      </c>
      <c r="P430" s="9"/>
    </row>
    <row r="431">
      <c r="A431" s="6" t="s">
        <v>1075</v>
      </c>
      <c r="B431" s="6" t="s">
        <v>1076</v>
      </c>
      <c r="C431" s="6" t="s">
        <v>15</v>
      </c>
      <c r="D431" s="6" t="s">
        <v>1077</v>
      </c>
      <c r="E431" s="6" t="s">
        <v>552</v>
      </c>
      <c r="F431" s="6" t="s">
        <v>277</v>
      </c>
      <c r="G431" s="7">
        <v>0.35</v>
      </c>
      <c r="H431" s="6" t="s">
        <v>1000</v>
      </c>
      <c r="I431" s="6" t="s">
        <v>31</v>
      </c>
      <c r="J431" s="6">
        <v>2026.0</v>
      </c>
      <c r="K431" s="10">
        <v>46054.0</v>
      </c>
      <c r="L431" s="6">
        <v>1.0</v>
      </c>
      <c r="M431" s="8">
        <f t="shared" si="2"/>
        <v>0.35</v>
      </c>
      <c r="P431" s="9"/>
    </row>
    <row r="432">
      <c r="A432" s="6" t="s">
        <v>1075</v>
      </c>
      <c r="B432" s="6" t="s">
        <v>1076</v>
      </c>
      <c r="C432" s="6" t="s">
        <v>15</v>
      </c>
      <c r="D432" s="6" t="s">
        <v>1077</v>
      </c>
      <c r="E432" s="6" t="s">
        <v>552</v>
      </c>
      <c r="F432" s="6" t="s">
        <v>277</v>
      </c>
      <c r="G432" s="7">
        <v>0.13</v>
      </c>
      <c r="H432" s="6" t="s">
        <v>1000</v>
      </c>
      <c r="I432" s="6" t="s">
        <v>20</v>
      </c>
      <c r="J432" s="6">
        <v>2026.0</v>
      </c>
      <c r="K432" s="10">
        <v>46054.0</v>
      </c>
      <c r="L432" s="6">
        <v>1.0</v>
      </c>
      <c r="M432" s="8">
        <f t="shared" si="2"/>
        <v>0.13</v>
      </c>
      <c r="P432" s="9"/>
    </row>
    <row r="433">
      <c r="A433" s="6" t="s">
        <v>1078</v>
      </c>
      <c r="B433" s="6" t="s">
        <v>68</v>
      </c>
      <c r="C433" s="6" t="s">
        <v>15</v>
      </c>
      <c r="D433" s="6" t="s">
        <v>1079</v>
      </c>
      <c r="E433" s="6" t="s">
        <v>620</v>
      </c>
      <c r="F433" s="6" t="s">
        <v>277</v>
      </c>
      <c r="G433" s="7">
        <v>0.13</v>
      </c>
      <c r="H433" s="6" t="s">
        <v>1000</v>
      </c>
      <c r="I433" s="6" t="s">
        <v>20</v>
      </c>
      <c r="J433" s="6">
        <v>2026.0</v>
      </c>
      <c r="L433" s="6">
        <v>1.0</v>
      </c>
      <c r="M433" s="8">
        <f t="shared" si="2"/>
        <v>0.13</v>
      </c>
      <c r="P433" s="9"/>
    </row>
    <row r="434">
      <c r="A434" s="6" t="s">
        <v>1080</v>
      </c>
      <c r="B434" s="6" t="s">
        <v>14</v>
      </c>
      <c r="C434" s="6" t="s">
        <v>15</v>
      </c>
      <c r="D434" s="6" t="s">
        <v>1081</v>
      </c>
      <c r="E434" s="6" t="s">
        <v>658</v>
      </c>
      <c r="F434" s="6" t="s">
        <v>277</v>
      </c>
      <c r="G434" s="7">
        <v>0.03</v>
      </c>
      <c r="H434" s="6" t="s">
        <v>1000</v>
      </c>
      <c r="I434" s="6" t="s">
        <v>20</v>
      </c>
      <c r="J434" s="6">
        <v>2026.0</v>
      </c>
      <c r="L434" s="6">
        <v>1.0</v>
      </c>
      <c r="M434" s="8">
        <f t="shared" si="2"/>
        <v>0.03</v>
      </c>
      <c r="P434" s="9"/>
    </row>
    <row r="435">
      <c r="A435" s="6" t="s">
        <v>1082</v>
      </c>
      <c r="B435" s="6" t="s">
        <v>271</v>
      </c>
      <c r="C435" s="6" t="s">
        <v>15</v>
      </c>
      <c r="D435" s="6" t="s">
        <v>1083</v>
      </c>
      <c r="E435" s="6" t="s">
        <v>694</v>
      </c>
      <c r="F435" s="6" t="s">
        <v>152</v>
      </c>
      <c r="G435" s="7">
        <v>0.13</v>
      </c>
      <c r="H435" s="6" t="s">
        <v>1000</v>
      </c>
      <c r="I435" s="6" t="s">
        <v>20</v>
      </c>
      <c r="J435" s="6">
        <v>2026.0</v>
      </c>
      <c r="K435" s="10">
        <v>46082.0</v>
      </c>
      <c r="L435" s="6">
        <v>1.0</v>
      </c>
      <c r="M435" s="8">
        <f t="shared" si="2"/>
        <v>0.13</v>
      </c>
      <c r="P435" s="9"/>
    </row>
    <row r="436">
      <c r="A436" s="6" t="s">
        <v>1082</v>
      </c>
      <c r="B436" s="6" t="s">
        <v>271</v>
      </c>
      <c r="C436" s="6" t="s">
        <v>15</v>
      </c>
      <c r="D436" s="6" t="s">
        <v>1083</v>
      </c>
      <c r="E436" s="6" t="s">
        <v>694</v>
      </c>
      <c r="F436" s="6" t="s">
        <v>152</v>
      </c>
      <c r="G436" s="7">
        <v>0.11</v>
      </c>
      <c r="H436" s="6" t="s">
        <v>1000</v>
      </c>
      <c r="I436" s="6" t="s">
        <v>20</v>
      </c>
      <c r="J436" s="6">
        <v>2026.0</v>
      </c>
      <c r="K436" s="10">
        <v>46082.0</v>
      </c>
      <c r="L436" s="6">
        <v>2.0</v>
      </c>
      <c r="M436" s="8">
        <f t="shared" si="2"/>
        <v>0.22</v>
      </c>
      <c r="P436" s="9"/>
    </row>
    <row r="437">
      <c r="A437" s="6" t="s">
        <v>1084</v>
      </c>
      <c r="B437" s="6" t="s">
        <v>729</v>
      </c>
      <c r="C437" s="6" t="s">
        <v>22</v>
      </c>
      <c r="D437" s="6" t="s">
        <v>1085</v>
      </c>
      <c r="E437" s="6" t="s">
        <v>930</v>
      </c>
      <c r="F437" s="6" t="s">
        <v>170</v>
      </c>
      <c r="G437" s="7">
        <v>0.2</v>
      </c>
      <c r="H437" s="6" t="s">
        <v>1086</v>
      </c>
      <c r="I437" s="6" t="s">
        <v>20</v>
      </c>
      <c r="J437" s="6">
        <v>2025.0</v>
      </c>
      <c r="K437" s="10">
        <v>46024.0</v>
      </c>
      <c r="L437" s="6">
        <v>1.0</v>
      </c>
      <c r="M437" s="8">
        <f t="shared" si="2"/>
        <v>0.2</v>
      </c>
      <c r="P437" s="9"/>
    </row>
    <row r="438">
      <c r="A438" s="6" t="s">
        <v>1087</v>
      </c>
      <c r="B438" s="6" t="s">
        <v>68</v>
      </c>
      <c r="C438" s="6" t="s">
        <v>1088</v>
      </c>
      <c r="D438" s="6" t="s">
        <v>1089</v>
      </c>
      <c r="E438" s="6" t="s">
        <v>763</v>
      </c>
      <c r="F438" s="6" t="s">
        <v>18</v>
      </c>
      <c r="G438" s="7">
        <v>0.41</v>
      </c>
      <c r="H438" s="6" t="s">
        <v>1086</v>
      </c>
      <c r="I438" s="6" t="s">
        <v>20</v>
      </c>
      <c r="J438" s="6">
        <v>2025.0</v>
      </c>
      <c r="L438" s="6">
        <v>1.0</v>
      </c>
      <c r="M438" s="8">
        <f t="shared" si="2"/>
        <v>0.41</v>
      </c>
      <c r="P438" s="9"/>
    </row>
    <row r="439">
      <c r="A439" s="6" t="s">
        <v>1090</v>
      </c>
      <c r="B439" s="6" t="s">
        <v>68</v>
      </c>
      <c r="C439" s="6" t="s">
        <v>15</v>
      </c>
      <c r="D439" s="6" t="s">
        <v>1091</v>
      </c>
      <c r="E439" s="6" t="s">
        <v>930</v>
      </c>
      <c r="F439" s="6" t="s">
        <v>170</v>
      </c>
      <c r="G439" s="7">
        <v>0.33</v>
      </c>
      <c r="H439" s="6" t="s">
        <v>1092</v>
      </c>
      <c r="I439" s="6" t="s">
        <v>20</v>
      </c>
      <c r="J439" s="6">
        <v>2012.0</v>
      </c>
      <c r="L439" s="6">
        <v>1.0</v>
      </c>
      <c r="M439" s="8">
        <f t="shared" si="2"/>
        <v>0.33</v>
      </c>
      <c r="P439" s="9"/>
    </row>
    <row r="440">
      <c r="A440" s="6" t="s">
        <v>1093</v>
      </c>
      <c r="B440" s="6" t="s">
        <v>63</v>
      </c>
      <c r="C440" s="6" t="s">
        <v>1088</v>
      </c>
      <c r="D440" s="6" t="s">
        <v>1094</v>
      </c>
      <c r="E440" s="6" t="s">
        <v>940</v>
      </c>
      <c r="F440" s="6" t="s">
        <v>170</v>
      </c>
      <c r="G440" s="7">
        <v>0.2</v>
      </c>
      <c r="H440" s="6" t="s">
        <v>1095</v>
      </c>
      <c r="I440" s="6" t="s">
        <v>20</v>
      </c>
      <c r="J440" s="6">
        <v>2018.0</v>
      </c>
      <c r="L440" s="6">
        <v>1.0</v>
      </c>
      <c r="M440" s="8">
        <f t="shared" si="2"/>
        <v>0.2</v>
      </c>
      <c r="P440" s="9"/>
    </row>
    <row r="441">
      <c r="A441" s="6" t="s">
        <v>1096</v>
      </c>
      <c r="B441" s="6" t="s">
        <v>220</v>
      </c>
      <c r="C441" s="6" t="s">
        <v>1088</v>
      </c>
      <c r="D441" s="6" t="s">
        <v>1097</v>
      </c>
      <c r="E441" s="6" t="s">
        <v>939</v>
      </c>
      <c r="F441" s="6" t="s">
        <v>170</v>
      </c>
      <c r="G441" s="7">
        <v>0.05</v>
      </c>
      <c r="H441" s="6" t="s">
        <v>1098</v>
      </c>
      <c r="I441" s="6" t="s">
        <v>20</v>
      </c>
      <c r="J441" s="6">
        <v>2019.0</v>
      </c>
      <c r="K441" s="10">
        <v>46023.0</v>
      </c>
      <c r="L441" s="6">
        <v>1.0</v>
      </c>
      <c r="M441" s="8">
        <f t="shared" si="2"/>
        <v>0.05</v>
      </c>
      <c r="P441" s="9"/>
    </row>
    <row r="442">
      <c r="A442" s="6" t="s">
        <v>1099</v>
      </c>
      <c r="B442" s="6" t="s">
        <v>186</v>
      </c>
      <c r="C442" s="6" t="s">
        <v>339</v>
      </c>
      <c r="D442" s="6" t="s">
        <v>1100</v>
      </c>
      <c r="E442" s="6" t="s">
        <v>1101</v>
      </c>
      <c r="F442" s="6" t="s">
        <v>170</v>
      </c>
      <c r="G442" s="7">
        <v>0.43</v>
      </c>
      <c r="H442" s="6" t="s">
        <v>1098</v>
      </c>
      <c r="I442" s="6" t="s">
        <v>20</v>
      </c>
      <c r="J442" s="6">
        <v>2019.0</v>
      </c>
      <c r="K442" s="10">
        <v>46116.0</v>
      </c>
      <c r="L442" s="6">
        <v>2.0</v>
      </c>
      <c r="M442" s="8">
        <f t="shared" si="2"/>
        <v>0.86</v>
      </c>
      <c r="P442" s="9"/>
    </row>
    <row r="443">
      <c r="A443" s="6" t="s">
        <v>1102</v>
      </c>
      <c r="B443" s="6" t="s">
        <v>1103</v>
      </c>
      <c r="C443" s="6" t="s">
        <v>22</v>
      </c>
      <c r="D443" s="6" t="s">
        <v>1104</v>
      </c>
      <c r="E443" s="6" t="s">
        <v>1055</v>
      </c>
      <c r="F443" s="6" t="s">
        <v>170</v>
      </c>
      <c r="G443" s="7">
        <v>0.19</v>
      </c>
      <c r="H443" s="6" t="s">
        <v>1095</v>
      </c>
      <c r="I443" s="6" t="s">
        <v>20</v>
      </c>
      <c r="J443" s="6">
        <v>2018.0</v>
      </c>
      <c r="K443" s="10">
        <v>46055.0</v>
      </c>
      <c r="L443" s="6">
        <v>1.0</v>
      </c>
      <c r="M443" s="8">
        <f t="shared" si="2"/>
        <v>0.19</v>
      </c>
      <c r="P443" s="9"/>
    </row>
    <row r="444">
      <c r="A444" s="6" t="s">
        <v>1105</v>
      </c>
      <c r="B444" s="6" t="s">
        <v>1106</v>
      </c>
      <c r="C444" s="6" t="s">
        <v>15</v>
      </c>
      <c r="D444" s="6" t="s">
        <v>1107</v>
      </c>
      <c r="E444" s="6" t="s">
        <v>1055</v>
      </c>
      <c r="F444" s="6" t="s">
        <v>170</v>
      </c>
      <c r="G444" s="7">
        <v>0.03</v>
      </c>
      <c r="H444" s="6" t="s">
        <v>1098</v>
      </c>
      <c r="I444" s="6" t="s">
        <v>20</v>
      </c>
      <c r="J444" s="6">
        <v>2019.0</v>
      </c>
      <c r="K444" s="10">
        <v>46024.0</v>
      </c>
      <c r="L444" s="6">
        <v>1.0</v>
      </c>
      <c r="M444" s="8">
        <f t="shared" si="2"/>
        <v>0.03</v>
      </c>
      <c r="P444" s="9"/>
    </row>
    <row r="445">
      <c r="A445" s="6" t="s">
        <v>1108</v>
      </c>
      <c r="B445" s="6" t="s">
        <v>1109</v>
      </c>
      <c r="C445" s="6" t="s">
        <v>1088</v>
      </c>
      <c r="D445" s="6" t="s">
        <v>1110</v>
      </c>
      <c r="E445" s="6" t="s">
        <v>1055</v>
      </c>
      <c r="F445" s="6" t="s">
        <v>170</v>
      </c>
      <c r="G445" s="7">
        <v>0.18</v>
      </c>
      <c r="H445" s="6" t="s">
        <v>1098</v>
      </c>
      <c r="I445" s="6" t="s">
        <v>20</v>
      </c>
      <c r="J445" s="6">
        <v>2019.0</v>
      </c>
      <c r="K445" s="10">
        <v>46055.0</v>
      </c>
      <c r="L445" s="6">
        <v>4.0</v>
      </c>
      <c r="M445" s="8">
        <f t="shared" si="2"/>
        <v>0.72</v>
      </c>
      <c r="P445" s="9"/>
    </row>
    <row r="446">
      <c r="A446" s="6" t="s">
        <v>1111</v>
      </c>
      <c r="B446" s="6" t="s">
        <v>68</v>
      </c>
      <c r="C446" s="6" t="s">
        <v>22</v>
      </c>
      <c r="D446" s="6" t="s">
        <v>1112</v>
      </c>
      <c r="E446" s="6" t="s">
        <v>1055</v>
      </c>
      <c r="F446" s="6" t="s">
        <v>170</v>
      </c>
      <c r="G446" s="7">
        <v>0.08</v>
      </c>
      <c r="H446" s="6" t="s">
        <v>1095</v>
      </c>
      <c r="I446" s="6" t="s">
        <v>20</v>
      </c>
      <c r="J446" s="6">
        <v>2018.0</v>
      </c>
      <c r="L446" s="6">
        <v>2.0</v>
      </c>
      <c r="M446" s="8">
        <f t="shared" si="2"/>
        <v>0.16</v>
      </c>
      <c r="P446" s="9"/>
    </row>
    <row r="447">
      <c r="A447" s="6" t="s">
        <v>1113</v>
      </c>
      <c r="B447" s="6" t="s">
        <v>1114</v>
      </c>
      <c r="C447" s="6" t="s">
        <v>339</v>
      </c>
      <c r="D447" s="6" t="s">
        <v>1115</v>
      </c>
      <c r="E447" s="6" t="s">
        <v>648</v>
      </c>
      <c r="F447" s="6" t="s">
        <v>277</v>
      </c>
      <c r="G447" s="7">
        <v>2.17</v>
      </c>
      <c r="H447" s="6" t="s">
        <v>1098</v>
      </c>
      <c r="I447" s="6" t="s">
        <v>20</v>
      </c>
      <c r="J447" s="6">
        <v>2019.0</v>
      </c>
      <c r="K447" s="10">
        <v>46116.0</v>
      </c>
      <c r="L447" s="6">
        <v>1.0</v>
      </c>
      <c r="M447" s="8">
        <f t="shared" si="2"/>
        <v>2.17</v>
      </c>
      <c r="P447" s="9"/>
    </row>
    <row r="448">
      <c r="A448" s="6" t="s">
        <v>1116</v>
      </c>
      <c r="B448" s="6" t="s">
        <v>1117</v>
      </c>
      <c r="C448" s="6" t="s">
        <v>22</v>
      </c>
      <c r="D448" s="6" t="s">
        <v>1118</v>
      </c>
      <c r="E448" s="6" t="s">
        <v>658</v>
      </c>
      <c r="F448" s="6" t="s">
        <v>277</v>
      </c>
      <c r="G448" s="7">
        <v>0.25</v>
      </c>
      <c r="H448" s="6" t="s">
        <v>1098</v>
      </c>
      <c r="I448" s="6" t="s">
        <v>20</v>
      </c>
      <c r="J448" s="6">
        <v>2019.0</v>
      </c>
      <c r="K448" s="10">
        <v>46083.0</v>
      </c>
      <c r="L448" s="6">
        <v>1.0</v>
      </c>
      <c r="M448" s="8">
        <f t="shared" si="2"/>
        <v>0.25</v>
      </c>
      <c r="P448" s="9"/>
    </row>
    <row r="449">
      <c r="A449" s="6" t="s">
        <v>1119</v>
      </c>
      <c r="B449" s="6" t="s">
        <v>68</v>
      </c>
      <c r="C449" s="6" t="s">
        <v>1088</v>
      </c>
      <c r="D449" s="6" t="s">
        <v>1120</v>
      </c>
      <c r="E449" s="6" t="s">
        <v>1121</v>
      </c>
      <c r="F449" s="6" t="s">
        <v>157</v>
      </c>
      <c r="G449" s="7">
        <v>1.99</v>
      </c>
      <c r="H449" s="6" t="s">
        <v>1122</v>
      </c>
      <c r="I449" s="6" t="s">
        <v>20</v>
      </c>
      <c r="J449" s="6">
        <v>2013.0</v>
      </c>
      <c r="L449" s="6">
        <v>1.0</v>
      </c>
      <c r="M449" s="8">
        <f t="shared" si="2"/>
        <v>1.99</v>
      </c>
      <c r="P449" s="9"/>
    </row>
    <row r="450">
      <c r="A450" s="6" t="s">
        <v>1123</v>
      </c>
      <c r="B450" s="6" t="s">
        <v>14</v>
      </c>
      <c r="C450" s="6" t="s">
        <v>1088</v>
      </c>
      <c r="D450" s="6" t="s">
        <v>1124</v>
      </c>
      <c r="E450" s="6" t="s">
        <v>1125</v>
      </c>
      <c r="F450" s="6" t="s">
        <v>157</v>
      </c>
      <c r="G450" s="7">
        <v>1.5</v>
      </c>
      <c r="H450" s="6" t="s">
        <v>1098</v>
      </c>
      <c r="I450" s="6" t="s">
        <v>20</v>
      </c>
      <c r="J450" s="6">
        <v>2019.0</v>
      </c>
      <c r="L450" s="6">
        <v>1.0</v>
      </c>
      <c r="M450" s="8">
        <f t="shared" si="2"/>
        <v>1.5</v>
      </c>
      <c r="P450" s="9"/>
    </row>
    <row r="451">
      <c r="A451" s="6" t="s">
        <v>1126</v>
      </c>
      <c r="B451" s="6" t="s">
        <v>1127</v>
      </c>
      <c r="C451" s="6" t="s">
        <v>1088</v>
      </c>
      <c r="D451" s="6" t="s">
        <v>1128</v>
      </c>
      <c r="E451" s="6" t="s">
        <v>1129</v>
      </c>
      <c r="F451" s="6" t="s">
        <v>157</v>
      </c>
      <c r="G451" s="7">
        <v>0.92</v>
      </c>
      <c r="H451" s="6" t="s">
        <v>1130</v>
      </c>
      <c r="I451" s="6" t="s">
        <v>31</v>
      </c>
      <c r="J451" s="6">
        <v>2013.0</v>
      </c>
      <c r="L451" s="6">
        <v>1.0</v>
      </c>
      <c r="M451" s="8">
        <f t="shared" si="2"/>
        <v>0.92</v>
      </c>
      <c r="P451" s="9"/>
    </row>
    <row r="452">
      <c r="A452" s="6" t="s">
        <v>1131</v>
      </c>
      <c r="B452" s="6" t="s">
        <v>1132</v>
      </c>
      <c r="C452" s="6" t="s">
        <v>15</v>
      </c>
      <c r="D452" s="6" t="s">
        <v>1133</v>
      </c>
      <c r="E452" s="6" t="s">
        <v>1032</v>
      </c>
      <c r="F452" s="6" t="s">
        <v>80</v>
      </c>
      <c r="G452" s="7">
        <v>0.05</v>
      </c>
      <c r="H452" s="6" t="s">
        <v>1000</v>
      </c>
      <c r="I452" s="6" t="s">
        <v>20</v>
      </c>
      <c r="J452" s="6">
        <v>2025.0</v>
      </c>
      <c r="K452" s="10">
        <v>46024.0</v>
      </c>
      <c r="L452" s="6">
        <v>1.0</v>
      </c>
      <c r="M452" s="8">
        <f t="shared" si="2"/>
        <v>0.05</v>
      </c>
      <c r="P452" s="9"/>
    </row>
    <row r="453">
      <c r="A453" s="6" t="s">
        <v>1134</v>
      </c>
      <c r="B453" s="6" t="s">
        <v>1135</v>
      </c>
      <c r="C453" s="6" t="s">
        <v>15</v>
      </c>
      <c r="D453" s="6" t="s">
        <v>1136</v>
      </c>
      <c r="E453" s="6" t="s">
        <v>697</v>
      </c>
      <c r="F453" s="6" t="s">
        <v>152</v>
      </c>
      <c r="G453" s="7">
        <v>0.25</v>
      </c>
      <c r="H453" s="6" t="s">
        <v>1000</v>
      </c>
      <c r="I453" s="6" t="s">
        <v>20</v>
      </c>
      <c r="J453" s="6">
        <v>2025.0</v>
      </c>
      <c r="K453" s="10">
        <v>46084.0</v>
      </c>
      <c r="L453" s="6">
        <v>3.0</v>
      </c>
      <c r="M453" s="8">
        <f t="shared" si="2"/>
        <v>0.75</v>
      </c>
      <c r="P453" s="9"/>
    </row>
    <row r="454">
      <c r="A454" s="6" t="s">
        <v>1137</v>
      </c>
      <c r="B454" s="6" t="s">
        <v>1016</v>
      </c>
      <c r="C454" s="6" t="s">
        <v>22</v>
      </c>
      <c r="D454" s="6" t="s">
        <v>1138</v>
      </c>
      <c r="E454" s="6" t="s">
        <v>702</v>
      </c>
      <c r="F454" s="6" t="s">
        <v>152</v>
      </c>
      <c r="G454" s="7">
        <v>0.99</v>
      </c>
      <c r="H454" s="6" t="s">
        <v>1000</v>
      </c>
      <c r="I454" s="6" t="s">
        <v>20</v>
      </c>
      <c r="J454" s="6">
        <v>2026.0</v>
      </c>
      <c r="K454" s="10">
        <v>46144.0</v>
      </c>
      <c r="L454" s="6">
        <v>1.0</v>
      </c>
      <c r="M454" s="8">
        <f t="shared" si="2"/>
        <v>0.99</v>
      </c>
      <c r="P454" s="9"/>
    </row>
    <row r="455">
      <c r="A455" s="6" t="s">
        <v>1139</v>
      </c>
      <c r="B455" s="6" t="s">
        <v>1140</v>
      </c>
      <c r="C455" s="6" t="s">
        <v>22</v>
      </c>
      <c r="D455" s="6" t="s">
        <v>1141</v>
      </c>
      <c r="E455" s="6" t="s">
        <v>1142</v>
      </c>
      <c r="F455" s="6" t="s">
        <v>157</v>
      </c>
      <c r="G455" s="7">
        <v>0.89</v>
      </c>
      <c r="H455" s="6" t="s">
        <v>1000</v>
      </c>
      <c r="I455" s="6" t="s">
        <v>31</v>
      </c>
      <c r="J455" s="6">
        <v>2026.0</v>
      </c>
      <c r="K455" s="10">
        <v>46056.0</v>
      </c>
      <c r="L455" s="6">
        <v>1.0</v>
      </c>
      <c r="M455" s="8">
        <f t="shared" si="2"/>
        <v>0.89</v>
      </c>
      <c r="P455" s="9"/>
    </row>
    <row r="456">
      <c r="A456" s="6" t="s">
        <v>1143</v>
      </c>
      <c r="B456" s="6" t="s">
        <v>1144</v>
      </c>
      <c r="C456" s="6" t="s">
        <v>22</v>
      </c>
      <c r="D456" s="6" t="s">
        <v>1145</v>
      </c>
      <c r="E456" s="6" t="s">
        <v>1146</v>
      </c>
      <c r="F456" s="6" t="s">
        <v>157</v>
      </c>
      <c r="G456" s="7">
        <v>0.44</v>
      </c>
      <c r="H456" s="6" t="s">
        <v>1000</v>
      </c>
      <c r="I456" s="6" t="s">
        <v>20</v>
      </c>
      <c r="J456" s="6">
        <v>2026.0</v>
      </c>
      <c r="K456" s="10">
        <v>46082.0</v>
      </c>
      <c r="L456" s="6">
        <v>1.0</v>
      </c>
      <c r="M456" s="8">
        <f t="shared" si="2"/>
        <v>0.44</v>
      </c>
      <c r="P456" s="9"/>
    </row>
    <row r="457">
      <c r="A457" s="6" t="s">
        <v>1147</v>
      </c>
      <c r="B457" s="6" t="s">
        <v>1148</v>
      </c>
      <c r="C457" s="6" t="s">
        <v>22</v>
      </c>
      <c r="D457" s="6" t="s">
        <v>1149</v>
      </c>
      <c r="E457" s="6" t="s">
        <v>620</v>
      </c>
      <c r="F457" s="6" t="s">
        <v>277</v>
      </c>
      <c r="G457" s="7">
        <v>0.2</v>
      </c>
      <c r="H457" s="6" t="s">
        <v>1000</v>
      </c>
      <c r="I457" s="6" t="s">
        <v>20</v>
      </c>
      <c r="J457" s="6">
        <v>2026.0</v>
      </c>
      <c r="K457" s="10">
        <v>46055.0</v>
      </c>
      <c r="L457" s="6">
        <v>1.0</v>
      </c>
      <c r="M457" s="8">
        <f t="shared" si="2"/>
        <v>0.2</v>
      </c>
      <c r="P457" s="9"/>
    </row>
    <row r="458">
      <c r="A458" s="6" t="s">
        <v>1150</v>
      </c>
      <c r="B458" s="6" t="s">
        <v>1151</v>
      </c>
      <c r="C458" s="6" t="s">
        <v>22</v>
      </c>
      <c r="D458" s="6" t="s">
        <v>1152</v>
      </c>
      <c r="E458" s="6" t="s">
        <v>620</v>
      </c>
      <c r="F458" s="6" t="s">
        <v>277</v>
      </c>
      <c r="G458" s="7">
        <v>0.7</v>
      </c>
      <c r="H458" s="6" t="s">
        <v>1000</v>
      </c>
      <c r="I458" s="6" t="s">
        <v>20</v>
      </c>
      <c r="J458" s="6">
        <v>2026.0</v>
      </c>
      <c r="K458" s="10">
        <v>46055.0</v>
      </c>
      <c r="L458" s="6">
        <v>1.0</v>
      </c>
      <c r="M458" s="8">
        <f t="shared" si="2"/>
        <v>0.7</v>
      </c>
      <c r="P458" s="9"/>
    </row>
    <row r="459">
      <c r="A459" s="6" t="s">
        <v>1153</v>
      </c>
      <c r="B459" s="6" t="s">
        <v>1148</v>
      </c>
      <c r="C459" s="6" t="s">
        <v>22</v>
      </c>
      <c r="D459" s="6" t="s">
        <v>1154</v>
      </c>
      <c r="E459" s="6" t="s">
        <v>1155</v>
      </c>
      <c r="F459" s="6" t="s">
        <v>277</v>
      </c>
      <c r="G459" s="7">
        <v>0.44</v>
      </c>
      <c r="H459" s="6" t="s">
        <v>1000</v>
      </c>
      <c r="I459" s="6" t="s">
        <v>20</v>
      </c>
      <c r="J459" s="6">
        <v>2026.0</v>
      </c>
      <c r="K459" s="10">
        <v>46178.0</v>
      </c>
      <c r="L459" s="6">
        <v>1.0</v>
      </c>
      <c r="M459" s="8">
        <f t="shared" si="2"/>
        <v>0.44</v>
      </c>
      <c r="P459" s="9"/>
    </row>
    <row r="460">
      <c r="A460" s="6" t="s">
        <v>1156</v>
      </c>
      <c r="B460" s="6" t="s">
        <v>1157</v>
      </c>
      <c r="C460" s="6" t="s">
        <v>22</v>
      </c>
      <c r="D460" s="6" t="s">
        <v>1158</v>
      </c>
      <c r="E460" s="6" t="s">
        <v>620</v>
      </c>
      <c r="F460" s="6" t="s">
        <v>277</v>
      </c>
      <c r="G460" s="7">
        <v>0.79</v>
      </c>
      <c r="H460" s="6" t="s">
        <v>1000</v>
      </c>
      <c r="I460" s="6" t="s">
        <v>20</v>
      </c>
      <c r="J460" s="6">
        <v>2026.0</v>
      </c>
      <c r="K460" s="10">
        <v>46084.0</v>
      </c>
      <c r="L460" s="6">
        <v>1.0</v>
      </c>
      <c r="M460" s="8">
        <f t="shared" si="2"/>
        <v>0.79</v>
      </c>
      <c r="P460" s="9"/>
    </row>
    <row r="461">
      <c r="A461" s="6" t="s">
        <v>1159</v>
      </c>
      <c r="B461" s="6" t="s">
        <v>1016</v>
      </c>
      <c r="C461" s="6" t="s">
        <v>22</v>
      </c>
      <c r="D461" s="6" t="s">
        <v>1160</v>
      </c>
      <c r="E461" s="6" t="s">
        <v>721</v>
      </c>
      <c r="F461" s="6" t="s">
        <v>152</v>
      </c>
      <c r="G461" s="7">
        <v>0.44</v>
      </c>
      <c r="H461" s="6" t="s">
        <v>1000</v>
      </c>
      <c r="I461" s="6" t="s">
        <v>20</v>
      </c>
      <c r="J461" s="6">
        <v>2026.0</v>
      </c>
      <c r="K461" s="10">
        <v>46144.0</v>
      </c>
      <c r="L461" s="6">
        <v>1.0</v>
      </c>
      <c r="M461" s="8">
        <f t="shared" si="2"/>
        <v>0.44</v>
      </c>
      <c r="P461" s="9"/>
    </row>
    <row r="462">
      <c r="A462" s="6" t="s">
        <v>1161</v>
      </c>
      <c r="B462" s="6" t="s">
        <v>1148</v>
      </c>
      <c r="C462" s="6" t="s">
        <v>22</v>
      </c>
      <c r="D462" s="6" t="s">
        <v>1162</v>
      </c>
      <c r="E462" s="6" t="s">
        <v>790</v>
      </c>
      <c r="F462" s="6" t="s">
        <v>18</v>
      </c>
      <c r="G462" s="7">
        <v>0.8</v>
      </c>
      <c r="H462" s="6" t="s">
        <v>1000</v>
      </c>
      <c r="I462" s="6" t="s">
        <v>20</v>
      </c>
      <c r="J462" s="6">
        <v>2026.0</v>
      </c>
      <c r="K462" s="10">
        <v>46055.0</v>
      </c>
      <c r="L462" s="6">
        <v>1.0</v>
      </c>
      <c r="M462" s="8">
        <f t="shared" si="2"/>
        <v>0.8</v>
      </c>
      <c r="P462" s="9"/>
    </row>
    <row r="463">
      <c r="A463" s="6" t="s">
        <v>1163</v>
      </c>
      <c r="B463" s="6" t="s">
        <v>980</v>
      </c>
      <c r="C463" s="6" t="s">
        <v>22</v>
      </c>
      <c r="D463" s="6" t="s">
        <v>1164</v>
      </c>
      <c r="E463" s="6" t="s">
        <v>780</v>
      </c>
      <c r="F463" s="6" t="s">
        <v>18</v>
      </c>
      <c r="G463" s="7">
        <v>0.65</v>
      </c>
      <c r="H463" s="6" t="s">
        <v>1000</v>
      </c>
      <c r="I463" s="6" t="s">
        <v>20</v>
      </c>
      <c r="J463" s="6">
        <v>2026.0</v>
      </c>
      <c r="K463" s="6" t="s">
        <v>89</v>
      </c>
      <c r="L463" s="6">
        <v>1.0</v>
      </c>
      <c r="M463" s="8">
        <f t="shared" si="2"/>
        <v>0.65</v>
      </c>
      <c r="P463" s="9"/>
    </row>
    <row r="464">
      <c r="A464" s="6" t="s">
        <v>1165</v>
      </c>
      <c r="B464" s="6" t="s">
        <v>1151</v>
      </c>
      <c r="C464" s="6" t="s">
        <v>22</v>
      </c>
      <c r="D464" s="6" t="s">
        <v>1166</v>
      </c>
      <c r="E464" s="6" t="s">
        <v>1167</v>
      </c>
      <c r="F464" s="6" t="s">
        <v>157</v>
      </c>
      <c r="G464" s="7">
        <v>0.44</v>
      </c>
      <c r="H464" s="6" t="s">
        <v>1000</v>
      </c>
      <c r="I464" s="6" t="s">
        <v>20</v>
      </c>
      <c r="J464" s="6">
        <v>2026.0</v>
      </c>
      <c r="K464" s="10">
        <v>46055.0</v>
      </c>
      <c r="L464" s="6">
        <v>1.0</v>
      </c>
      <c r="M464" s="8">
        <f t="shared" si="2"/>
        <v>0.44</v>
      </c>
      <c r="P464" s="9"/>
    </row>
    <row r="465">
      <c r="A465" s="6" t="s">
        <v>1168</v>
      </c>
      <c r="B465" s="6" t="s">
        <v>1169</v>
      </c>
      <c r="C465" s="6" t="s">
        <v>22</v>
      </c>
      <c r="D465" s="6" t="s">
        <v>1170</v>
      </c>
      <c r="E465" s="6" t="s">
        <v>1171</v>
      </c>
      <c r="F465" s="6" t="s">
        <v>157</v>
      </c>
      <c r="G465" s="7">
        <v>1.86</v>
      </c>
      <c r="H465" s="6" t="s">
        <v>1000</v>
      </c>
      <c r="I465" s="6" t="s">
        <v>20</v>
      </c>
      <c r="J465" s="6">
        <v>2026.0</v>
      </c>
      <c r="K465" s="10">
        <v>46083.0</v>
      </c>
      <c r="L465" s="6">
        <v>1.0</v>
      </c>
      <c r="M465" s="8">
        <f t="shared" si="2"/>
        <v>1.86</v>
      </c>
      <c r="P465" s="9"/>
    </row>
    <row r="466">
      <c r="A466" s="6" t="s">
        <v>1172</v>
      </c>
      <c r="B466" s="6" t="s">
        <v>1173</v>
      </c>
      <c r="C466" s="6" t="s">
        <v>22</v>
      </c>
      <c r="D466" s="6" t="s">
        <v>1174</v>
      </c>
      <c r="E466" s="6" t="s">
        <v>1032</v>
      </c>
      <c r="F466" s="6" t="s">
        <v>80</v>
      </c>
      <c r="G466" s="7">
        <v>0.44</v>
      </c>
      <c r="H466" s="6" t="s">
        <v>1000</v>
      </c>
      <c r="I466" s="6" t="s">
        <v>20</v>
      </c>
      <c r="J466" s="6">
        <v>2026.0</v>
      </c>
      <c r="K466" s="10">
        <v>46055.0</v>
      </c>
      <c r="L466" s="6">
        <v>1.0</v>
      </c>
      <c r="M466" s="8">
        <f t="shared" si="2"/>
        <v>0.44</v>
      </c>
      <c r="P466" s="9"/>
    </row>
    <row r="467">
      <c r="A467" s="6" t="s">
        <v>1175</v>
      </c>
      <c r="B467" s="6" t="s">
        <v>1176</v>
      </c>
      <c r="C467" s="6" t="s">
        <v>1088</v>
      </c>
      <c r="D467" s="6" t="s">
        <v>1177</v>
      </c>
      <c r="E467" s="6" t="s">
        <v>1178</v>
      </c>
      <c r="F467" s="6" t="s">
        <v>1179</v>
      </c>
      <c r="G467" s="7">
        <v>1.2</v>
      </c>
      <c r="H467" s="6" t="s">
        <v>398</v>
      </c>
      <c r="I467" s="6" t="s">
        <v>20</v>
      </c>
      <c r="J467" s="6">
        <v>2025.0</v>
      </c>
      <c r="K467" s="10">
        <v>46085.0</v>
      </c>
      <c r="L467" s="6">
        <v>1.0</v>
      </c>
      <c r="M467" s="8">
        <f t="shared" si="2"/>
        <v>1.2</v>
      </c>
      <c r="P467" s="9"/>
    </row>
    <row r="468">
      <c r="A468" s="6" t="s">
        <v>1180</v>
      </c>
      <c r="B468" s="6" t="s">
        <v>1181</v>
      </c>
      <c r="C468" s="6" t="s">
        <v>15</v>
      </c>
      <c r="D468" s="6" t="s">
        <v>1182</v>
      </c>
      <c r="E468" s="6" t="s">
        <v>767</v>
      </c>
      <c r="F468" s="6" t="s">
        <v>18</v>
      </c>
      <c r="G468" s="7">
        <v>0.2</v>
      </c>
      <c r="H468" s="6" t="s">
        <v>1183</v>
      </c>
      <c r="I468" s="6" t="s">
        <v>20</v>
      </c>
      <c r="J468" s="6">
        <v>2026.0</v>
      </c>
      <c r="K468" s="10">
        <v>46084.0</v>
      </c>
      <c r="L468" s="6">
        <v>2.0</v>
      </c>
      <c r="M468" s="8">
        <f t="shared" si="2"/>
        <v>0.4</v>
      </c>
      <c r="P468" s="9"/>
    </row>
    <row r="469">
      <c r="A469" s="6" t="s">
        <v>1184</v>
      </c>
      <c r="B469" s="6" t="s">
        <v>1185</v>
      </c>
      <c r="C469" s="6" t="s">
        <v>15</v>
      </c>
      <c r="D469" s="6" t="s">
        <v>1186</v>
      </c>
      <c r="E469" s="6" t="s">
        <v>822</v>
      </c>
      <c r="F469" s="6" t="s">
        <v>18</v>
      </c>
      <c r="G469" s="7">
        <v>0.2</v>
      </c>
      <c r="H469" s="6" t="s">
        <v>1183</v>
      </c>
      <c r="I469" s="6" t="s">
        <v>20</v>
      </c>
      <c r="J469" s="6">
        <v>2026.0</v>
      </c>
      <c r="K469" s="10">
        <v>46146.0</v>
      </c>
      <c r="L469" s="6">
        <v>3.0</v>
      </c>
      <c r="M469" s="8">
        <f t="shared" si="2"/>
        <v>0.6</v>
      </c>
      <c r="P469" s="9"/>
    </row>
    <row r="470">
      <c r="A470" s="6" t="s">
        <v>1187</v>
      </c>
      <c r="B470" s="6" t="s">
        <v>68</v>
      </c>
      <c r="C470" s="6" t="s">
        <v>22</v>
      </c>
      <c r="D470" s="6" t="s">
        <v>1188</v>
      </c>
      <c r="E470" s="6" t="s">
        <v>790</v>
      </c>
      <c r="F470" s="6" t="s">
        <v>18</v>
      </c>
      <c r="G470" s="7">
        <v>0.69</v>
      </c>
      <c r="H470" s="6" t="s">
        <v>1183</v>
      </c>
      <c r="I470" s="6" t="s">
        <v>20</v>
      </c>
      <c r="J470" s="6">
        <v>2026.0</v>
      </c>
      <c r="L470" s="6">
        <v>3.0</v>
      </c>
      <c r="M470" s="8">
        <f t="shared" si="2"/>
        <v>2.07</v>
      </c>
      <c r="P470" s="9"/>
    </row>
    <row r="471">
      <c r="A471" s="6" t="s">
        <v>1189</v>
      </c>
      <c r="B471" s="6" t="s">
        <v>82</v>
      </c>
      <c r="C471" s="6" t="s">
        <v>22</v>
      </c>
      <c r="D471" s="6" t="s">
        <v>1190</v>
      </c>
      <c r="E471" s="6" t="s">
        <v>1035</v>
      </c>
      <c r="F471" s="6" t="s">
        <v>80</v>
      </c>
      <c r="G471" s="7">
        <v>0.9</v>
      </c>
      <c r="H471" s="6" t="s">
        <v>1183</v>
      </c>
      <c r="I471" s="6" t="s">
        <v>20</v>
      </c>
      <c r="J471" s="6">
        <v>2026.0</v>
      </c>
      <c r="L471" s="6">
        <v>1.0</v>
      </c>
      <c r="M471" s="8">
        <f t="shared" si="2"/>
        <v>0.9</v>
      </c>
      <c r="P471" s="9"/>
    </row>
    <row r="472">
      <c r="A472" s="6" t="s">
        <v>1191</v>
      </c>
      <c r="B472" s="6" t="s">
        <v>14</v>
      </c>
      <c r="C472" s="6" t="s">
        <v>15</v>
      </c>
      <c r="D472" s="6" t="s">
        <v>1192</v>
      </c>
      <c r="E472" s="6" t="s">
        <v>694</v>
      </c>
      <c r="F472" s="6" t="s">
        <v>152</v>
      </c>
      <c r="G472" s="7">
        <v>0.2</v>
      </c>
      <c r="H472" s="6" t="s">
        <v>1183</v>
      </c>
      <c r="I472" s="6" t="s">
        <v>20</v>
      </c>
      <c r="J472" s="6">
        <v>2026.0</v>
      </c>
      <c r="L472" s="6">
        <v>3.0</v>
      </c>
      <c r="M472" s="8">
        <f t="shared" si="2"/>
        <v>0.6</v>
      </c>
      <c r="P472" s="9"/>
    </row>
    <row r="473">
      <c r="A473" s="6" t="s">
        <v>1193</v>
      </c>
      <c r="B473" s="6" t="s">
        <v>14</v>
      </c>
      <c r="C473" s="6" t="s">
        <v>22</v>
      </c>
      <c r="D473" s="6" t="s">
        <v>1194</v>
      </c>
      <c r="E473" s="6" t="s">
        <v>697</v>
      </c>
      <c r="F473" s="6" t="s">
        <v>152</v>
      </c>
      <c r="G473" s="7">
        <v>1.3</v>
      </c>
      <c r="H473" s="6" t="s">
        <v>1183</v>
      </c>
      <c r="I473" s="6" t="s">
        <v>20</v>
      </c>
      <c r="J473" s="6">
        <v>2026.0</v>
      </c>
      <c r="L473" s="6">
        <v>2.0</v>
      </c>
      <c r="M473" s="8">
        <f t="shared" si="2"/>
        <v>2.6</v>
      </c>
      <c r="P473" s="9"/>
    </row>
    <row r="474">
      <c r="A474" s="6" t="s">
        <v>1195</v>
      </c>
      <c r="B474" s="6" t="s">
        <v>1196</v>
      </c>
      <c r="C474" s="6" t="s">
        <v>15</v>
      </c>
      <c r="D474" s="6" t="s">
        <v>1197</v>
      </c>
      <c r="E474" s="6" t="s">
        <v>697</v>
      </c>
      <c r="F474" s="6" t="s">
        <v>152</v>
      </c>
      <c r="G474" s="7">
        <v>0.2</v>
      </c>
      <c r="H474" s="6" t="s">
        <v>1183</v>
      </c>
      <c r="I474" s="6" t="s">
        <v>20</v>
      </c>
      <c r="J474" s="6">
        <v>2026.0</v>
      </c>
      <c r="K474" s="10">
        <v>46083.0</v>
      </c>
      <c r="L474" s="6">
        <v>3.0</v>
      </c>
      <c r="M474" s="8">
        <f t="shared" si="2"/>
        <v>0.6</v>
      </c>
      <c r="P474" s="9"/>
    </row>
    <row r="475">
      <c r="A475" s="6" t="s">
        <v>1198</v>
      </c>
      <c r="B475" s="6" t="s">
        <v>404</v>
      </c>
      <c r="C475" s="6" t="s">
        <v>22</v>
      </c>
      <c r="D475" s="6" t="s">
        <v>1199</v>
      </c>
      <c r="E475" s="6" t="s">
        <v>721</v>
      </c>
      <c r="F475" s="6" t="s">
        <v>152</v>
      </c>
      <c r="G475" s="7">
        <v>0.98</v>
      </c>
      <c r="H475" s="6" t="s">
        <v>1183</v>
      </c>
      <c r="I475" s="6" t="s">
        <v>20</v>
      </c>
      <c r="J475" s="6">
        <v>2026.0</v>
      </c>
      <c r="L475" s="6">
        <v>2.0</v>
      </c>
      <c r="M475" s="8">
        <f t="shared" si="2"/>
        <v>1.96</v>
      </c>
      <c r="P475" s="9"/>
    </row>
    <row r="476">
      <c r="A476" s="6" t="s">
        <v>1200</v>
      </c>
      <c r="B476" s="6" t="s">
        <v>33</v>
      </c>
      <c r="C476" s="6" t="s">
        <v>15</v>
      </c>
      <c r="D476" s="6" t="s">
        <v>1201</v>
      </c>
      <c r="E476" s="6" t="s">
        <v>863</v>
      </c>
      <c r="F476" s="6" t="s">
        <v>88</v>
      </c>
      <c r="G476" s="7">
        <v>0.2</v>
      </c>
      <c r="H476" s="6" t="s">
        <v>1183</v>
      </c>
      <c r="I476" s="6" t="s">
        <v>20</v>
      </c>
      <c r="J476" s="6">
        <v>2026.0</v>
      </c>
      <c r="L476" s="6">
        <v>4.0</v>
      </c>
      <c r="M476" s="8">
        <f t="shared" si="2"/>
        <v>0.8</v>
      </c>
      <c r="P476" s="9"/>
    </row>
    <row r="477">
      <c r="A477" s="6" t="s">
        <v>1202</v>
      </c>
      <c r="B477" s="6" t="s">
        <v>14</v>
      </c>
      <c r="C477" s="6" t="s">
        <v>22</v>
      </c>
      <c r="D477" s="6" t="s">
        <v>1203</v>
      </c>
      <c r="E477" s="6" t="s">
        <v>863</v>
      </c>
      <c r="F477" s="6" t="s">
        <v>88</v>
      </c>
      <c r="G477" s="7">
        <v>1.29</v>
      </c>
      <c r="H477" s="6" t="s">
        <v>1183</v>
      </c>
      <c r="I477" s="6" t="s">
        <v>20</v>
      </c>
      <c r="J477" s="6">
        <v>2026.0</v>
      </c>
      <c r="L477" s="6">
        <v>2.0</v>
      </c>
      <c r="M477" s="8">
        <f t="shared" si="2"/>
        <v>2.58</v>
      </c>
      <c r="P477" s="9"/>
    </row>
    <row r="478">
      <c r="A478" s="6" t="s">
        <v>1204</v>
      </c>
      <c r="B478" s="6" t="s">
        <v>1205</v>
      </c>
      <c r="C478" s="6" t="s">
        <v>15</v>
      </c>
      <c r="D478" s="6" t="s">
        <v>1206</v>
      </c>
      <c r="E478" s="6" t="s">
        <v>940</v>
      </c>
      <c r="F478" s="6" t="s">
        <v>170</v>
      </c>
      <c r="G478" s="7">
        <v>0.2</v>
      </c>
      <c r="H478" s="6" t="s">
        <v>1183</v>
      </c>
      <c r="I478" s="6" t="s">
        <v>20</v>
      </c>
      <c r="J478" s="6">
        <v>2026.0</v>
      </c>
      <c r="K478" s="10">
        <v>46085.0</v>
      </c>
      <c r="L478" s="6">
        <v>3.0</v>
      </c>
      <c r="M478" s="8">
        <f t="shared" si="2"/>
        <v>0.6</v>
      </c>
      <c r="P478" s="9"/>
    </row>
    <row r="479">
      <c r="A479" s="6" t="s">
        <v>1207</v>
      </c>
      <c r="B479" s="6" t="s">
        <v>63</v>
      </c>
      <c r="C479" s="6" t="s">
        <v>22</v>
      </c>
      <c r="D479" s="6" t="s">
        <v>1208</v>
      </c>
      <c r="E479" s="6" t="s">
        <v>1055</v>
      </c>
      <c r="F479" s="6" t="s">
        <v>170</v>
      </c>
      <c r="G479" s="7">
        <v>0.29</v>
      </c>
      <c r="H479" s="6" t="s">
        <v>1183</v>
      </c>
      <c r="I479" s="6" t="s">
        <v>20</v>
      </c>
      <c r="J479" s="6">
        <v>2026.0</v>
      </c>
      <c r="L479" s="6">
        <v>2.0</v>
      </c>
      <c r="M479" s="8">
        <f t="shared" si="2"/>
        <v>0.58</v>
      </c>
      <c r="P479" s="9"/>
    </row>
    <row r="480">
      <c r="A480" s="6" t="s">
        <v>1209</v>
      </c>
      <c r="B480" s="6" t="s">
        <v>68</v>
      </c>
      <c r="C480" s="6" t="s">
        <v>22</v>
      </c>
      <c r="D480" s="6" t="s">
        <v>1210</v>
      </c>
      <c r="E480" s="6" t="s">
        <v>940</v>
      </c>
      <c r="F480" s="6" t="s">
        <v>170</v>
      </c>
      <c r="G480" s="7">
        <v>0.29</v>
      </c>
      <c r="H480" s="6" t="s">
        <v>1183</v>
      </c>
      <c r="I480" s="6" t="s">
        <v>20</v>
      </c>
      <c r="J480" s="6">
        <v>2026.0</v>
      </c>
      <c r="L480" s="6">
        <v>2.0</v>
      </c>
      <c r="M480" s="8">
        <f t="shared" si="2"/>
        <v>0.58</v>
      </c>
      <c r="P480" s="9"/>
    </row>
    <row r="481">
      <c r="A481" s="6" t="s">
        <v>1211</v>
      </c>
      <c r="B481" s="6" t="s">
        <v>68</v>
      </c>
      <c r="C481" s="6" t="s">
        <v>15</v>
      </c>
      <c r="D481" s="6" t="s">
        <v>1212</v>
      </c>
      <c r="E481" s="6" t="s">
        <v>1055</v>
      </c>
      <c r="F481" s="6" t="s">
        <v>170</v>
      </c>
      <c r="G481" s="7">
        <v>0.21</v>
      </c>
      <c r="H481" s="6" t="s">
        <v>1183</v>
      </c>
      <c r="I481" s="6" t="s">
        <v>20</v>
      </c>
      <c r="J481" s="6">
        <v>2026.0</v>
      </c>
      <c r="L481" s="6">
        <v>2.0</v>
      </c>
      <c r="M481" s="8">
        <f t="shared" si="2"/>
        <v>0.42</v>
      </c>
      <c r="P481" s="9"/>
    </row>
    <row r="482">
      <c r="A482" s="6" t="s">
        <v>1213</v>
      </c>
      <c r="B482" s="6" t="s">
        <v>1214</v>
      </c>
      <c r="C482" s="6" t="s">
        <v>22</v>
      </c>
      <c r="D482" s="6" t="s">
        <v>1215</v>
      </c>
      <c r="E482" s="6" t="s">
        <v>1216</v>
      </c>
      <c r="F482" s="6" t="s">
        <v>170</v>
      </c>
      <c r="G482" s="7">
        <v>0.26</v>
      </c>
      <c r="H482" s="6" t="s">
        <v>1086</v>
      </c>
      <c r="I482" s="6" t="s">
        <v>31</v>
      </c>
      <c r="J482" s="6">
        <v>2025.0</v>
      </c>
      <c r="K482" s="10">
        <v>46148.0</v>
      </c>
      <c r="L482" s="6">
        <v>1.0</v>
      </c>
      <c r="M482" s="8">
        <f t="shared" si="2"/>
        <v>0.26</v>
      </c>
      <c r="P482" s="9"/>
    </row>
    <row r="483">
      <c r="A483" s="6" t="s">
        <v>1217</v>
      </c>
      <c r="B483" s="6" t="s">
        <v>33</v>
      </c>
      <c r="C483" s="6" t="s">
        <v>1088</v>
      </c>
      <c r="D483" s="6" t="s">
        <v>1218</v>
      </c>
      <c r="E483" s="6" t="s">
        <v>1069</v>
      </c>
      <c r="F483" s="6" t="s">
        <v>170</v>
      </c>
      <c r="G483" s="7">
        <v>0.72</v>
      </c>
      <c r="H483" s="6" t="s">
        <v>1086</v>
      </c>
      <c r="I483" s="6" t="s">
        <v>20</v>
      </c>
      <c r="J483" s="6">
        <v>2025.0</v>
      </c>
      <c r="L483" s="6">
        <v>1.0</v>
      </c>
      <c r="M483" s="8">
        <f t="shared" si="2"/>
        <v>0.72</v>
      </c>
      <c r="P483" s="9"/>
    </row>
    <row r="484">
      <c r="A484" s="6" t="s">
        <v>1219</v>
      </c>
      <c r="B484" s="6" t="s">
        <v>1220</v>
      </c>
      <c r="C484" s="6" t="s">
        <v>15</v>
      </c>
      <c r="D484" s="6" t="s">
        <v>1221</v>
      </c>
      <c r="E484" s="6" t="s">
        <v>940</v>
      </c>
      <c r="F484" s="6" t="s">
        <v>170</v>
      </c>
      <c r="G484" s="7">
        <v>0.05</v>
      </c>
      <c r="H484" s="6" t="s">
        <v>1086</v>
      </c>
      <c r="I484" s="6" t="s">
        <v>20</v>
      </c>
      <c r="J484" s="6">
        <v>2025.0</v>
      </c>
      <c r="K484" s="10">
        <v>46084.0</v>
      </c>
      <c r="L484" s="6">
        <v>1.0</v>
      </c>
      <c r="M484" s="8">
        <f t="shared" si="2"/>
        <v>0.05</v>
      </c>
      <c r="P484" s="9"/>
    </row>
    <row r="485">
      <c r="A485" s="6" t="s">
        <v>1222</v>
      </c>
      <c r="B485" s="6" t="s">
        <v>1021</v>
      </c>
      <c r="C485" s="6" t="s">
        <v>22</v>
      </c>
      <c r="D485" s="6" t="s">
        <v>1223</v>
      </c>
      <c r="E485" s="6" t="s">
        <v>940</v>
      </c>
      <c r="F485" s="6" t="s">
        <v>170</v>
      </c>
      <c r="G485" s="7">
        <v>0.11</v>
      </c>
      <c r="H485" s="6" t="s">
        <v>1086</v>
      </c>
      <c r="I485" s="6" t="s">
        <v>20</v>
      </c>
      <c r="J485" s="6">
        <v>2025.0</v>
      </c>
      <c r="K485" s="10">
        <v>46115.0</v>
      </c>
      <c r="L485" s="6">
        <v>2.0</v>
      </c>
      <c r="M485" s="8">
        <f t="shared" si="2"/>
        <v>0.22</v>
      </c>
      <c r="P485" s="9"/>
    </row>
    <row r="486">
      <c r="A486" s="6" t="s">
        <v>1224</v>
      </c>
      <c r="B486" s="6" t="s">
        <v>1225</v>
      </c>
      <c r="C486" s="6" t="s">
        <v>15</v>
      </c>
      <c r="D486" s="6" t="s">
        <v>1226</v>
      </c>
      <c r="E486" s="6" t="s">
        <v>1055</v>
      </c>
      <c r="F486" s="6" t="s">
        <v>170</v>
      </c>
      <c r="G486" s="7">
        <v>0.05</v>
      </c>
      <c r="H486" s="6" t="s">
        <v>1086</v>
      </c>
      <c r="I486" s="6" t="s">
        <v>20</v>
      </c>
      <c r="J486" s="6">
        <v>2025.0</v>
      </c>
      <c r="K486" s="10">
        <v>46055.0</v>
      </c>
      <c r="L486" s="6">
        <v>2.0</v>
      </c>
      <c r="M486" s="8">
        <f t="shared" si="2"/>
        <v>0.1</v>
      </c>
      <c r="P486" s="9"/>
    </row>
    <row r="487">
      <c r="A487" s="6" t="s">
        <v>1227</v>
      </c>
      <c r="B487" s="6" t="s">
        <v>1228</v>
      </c>
      <c r="C487" s="6" t="s">
        <v>15</v>
      </c>
      <c r="D487" s="6" t="s">
        <v>1229</v>
      </c>
      <c r="E487" s="6" t="s">
        <v>1230</v>
      </c>
      <c r="F487" s="6" t="s">
        <v>170</v>
      </c>
      <c r="G487" s="7">
        <v>0.05</v>
      </c>
      <c r="H487" s="6" t="s">
        <v>1086</v>
      </c>
      <c r="I487" s="6" t="s">
        <v>20</v>
      </c>
      <c r="J487" s="6">
        <v>2025.0</v>
      </c>
      <c r="K487" s="10">
        <v>46146.0</v>
      </c>
      <c r="L487" s="6">
        <v>1.0</v>
      </c>
      <c r="M487" s="8">
        <f t="shared" si="2"/>
        <v>0.05</v>
      </c>
      <c r="P487" s="9"/>
    </row>
    <row r="488">
      <c r="A488" s="6" t="s">
        <v>1231</v>
      </c>
      <c r="B488" s="6" t="s">
        <v>68</v>
      </c>
      <c r="C488" s="6" t="s">
        <v>15</v>
      </c>
      <c r="D488" s="6" t="s">
        <v>1232</v>
      </c>
      <c r="E488" s="6" t="s">
        <v>930</v>
      </c>
      <c r="F488" s="6" t="s">
        <v>170</v>
      </c>
      <c r="G488" s="7">
        <v>0.05</v>
      </c>
      <c r="H488" s="6" t="s">
        <v>1086</v>
      </c>
      <c r="I488" s="6" t="s">
        <v>20</v>
      </c>
      <c r="J488" s="6">
        <v>2025.0</v>
      </c>
      <c r="L488" s="6">
        <v>2.0</v>
      </c>
      <c r="M488" s="8">
        <f t="shared" si="2"/>
        <v>0.1</v>
      </c>
      <c r="P488" s="9"/>
    </row>
    <row r="489">
      <c r="A489" s="6" t="s">
        <v>1233</v>
      </c>
      <c r="B489" s="6" t="s">
        <v>14</v>
      </c>
      <c r="C489" s="6" t="s">
        <v>22</v>
      </c>
      <c r="D489" s="6" t="s">
        <v>1234</v>
      </c>
      <c r="E489" s="6" t="s">
        <v>1055</v>
      </c>
      <c r="F489" s="6" t="s">
        <v>170</v>
      </c>
      <c r="G489" s="7">
        <v>0.09</v>
      </c>
      <c r="H489" s="6" t="s">
        <v>1086</v>
      </c>
      <c r="I489" s="6" t="s">
        <v>20</v>
      </c>
      <c r="J489" s="6">
        <v>2025.0</v>
      </c>
      <c r="L489" s="6">
        <v>1.0</v>
      </c>
      <c r="M489" s="8">
        <f t="shared" si="2"/>
        <v>0.09</v>
      </c>
      <c r="P489" s="9"/>
    </row>
    <row r="490">
      <c r="A490" s="6" t="s">
        <v>1235</v>
      </c>
      <c r="B490" s="6" t="s">
        <v>14</v>
      </c>
      <c r="C490" s="6" t="s">
        <v>15</v>
      </c>
      <c r="D490" s="6" t="s">
        <v>1236</v>
      </c>
      <c r="E490" s="6" t="s">
        <v>1069</v>
      </c>
      <c r="F490" s="6" t="s">
        <v>170</v>
      </c>
      <c r="G490" s="7">
        <v>0.05</v>
      </c>
      <c r="H490" s="6" t="s">
        <v>1086</v>
      </c>
      <c r="I490" s="6" t="s">
        <v>20</v>
      </c>
      <c r="J490" s="6">
        <v>2025.0</v>
      </c>
      <c r="L490" s="6">
        <v>1.0</v>
      </c>
      <c r="M490" s="8">
        <f t="shared" si="2"/>
        <v>0.05</v>
      </c>
      <c r="P490" s="9"/>
    </row>
    <row r="491">
      <c r="A491" s="6" t="s">
        <v>1235</v>
      </c>
      <c r="B491" s="6" t="s">
        <v>14</v>
      </c>
      <c r="C491" s="6" t="s">
        <v>15</v>
      </c>
      <c r="D491" s="6" t="s">
        <v>1236</v>
      </c>
      <c r="E491" s="6" t="s">
        <v>1069</v>
      </c>
      <c r="F491" s="6" t="s">
        <v>170</v>
      </c>
      <c r="G491" s="7">
        <v>0.03</v>
      </c>
      <c r="H491" s="6" t="s">
        <v>1237</v>
      </c>
      <c r="I491" s="6" t="s">
        <v>20</v>
      </c>
      <c r="J491" s="6">
        <v>2025.0</v>
      </c>
      <c r="L491" s="6">
        <v>1.0</v>
      </c>
      <c r="M491" s="8">
        <f t="shared" si="2"/>
        <v>0.03</v>
      </c>
      <c r="P491" s="9"/>
    </row>
    <row r="492">
      <c r="A492" s="6" t="s">
        <v>1238</v>
      </c>
      <c r="B492" s="6" t="s">
        <v>404</v>
      </c>
      <c r="C492" s="6" t="s">
        <v>15</v>
      </c>
      <c r="D492" s="6" t="s">
        <v>1239</v>
      </c>
      <c r="E492" s="6" t="s">
        <v>780</v>
      </c>
      <c r="F492" s="6" t="s">
        <v>18</v>
      </c>
      <c r="G492" s="7">
        <v>0.05</v>
      </c>
      <c r="H492" s="6" t="s">
        <v>1086</v>
      </c>
      <c r="I492" s="6" t="s">
        <v>20</v>
      </c>
      <c r="J492" s="6">
        <v>2025.0</v>
      </c>
      <c r="L492" s="6">
        <v>1.0</v>
      </c>
      <c r="M492" s="8">
        <f t="shared" si="2"/>
        <v>0.05</v>
      </c>
      <c r="P492" s="9"/>
    </row>
    <row r="493">
      <c r="A493" s="6" t="s">
        <v>1240</v>
      </c>
      <c r="B493" s="6" t="s">
        <v>68</v>
      </c>
      <c r="C493" s="6" t="s">
        <v>15</v>
      </c>
      <c r="D493" s="6" t="s">
        <v>1241</v>
      </c>
      <c r="E493" s="6" t="s">
        <v>780</v>
      </c>
      <c r="F493" s="6" t="s">
        <v>18</v>
      </c>
      <c r="G493" s="7">
        <v>0.05</v>
      </c>
      <c r="H493" s="6" t="s">
        <v>1086</v>
      </c>
      <c r="I493" s="6" t="s">
        <v>20</v>
      </c>
      <c r="J493" s="6">
        <v>2025.0</v>
      </c>
      <c r="L493" s="6">
        <v>1.0</v>
      </c>
      <c r="M493" s="8">
        <f t="shared" si="2"/>
        <v>0.05</v>
      </c>
      <c r="P493" s="9"/>
    </row>
    <row r="494">
      <c r="A494" s="6" t="s">
        <v>1242</v>
      </c>
      <c r="B494" s="6" t="s">
        <v>1243</v>
      </c>
      <c r="C494" s="6" t="s">
        <v>15</v>
      </c>
      <c r="D494" s="6" t="s">
        <v>1244</v>
      </c>
      <c r="E494" s="6" t="s">
        <v>790</v>
      </c>
      <c r="F494" s="6" t="s">
        <v>18</v>
      </c>
      <c r="G494" s="7">
        <v>0.05</v>
      </c>
      <c r="H494" s="6" t="s">
        <v>1086</v>
      </c>
      <c r="I494" s="6" t="s">
        <v>20</v>
      </c>
      <c r="J494" s="6">
        <v>2025.0</v>
      </c>
      <c r="K494" s="10">
        <v>46057.0</v>
      </c>
      <c r="L494" s="6">
        <v>1.0</v>
      </c>
      <c r="M494" s="8">
        <f t="shared" si="2"/>
        <v>0.05</v>
      </c>
      <c r="P494" s="9"/>
    </row>
    <row r="495">
      <c r="A495" s="6" t="s">
        <v>1245</v>
      </c>
      <c r="B495" s="6" t="s">
        <v>1214</v>
      </c>
      <c r="C495" s="6" t="s">
        <v>22</v>
      </c>
      <c r="D495" s="6" t="s">
        <v>1246</v>
      </c>
      <c r="E495" s="6" t="s">
        <v>790</v>
      </c>
      <c r="F495" s="6" t="s">
        <v>18</v>
      </c>
      <c r="G495" s="7">
        <v>0.15</v>
      </c>
      <c r="H495" s="6" t="s">
        <v>1086</v>
      </c>
      <c r="I495" s="6" t="s">
        <v>20</v>
      </c>
      <c r="J495" s="6">
        <v>2025.0</v>
      </c>
      <c r="K495" s="10">
        <v>46084.0</v>
      </c>
      <c r="L495" s="6">
        <v>1.0</v>
      </c>
      <c r="M495" s="8">
        <f t="shared" si="2"/>
        <v>0.15</v>
      </c>
      <c r="P495" s="9"/>
    </row>
    <row r="496">
      <c r="A496" s="6" t="s">
        <v>1247</v>
      </c>
      <c r="B496" s="6" t="s">
        <v>1248</v>
      </c>
      <c r="C496" s="6" t="s">
        <v>15</v>
      </c>
      <c r="D496" s="6" t="s">
        <v>1249</v>
      </c>
      <c r="E496" s="6" t="s">
        <v>783</v>
      </c>
      <c r="F496" s="6" t="s">
        <v>18</v>
      </c>
      <c r="G496" s="7">
        <v>0.07</v>
      </c>
      <c r="H496" s="6" t="s">
        <v>1086</v>
      </c>
      <c r="I496" s="6" t="s">
        <v>20</v>
      </c>
      <c r="J496" s="6">
        <v>2025.0</v>
      </c>
      <c r="K496" s="10">
        <v>46055.0</v>
      </c>
      <c r="L496" s="6">
        <v>1.0</v>
      </c>
      <c r="M496" s="8">
        <f t="shared" si="2"/>
        <v>0.07</v>
      </c>
      <c r="P496" s="9"/>
    </row>
    <row r="497">
      <c r="A497" s="6" t="s">
        <v>1247</v>
      </c>
      <c r="B497" s="6" t="s">
        <v>1248</v>
      </c>
      <c r="C497" s="6" t="s">
        <v>15</v>
      </c>
      <c r="D497" s="6" t="s">
        <v>1249</v>
      </c>
      <c r="E497" s="6" t="s">
        <v>783</v>
      </c>
      <c r="F497" s="6" t="s">
        <v>18</v>
      </c>
      <c r="G497" s="7">
        <v>0.2</v>
      </c>
      <c r="H497" s="6" t="s">
        <v>1086</v>
      </c>
      <c r="I497" s="6" t="s">
        <v>31</v>
      </c>
      <c r="J497" s="6">
        <v>2025.0</v>
      </c>
      <c r="K497" s="10">
        <v>46055.0</v>
      </c>
      <c r="L497" s="6">
        <v>1.0</v>
      </c>
      <c r="M497" s="8">
        <f t="shared" si="2"/>
        <v>0.2</v>
      </c>
      <c r="P497" s="9"/>
    </row>
    <row r="498">
      <c r="A498" s="6" t="s">
        <v>1250</v>
      </c>
      <c r="B498" s="6" t="s">
        <v>14</v>
      </c>
      <c r="C498" s="6" t="s">
        <v>15</v>
      </c>
      <c r="D498" s="6" t="s">
        <v>1251</v>
      </c>
      <c r="E498" s="6" t="s">
        <v>783</v>
      </c>
      <c r="F498" s="6" t="s">
        <v>18</v>
      </c>
      <c r="G498" s="7">
        <v>0.14</v>
      </c>
      <c r="H498" s="6" t="s">
        <v>1086</v>
      </c>
      <c r="I498" s="6" t="s">
        <v>20</v>
      </c>
      <c r="J498" s="6">
        <v>2025.0</v>
      </c>
      <c r="L498" s="6">
        <v>2.0</v>
      </c>
      <c r="M498" s="8">
        <f t="shared" si="2"/>
        <v>0.28</v>
      </c>
      <c r="P498" s="9"/>
    </row>
    <row r="499">
      <c r="A499" s="6" t="s">
        <v>1252</v>
      </c>
      <c r="B499" s="6" t="s">
        <v>1253</v>
      </c>
      <c r="C499" s="6" t="s">
        <v>22</v>
      </c>
      <c r="D499" s="6" t="s">
        <v>1254</v>
      </c>
      <c r="E499" s="6" t="s">
        <v>1255</v>
      </c>
      <c r="F499" s="6" t="s">
        <v>18</v>
      </c>
      <c r="G499" s="7">
        <v>0.18</v>
      </c>
      <c r="H499" s="6" t="s">
        <v>1086</v>
      </c>
      <c r="I499" s="6" t="s">
        <v>20</v>
      </c>
      <c r="J499" s="6">
        <v>2025.0</v>
      </c>
      <c r="K499" s="6" t="s">
        <v>1256</v>
      </c>
      <c r="L499" s="6">
        <v>2.0</v>
      </c>
      <c r="M499" s="8">
        <f t="shared" si="2"/>
        <v>0.36</v>
      </c>
      <c r="P499" s="9"/>
    </row>
    <row r="500">
      <c r="A500" s="6" t="s">
        <v>1257</v>
      </c>
      <c r="B500" s="6" t="s">
        <v>14</v>
      </c>
      <c r="C500" s="6" t="s">
        <v>22</v>
      </c>
      <c r="D500" s="6" t="s">
        <v>1258</v>
      </c>
      <c r="E500" s="6" t="s">
        <v>783</v>
      </c>
      <c r="F500" s="6" t="s">
        <v>18</v>
      </c>
      <c r="G500" s="7">
        <v>0.09</v>
      </c>
      <c r="H500" s="6" t="s">
        <v>1086</v>
      </c>
      <c r="I500" s="6" t="s">
        <v>20</v>
      </c>
      <c r="J500" s="6">
        <v>2025.0</v>
      </c>
      <c r="L500" s="6">
        <v>1.0</v>
      </c>
      <c r="M500" s="8">
        <f t="shared" si="2"/>
        <v>0.09</v>
      </c>
      <c r="P500" s="9"/>
    </row>
    <row r="501">
      <c r="A501" s="6" t="s">
        <v>1259</v>
      </c>
      <c r="B501" s="6" t="s">
        <v>14</v>
      </c>
      <c r="C501" s="6" t="s">
        <v>15</v>
      </c>
      <c r="D501" s="6" t="s">
        <v>1260</v>
      </c>
      <c r="E501" s="6" t="s">
        <v>790</v>
      </c>
      <c r="F501" s="6" t="s">
        <v>18</v>
      </c>
      <c r="G501" s="7">
        <v>0.06</v>
      </c>
      <c r="H501" s="6" t="s">
        <v>1086</v>
      </c>
      <c r="I501" s="6" t="s">
        <v>20</v>
      </c>
      <c r="J501" s="6">
        <v>2025.0</v>
      </c>
      <c r="L501" s="6">
        <v>1.0</v>
      </c>
      <c r="M501" s="8">
        <f t="shared" si="2"/>
        <v>0.06</v>
      </c>
      <c r="P501" s="9"/>
    </row>
    <row r="502">
      <c r="A502" s="6" t="s">
        <v>1261</v>
      </c>
      <c r="B502" s="6" t="s">
        <v>63</v>
      </c>
      <c r="C502" s="6" t="s">
        <v>22</v>
      </c>
      <c r="D502" s="6" t="s">
        <v>1262</v>
      </c>
      <c r="E502" s="6" t="s">
        <v>763</v>
      </c>
      <c r="F502" s="6" t="s">
        <v>18</v>
      </c>
      <c r="G502" s="7">
        <v>0.15</v>
      </c>
      <c r="H502" s="6" t="s">
        <v>1086</v>
      </c>
      <c r="I502" s="6" t="s">
        <v>20</v>
      </c>
      <c r="J502" s="6">
        <v>2025.0</v>
      </c>
      <c r="L502" s="6">
        <v>1.0</v>
      </c>
      <c r="M502" s="8">
        <f t="shared" si="2"/>
        <v>0.15</v>
      </c>
      <c r="P502" s="9"/>
    </row>
    <row r="503">
      <c r="A503" s="6" t="s">
        <v>1263</v>
      </c>
      <c r="B503" s="6" t="s">
        <v>1264</v>
      </c>
      <c r="C503" s="6" t="s">
        <v>15</v>
      </c>
      <c r="D503" s="6" t="s">
        <v>1265</v>
      </c>
      <c r="E503" s="6" t="s">
        <v>1266</v>
      </c>
      <c r="F503" s="6" t="s">
        <v>18</v>
      </c>
      <c r="G503" s="7">
        <v>0.09</v>
      </c>
      <c r="H503" s="6" t="s">
        <v>1086</v>
      </c>
      <c r="I503" s="6" t="s">
        <v>20</v>
      </c>
      <c r="J503" s="6">
        <v>2025.0</v>
      </c>
      <c r="K503" s="10">
        <v>46147.0</v>
      </c>
      <c r="L503" s="6">
        <v>1.0</v>
      </c>
      <c r="M503" s="8">
        <f t="shared" si="2"/>
        <v>0.09</v>
      </c>
      <c r="P503" s="9"/>
    </row>
    <row r="504">
      <c r="A504" s="6" t="s">
        <v>1267</v>
      </c>
      <c r="B504" s="6" t="s">
        <v>82</v>
      </c>
      <c r="C504" s="6" t="s">
        <v>15</v>
      </c>
      <c r="D504" s="6" t="s">
        <v>1268</v>
      </c>
      <c r="E504" s="6" t="s">
        <v>1269</v>
      </c>
      <c r="F504" s="6" t="s">
        <v>80</v>
      </c>
      <c r="G504" s="7">
        <v>0.05</v>
      </c>
      <c r="H504" s="6" t="s">
        <v>1086</v>
      </c>
      <c r="I504" s="6" t="s">
        <v>20</v>
      </c>
      <c r="J504" s="6">
        <v>2025.0</v>
      </c>
      <c r="L504" s="6">
        <v>1.0</v>
      </c>
      <c r="M504" s="8">
        <f t="shared" si="2"/>
        <v>0.05</v>
      </c>
      <c r="P504" s="9"/>
    </row>
    <row r="505">
      <c r="A505" s="6" t="s">
        <v>1270</v>
      </c>
      <c r="B505" s="6" t="s">
        <v>1214</v>
      </c>
      <c r="C505" s="6" t="s">
        <v>15</v>
      </c>
      <c r="D505" s="6" t="s">
        <v>1271</v>
      </c>
      <c r="E505" s="6" t="s">
        <v>1035</v>
      </c>
      <c r="F505" s="6" t="s">
        <v>80</v>
      </c>
      <c r="G505" s="7">
        <v>0.07</v>
      </c>
      <c r="H505" s="6" t="s">
        <v>1086</v>
      </c>
      <c r="I505" s="6" t="s">
        <v>20</v>
      </c>
      <c r="J505" s="6">
        <v>2025.0</v>
      </c>
      <c r="K505" s="10">
        <v>46055.0</v>
      </c>
      <c r="L505" s="6">
        <v>1.0</v>
      </c>
      <c r="M505" s="8">
        <f t="shared" si="2"/>
        <v>0.07</v>
      </c>
      <c r="P505" s="9"/>
    </row>
    <row r="506">
      <c r="A506" s="6" t="s">
        <v>1272</v>
      </c>
      <c r="B506" s="6" t="s">
        <v>1021</v>
      </c>
      <c r="C506" s="6" t="s">
        <v>22</v>
      </c>
      <c r="D506" s="6" t="s">
        <v>1273</v>
      </c>
      <c r="E506" s="6" t="s">
        <v>1274</v>
      </c>
      <c r="F506" s="6" t="s">
        <v>157</v>
      </c>
      <c r="G506" s="7">
        <v>0.15</v>
      </c>
      <c r="H506" s="6" t="s">
        <v>1086</v>
      </c>
      <c r="I506" s="6" t="s">
        <v>20</v>
      </c>
      <c r="J506" s="6">
        <v>2025.0</v>
      </c>
      <c r="K506" s="10">
        <v>46055.0</v>
      </c>
      <c r="L506" s="6">
        <v>2.0</v>
      </c>
      <c r="M506" s="8">
        <f t="shared" si="2"/>
        <v>0.3</v>
      </c>
      <c r="P506" s="9"/>
    </row>
    <row r="507">
      <c r="A507" s="6" t="s">
        <v>1275</v>
      </c>
      <c r="B507" s="6" t="s">
        <v>190</v>
      </c>
      <c r="C507" s="6" t="s">
        <v>15</v>
      </c>
      <c r="D507" s="6" t="s">
        <v>1276</v>
      </c>
      <c r="E507" s="6" t="s">
        <v>292</v>
      </c>
      <c r="F507" s="6" t="s">
        <v>190</v>
      </c>
      <c r="G507" s="7">
        <v>0.15</v>
      </c>
      <c r="H507" s="6" t="s">
        <v>1086</v>
      </c>
      <c r="I507" s="6" t="s">
        <v>20</v>
      </c>
      <c r="J507" s="6">
        <v>2025.0</v>
      </c>
      <c r="L507" s="6">
        <v>1.0</v>
      </c>
      <c r="M507" s="8">
        <f t="shared" si="2"/>
        <v>0.15</v>
      </c>
      <c r="P507" s="9"/>
    </row>
    <row r="508">
      <c r="A508" s="6" t="s">
        <v>1277</v>
      </c>
      <c r="B508" s="6" t="s">
        <v>1248</v>
      </c>
      <c r="C508" s="6" t="s">
        <v>22</v>
      </c>
      <c r="D508" s="6" t="s">
        <v>1278</v>
      </c>
      <c r="E508" s="6" t="s">
        <v>1279</v>
      </c>
      <c r="F508" s="6" t="s">
        <v>157</v>
      </c>
      <c r="G508" s="7">
        <v>0.21</v>
      </c>
      <c r="H508" s="6" t="s">
        <v>1086</v>
      </c>
      <c r="I508" s="6" t="s">
        <v>20</v>
      </c>
      <c r="J508" s="6">
        <v>2025.0</v>
      </c>
      <c r="K508" s="10">
        <v>46083.0</v>
      </c>
      <c r="L508" s="6">
        <v>1.0</v>
      </c>
      <c r="M508" s="8">
        <f t="shared" si="2"/>
        <v>0.21</v>
      </c>
      <c r="P508" s="9"/>
    </row>
    <row r="509">
      <c r="A509" s="6" t="s">
        <v>1280</v>
      </c>
      <c r="B509" s="6" t="s">
        <v>1281</v>
      </c>
      <c r="C509" s="6" t="s">
        <v>101</v>
      </c>
      <c r="D509" s="6" t="s">
        <v>1282</v>
      </c>
      <c r="E509" s="6" t="s">
        <v>1279</v>
      </c>
      <c r="F509" s="6" t="s">
        <v>157</v>
      </c>
      <c r="G509" s="7">
        <v>1.8</v>
      </c>
      <c r="H509" s="6" t="s">
        <v>1086</v>
      </c>
      <c r="I509" s="6" t="s">
        <v>20</v>
      </c>
      <c r="J509" s="6">
        <v>2025.0</v>
      </c>
      <c r="K509" s="6" t="s">
        <v>1283</v>
      </c>
      <c r="L509" s="6">
        <v>1.0</v>
      </c>
      <c r="M509" s="8">
        <f t="shared" si="2"/>
        <v>1.8</v>
      </c>
      <c r="P509" s="9"/>
    </row>
    <row r="510">
      <c r="A510" s="6" t="s">
        <v>1284</v>
      </c>
      <c r="B510" s="6" t="s">
        <v>1285</v>
      </c>
      <c r="C510" s="6" t="s">
        <v>101</v>
      </c>
      <c r="D510" s="6" t="s">
        <v>1286</v>
      </c>
      <c r="E510" s="6" t="s">
        <v>1287</v>
      </c>
      <c r="F510" s="6" t="s">
        <v>157</v>
      </c>
      <c r="G510" s="7">
        <v>0.9</v>
      </c>
      <c r="H510" s="6" t="s">
        <v>1086</v>
      </c>
      <c r="I510" s="6" t="s">
        <v>31</v>
      </c>
      <c r="J510" s="6">
        <v>2025.0</v>
      </c>
      <c r="K510" s="6" t="s">
        <v>1288</v>
      </c>
      <c r="L510" s="6">
        <v>1.0</v>
      </c>
      <c r="M510" s="8">
        <f t="shared" si="2"/>
        <v>0.9</v>
      </c>
      <c r="P510" s="9"/>
    </row>
    <row r="511">
      <c r="A511" s="6" t="s">
        <v>1289</v>
      </c>
      <c r="B511" s="6" t="s">
        <v>14</v>
      </c>
      <c r="C511" s="6" t="s">
        <v>22</v>
      </c>
      <c r="D511" s="6" t="s">
        <v>1290</v>
      </c>
      <c r="E511" s="6" t="s">
        <v>838</v>
      </c>
      <c r="F511" s="6" t="s">
        <v>88</v>
      </c>
      <c r="G511" s="7">
        <v>0.13</v>
      </c>
      <c r="H511" s="6" t="s">
        <v>1086</v>
      </c>
      <c r="I511" s="6" t="s">
        <v>20</v>
      </c>
      <c r="J511" s="6">
        <v>2025.0</v>
      </c>
      <c r="L511" s="6">
        <v>1.0</v>
      </c>
      <c r="M511" s="8">
        <f t="shared" si="2"/>
        <v>0.13</v>
      </c>
      <c r="P511" s="9"/>
    </row>
    <row r="512">
      <c r="A512" s="6" t="s">
        <v>1291</v>
      </c>
      <c r="B512" s="6" t="s">
        <v>14</v>
      </c>
      <c r="C512" s="6" t="s">
        <v>15</v>
      </c>
      <c r="D512" s="6" t="s">
        <v>1292</v>
      </c>
      <c r="E512" s="6" t="s">
        <v>838</v>
      </c>
      <c r="F512" s="6" t="s">
        <v>88</v>
      </c>
      <c r="G512" s="7">
        <v>0.07</v>
      </c>
      <c r="H512" s="6" t="s">
        <v>1086</v>
      </c>
      <c r="I512" s="6" t="s">
        <v>20</v>
      </c>
      <c r="J512" s="6">
        <v>2025.0</v>
      </c>
      <c r="L512" s="6">
        <v>1.0</v>
      </c>
      <c r="M512" s="8">
        <f t="shared" si="2"/>
        <v>0.07</v>
      </c>
      <c r="P512" s="9"/>
    </row>
    <row r="513">
      <c r="A513" s="6" t="s">
        <v>1293</v>
      </c>
      <c r="B513" s="6" t="s">
        <v>404</v>
      </c>
      <c r="C513" s="6" t="s">
        <v>15</v>
      </c>
      <c r="D513" s="6" t="s">
        <v>1294</v>
      </c>
      <c r="E513" s="6" t="s">
        <v>838</v>
      </c>
      <c r="F513" s="6" t="s">
        <v>88</v>
      </c>
      <c r="G513" s="7">
        <v>0.05</v>
      </c>
      <c r="H513" s="6" t="s">
        <v>1086</v>
      </c>
      <c r="I513" s="6" t="s">
        <v>20</v>
      </c>
      <c r="J513" s="6">
        <v>2025.0</v>
      </c>
      <c r="L513" s="6">
        <v>1.0</v>
      </c>
      <c r="M513" s="8">
        <f t="shared" si="2"/>
        <v>0.05</v>
      </c>
      <c r="P513" s="9"/>
    </row>
    <row r="514">
      <c r="A514" s="6" t="s">
        <v>1295</v>
      </c>
      <c r="B514" s="6" t="s">
        <v>1296</v>
      </c>
      <c r="C514" s="6" t="s">
        <v>22</v>
      </c>
      <c r="D514" s="6" t="s">
        <v>1297</v>
      </c>
      <c r="E514" s="6" t="s">
        <v>912</v>
      </c>
      <c r="F514" s="6" t="s">
        <v>88</v>
      </c>
      <c r="G514" s="7">
        <v>0.1</v>
      </c>
      <c r="H514" s="6" t="s">
        <v>1086</v>
      </c>
      <c r="I514" s="6" t="s">
        <v>20</v>
      </c>
      <c r="J514" s="6">
        <v>2025.0</v>
      </c>
      <c r="K514" s="10">
        <v>46116.0</v>
      </c>
      <c r="L514" s="6">
        <v>1.0</v>
      </c>
      <c r="M514" s="8">
        <f t="shared" si="2"/>
        <v>0.1</v>
      </c>
      <c r="P514" s="9"/>
    </row>
    <row r="515">
      <c r="A515" s="6" t="s">
        <v>1298</v>
      </c>
      <c r="B515" s="6" t="s">
        <v>1299</v>
      </c>
      <c r="C515" s="6" t="s">
        <v>15</v>
      </c>
      <c r="D515" s="6" t="s">
        <v>1300</v>
      </c>
      <c r="E515" s="6" t="s">
        <v>842</v>
      </c>
      <c r="F515" s="6" t="s">
        <v>88</v>
      </c>
      <c r="G515" s="7">
        <v>0.05</v>
      </c>
      <c r="H515" s="6" t="s">
        <v>1086</v>
      </c>
      <c r="I515" s="6" t="s">
        <v>20</v>
      </c>
      <c r="J515" s="6">
        <v>2025.0</v>
      </c>
      <c r="K515" s="10">
        <v>46147.0</v>
      </c>
      <c r="L515" s="6">
        <v>1.0</v>
      </c>
      <c r="M515" s="8">
        <f t="shared" si="2"/>
        <v>0.05</v>
      </c>
      <c r="P515" s="9"/>
    </row>
    <row r="516">
      <c r="A516" s="6" t="s">
        <v>1298</v>
      </c>
      <c r="B516" s="6" t="s">
        <v>1299</v>
      </c>
      <c r="C516" s="6" t="s">
        <v>15</v>
      </c>
      <c r="D516" s="6" t="s">
        <v>1300</v>
      </c>
      <c r="E516" s="6" t="s">
        <v>842</v>
      </c>
      <c r="F516" s="6" t="s">
        <v>88</v>
      </c>
      <c r="G516" s="7">
        <v>0.05</v>
      </c>
      <c r="H516" s="6" t="s">
        <v>1086</v>
      </c>
      <c r="I516" s="6" t="s">
        <v>31</v>
      </c>
      <c r="J516" s="6">
        <v>2025.0</v>
      </c>
      <c r="K516" s="10">
        <v>46147.0</v>
      </c>
      <c r="L516" s="6">
        <v>1.0</v>
      </c>
      <c r="M516" s="7">
        <v>0.2</v>
      </c>
      <c r="P516" s="9"/>
    </row>
    <row r="517">
      <c r="A517" s="6" t="s">
        <v>1301</v>
      </c>
      <c r="B517" s="6" t="s">
        <v>14</v>
      </c>
      <c r="C517" s="6" t="s">
        <v>15</v>
      </c>
      <c r="D517" s="6" t="s">
        <v>1302</v>
      </c>
      <c r="E517" s="6" t="s">
        <v>838</v>
      </c>
      <c r="F517" s="6" t="s">
        <v>88</v>
      </c>
      <c r="G517" s="7">
        <v>0.05</v>
      </c>
      <c r="H517" s="6" t="s">
        <v>1086</v>
      </c>
      <c r="I517" s="6" t="s">
        <v>20</v>
      </c>
      <c r="J517" s="6">
        <v>2025.0</v>
      </c>
      <c r="L517" s="6">
        <v>2.0</v>
      </c>
      <c r="M517" s="8">
        <f t="shared" ref="M517:M1688" si="3">L517*G517</f>
        <v>0.1</v>
      </c>
      <c r="P517" s="9"/>
    </row>
    <row r="518">
      <c r="A518" s="6" t="s">
        <v>1301</v>
      </c>
      <c r="B518" s="6" t="s">
        <v>14</v>
      </c>
      <c r="C518" s="6" t="s">
        <v>15</v>
      </c>
      <c r="D518" s="6" t="s">
        <v>1302</v>
      </c>
      <c r="E518" s="6" t="s">
        <v>838</v>
      </c>
      <c r="F518" s="6" t="s">
        <v>88</v>
      </c>
      <c r="G518" s="7">
        <v>0.17</v>
      </c>
      <c r="H518" s="6" t="s">
        <v>1086</v>
      </c>
      <c r="I518" s="6" t="s">
        <v>31</v>
      </c>
      <c r="J518" s="6">
        <v>2025.0</v>
      </c>
      <c r="L518" s="6">
        <v>2.0</v>
      </c>
      <c r="M518" s="8">
        <f t="shared" si="3"/>
        <v>0.34</v>
      </c>
      <c r="P518" s="9"/>
    </row>
    <row r="519">
      <c r="A519" s="6" t="s">
        <v>1303</v>
      </c>
      <c r="B519" s="6" t="s">
        <v>1021</v>
      </c>
      <c r="C519" s="6" t="s">
        <v>15</v>
      </c>
      <c r="D519" s="6" t="s">
        <v>1304</v>
      </c>
      <c r="E519" s="6" t="s">
        <v>863</v>
      </c>
      <c r="F519" s="6" t="s">
        <v>88</v>
      </c>
      <c r="G519" s="7">
        <v>0.06</v>
      </c>
      <c r="H519" s="6" t="s">
        <v>1086</v>
      </c>
      <c r="I519" s="6" t="s">
        <v>20</v>
      </c>
      <c r="J519" s="6">
        <v>2025.0</v>
      </c>
      <c r="K519" s="10">
        <v>46056.0</v>
      </c>
      <c r="L519" s="6">
        <v>1.0</v>
      </c>
      <c r="M519" s="8">
        <f t="shared" si="3"/>
        <v>0.06</v>
      </c>
      <c r="P519" s="9"/>
    </row>
    <row r="520">
      <c r="A520" s="6" t="s">
        <v>1305</v>
      </c>
      <c r="B520" s="6" t="s">
        <v>1306</v>
      </c>
      <c r="C520" s="6" t="s">
        <v>15</v>
      </c>
      <c r="D520" s="6" t="s">
        <v>1307</v>
      </c>
      <c r="E520" s="6" t="s">
        <v>863</v>
      </c>
      <c r="F520" s="6" t="s">
        <v>88</v>
      </c>
      <c r="G520" s="7">
        <v>0.05</v>
      </c>
      <c r="H520" s="6" t="s">
        <v>1086</v>
      </c>
      <c r="I520" s="6" t="s">
        <v>20</v>
      </c>
      <c r="J520" s="6">
        <v>2025.0</v>
      </c>
      <c r="K520" s="10">
        <v>46083.0</v>
      </c>
      <c r="L520" s="6">
        <v>1.0</v>
      </c>
      <c r="M520" s="8">
        <f t="shared" si="3"/>
        <v>0.05</v>
      </c>
      <c r="P520" s="9"/>
    </row>
    <row r="521">
      <c r="A521" s="6" t="s">
        <v>1308</v>
      </c>
      <c r="B521" s="6" t="s">
        <v>33</v>
      </c>
      <c r="C521" s="6" t="s">
        <v>22</v>
      </c>
      <c r="D521" s="6" t="s">
        <v>1309</v>
      </c>
      <c r="E521" s="6" t="s">
        <v>909</v>
      </c>
      <c r="F521" s="6" t="s">
        <v>88</v>
      </c>
      <c r="G521" s="7">
        <v>0.15</v>
      </c>
      <c r="H521" s="6" t="s">
        <v>1086</v>
      </c>
      <c r="I521" s="6" t="s">
        <v>20</v>
      </c>
      <c r="J521" s="6">
        <v>2025.0</v>
      </c>
      <c r="L521" s="6">
        <v>2.0</v>
      </c>
      <c r="M521" s="8">
        <f t="shared" si="3"/>
        <v>0.3</v>
      </c>
      <c r="P521" s="9"/>
    </row>
    <row r="522">
      <c r="A522" s="6" t="s">
        <v>1310</v>
      </c>
      <c r="B522" s="6" t="s">
        <v>33</v>
      </c>
      <c r="C522" s="6" t="s">
        <v>101</v>
      </c>
      <c r="D522" s="6" t="s">
        <v>1311</v>
      </c>
      <c r="E522" s="6" t="s">
        <v>658</v>
      </c>
      <c r="F522" s="6" t="s">
        <v>277</v>
      </c>
      <c r="G522" s="7">
        <v>0.32</v>
      </c>
      <c r="H522" s="6" t="s">
        <v>1086</v>
      </c>
      <c r="I522" s="6" t="s">
        <v>20</v>
      </c>
      <c r="J522" s="6">
        <v>2025.0</v>
      </c>
      <c r="L522" s="6">
        <v>1.0</v>
      </c>
      <c r="M522" s="8">
        <f t="shared" si="3"/>
        <v>0.32</v>
      </c>
      <c r="P522" s="9"/>
    </row>
    <row r="523">
      <c r="A523" s="6" t="s">
        <v>1312</v>
      </c>
      <c r="B523" s="6" t="s">
        <v>1313</v>
      </c>
      <c r="C523" s="6" t="s">
        <v>15</v>
      </c>
      <c r="D523" s="6" t="s">
        <v>1314</v>
      </c>
      <c r="E523" s="6" t="s">
        <v>620</v>
      </c>
      <c r="F523" s="6" t="s">
        <v>277</v>
      </c>
      <c r="G523" s="7">
        <v>0.05</v>
      </c>
      <c r="H523" s="6" t="s">
        <v>1086</v>
      </c>
      <c r="I523" s="6" t="s">
        <v>20</v>
      </c>
      <c r="J523" s="6">
        <v>2025.0</v>
      </c>
      <c r="K523" s="10">
        <v>46083.0</v>
      </c>
      <c r="L523" s="6">
        <v>1.0</v>
      </c>
      <c r="M523" s="8">
        <f t="shared" si="3"/>
        <v>0.05</v>
      </c>
      <c r="P523" s="9"/>
    </row>
    <row r="524">
      <c r="A524" s="6" t="s">
        <v>1315</v>
      </c>
      <c r="B524" s="6" t="s">
        <v>14</v>
      </c>
      <c r="C524" s="6" t="s">
        <v>15</v>
      </c>
      <c r="D524" s="6" t="s">
        <v>1316</v>
      </c>
      <c r="E524" s="6" t="s">
        <v>552</v>
      </c>
      <c r="F524" s="6" t="s">
        <v>277</v>
      </c>
      <c r="G524" s="7">
        <v>0.05</v>
      </c>
      <c r="H524" s="6" t="s">
        <v>1086</v>
      </c>
      <c r="I524" s="6" t="s">
        <v>20</v>
      </c>
      <c r="J524" s="6">
        <v>2025.0</v>
      </c>
      <c r="L524" s="6">
        <v>1.0</v>
      </c>
      <c r="M524" s="8">
        <f t="shared" si="3"/>
        <v>0.05</v>
      </c>
      <c r="P524" s="9"/>
    </row>
    <row r="525">
      <c r="A525" s="6" t="s">
        <v>1317</v>
      </c>
      <c r="B525" s="6" t="s">
        <v>14</v>
      </c>
      <c r="C525" s="6" t="s">
        <v>15</v>
      </c>
      <c r="D525" s="6" t="s">
        <v>1318</v>
      </c>
      <c r="E525" s="6" t="s">
        <v>552</v>
      </c>
      <c r="F525" s="6" t="s">
        <v>277</v>
      </c>
      <c r="G525" s="7">
        <v>0.05</v>
      </c>
      <c r="H525" s="6" t="s">
        <v>1086</v>
      </c>
      <c r="I525" s="6" t="s">
        <v>20</v>
      </c>
      <c r="J525" s="6">
        <v>2025.0</v>
      </c>
      <c r="L525" s="6">
        <v>1.0</v>
      </c>
      <c r="M525" s="8">
        <f t="shared" si="3"/>
        <v>0.05</v>
      </c>
      <c r="P525" s="9"/>
    </row>
    <row r="526">
      <c r="A526" s="6" t="s">
        <v>1319</v>
      </c>
      <c r="B526" s="6" t="s">
        <v>68</v>
      </c>
      <c r="C526" s="6" t="s">
        <v>15</v>
      </c>
      <c r="D526" s="6" t="s">
        <v>1320</v>
      </c>
      <c r="E526" s="6" t="s">
        <v>629</v>
      </c>
      <c r="F526" s="6" t="s">
        <v>277</v>
      </c>
      <c r="G526" s="7">
        <v>0.24</v>
      </c>
      <c r="H526" s="6" t="s">
        <v>1086</v>
      </c>
      <c r="I526" s="6" t="s">
        <v>31</v>
      </c>
      <c r="J526" s="6">
        <v>2025.0</v>
      </c>
      <c r="L526" s="6">
        <v>1.0</v>
      </c>
      <c r="M526" s="8">
        <f t="shared" si="3"/>
        <v>0.24</v>
      </c>
      <c r="P526" s="9"/>
    </row>
    <row r="527">
      <c r="A527" s="6" t="s">
        <v>1321</v>
      </c>
      <c r="B527" s="6" t="s">
        <v>68</v>
      </c>
      <c r="C527" s="6" t="s">
        <v>22</v>
      </c>
      <c r="D527" s="6" t="s">
        <v>1322</v>
      </c>
      <c r="E527" s="6" t="s">
        <v>552</v>
      </c>
      <c r="F527" s="6" t="s">
        <v>277</v>
      </c>
      <c r="G527" s="7">
        <v>0.2</v>
      </c>
      <c r="H527" s="6" t="s">
        <v>1086</v>
      </c>
      <c r="I527" s="6" t="s">
        <v>20</v>
      </c>
      <c r="J527" s="6">
        <v>2025.0</v>
      </c>
      <c r="L527" s="6">
        <v>2.0</v>
      </c>
      <c r="M527" s="8">
        <f t="shared" si="3"/>
        <v>0.4</v>
      </c>
      <c r="P527" s="9"/>
    </row>
    <row r="528">
      <c r="A528" s="6" t="s">
        <v>1323</v>
      </c>
      <c r="B528" s="6" t="s">
        <v>68</v>
      </c>
      <c r="C528" s="6" t="s">
        <v>22</v>
      </c>
      <c r="D528" s="6" t="s">
        <v>1324</v>
      </c>
      <c r="E528" s="6" t="s">
        <v>658</v>
      </c>
      <c r="F528" s="6" t="s">
        <v>277</v>
      </c>
      <c r="G528" s="7">
        <v>0.09</v>
      </c>
      <c r="H528" s="6" t="s">
        <v>1086</v>
      </c>
      <c r="I528" s="6" t="s">
        <v>20</v>
      </c>
      <c r="J528" s="6">
        <v>2025.0</v>
      </c>
      <c r="L528" s="6">
        <v>1.0</v>
      </c>
      <c r="M528" s="8">
        <f t="shared" si="3"/>
        <v>0.09</v>
      </c>
      <c r="P528" s="9"/>
    </row>
    <row r="529">
      <c r="A529" s="6" t="s">
        <v>1325</v>
      </c>
      <c r="B529" s="6" t="s">
        <v>68</v>
      </c>
      <c r="C529" s="6" t="s">
        <v>101</v>
      </c>
      <c r="D529" s="6" t="s">
        <v>1326</v>
      </c>
      <c r="E529" s="6" t="s">
        <v>1327</v>
      </c>
      <c r="F529" s="6" t="s">
        <v>277</v>
      </c>
      <c r="G529" s="7">
        <v>0.95</v>
      </c>
      <c r="H529" s="6" t="s">
        <v>1086</v>
      </c>
      <c r="I529" s="6" t="s">
        <v>20</v>
      </c>
      <c r="J529" s="6">
        <v>2025.0</v>
      </c>
      <c r="L529" s="6">
        <v>1.0</v>
      </c>
      <c r="M529" s="8">
        <f t="shared" si="3"/>
        <v>0.95</v>
      </c>
      <c r="P529" s="9"/>
    </row>
    <row r="530">
      <c r="A530" s="6" t="s">
        <v>1328</v>
      </c>
      <c r="B530" s="6" t="s">
        <v>1329</v>
      </c>
      <c r="C530" s="6" t="s">
        <v>15</v>
      </c>
      <c r="D530" s="6" t="s">
        <v>1330</v>
      </c>
      <c r="E530" s="6" t="s">
        <v>620</v>
      </c>
      <c r="F530" s="6" t="s">
        <v>277</v>
      </c>
      <c r="G530" s="7">
        <v>0.2</v>
      </c>
      <c r="H530" s="6" t="s">
        <v>1086</v>
      </c>
      <c r="I530" s="6" t="s">
        <v>31</v>
      </c>
      <c r="J530" s="6">
        <v>2025.0</v>
      </c>
      <c r="K530" s="10">
        <v>46024.0</v>
      </c>
      <c r="L530" s="6">
        <v>1.0</v>
      </c>
      <c r="M530" s="8">
        <f t="shared" si="3"/>
        <v>0.2</v>
      </c>
      <c r="P530" s="9"/>
    </row>
    <row r="531">
      <c r="A531" s="6" t="s">
        <v>1331</v>
      </c>
      <c r="B531" s="6" t="s">
        <v>1332</v>
      </c>
      <c r="C531" s="6" t="s">
        <v>15</v>
      </c>
      <c r="D531" s="6" t="s">
        <v>1333</v>
      </c>
      <c r="E531" s="6" t="s">
        <v>629</v>
      </c>
      <c r="F531" s="6" t="s">
        <v>277</v>
      </c>
      <c r="G531" s="7">
        <v>0.05</v>
      </c>
      <c r="H531" s="6" t="s">
        <v>1086</v>
      </c>
      <c r="I531" s="6" t="s">
        <v>20</v>
      </c>
      <c r="J531" s="6">
        <v>2025.0</v>
      </c>
      <c r="K531" s="10">
        <v>46023.0</v>
      </c>
      <c r="L531" s="6">
        <v>2.0</v>
      </c>
      <c r="M531" s="8">
        <f t="shared" si="3"/>
        <v>0.1</v>
      </c>
      <c r="P531" s="9"/>
    </row>
    <row r="532">
      <c r="A532" s="6" t="s">
        <v>1334</v>
      </c>
      <c r="B532" s="6" t="s">
        <v>1214</v>
      </c>
      <c r="C532" s="6" t="s">
        <v>101</v>
      </c>
      <c r="D532" s="6" t="s">
        <v>1335</v>
      </c>
      <c r="E532" s="6" t="s">
        <v>658</v>
      </c>
      <c r="F532" s="6" t="s">
        <v>277</v>
      </c>
      <c r="G532" s="7">
        <v>0.44</v>
      </c>
      <c r="H532" s="6" t="s">
        <v>1086</v>
      </c>
      <c r="I532" s="6" t="s">
        <v>20</v>
      </c>
      <c r="J532" s="6">
        <v>2025.0</v>
      </c>
      <c r="K532" s="10">
        <v>46298.0</v>
      </c>
      <c r="L532" s="6">
        <v>1.0</v>
      </c>
      <c r="M532" s="8">
        <f t="shared" si="3"/>
        <v>0.44</v>
      </c>
      <c r="P532" s="9"/>
    </row>
    <row r="533">
      <c r="A533" s="6" t="s">
        <v>1336</v>
      </c>
      <c r="B533" s="6" t="s">
        <v>271</v>
      </c>
      <c r="C533" s="6" t="s">
        <v>15</v>
      </c>
      <c r="D533" s="6" t="s">
        <v>1337</v>
      </c>
      <c r="E533" s="6" t="s">
        <v>658</v>
      </c>
      <c r="F533" s="6" t="s">
        <v>277</v>
      </c>
      <c r="G533" s="7">
        <v>0.05</v>
      </c>
      <c r="H533" s="6" t="s">
        <v>1086</v>
      </c>
      <c r="I533" s="6" t="s">
        <v>20</v>
      </c>
      <c r="J533" s="6">
        <v>2025.0</v>
      </c>
      <c r="K533" s="10">
        <v>46115.0</v>
      </c>
      <c r="L533" s="6">
        <v>1.0</v>
      </c>
      <c r="M533" s="8">
        <f t="shared" si="3"/>
        <v>0.05</v>
      </c>
      <c r="P533" s="9"/>
    </row>
    <row r="534">
      <c r="A534" s="6" t="s">
        <v>1338</v>
      </c>
      <c r="B534" s="6" t="s">
        <v>1021</v>
      </c>
      <c r="C534" s="6" t="s">
        <v>22</v>
      </c>
      <c r="D534" s="6" t="s">
        <v>1339</v>
      </c>
      <c r="E534" s="6" t="s">
        <v>629</v>
      </c>
      <c r="F534" s="6" t="s">
        <v>277</v>
      </c>
      <c r="G534" s="7">
        <v>0.14</v>
      </c>
      <c r="H534" s="6" t="s">
        <v>1086</v>
      </c>
      <c r="I534" s="6" t="s">
        <v>20</v>
      </c>
      <c r="J534" s="6">
        <v>2025.0</v>
      </c>
      <c r="K534" s="10">
        <v>46026.0</v>
      </c>
      <c r="L534" s="6">
        <v>1.0</v>
      </c>
      <c r="M534" s="8">
        <f t="shared" si="3"/>
        <v>0.14</v>
      </c>
      <c r="P534" s="9"/>
    </row>
    <row r="535">
      <c r="A535" s="6" t="s">
        <v>1340</v>
      </c>
      <c r="B535" s="6" t="s">
        <v>63</v>
      </c>
      <c r="C535" s="6" t="s">
        <v>15</v>
      </c>
      <c r="D535" s="6" t="s">
        <v>1341</v>
      </c>
      <c r="E535" s="6" t="s">
        <v>697</v>
      </c>
      <c r="F535" s="6" t="s">
        <v>152</v>
      </c>
      <c r="G535" s="7">
        <v>0.05</v>
      </c>
      <c r="H535" s="6" t="s">
        <v>1086</v>
      </c>
      <c r="I535" s="6" t="s">
        <v>20</v>
      </c>
      <c r="J535" s="6">
        <v>2025.0</v>
      </c>
      <c r="L535" s="6">
        <v>1.0</v>
      </c>
      <c r="M535" s="8">
        <f t="shared" si="3"/>
        <v>0.05</v>
      </c>
      <c r="P535" s="9"/>
    </row>
    <row r="536">
      <c r="A536" s="6" t="s">
        <v>1340</v>
      </c>
      <c r="B536" s="6" t="s">
        <v>63</v>
      </c>
      <c r="C536" s="6" t="s">
        <v>15</v>
      </c>
      <c r="D536" s="6" t="s">
        <v>1341</v>
      </c>
      <c r="E536" s="6" t="s">
        <v>697</v>
      </c>
      <c r="F536" s="6" t="s">
        <v>152</v>
      </c>
      <c r="G536" s="7">
        <v>0.2</v>
      </c>
      <c r="H536" s="6" t="s">
        <v>1086</v>
      </c>
      <c r="I536" s="6" t="s">
        <v>31</v>
      </c>
      <c r="J536" s="6">
        <v>2025.0</v>
      </c>
      <c r="L536" s="6">
        <v>1.0</v>
      </c>
      <c r="M536" s="8">
        <f t="shared" si="3"/>
        <v>0.2</v>
      </c>
      <c r="P536" s="9"/>
    </row>
    <row r="537">
      <c r="A537" s="6" t="s">
        <v>1340</v>
      </c>
      <c r="B537" s="6" t="s">
        <v>63</v>
      </c>
      <c r="C537" s="6" t="s">
        <v>15</v>
      </c>
      <c r="D537" s="6" t="s">
        <v>1341</v>
      </c>
      <c r="E537" s="6" t="s">
        <v>697</v>
      </c>
      <c r="F537" s="6" t="s">
        <v>152</v>
      </c>
      <c r="G537" s="7">
        <v>0.05</v>
      </c>
      <c r="H537" s="6" t="s">
        <v>1086</v>
      </c>
      <c r="I537" s="6" t="s">
        <v>20</v>
      </c>
      <c r="J537" s="6">
        <v>2025.0</v>
      </c>
      <c r="L537" s="6">
        <v>3.0</v>
      </c>
      <c r="M537" s="8">
        <f t="shared" si="3"/>
        <v>0.15</v>
      </c>
      <c r="P537" s="9"/>
    </row>
    <row r="538">
      <c r="A538" s="6" t="s">
        <v>1342</v>
      </c>
      <c r="B538" s="6" t="s">
        <v>1214</v>
      </c>
      <c r="C538" s="6" t="s">
        <v>22</v>
      </c>
      <c r="D538" s="6" t="s">
        <v>1343</v>
      </c>
      <c r="E538" s="6" t="s">
        <v>1344</v>
      </c>
      <c r="F538" s="6" t="s">
        <v>152</v>
      </c>
      <c r="G538" s="7">
        <v>0.09</v>
      </c>
      <c r="H538" s="6" t="s">
        <v>1086</v>
      </c>
      <c r="I538" s="6" t="s">
        <v>20</v>
      </c>
      <c r="J538" s="6">
        <v>2025.0</v>
      </c>
      <c r="K538" s="10">
        <v>46178.0</v>
      </c>
      <c r="L538" s="6">
        <v>1.0</v>
      </c>
      <c r="M538" s="8">
        <f t="shared" si="3"/>
        <v>0.09</v>
      </c>
      <c r="P538" s="9"/>
    </row>
    <row r="539">
      <c r="A539" s="6" t="s">
        <v>1345</v>
      </c>
      <c r="B539" s="6" t="s">
        <v>404</v>
      </c>
      <c r="C539" s="6" t="s">
        <v>15</v>
      </c>
      <c r="D539" s="6" t="s">
        <v>1346</v>
      </c>
      <c r="E539" s="6" t="s">
        <v>713</v>
      </c>
      <c r="F539" s="6" t="s">
        <v>152</v>
      </c>
      <c r="G539" s="7">
        <v>0.05</v>
      </c>
      <c r="H539" s="6" t="s">
        <v>1086</v>
      </c>
      <c r="I539" s="6" t="s">
        <v>20</v>
      </c>
      <c r="J539" s="6">
        <v>2025.0</v>
      </c>
      <c r="L539" s="6">
        <v>1.0</v>
      </c>
      <c r="M539" s="8">
        <f t="shared" si="3"/>
        <v>0.05</v>
      </c>
      <c r="P539" s="9"/>
    </row>
    <row r="540">
      <c r="A540" s="6" t="s">
        <v>1347</v>
      </c>
      <c r="B540" s="6" t="s">
        <v>1021</v>
      </c>
      <c r="C540" s="6" t="s">
        <v>15</v>
      </c>
      <c r="D540" s="6" t="s">
        <v>1348</v>
      </c>
      <c r="E540" s="6" t="s">
        <v>694</v>
      </c>
      <c r="F540" s="6" t="s">
        <v>152</v>
      </c>
      <c r="G540" s="7">
        <v>0.1</v>
      </c>
      <c r="H540" s="6" t="s">
        <v>1086</v>
      </c>
      <c r="I540" s="6" t="s">
        <v>20</v>
      </c>
      <c r="J540" s="6">
        <v>2025.0</v>
      </c>
      <c r="K540" s="10">
        <v>46023.0</v>
      </c>
      <c r="L540" s="6">
        <v>1.0</v>
      </c>
      <c r="M540" s="8">
        <f t="shared" si="3"/>
        <v>0.1</v>
      </c>
      <c r="P540" s="9"/>
    </row>
    <row r="541">
      <c r="A541" s="6" t="s">
        <v>1349</v>
      </c>
      <c r="B541" s="6" t="s">
        <v>271</v>
      </c>
      <c r="C541" s="6" t="s">
        <v>15</v>
      </c>
      <c r="D541" s="6" t="s">
        <v>1350</v>
      </c>
      <c r="E541" s="6" t="s">
        <v>697</v>
      </c>
      <c r="F541" s="6" t="s">
        <v>152</v>
      </c>
      <c r="G541" s="7">
        <v>0.05</v>
      </c>
      <c r="H541" s="6" t="s">
        <v>1086</v>
      </c>
      <c r="I541" s="6" t="s">
        <v>20</v>
      </c>
      <c r="J541" s="6">
        <v>2025.0</v>
      </c>
      <c r="K541" s="10">
        <v>46084.0</v>
      </c>
      <c r="L541" s="6">
        <v>1.0</v>
      </c>
      <c r="M541" s="8">
        <f t="shared" si="3"/>
        <v>0.05</v>
      </c>
      <c r="P541" s="9"/>
    </row>
    <row r="542">
      <c r="A542" s="6" t="s">
        <v>1351</v>
      </c>
      <c r="B542" s="6" t="s">
        <v>14</v>
      </c>
      <c r="C542" s="6" t="s">
        <v>15</v>
      </c>
      <c r="D542" s="6" t="s">
        <v>1352</v>
      </c>
      <c r="E542" s="6" t="s">
        <v>721</v>
      </c>
      <c r="F542" s="6" t="s">
        <v>152</v>
      </c>
      <c r="G542" s="7">
        <v>0.05</v>
      </c>
      <c r="H542" s="6" t="s">
        <v>1086</v>
      </c>
      <c r="I542" s="6" t="s">
        <v>20</v>
      </c>
      <c r="J542" s="6">
        <v>2025.0</v>
      </c>
      <c r="L542" s="6">
        <v>1.0</v>
      </c>
      <c r="M542" s="8">
        <f t="shared" si="3"/>
        <v>0.05</v>
      </c>
      <c r="P542" s="9"/>
    </row>
    <row r="543">
      <c r="A543" s="6" t="s">
        <v>1353</v>
      </c>
      <c r="B543" s="6" t="s">
        <v>1354</v>
      </c>
      <c r="C543" s="6" t="s">
        <v>15</v>
      </c>
      <c r="D543" s="6" t="s">
        <v>1355</v>
      </c>
      <c r="E543" s="6" t="s">
        <v>694</v>
      </c>
      <c r="F543" s="6" t="s">
        <v>152</v>
      </c>
      <c r="G543" s="7">
        <v>0.05</v>
      </c>
      <c r="H543" s="6" t="s">
        <v>1086</v>
      </c>
      <c r="I543" s="6" t="s">
        <v>20</v>
      </c>
      <c r="J543" s="6">
        <v>2025.0</v>
      </c>
      <c r="K543" s="10">
        <v>46055.0</v>
      </c>
      <c r="L543" s="6">
        <v>1.0</v>
      </c>
      <c r="M543" s="8">
        <f t="shared" si="3"/>
        <v>0.05</v>
      </c>
      <c r="P543" s="9"/>
    </row>
    <row r="544">
      <c r="A544" s="6" t="s">
        <v>1356</v>
      </c>
      <c r="B544" s="6" t="s">
        <v>735</v>
      </c>
      <c r="C544" s="6" t="s">
        <v>22</v>
      </c>
      <c r="D544" s="6" t="s">
        <v>1357</v>
      </c>
      <c r="E544" s="6" t="s">
        <v>721</v>
      </c>
      <c r="F544" s="6" t="s">
        <v>152</v>
      </c>
      <c r="G544" s="7">
        <v>0.15</v>
      </c>
      <c r="H544" s="6" t="s">
        <v>1086</v>
      </c>
      <c r="I544" s="6" t="s">
        <v>20</v>
      </c>
      <c r="J544" s="6">
        <v>2025.0</v>
      </c>
      <c r="K544" s="10">
        <v>46084.0</v>
      </c>
      <c r="L544" s="6">
        <v>2.0</v>
      </c>
      <c r="M544" s="8">
        <f t="shared" si="3"/>
        <v>0.3</v>
      </c>
      <c r="P544" s="9"/>
    </row>
    <row r="545">
      <c r="A545" s="6" t="s">
        <v>1358</v>
      </c>
      <c r="B545" s="6" t="s">
        <v>1359</v>
      </c>
      <c r="C545" s="6" t="s">
        <v>15</v>
      </c>
      <c r="D545" s="6" t="s">
        <v>1360</v>
      </c>
      <c r="E545" s="6" t="s">
        <v>1361</v>
      </c>
      <c r="F545" s="6" t="s">
        <v>157</v>
      </c>
      <c r="G545" s="7">
        <v>0.05</v>
      </c>
      <c r="H545" s="6" t="s">
        <v>1362</v>
      </c>
      <c r="I545" s="6" t="s">
        <v>20</v>
      </c>
      <c r="J545" s="6">
        <v>2026.0</v>
      </c>
      <c r="K545" s="10">
        <v>46179.0</v>
      </c>
      <c r="L545" s="6">
        <v>5.0</v>
      </c>
      <c r="M545" s="8">
        <f t="shared" si="3"/>
        <v>0.25</v>
      </c>
      <c r="P545" s="9"/>
    </row>
    <row r="546">
      <c r="A546" s="6" t="s">
        <v>1358</v>
      </c>
      <c r="B546" s="6" t="s">
        <v>1359</v>
      </c>
      <c r="C546" s="6" t="s">
        <v>15</v>
      </c>
      <c r="D546" s="6" t="s">
        <v>1360</v>
      </c>
      <c r="E546" s="6" t="s">
        <v>1361</v>
      </c>
      <c r="F546" s="6" t="s">
        <v>157</v>
      </c>
      <c r="G546" s="7">
        <v>0.29</v>
      </c>
      <c r="H546" s="6" t="s">
        <v>1362</v>
      </c>
      <c r="I546" s="6" t="s">
        <v>31</v>
      </c>
      <c r="J546" s="6">
        <v>2026.0</v>
      </c>
      <c r="K546" s="10">
        <v>46179.0</v>
      </c>
      <c r="L546" s="6">
        <v>2.0</v>
      </c>
      <c r="M546" s="8">
        <f t="shared" si="3"/>
        <v>0.58</v>
      </c>
      <c r="P546" s="9"/>
    </row>
    <row r="547">
      <c r="A547" s="6" t="s">
        <v>1363</v>
      </c>
      <c r="B547" s="6" t="s">
        <v>1364</v>
      </c>
      <c r="C547" s="6" t="s">
        <v>15</v>
      </c>
      <c r="D547" s="6" t="s">
        <v>1365</v>
      </c>
      <c r="E547" s="6" t="s">
        <v>1366</v>
      </c>
      <c r="F547" s="6" t="s">
        <v>157</v>
      </c>
      <c r="G547" s="7">
        <v>0.05</v>
      </c>
      <c r="H547" s="6" t="s">
        <v>1362</v>
      </c>
      <c r="I547" s="6" t="s">
        <v>20</v>
      </c>
      <c r="J547" s="6">
        <v>2026.0</v>
      </c>
      <c r="K547" s="10">
        <v>46084.0</v>
      </c>
      <c r="L547" s="6">
        <v>1.0</v>
      </c>
      <c r="M547" s="8">
        <f t="shared" si="3"/>
        <v>0.05</v>
      </c>
      <c r="P547" s="9"/>
    </row>
    <row r="548">
      <c r="A548" s="6" t="s">
        <v>1367</v>
      </c>
      <c r="B548" s="6" t="s">
        <v>68</v>
      </c>
      <c r="C548" s="6" t="s">
        <v>22</v>
      </c>
      <c r="D548" s="6" t="s">
        <v>1368</v>
      </c>
      <c r="E548" s="6" t="s">
        <v>987</v>
      </c>
      <c r="F548" s="6" t="s">
        <v>157</v>
      </c>
      <c r="G548" s="7">
        <v>0.3</v>
      </c>
      <c r="H548" s="6" t="s">
        <v>1362</v>
      </c>
      <c r="I548" s="6" t="s">
        <v>20</v>
      </c>
      <c r="J548" s="6">
        <v>2026.0</v>
      </c>
      <c r="L548" s="6">
        <v>1.0</v>
      </c>
      <c r="M548" s="8">
        <f t="shared" si="3"/>
        <v>0.3</v>
      </c>
      <c r="P548" s="9"/>
    </row>
    <row r="549">
      <c r="A549" s="6" t="s">
        <v>1369</v>
      </c>
      <c r="B549" s="6" t="s">
        <v>14</v>
      </c>
      <c r="C549" s="6" t="s">
        <v>22</v>
      </c>
      <c r="D549" s="6" t="s">
        <v>1370</v>
      </c>
      <c r="E549" s="6" t="s">
        <v>1371</v>
      </c>
      <c r="F549" s="6" t="s">
        <v>157</v>
      </c>
      <c r="G549" s="7">
        <v>0.37</v>
      </c>
      <c r="H549" s="6" t="s">
        <v>1362</v>
      </c>
      <c r="I549" s="6" t="s">
        <v>20</v>
      </c>
      <c r="J549" s="6">
        <v>2026.0</v>
      </c>
      <c r="L549" s="6">
        <v>1.0</v>
      </c>
      <c r="M549" s="8">
        <f t="shared" si="3"/>
        <v>0.37</v>
      </c>
      <c r="P549" s="9"/>
    </row>
    <row r="550">
      <c r="A550" s="6" t="s">
        <v>1372</v>
      </c>
      <c r="B550" s="6" t="s">
        <v>68</v>
      </c>
      <c r="C550" s="6" t="s">
        <v>15</v>
      </c>
      <c r="D550" s="6" t="s">
        <v>1373</v>
      </c>
      <c r="E550" s="6" t="s">
        <v>1374</v>
      </c>
      <c r="F550" s="6" t="s">
        <v>157</v>
      </c>
      <c r="G550" s="7">
        <v>0.09</v>
      </c>
      <c r="H550" s="6" t="s">
        <v>1362</v>
      </c>
      <c r="I550" s="6" t="s">
        <v>20</v>
      </c>
      <c r="J550" s="6">
        <v>2026.0</v>
      </c>
      <c r="L550" s="6">
        <v>1.0</v>
      </c>
      <c r="M550" s="8">
        <f t="shared" si="3"/>
        <v>0.09</v>
      </c>
      <c r="P550" s="9"/>
    </row>
    <row r="551">
      <c r="A551" s="6" t="s">
        <v>1375</v>
      </c>
      <c r="B551" s="6" t="s">
        <v>1376</v>
      </c>
      <c r="C551" s="6" t="s">
        <v>22</v>
      </c>
      <c r="D551" s="6" t="s">
        <v>1377</v>
      </c>
      <c r="E551" s="6" t="s">
        <v>987</v>
      </c>
      <c r="F551" s="6" t="s">
        <v>157</v>
      </c>
      <c r="G551" s="7">
        <v>0.2</v>
      </c>
      <c r="H551" s="6" t="s">
        <v>1362</v>
      </c>
      <c r="I551" s="6" t="s">
        <v>20</v>
      </c>
      <c r="J551" s="6">
        <v>2026.0</v>
      </c>
      <c r="K551" s="10">
        <v>46055.0</v>
      </c>
      <c r="L551" s="6">
        <v>1.0</v>
      </c>
      <c r="M551" s="8">
        <f t="shared" si="3"/>
        <v>0.2</v>
      </c>
      <c r="P551" s="9"/>
    </row>
    <row r="552">
      <c r="A552" s="6" t="s">
        <v>1378</v>
      </c>
      <c r="B552" s="6" t="s">
        <v>1379</v>
      </c>
      <c r="C552" s="6" t="s">
        <v>22</v>
      </c>
      <c r="D552" s="6" t="s">
        <v>1380</v>
      </c>
      <c r="E552" s="6" t="s">
        <v>1381</v>
      </c>
      <c r="F552" s="6" t="s">
        <v>157</v>
      </c>
      <c r="G552" s="7">
        <v>0.19</v>
      </c>
      <c r="H552" s="6" t="s">
        <v>1362</v>
      </c>
      <c r="I552" s="6" t="s">
        <v>20</v>
      </c>
      <c r="J552" s="6">
        <v>2026.0</v>
      </c>
      <c r="K552" s="10">
        <v>46113.0</v>
      </c>
      <c r="L552" s="6">
        <v>1.0</v>
      </c>
      <c r="M552" s="8">
        <f t="shared" si="3"/>
        <v>0.19</v>
      </c>
      <c r="P552" s="9"/>
    </row>
    <row r="553">
      <c r="A553" s="6" t="s">
        <v>1382</v>
      </c>
      <c r="B553" s="6" t="s">
        <v>1383</v>
      </c>
      <c r="C553" s="6" t="s">
        <v>15</v>
      </c>
      <c r="D553" s="6" t="s">
        <v>1384</v>
      </c>
      <c r="E553" s="6" t="s">
        <v>1381</v>
      </c>
      <c r="F553" s="6" t="s">
        <v>157</v>
      </c>
      <c r="G553" s="7">
        <v>0.08</v>
      </c>
      <c r="H553" s="6" t="s">
        <v>1362</v>
      </c>
      <c r="I553" s="6" t="s">
        <v>20</v>
      </c>
      <c r="J553" s="6">
        <v>2026.0</v>
      </c>
      <c r="K553" s="10">
        <v>46116.0</v>
      </c>
      <c r="L553" s="6">
        <v>2.0</v>
      </c>
      <c r="M553" s="8">
        <f t="shared" si="3"/>
        <v>0.16</v>
      </c>
      <c r="P553" s="9"/>
    </row>
    <row r="554">
      <c r="A554" s="6" t="s">
        <v>1385</v>
      </c>
      <c r="B554" s="6" t="s">
        <v>1386</v>
      </c>
      <c r="C554" s="6" t="s">
        <v>22</v>
      </c>
      <c r="D554" s="6" t="s">
        <v>1387</v>
      </c>
      <c r="E554" s="6" t="s">
        <v>1388</v>
      </c>
      <c r="F554" s="6" t="s">
        <v>157</v>
      </c>
      <c r="G554" s="7">
        <v>0.19</v>
      </c>
      <c r="H554" s="6" t="s">
        <v>1362</v>
      </c>
      <c r="I554" s="6" t="s">
        <v>20</v>
      </c>
      <c r="J554" s="6">
        <v>2026.0</v>
      </c>
      <c r="K554" s="10">
        <v>46116.0</v>
      </c>
      <c r="L554" s="6">
        <v>2.0</v>
      </c>
      <c r="M554" s="8">
        <f t="shared" si="3"/>
        <v>0.38</v>
      </c>
      <c r="P554" s="9"/>
    </row>
    <row r="555">
      <c r="A555" s="6" t="s">
        <v>1389</v>
      </c>
      <c r="B555" s="6" t="s">
        <v>14</v>
      </c>
      <c r="C555" s="6" t="s">
        <v>15</v>
      </c>
      <c r="D555" s="6" t="s">
        <v>1390</v>
      </c>
      <c r="E555" s="6" t="s">
        <v>1388</v>
      </c>
      <c r="F555" s="6" t="s">
        <v>157</v>
      </c>
      <c r="G555" s="7">
        <v>0.08</v>
      </c>
      <c r="H555" s="6" t="s">
        <v>1362</v>
      </c>
      <c r="I555" s="6" t="s">
        <v>20</v>
      </c>
      <c r="J555" s="6">
        <v>2026.0</v>
      </c>
      <c r="L555" s="6">
        <v>2.0</v>
      </c>
      <c r="M555" s="8">
        <f t="shared" si="3"/>
        <v>0.16</v>
      </c>
      <c r="P555" s="9"/>
    </row>
    <row r="556">
      <c r="A556" s="6" t="s">
        <v>1391</v>
      </c>
      <c r="B556" s="6" t="s">
        <v>1037</v>
      </c>
      <c r="C556" s="6" t="s">
        <v>22</v>
      </c>
      <c r="D556" s="6" t="s">
        <v>1392</v>
      </c>
      <c r="E556" s="6" t="s">
        <v>1371</v>
      </c>
      <c r="F556" s="6" t="s">
        <v>157</v>
      </c>
      <c r="G556" s="7">
        <v>0.25</v>
      </c>
      <c r="H556" s="6" t="s">
        <v>1362</v>
      </c>
      <c r="I556" s="6" t="s">
        <v>20</v>
      </c>
      <c r="J556" s="6">
        <v>2026.0</v>
      </c>
      <c r="K556" s="10">
        <v>46023.0</v>
      </c>
      <c r="L556" s="6">
        <v>2.0</v>
      </c>
      <c r="M556" s="8">
        <f t="shared" si="3"/>
        <v>0.5</v>
      </c>
      <c r="P556" s="9"/>
    </row>
    <row r="557">
      <c r="A557" s="6" t="s">
        <v>1393</v>
      </c>
      <c r="B557" s="6" t="s">
        <v>1394</v>
      </c>
      <c r="C557" s="6" t="s">
        <v>15</v>
      </c>
      <c r="D557" s="6" t="s">
        <v>1395</v>
      </c>
      <c r="E557" s="6" t="s">
        <v>1396</v>
      </c>
      <c r="F557" s="6" t="s">
        <v>157</v>
      </c>
      <c r="G557" s="7">
        <v>0.05</v>
      </c>
      <c r="H557" s="6" t="s">
        <v>1362</v>
      </c>
      <c r="I557" s="6" t="s">
        <v>20</v>
      </c>
      <c r="J557" s="6">
        <v>2026.0</v>
      </c>
      <c r="K557" s="10">
        <v>46113.0</v>
      </c>
      <c r="L557" s="6">
        <v>1.0</v>
      </c>
      <c r="M557" s="8">
        <f t="shared" si="3"/>
        <v>0.05</v>
      </c>
      <c r="P557" s="9"/>
    </row>
    <row r="558">
      <c r="A558" s="6" t="s">
        <v>1397</v>
      </c>
      <c r="B558" s="6" t="s">
        <v>1398</v>
      </c>
      <c r="C558" s="6" t="s">
        <v>22</v>
      </c>
      <c r="D558" s="6" t="s">
        <v>1399</v>
      </c>
      <c r="E558" s="6" t="s">
        <v>1400</v>
      </c>
      <c r="F558" s="6" t="s">
        <v>157</v>
      </c>
      <c r="G558" s="7">
        <v>0.32</v>
      </c>
      <c r="H558" s="6" t="s">
        <v>1362</v>
      </c>
      <c r="I558" s="6" t="s">
        <v>20</v>
      </c>
      <c r="J558" s="6">
        <v>2026.0</v>
      </c>
      <c r="K558" s="10">
        <v>46025.0</v>
      </c>
      <c r="L558" s="6">
        <v>1.0</v>
      </c>
      <c r="M558" s="8">
        <f t="shared" si="3"/>
        <v>0.32</v>
      </c>
      <c r="P558" s="9"/>
    </row>
    <row r="559">
      <c r="A559" s="6" t="s">
        <v>1401</v>
      </c>
      <c r="B559" s="6" t="s">
        <v>63</v>
      </c>
      <c r="C559" s="6" t="s">
        <v>22</v>
      </c>
      <c r="D559" s="6" t="s">
        <v>1402</v>
      </c>
      <c r="E559" s="6" t="s">
        <v>702</v>
      </c>
      <c r="F559" s="6" t="s">
        <v>152</v>
      </c>
      <c r="G559" s="7">
        <v>0.28</v>
      </c>
      <c r="H559" s="6" t="s">
        <v>1362</v>
      </c>
      <c r="I559" s="6" t="s">
        <v>20</v>
      </c>
      <c r="J559" s="6">
        <v>2026.0</v>
      </c>
      <c r="L559" s="6">
        <v>1.0</v>
      </c>
      <c r="M559" s="8">
        <f t="shared" si="3"/>
        <v>0.28</v>
      </c>
      <c r="P559" s="9"/>
    </row>
    <row r="560">
      <c r="A560" s="6" t="s">
        <v>1403</v>
      </c>
      <c r="B560" s="6" t="s">
        <v>68</v>
      </c>
      <c r="C560" s="6" t="s">
        <v>22</v>
      </c>
      <c r="D560" s="6" t="s">
        <v>1404</v>
      </c>
      <c r="E560" s="6" t="s">
        <v>694</v>
      </c>
      <c r="F560" s="6" t="s">
        <v>152</v>
      </c>
      <c r="G560" s="7">
        <v>0.25</v>
      </c>
      <c r="H560" s="6" t="s">
        <v>1362</v>
      </c>
      <c r="I560" s="6" t="s">
        <v>20</v>
      </c>
      <c r="J560" s="6">
        <v>2026.0</v>
      </c>
      <c r="L560" s="6">
        <v>1.0</v>
      </c>
      <c r="M560" s="8">
        <f t="shared" si="3"/>
        <v>0.25</v>
      </c>
      <c r="P560" s="9"/>
    </row>
    <row r="561">
      <c r="A561" s="6" t="s">
        <v>1405</v>
      </c>
      <c r="B561" s="6" t="s">
        <v>14</v>
      </c>
      <c r="C561" s="6" t="s">
        <v>22</v>
      </c>
      <c r="D561" s="6" t="s">
        <v>1406</v>
      </c>
      <c r="E561" s="6" t="s">
        <v>694</v>
      </c>
      <c r="F561" s="6" t="s">
        <v>152</v>
      </c>
      <c r="G561" s="7">
        <v>0.28</v>
      </c>
      <c r="H561" s="6" t="s">
        <v>1362</v>
      </c>
      <c r="I561" s="6" t="s">
        <v>20</v>
      </c>
      <c r="J561" s="6">
        <v>2026.0</v>
      </c>
      <c r="L561" s="6">
        <v>1.0</v>
      </c>
      <c r="M561" s="8">
        <f t="shared" si="3"/>
        <v>0.28</v>
      </c>
      <c r="P561" s="9"/>
    </row>
    <row r="562">
      <c r="A562" s="6" t="s">
        <v>1407</v>
      </c>
      <c r="B562" s="6" t="s">
        <v>1408</v>
      </c>
      <c r="C562" s="6" t="s">
        <v>15</v>
      </c>
      <c r="D562" s="6" t="s">
        <v>1409</v>
      </c>
      <c r="E562" s="6" t="s">
        <v>1410</v>
      </c>
      <c r="F562" s="6" t="s">
        <v>152</v>
      </c>
      <c r="G562" s="7">
        <v>0.05</v>
      </c>
      <c r="H562" s="6" t="s">
        <v>1362</v>
      </c>
      <c r="I562" s="6" t="s">
        <v>20</v>
      </c>
      <c r="J562" s="6">
        <v>2026.0</v>
      </c>
      <c r="K562" s="10">
        <v>46084.0</v>
      </c>
      <c r="L562" s="6">
        <v>1.0</v>
      </c>
      <c r="M562" s="8">
        <f t="shared" si="3"/>
        <v>0.05</v>
      </c>
      <c r="P562" s="9"/>
    </row>
    <row r="563">
      <c r="A563" s="6" t="s">
        <v>1411</v>
      </c>
      <c r="B563" s="6" t="s">
        <v>68</v>
      </c>
      <c r="C563" s="6" t="s">
        <v>15</v>
      </c>
      <c r="D563" s="6" t="s">
        <v>1412</v>
      </c>
      <c r="E563" s="6" t="s">
        <v>713</v>
      </c>
      <c r="F563" s="6" t="s">
        <v>152</v>
      </c>
      <c r="G563" s="7">
        <v>0.15</v>
      </c>
      <c r="H563" s="6" t="s">
        <v>1362</v>
      </c>
      <c r="I563" s="6" t="s">
        <v>20</v>
      </c>
      <c r="J563" s="6">
        <v>2026.0</v>
      </c>
      <c r="L563" s="6">
        <v>3.0</v>
      </c>
      <c r="M563" s="8">
        <f t="shared" si="3"/>
        <v>0.45</v>
      </c>
      <c r="P563" s="9"/>
    </row>
    <row r="564">
      <c r="A564" s="6" t="s">
        <v>1413</v>
      </c>
      <c r="B564" s="6" t="s">
        <v>1414</v>
      </c>
      <c r="C564" s="6" t="s">
        <v>15</v>
      </c>
      <c r="D564" s="6" t="s">
        <v>1415</v>
      </c>
      <c r="E564" s="6" t="s">
        <v>721</v>
      </c>
      <c r="F564" s="6" t="s">
        <v>152</v>
      </c>
      <c r="G564" s="7">
        <v>0.05</v>
      </c>
      <c r="H564" s="6" t="s">
        <v>1362</v>
      </c>
      <c r="I564" s="6" t="s">
        <v>20</v>
      </c>
      <c r="J564" s="6">
        <v>2026.0</v>
      </c>
      <c r="K564" s="10">
        <v>46084.0</v>
      </c>
      <c r="L564" s="6">
        <v>1.0</v>
      </c>
      <c r="M564" s="8">
        <f t="shared" si="3"/>
        <v>0.05</v>
      </c>
      <c r="P564" s="9"/>
    </row>
    <row r="565">
      <c r="A565" s="6" t="s">
        <v>1413</v>
      </c>
      <c r="B565" s="6" t="s">
        <v>1414</v>
      </c>
      <c r="C565" s="6" t="s">
        <v>15</v>
      </c>
      <c r="D565" s="6" t="s">
        <v>1415</v>
      </c>
      <c r="E565" s="6" t="s">
        <v>721</v>
      </c>
      <c r="F565" s="6" t="s">
        <v>152</v>
      </c>
      <c r="G565" s="7">
        <v>0.25</v>
      </c>
      <c r="H565" s="6" t="s">
        <v>1362</v>
      </c>
      <c r="I565" s="6" t="s">
        <v>31</v>
      </c>
      <c r="J565" s="6">
        <v>2026.0</v>
      </c>
      <c r="K565" s="10">
        <v>46084.0</v>
      </c>
      <c r="L565" s="6">
        <v>1.0</v>
      </c>
      <c r="M565" s="8">
        <f t="shared" si="3"/>
        <v>0.25</v>
      </c>
      <c r="P565" s="9"/>
    </row>
    <row r="566">
      <c r="A566" s="6" t="s">
        <v>1416</v>
      </c>
      <c r="B566" s="6" t="s">
        <v>63</v>
      </c>
      <c r="C566" s="6" t="s">
        <v>22</v>
      </c>
      <c r="D566" s="6" t="s">
        <v>1417</v>
      </c>
      <c r="E566" s="6" t="s">
        <v>713</v>
      </c>
      <c r="F566" s="6" t="s">
        <v>152</v>
      </c>
      <c r="G566" s="7">
        <v>0.33</v>
      </c>
      <c r="H566" s="6" t="s">
        <v>1362</v>
      </c>
      <c r="I566" s="6" t="s">
        <v>20</v>
      </c>
      <c r="J566" s="6">
        <v>2026.0</v>
      </c>
      <c r="L566" s="6">
        <v>1.0</v>
      </c>
      <c r="M566" s="8">
        <f t="shared" si="3"/>
        <v>0.33</v>
      </c>
      <c r="P566" s="9"/>
    </row>
    <row r="567">
      <c r="A567" s="6" t="s">
        <v>1418</v>
      </c>
      <c r="B567" s="6" t="s">
        <v>14</v>
      </c>
      <c r="C567" s="6" t="s">
        <v>15</v>
      </c>
      <c r="D567" s="6" t="s">
        <v>1419</v>
      </c>
      <c r="E567" s="6" t="s">
        <v>694</v>
      </c>
      <c r="F567" s="6" t="s">
        <v>152</v>
      </c>
      <c r="G567" s="7">
        <v>0.08</v>
      </c>
      <c r="H567" s="6" t="s">
        <v>1362</v>
      </c>
      <c r="I567" s="6" t="s">
        <v>20</v>
      </c>
      <c r="J567" s="6">
        <v>2026.0</v>
      </c>
      <c r="L567" s="6">
        <v>2.0</v>
      </c>
      <c r="M567" s="8">
        <f t="shared" si="3"/>
        <v>0.16</v>
      </c>
      <c r="P567" s="9"/>
    </row>
    <row r="568">
      <c r="A568" s="6" t="s">
        <v>1420</v>
      </c>
      <c r="B568" s="6" t="s">
        <v>1421</v>
      </c>
      <c r="C568" s="6" t="s">
        <v>15</v>
      </c>
      <c r="D568" s="6" t="s">
        <v>1422</v>
      </c>
      <c r="E568" s="6" t="s">
        <v>702</v>
      </c>
      <c r="F568" s="6" t="s">
        <v>152</v>
      </c>
      <c r="G568" s="7">
        <v>0.05</v>
      </c>
      <c r="H568" s="6" t="s">
        <v>1362</v>
      </c>
      <c r="I568" s="6" t="s">
        <v>20</v>
      </c>
      <c r="J568" s="6">
        <v>2026.0</v>
      </c>
      <c r="K568" s="10">
        <v>46115.0</v>
      </c>
      <c r="L568" s="6">
        <v>1.0</v>
      </c>
      <c r="M568" s="8">
        <f t="shared" si="3"/>
        <v>0.05</v>
      </c>
      <c r="P568" s="9"/>
    </row>
    <row r="569">
      <c r="A569" s="6" t="s">
        <v>1423</v>
      </c>
      <c r="B569" s="6" t="s">
        <v>190</v>
      </c>
      <c r="C569" s="6" t="s">
        <v>15</v>
      </c>
      <c r="D569" s="6" t="s">
        <v>1424</v>
      </c>
      <c r="E569" s="6" t="s">
        <v>1425</v>
      </c>
      <c r="F569" s="6" t="s">
        <v>80</v>
      </c>
      <c r="G569" s="7">
        <v>1.86</v>
      </c>
      <c r="H569" s="6" t="s">
        <v>1426</v>
      </c>
      <c r="I569" s="6" t="s">
        <v>31</v>
      </c>
      <c r="J569" s="6">
        <v>2026.0</v>
      </c>
      <c r="L569" s="6">
        <v>2.0</v>
      </c>
      <c r="M569" s="8">
        <f t="shared" si="3"/>
        <v>3.72</v>
      </c>
      <c r="P569" s="9"/>
    </row>
    <row r="570">
      <c r="A570" s="6" t="s">
        <v>1427</v>
      </c>
      <c r="B570" s="6" t="s">
        <v>785</v>
      </c>
      <c r="C570" s="6" t="s">
        <v>15</v>
      </c>
      <c r="D570" s="6" t="s">
        <v>1428</v>
      </c>
      <c r="E570" s="6" t="s">
        <v>713</v>
      </c>
      <c r="F570" s="6" t="s">
        <v>152</v>
      </c>
      <c r="G570" s="7">
        <v>0.05</v>
      </c>
      <c r="H570" s="6" t="s">
        <v>1429</v>
      </c>
      <c r="I570" s="6" t="s">
        <v>20</v>
      </c>
      <c r="J570" s="6">
        <v>2025.0</v>
      </c>
      <c r="K570" s="10">
        <v>46023.0</v>
      </c>
      <c r="L570" s="6">
        <v>7.0</v>
      </c>
      <c r="M570" s="8">
        <f t="shared" si="3"/>
        <v>0.35</v>
      </c>
      <c r="P570" s="9"/>
    </row>
    <row r="571">
      <c r="A571" s="6" t="s">
        <v>1427</v>
      </c>
      <c r="B571" s="6" t="s">
        <v>785</v>
      </c>
      <c r="C571" s="6" t="s">
        <v>15</v>
      </c>
      <c r="D571" s="6" t="s">
        <v>1428</v>
      </c>
      <c r="E571" s="6" t="s">
        <v>713</v>
      </c>
      <c r="F571" s="6" t="s">
        <v>152</v>
      </c>
      <c r="G571" s="7">
        <v>0.3</v>
      </c>
      <c r="H571" s="6" t="s">
        <v>1429</v>
      </c>
      <c r="I571" s="6" t="s">
        <v>20</v>
      </c>
      <c r="J571" s="6">
        <v>2025.0</v>
      </c>
      <c r="K571" s="10">
        <v>46023.0</v>
      </c>
      <c r="L571" s="6">
        <v>2.0</v>
      </c>
      <c r="M571" s="8">
        <f t="shared" si="3"/>
        <v>0.6</v>
      </c>
      <c r="P571" s="9"/>
    </row>
    <row r="572">
      <c r="A572" s="6" t="s">
        <v>1430</v>
      </c>
      <c r="B572" s="6" t="s">
        <v>1135</v>
      </c>
      <c r="C572" s="6" t="s">
        <v>15</v>
      </c>
      <c r="D572" s="6" t="s">
        <v>1431</v>
      </c>
      <c r="E572" s="6" t="s">
        <v>1069</v>
      </c>
      <c r="F572" s="6" t="s">
        <v>170</v>
      </c>
      <c r="G572" s="7">
        <v>0.15</v>
      </c>
      <c r="H572" s="6" t="s">
        <v>1429</v>
      </c>
      <c r="I572" s="6" t="s">
        <v>20</v>
      </c>
      <c r="J572" s="6">
        <v>2025.0</v>
      </c>
      <c r="K572" s="10">
        <v>46083.0</v>
      </c>
      <c r="L572" s="6">
        <v>5.0</v>
      </c>
      <c r="M572" s="8">
        <f t="shared" si="3"/>
        <v>0.75</v>
      </c>
      <c r="P572" s="9"/>
    </row>
    <row r="573">
      <c r="A573" s="6" t="s">
        <v>1432</v>
      </c>
      <c r="B573" s="6" t="s">
        <v>1433</v>
      </c>
      <c r="C573" s="6" t="s">
        <v>15</v>
      </c>
      <c r="D573" s="6" t="s">
        <v>1434</v>
      </c>
      <c r="E573" s="6" t="s">
        <v>1230</v>
      </c>
      <c r="F573" s="6" t="s">
        <v>170</v>
      </c>
      <c r="G573" s="7">
        <v>0.1</v>
      </c>
      <c r="H573" s="6" t="s">
        <v>1429</v>
      </c>
      <c r="I573" s="6" t="s">
        <v>20</v>
      </c>
      <c r="J573" s="6">
        <v>2025.0</v>
      </c>
      <c r="K573" s="10">
        <v>46117.0</v>
      </c>
      <c r="L573" s="6">
        <v>1.0</v>
      </c>
      <c r="M573" s="8">
        <f t="shared" si="3"/>
        <v>0.1</v>
      </c>
      <c r="P573" s="9"/>
    </row>
    <row r="574">
      <c r="A574" s="6" t="s">
        <v>1435</v>
      </c>
      <c r="B574" s="6" t="s">
        <v>1436</v>
      </c>
      <c r="C574" s="6" t="s">
        <v>15</v>
      </c>
      <c r="D574" s="6" t="s">
        <v>1437</v>
      </c>
      <c r="E574" s="6" t="s">
        <v>1035</v>
      </c>
      <c r="F574" s="6" t="s">
        <v>80</v>
      </c>
      <c r="G574" s="7">
        <v>0.1</v>
      </c>
      <c r="H574" s="6" t="s">
        <v>1429</v>
      </c>
      <c r="I574" s="6" t="s">
        <v>20</v>
      </c>
      <c r="J574" s="6">
        <v>2025.0</v>
      </c>
      <c r="K574" s="10">
        <v>46024.0</v>
      </c>
      <c r="L574" s="6">
        <v>1.0</v>
      </c>
      <c r="M574" s="8">
        <f t="shared" si="3"/>
        <v>0.1</v>
      </c>
      <c r="P574" s="9"/>
    </row>
    <row r="575">
      <c r="A575" s="6" t="s">
        <v>1438</v>
      </c>
      <c r="B575" s="6" t="s">
        <v>68</v>
      </c>
      <c r="C575" s="6" t="s">
        <v>101</v>
      </c>
      <c r="D575" s="6" t="s">
        <v>1439</v>
      </c>
      <c r="E575" s="6" t="s">
        <v>654</v>
      </c>
      <c r="F575" s="6" t="s">
        <v>277</v>
      </c>
      <c r="G575" s="7">
        <v>4.0</v>
      </c>
      <c r="H575" s="6" t="s">
        <v>1440</v>
      </c>
      <c r="I575" s="6" t="s">
        <v>20</v>
      </c>
      <c r="J575" s="6">
        <v>2025.0</v>
      </c>
      <c r="L575" s="6">
        <v>1.0</v>
      </c>
      <c r="M575" s="8">
        <f t="shared" si="3"/>
        <v>4</v>
      </c>
      <c r="P575" s="9"/>
    </row>
    <row r="576">
      <c r="A576" s="6" t="s">
        <v>1441</v>
      </c>
      <c r="B576" s="6" t="s">
        <v>1442</v>
      </c>
      <c r="C576" s="6" t="s">
        <v>15</v>
      </c>
      <c r="D576" s="6" t="s">
        <v>1443</v>
      </c>
      <c r="E576" s="6" t="s">
        <v>1216</v>
      </c>
      <c r="F576" s="6" t="s">
        <v>170</v>
      </c>
      <c r="G576" s="7">
        <v>0.99</v>
      </c>
      <c r="H576" s="6" t="s">
        <v>1444</v>
      </c>
      <c r="I576" s="6" t="s">
        <v>20</v>
      </c>
      <c r="J576" s="6">
        <v>2023.0</v>
      </c>
      <c r="K576" s="10">
        <v>46118.0</v>
      </c>
      <c r="L576" s="6">
        <v>4.0</v>
      </c>
      <c r="M576" s="8">
        <f t="shared" si="3"/>
        <v>3.96</v>
      </c>
      <c r="P576" s="9"/>
    </row>
    <row r="577">
      <c r="A577" s="6" t="s">
        <v>1445</v>
      </c>
      <c r="B577" s="6" t="s">
        <v>1446</v>
      </c>
      <c r="C577" s="6" t="s">
        <v>15</v>
      </c>
      <c r="D577" s="6" t="s">
        <v>1447</v>
      </c>
      <c r="E577" s="6" t="s">
        <v>552</v>
      </c>
      <c r="F577" s="6" t="s">
        <v>277</v>
      </c>
      <c r="G577" s="7">
        <v>0.09</v>
      </c>
      <c r="H577" s="6" t="s">
        <v>1444</v>
      </c>
      <c r="I577" s="6" t="s">
        <v>20</v>
      </c>
      <c r="J577" s="6">
        <v>2023.0</v>
      </c>
      <c r="K577" s="10">
        <v>46024.0</v>
      </c>
      <c r="L577" s="6">
        <v>1.0</v>
      </c>
      <c r="M577" s="8">
        <f t="shared" si="3"/>
        <v>0.09</v>
      </c>
      <c r="P577" s="9"/>
    </row>
    <row r="578">
      <c r="A578" s="6" t="s">
        <v>1448</v>
      </c>
      <c r="B578" s="6" t="s">
        <v>1449</v>
      </c>
      <c r="C578" s="6" t="s">
        <v>22</v>
      </c>
      <c r="D578" s="6" t="s">
        <v>1450</v>
      </c>
      <c r="E578" s="6" t="s">
        <v>658</v>
      </c>
      <c r="F578" s="6" t="s">
        <v>277</v>
      </c>
      <c r="G578" s="7">
        <v>0.15</v>
      </c>
      <c r="H578" s="6" t="s">
        <v>1444</v>
      </c>
      <c r="I578" s="6" t="s">
        <v>20</v>
      </c>
      <c r="J578" s="6">
        <v>2023.0</v>
      </c>
      <c r="L578" s="6">
        <v>3.0</v>
      </c>
      <c r="M578" s="8">
        <f t="shared" si="3"/>
        <v>0.45</v>
      </c>
      <c r="P578" s="9"/>
    </row>
    <row r="579">
      <c r="A579" s="6" t="s">
        <v>1451</v>
      </c>
      <c r="B579" s="6" t="s">
        <v>68</v>
      </c>
      <c r="C579" s="6" t="s">
        <v>15</v>
      </c>
      <c r="D579" s="6" t="s">
        <v>1452</v>
      </c>
      <c r="E579" s="6" t="s">
        <v>658</v>
      </c>
      <c r="F579" s="6" t="s">
        <v>277</v>
      </c>
      <c r="G579" s="7">
        <v>0.08</v>
      </c>
      <c r="H579" s="6" t="s">
        <v>1444</v>
      </c>
      <c r="I579" s="6" t="s">
        <v>20</v>
      </c>
      <c r="J579" s="6">
        <v>2023.0</v>
      </c>
      <c r="L579" s="6">
        <v>1.0</v>
      </c>
      <c r="M579" s="8">
        <f t="shared" si="3"/>
        <v>0.08</v>
      </c>
      <c r="P579" s="9"/>
    </row>
    <row r="580">
      <c r="A580" s="6" t="s">
        <v>1453</v>
      </c>
      <c r="B580" s="6" t="s">
        <v>1454</v>
      </c>
      <c r="C580" s="6" t="s">
        <v>22</v>
      </c>
      <c r="D580" s="6" t="s">
        <v>1455</v>
      </c>
      <c r="E580" s="6" t="s">
        <v>654</v>
      </c>
      <c r="F580" s="6" t="s">
        <v>277</v>
      </c>
      <c r="G580" s="7">
        <v>0.15</v>
      </c>
      <c r="H580" s="6" t="s">
        <v>1444</v>
      </c>
      <c r="I580" s="6" t="s">
        <v>20</v>
      </c>
      <c r="J580" s="6">
        <v>2023.0</v>
      </c>
      <c r="K580" s="10">
        <v>46116.0</v>
      </c>
      <c r="L580" s="6">
        <v>1.0</v>
      </c>
      <c r="M580" s="8">
        <f t="shared" si="3"/>
        <v>0.15</v>
      </c>
      <c r="P580" s="9"/>
    </row>
    <row r="581">
      <c r="A581" s="6" t="s">
        <v>1456</v>
      </c>
      <c r="B581" s="6" t="s">
        <v>68</v>
      </c>
      <c r="C581" s="6" t="s">
        <v>15</v>
      </c>
      <c r="D581" s="6" t="s">
        <v>1457</v>
      </c>
      <c r="E581" s="6" t="s">
        <v>629</v>
      </c>
      <c r="F581" s="6" t="s">
        <v>277</v>
      </c>
      <c r="G581" s="7">
        <v>0.59</v>
      </c>
      <c r="H581" s="6" t="s">
        <v>1444</v>
      </c>
      <c r="I581" s="6" t="s">
        <v>31</v>
      </c>
      <c r="J581" s="6">
        <v>2023.0</v>
      </c>
      <c r="L581" s="6">
        <v>1.0</v>
      </c>
      <c r="M581" s="8">
        <f t="shared" si="3"/>
        <v>0.59</v>
      </c>
      <c r="P581" s="9"/>
    </row>
    <row r="582">
      <c r="A582" s="6" t="s">
        <v>1456</v>
      </c>
      <c r="B582" s="6" t="s">
        <v>68</v>
      </c>
      <c r="C582" s="6" t="s">
        <v>15</v>
      </c>
      <c r="D582" s="6" t="s">
        <v>1457</v>
      </c>
      <c r="E582" s="6" t="s">
        <v>629</v>
      </c>
      <c r="F582" s="6" t="s">
        <v>277</v>
      </c>
      <c r="G582" s="7">
        <v>0.18</v>
      </c>
      <c r="H582" s="6" t="s">
        <v>1444</v>
      </c>
      <c r="I582" s="6" t="s">
        <v>20</v>
      </c>
      <c r="J582" s="6">
        <v>2023.0</v>
      </c>
      <c r="L582" s="6">
        <v>3.0</v>
      </c>
      <c r="M582" s="8">
        <f t="shared" si="3"/>
        <v>0.54</v>
      </c>
      <c r="P582" s="9"/>
    </row>
    <row r="583">
      <c r="A583" s="6" t="s">
        <v>1458</v>
      </c>
      <c r="B583" s="6" t="s">
        <v>1459</v>
      </c>
      <c r="C583" s="6" t="s">
        <v>22</v>
      </c>
      <c r="D583" s="6" t="s">
        <v>1460</v>
      </c>
      <c r="E583" s="6" t="s">
        <v>1425</v>
      </c>
      <c r="F583" s="6" t="s">
        <v>80</v>
      </c>
      <c r="G583" s="7">
        <v>0.85</v>
      </c>
      <c r="H583" s="6" t="s">
        <v>1444</v>
      </c>
      <c r="I583" s="6" t="s">
        <v>20</v>
      </c>
      <c r="J583" s="6">
        <v>2023.0</v>
      </c>
      <c r="L583" s="6">
        <v>1.0</v>
      </c>
      <c r="M583" s="8">
        <f t="shared" si="3"/>
        <v>0.85</v>
      </c>
      <c r="P583" s="9"/>
    </row>
    <row r="584">
      <c r="A584" s="6" t="s">
        <v>1453</v>
      </c>
      <c r="B584" s="6" t="s">
        <v>1454</v>
      </c>
      <c r="C584" s="6" t="s">
        <v>22</v>
      </c>
      <c r="D584" s="6" t="s">
        <v>1461</v>
      </c>
      <c r="E584" s="6" t="s">
        <v>654</v>
      </c>
      <c r="F584" s="6" t="s">
        <v>277</v>
      </c>
      <c r="G584" s="7">
        <v>0.39</v>
      </c>
      <c r="H584" s="6" t="s">
        <v>1444</v>
      </c>
      <c r="I584" s="6" t="s">
        <v>20</v>
      </c>
      <c r="J584" s="6">
        <v>2023.0</v>
      </c>
      <c r="K584" s="10">
        <v>46116.0</v>
      </c>
      <c r="L584" s="6">
        <v>1.0</v>
      </c>
      <c r="M584" s="8">
        <f t="shared" si="3"/>
        <v>0.39</v>
      </c>
      <c r="P584" s="9"/>
    </row>
    <row r="585">
      <c r="A585" s="6" t="s">
        <v>1462</v>
      </c>
      <c r="B585" s="6" t="s">
        <v>1463</v>
      </c>
      <c r="C585" s="6" t="s">
        <v>15</v>
      </c>
      <c r="D585" s="6" t="s">
        <v>1464</v>
      </c>
      <c r="E585" s="6" t="s">
        <v>620</v>
      </c>
      <c r="F585" s="6" t="s">
        <v>277</v>
      </c>
      <c r="G585" s="7">
        <v>0.18</v>
      </c>
      <c r="H585" s="6" t="s">
        <v>1444</v>
      </c>
      <c r="I585" s="6" t="s">
        <v>20</v>
      </c>
      <c r="J585" s="6">
        <v>2023.0</v>
      </c>
      <c r="K585" s="10">
        <v>46023.0</v>
      </c>
      <c r="L585" s="6">
        <v>2.0</v>
      </c>
      <c r="M585" s="8">
        <f t="shared" si="3"/>
        <v>0.36</v>
      </c>
      <c r="P585" s="9"/>
    </row>
    <row r="586">
      <c r="A586" s="6" t="s">
        <v>1465</v>
      </c>
      <c r="B586" s="6" t="s">
        <v>980</v>
      </c>
      <c r="C586" s="6" t="s">
        <v>22</v>
      </c>
      <c r="D586" s="6" t="s">
        <v>1466</v>
      </c>
      <c r="E586" s="6" t="s">
        <v>620</v>
      </c>
      <c r="F586" s="6" t="s">
        <v>277</v>
      </c>
      <c r="G586" s="7">
        <v>0.28</v>
      </c>
      <c r="H586" s="6" t="s">
        <v>1444</v>
      </c>
      <c r="I586" s="6" t="s">
        <v>20</v>
      </c>
      <c r="J586" s="6">
        <v>2023.0</v>
      </c>
      <c r="K586" s="10">
        <v>46113.0</v>
      </c>
      <c r="L586" s="6">
        <v>1.0</v>
      </c>
      <c r="M586" s="8">
        <f t="shared" si="3"/>
        <v>0.28</v>
      </c>
      <c r="P586" s="9"/>
    </row>
    <row r="587">
      <c r="A587" s="6" t="s">
        <v>1467</v>
      </c>
      <c r="B587" s="6" t="s">
        <v>543</v>
      </c>
      <c r="C587" s="6" t="s">
        <v>22</v>
      </c>
      <c r="D587" s="6" t="s">
        <v>1468</v>
      </c>
      <c r="E587" s="6" t="s">
        <v>658</v>
      </c>
      <c r="F587" s="6" t="s">
        <v>277</v>
      </c>
      <c r="G587" s="7">
        <v>0.16</v>
      </c>
      <c r="H587" s="6" t="s">
        <v>1444</v>
      </c>
      <c r="I587" s="6" t="s">
        <v>20</v>
      </c>
      <c r="J587" s="6">
        <v>2023.0</v>
      </c>
      <c r="K587" s="10">
        <v>46147.0</v>
      </c>
      <c r="L587" s="6">
        <v>3.0</v>
      </c>
      <c r="M587" s="8">
        <f t="shared" si="3"/>
        <v>0.48</v>
      </c>
      <c r="P587" s="9"/>
    </row>
    <row r="588">
      <c r="A588" s="6" t="s">
        <v>1469</v>
      </c>
      <c r="B588" s="6" t="s">
        <v>1470</v>
      </c>
      <c r="C588" s="6" t="s">
        <v>22</v>
      </c>
      <c r="D588" s="6" t="s">
        <v>1471</v>
      </c>
      <c r="E588" s="6" t="s">
        <v>552</v>
      </c>
      <c r="F588" s="6" t="s">
        <v>277</v>
      </c>
      <c r="G588" s="7">
        <v>0.38</v>
      </c>
      <c r="H588" s="6" t="s">
        <v>1444</v>
      </c>
      <c r="I588" s="6" t="s">
        <v>20</v>
      </c>
      <c r="J588" s="6">
        <v>2023.0</v>
      </c>
      <c r="K588" s="10">
        <v>46025.0</v>
      </c>
      <c r="L588" s="6">
        <v>2.0</v>
      </c>
      <c r="M588" s="8">
        <f t="shared" si="3"/>
        <v>0.76</v>
      </c>
      <c r="P588" s="9"/>
    </row>
    <row r="589">
      <c r="A589" s="6" t="s">
        <v>1472</v>
      </c>
      <c r="B589" s="6" t="s">
        <v>1473</v>
      </c>
      <c r="C589" s="6" t="s">
        <v>22</v>
      </c>
      <c r="D589" s="6" t="s">
        <v>1474</v>
      </c>
      <c r="E589" s="6" t="s">
        <v>552</v>
      </c>
      <c r="F589" s="6" t="s">
        <v>277</v>
      </c>
      <c r="G589" s="7">
        <v>0.17</v>
      </c>
      <c r="H589" s="6" t="s">
        <v>1444</v>
      </c>
      <c r="I589" s="6" t="s">
        <v>20</v>
      </c>
      <c r="J589" s="6">
        <v>2023.0</v>
      </c>
      <c r="K589" s="10">
        <v>46055.0</v>
      </c>
      <c r="L589" s="6">
        <v>2.0</v>
      </c>
      <c r="M589" s="8">
        <f t="shared" si="3"/>
        <v>0.34</v>
      </c>
      <c r="P589" s="9"/>
    </row>
    <row r="590">
      <c r="A590" s="6" t="s">
        <v>1475</v>
      </c>
      <c r="B590" s="6" t="s">
        <v>748</v>
      </c>
      <c r="C590" s="6" t="s">
        <v>22</v>
      </c>
      <c r="D590" s="6" t="s">
        <v>1476</v>
      </c>
      <c r="E590" s="6" t="s">
        <v>658</v>
      </c>
      <c r="F590" s="6" t="s">
        <v>277</v>
      </c>
      <c r="G590" s="7">
        <v>0.25</v>
      </c>
      <c r="H590" s="6" t="s">
        <v>1444</v>
      </c>
      <c r="I590" s="6" t="s">
        <v>20</v>
      </c>
      <c r="J590" s="6">
        <v>2023.0</v>
      </c>
      <c r="K590" s="10">
        <v>46084.0</v>
      </c>
      <c r="L590" s="6">
        <v>2.0</v>
      </c>
      <c r="M590" s="8">
        <f t="shared" si="3"/>
        <v>0.5</v>
      </c>
      <c r="P590" s="9"/>
    </row>
    <row r="591">
      <c r="A591" s="6" t="s">
        <v>1477</v>
      </c>
      <c r="B591" s="6" t="s">
        <v>1478</v>
      </c>
      <c r="C591" s="6" t="s">
        <v>15</v>
      </c>
      <c r="D591" s="6" t="s">
        <v>1479</v>
      </c>
      <c r="E591" s="6" t="s">
        <v>658</v>
      </c>
      <c r="F591" s="6" t="s">
        <v>277</v>
      </c>
      <c r="G591" s="7">
        <v>2.75</v>
      </c>
      <c r="H591" s="6" t="s">
        <v>1444</v>
      </c>
      <c r="I591" s="6" t="s">
        <v>20</v>
      </c>
      <c r="J591" s="6">
        <v>2023.0</v>
      </c>
      <c r="K591" s="10">
        <v>46083.0</v>
      </c>
      <c r="L591" s="6">
        <v>4.0</v>
      </c>
      <c r="M591" s="8">
        <f t="shared" si="3"/>
        <v>11</v>
      </c>
      <c r="P591" s="9"/>
    </row>
    <row r="592">
      <c r="A592" s="6" t="s">
        <v>1480</v>
      </c>
      <c r="B592" s="6" t="s">
        <v>1481</v>
      </c>
      <c r="C592" s="6" t="s">
        <v>22</v>
      </c>
      <c r="D592" s="6" t="s">
        <v>1482</v>
      </c>
      <c r="E592" s="6" t="s">
        <v>1069</v>
      </c>
      <c r="F592" s="6" t="s">
        <v>170</v>
      </c>
      <c r="G592" s="7">
        <v>0.2</v>
      </c>
      <c r="H592" s="6" t="s">
        <v>1444</v>
      </c>
      <c r="I592" s="6" t="s">
        <v>20</v>
      </c>
      <c r="J592" s="6">
        <v>2023.0</v>
      </c>
      <c r="K592" s="10">
        <v>46023.0</v>
      </c>
      <c r="L592" s="6">
        <v>3.0</v>
      </c>
      <c r="M592" s="8">
        <f t="shared" si="3"/>
        <v>0.6</v>
      </c>
      <c r="P592" s="9"/>
    </row>
    <row r="593">
      <c r="A593" s="6" t="s">
        <v>1483</v>
      </c>
      <c r="B593" s="6" t="s">
        <v>1484</v>
      </c>
      <c r="C593" s="6" t="s">
        <v>22</v>
      </c>
      <c r="D593" s="6" t="s">
        <v>1485</v>
      </c>
      <c r="E593" s="6" t="s">
        <v>940</v>
      </c>
      <c r="F593" s="6" t="s">
        <v>170</v>
      </c>
      <c r="G593" s="7">
        <v>0.23</v>
      </c>
      <c r="H593" s="6" t="s">
        <v>1444</v>
      </c>
      <c r="I593" s="6" t="s">
        <v>20</v>
      </c>
      <c r="J593" s="6">
        <v>2023.0</v>
      </c>
      <c r="K593" s="10">
        <v>46085.0</v>
      </c>
      <c r="L593" s="6">
        <v>2.0</v>
      </c>
      <c r="M593" s="8">
        <f t="shared" si="3"/>
        <v>0.46</v>
      </c>
      <c r="P593" s="9"/>
    </row>
    <row r="594">
      <c r="A594" s="6" t="s">
        <v>1486</v>
      </c>
      <c r="B594" s="6" t="s">
        <v>636</v>
      </c>
      <c r="C594" s="6" t="s">
        <v>22</v>
      </c>
      <c r="D594" s="6" t="s">
        <v>1487</v>
      </c>
      <c r="E594" s="6" t="s">
        <v>1230</v>
      </c>
      <c r="F594" s="6" t="s">
        <v>170</v>
      </c>
      <c r="G594" s="7">
        <v>0.2</v>
      </c>
      <c r="H594" s="6" t="s">
        <v>1444</v>
      </c>
      <c r="I594" s="6" t="s">
        <v>20</v>
      </c>
      <c r="J594" s="6">
        <v>2023.0</v>
      </c>
      <c r="K594" s="10">
        <v>46117.0</v>
      </c>
      <c r="L594" s="6">
        <v>1.0</v>
      </c>
      <c r="M594" s="8">
        <f t="shared" si="3"/>
        <v>0.2</v>
      </c>
      <c r="P594" s="9"/>
    </row>
    <row r="595">
      <c r="A595" s="6" t="s">
        <v>1488</v>
      </c>
      <c r="B595" s="6" t="s">
        <v>1473</v>
      </c>
      <c r="C595" s="6" t="s">
        <v>22</v>
      </c>
      <c r="D595" s="6" t="s">
        <v>1489</v>
      </c>
      <c r="E595" s="6" t="s">
        <v>1490</v>
      </c>
      <c r="F595" s="6" t="s">
        <v>1491</v>
      </c>
      <c r="G595" s="7">
        <v>0.25</v>
      </c>
      <c r="H595" s="6" t="s">
        <v>1444</v>
      </c>
      <c r="I595" s="6" t="s">
        <v>20</v>
      </c>
      <c r="J595" s="6">
        <v>2023.0</v>
      </c>
      <c r="K595" s="10">
        <v>46055.0</v>
      </c>
      <c r="L595" s="6">
        <v>1.0</v>
      </c>
      <c r="M595" s="8">
        <f t="shared" si="3"/>
        <v>0.25</v>
      </c>
      <c r="P595" s="9"/>
    </row>
    <row r="596">
      <c r="A596" s="6" t="s">
        <v>1492</v>
      </c>
      <c r="B596" s="6" t="s">
        <v>68</v>
      </c>
      <c r="C596" s="6" t="s">
        <v>22</v>
      </c>
      <c r="D596" s="6" t="s">
        <v>1493</v>
      </c>
      <c r="E596" s="6" t="s">
        <v>940</v>
      </c>
      <c r="F596" s="6" t="s">
        <v>170</v>
      </c>
      <c r="G596" s="7">
        <v>0.24</v>
      </c>
      <c r="H596" s="6" t="s">
        <v>1444</v>
      </c>
      <c r="I596" s="6" t="s">
        <v>20</v>
      </c>
      <c r="J596" s="6">
        <v>2023.0</v>
      </c>
      <c r="L596" s="6">
        <v>1.0</v>
      </c>
      <c r="M596" s="8">
        <f t="shared" si="3"/>
        <v>0.24</v>
      </c>
      <c r="P596" s="9"/>
    </row>
    <row r="597">
      <c r="A597" s="6" t="s">
        <v>1494</v>
      </c>
      <c r="B597" s="6" t="s">
        <v>1449</v>
      </c>
      <c r="C597" s="6" t="s">
        <v>22</v>
      </c>
      <c r="D597" s="6" t="s">
        <v>1495</v>
      </c>
      <c r="E597" s="6" t="s">
        <v>1069</v>
      </c>
      <c r="F597" s="6" t="s">
        <v>170</v>
      </c>
      <c r="G597" s="7">
        <v>0.21</v>
      </c>
      <c r="H597" s="6" t="s">
        <v>1444</v>
      </c>
      <c r="I597" s="6" t="s">
        <v>20</v>
      </c>
      <c r="J597" s="6">
        <v>2023.0</v>
      </c>
      <c r="L597" s="6">
        <v>2.0</v>
      </c>
      <c r="M597" s="8">
        <f t="shared" si="3"/>
        <v>0.42</v>
      </c>
      <c r="P597" s="9"/>
    </row>
    <row r="598">
      <c r="A598" s="6" t="s">
        <v>1496</v>
      </c>
      <c r="B598" s="6" t="s">
        <v>68</v>
      </c>
      <c r="C598" s="6" t="s">
        <v>15</v>
      </c>
      <c r="D598" s="6" t="s">
        <v>1497</v>
      </c>
      <c r="E598" s="6" t="s">
        <v>940</v>
      </c>
      <c r="F598" s="6" t="s">
        <v>170</v>
      </c>
      <c r="G598" s="7">
        <v>0.08</v>
      </c>
      <c r="H598" s="6" t="s">
        <v>1444</v>
      </c>
      <c r="I598" s="6" t="s">
        <v>20</v>
      </c>
      <c r="J598" s="6">
        <v>2023.0</v>
      </c>
      <c r="L598" s="6">
        <v>1.0</v>
      </c>
      <c r="M598" s="8">
        <f t="shared" si="3"/>
        <v>0.08</v>
      </c>
      <c r="P598" s="9"/>
    </row>
    <row r="599">
      <c r="A599" s="6" t="s">
        <v>1498</v>
      </c>
      <c r="B599" s="6" t="s">
        <v>1103</v>
      </c>
      <c r="C599" s="6" t="s">
        <v>22</v>
      </c>
      <c r="D599" s="6" t="s">
        <v>1499</v>
      </c>
      <c r="E599" s="6" t="s">
        <v>1055</v>
      </c>
      <c r="F599" s="6" t="s">
        <v>170</v>
      </c>
      <c r="G599" s="7">
        <v>0.09</v>
      </c>
      <c r="H599" s="6" t="s">
        <v>1444</v>
      </c>
      <c r="I599" s="6" t="s">
        <v>20</v>
      </c>
      <c r="J599" s="6">
        <v>2023.0</v>
      </c>
      <c r="K599" s="10">
        <v>46023.0</v>
      </c>
      <c r="L599" s="6">
        <v>1.0</v>
      </c>
      <c r="M599" s="8">
        <f t="shared" si="3"/>
        <v>0.09</v>
      </c>
      <c r="P599" s="9"/>
    </row>
    <row r="600">
      <c r="A600" s="6" t="s">
        <v>1500</v>
      </c>
      <c r="B600" s="6" t="s">
        <v>14</v>
      </c>
      <c r="C600" s="6" t="s">
        <v>15</v>
      </c>
      <c r="D600" s="6" t="s">
        <v>1501</v>
      </c>
      <c r="E600" s="6" t="s">
        <v>1055</v>
      </c>
      <c r="F600" s="6" t="s">
        <v>170</v>
      </c>
      <c r="G600" s="7">
        <v>0.15</v>
      </c>
      <c r="H600" s="6" t="s">
        <v>1444</v>
      </c>
      <c r="I600" s="6" t="s">
        <v>20</v>
      </c>
      <c r="J600" s="6">
        <v>2023.0</v>
      </c>
      <c r="L600" s="6">
        <v>1.0</v>
      </c>
      <c r="M600" s="8">
        <f t="shared" si="3"/>
        <v>0.15</v>
      </c>
      <c r="P600" s="9"/>
    </row>
    <row r="601">
      <c r="A601" s="6" t="s">
        <v>1502</v>
      </c>
      <c r="B601" s="6" t="s">
        <v>68</v>
      </c>
      <c r="C601" s="6" t="s">
        <v>15</v>
      </c>
      <c r="D601" s="6" t="s">
        <v>1503</v>
      </c>
      <c r="E601" s="6" t="s">
        <v>1069</v>
      </c>
      <c r="F601" s="6" t="s">
        <v>170</v>
      </c>
      <c r="G601" s="7">
        <v>0.08</v>
      </c>
      <c r="H601" s="6" t="s">
        <v>1444</v>
      </c>
      <c r="I601" s="6" t="s">
        <v>20</v>
      </c>
      <c r="J601" s="6">
        <v>2023.0</v>
      </c>
      <c r="L601" s="6">
        <v>1.0</v>
      </c>
      <c r="M601" s="8">
        <f t="shared" si="3"/>
        <v>0.08</v>
      </c>
      <c r="P601" s="9"/>
    </row>
    <row r="602">
      <c r="A602" s="6" t="s">
        <v>1504</v>
      </c>
      <c r="B602" s="6" t="s">
        <v>1473</v>
      </c>
      <c r="C602" s="6" t="s">
        <v>22</v>
      </c>
      <c r="D602" s="6" t="s">
        <v>1505</v>
      </c>
      <c r="E602" s="6" t="s">
        <v>1274</v>
      </c>
      <c r="F602" s="6" t="s">
        <v>1491</v>
      </c>
      <c r="G602" s="7">
        <v>0.2</v>
      </c>
      <c r="H602" s="6" t="s">
        <v>1444</v>
      </c>
      <c r="I602" s="6" t="s">
        <v>20</v>
      </c>
      <c r="J602" s="6">
        <v>2023.0</v>
      </c>
      <c r="K602" s="10">
        <v>46084.0</v>
      </c>
      <c r="L602" s="6">
        <v>4.0</v>
      </c>
      <c r="M602" s="8">
        <f t="shared" si="3"/>
        <v>0.8</v>
      </c>
      <c r="P602" s="9"/>
    </row>
    <row r="603">
      <c r="A603" s="6" t="s">
        <v>1506</v>
      </c>
      <c r="B603" s="6" t="s">
        <v>1507</v>
      </c>
      <c r="C603" s="6" t="s">
        <v>15</v>
      </c>
      <c r="D603" s="6" t="s">
        <v>1508</v>
      </c>
      <c r="E603" s="6">
        <v>2.0</v>
      </c>
      <c r="F603" s="6" t="s">
        <v>80</v>
      </c>
      <c r="G603" s="7">
        <v>0.05</v>
      </c>
      <c r="H603" s="6" t="s">
        <v>1444</v>
      </c>
      <c r="I603" s="6" t="s">
        <v>20</v>
      </c>
      <c r="J603" s="6">
        <v>2023.0</v>
      </c>
      <c r="K603" s="6" t="s">
        <v>89</v>
      </c>
      <c r="L603" s="6">
        <v>1.0</v>
      </c>
      <c r="M603" s="8">
        <f t="shared" si="3"/>
        <v>0.05</v>
      </c>
      <c r="P603" s="9"/>
    </row>
    <row r="604">
      <c r="A604" s="6" t="s">
        <v>1509</v>
      </c>
      <c r="B604" s="6" t="s">
        <v>1510</v>
      </c>
      <c r="C604" s="6" t="s">
        <v>22</v>
      </c>
      <c r="D604" s="6" t="s">
        <v>1511</v>
      </c>
      <c r="E604" s="6" t="s">
        <v>1512</v>
      </c>
      <c r="F604" s="6" t="s">
        <v>1513</v>
      </c>
      <c r="G604" s="7">
        <v>0.21</v>
      </c>
      <c r="H604" s="6" t="s">
        <v>1444</v>
      </c>
      <c r="I604" s="6" t="s">
        <v>20</v>
      </c>
      <c r="J604" s="6">
        <v>2023.0</v>
      </c>
      <c r="K604" s="10">
        <v>46116.0</v>
      </c>
      <c r="L604" s="6">
        <v>1.0</v>
      </c>
      <c r="M604" s="8">
        <f t="shared" si="3"/>
        <v>0.21</v>
      </c>
      <c r="P604" s="9"/>
    </row>
    <row r="605">
      <c r="A605" s="6" t="s">
        <v>1514</v>
      </c>
      <c r="B605" s="6" t="s">
        <v>1515</v>
      </c>
      <c r="C605" s="6" t="s">
        <v>22</v>
      </c>
      <c r="D605" s="6" t="s">
        <v>1516</v>
      </c>
      <c r="G605" s="7">
        <v>0.25</v>
      </c>
      <c r="H605" s="6" t="s">
        <v>1444</v>
      </c>
      <c r="I605" s="6" t="s">
        <v>20</v>
      </c>
      <c r="J605" s="6">
        <v>2023.0</v>
      </c>
      <c r="K605" s="10">
        <v>46083.0</v>
      </c>
      <c r="L605" s="6">
        <v>2.0</v>
      </c>
      <c r="M605" s="8">
        <f t="shared" si="3"/>
        <v>0.5</v>
      </c>
      <c r="P605" s="9"/>
    </row>
    <row r="606">
      <c r="A606" s="6" t="s">
        <v>1517</v>
      </c>
      <c r="B606" s="6" t="s">
        <v>1518</v>
      </c>
      <c r="C606" s="6" t="s">
        <v>22</v>
      </c>
      <c r="D606" s="6" t="s">
        <v>1519</v>
      </c>
      <c r="E606" s="6" t="s">
        <v>963</v>
      </c>
      <c r="F606" s="6" t="s">
        <v>1520</v>
      </c>
      <c r="G606" s="7">
        <v>0.15</v>
      </c>
      <c r="H606" s="6" t="s">
        <v>1444</v>
      </c>
      <c r="I606" s="6" t="s">
        <v>20</v>
      </c>
      <c r="J606" s="6">
        <v>2023.0</v>
      </c>
      <c r="K606" s="10">
        <v>46082.0</v>
      </c>
      <c r="L606" s="6">
        <v>1.0</v>
      </c>
      <c r="M606" s="8">
        <f t="shared" si="3"/>
        <v>0.15</v>
      </c>
      <c r="P606" s="9"/>
    </row>
    <row r="607">
      <c r="A607" s="6" t="s">
        <v>1521</v>
      </c>
      <c r="B607" s="6" t="s">
        <v>453</v>
      </c>
      <c r="C607" s="6" t="s">
        <v>22</v>
      </c>
      <c r="D607" s="6" t="s">
        <v>1522</v>
      </c>
      <c r="E607" s="6" t="s">
        <v>1366</v>
      </c>
      <c r="F607" s="6" t="s">
        <v>1523</v>
      </c>
      <c r="G607" s="7">
        <v>0.25</v>
      </c>
      <c r="H607" s="6" t="s">
        <v>1444</v>
      </c>
      <c r="I607" s="6" t="s">
        <v>20</v>
      </c>
      <c r="J607" s="6">
        <v>2023.0</v>
      </c>
      <c r="K607" s="10">
        <v>46114.0</v>
      </c>
      <c r="L607" s="6">
        <v>2.0</v>
      </c>
      <c r="M607" s="8">
        <f t="shared" si="3"/>
        <v>0.5</v>
      </c>
      <c r="P607" s="9"/>
    </row>
    <row r="608">
      <c r="A608" s="6" t="s">
        <v>1521</v>
      </c>
      <c r="B608" s="6" t="s">
        <v>453</v>
      </c>
      <c r="C608" s="6" t="s">
        <v>22</v>
      </c>
      <c r="D608" s="6" t="s">
        <v>1522</v>
      </c>
      <c r="E608" s="6" t="s">
        <v>1366</v>
      </c>
      <c r="F608" s="6" t="s">
        <v>1523</v>
      </c>
      <c r="G608" s="7">
        <v>0.28</v>
      </c>
      <c r="H608" s="6" t="s">
        <v>1444</v>
      </c>
      <c r="I608" s="6" t="s">
        <v>20</v>
      </c>
      <c r="J608" s="6">
        <v>2023.0</v>
      </c>
      <c r="K608" s="10">
        <v>46114.0</v>
      </c>
      <c r="L608" s="6">
        <v>3.0</v>
      </c>
      <c r="M608" s="8">
        <f t="shared" si="3"/>
        <v>0.84</v>
      </c>
      <c r="P608" s="9"/>
    </row>
    <row r="609">
      <c r="A609" s="6" t="s">
        <v>1524</v>
      </c>
      <c r="B609" s="6" t="s">
        <v>1525</v>
      </c>
      <c r="C609" s="6" t="s">
        <v>22</v>
      </c>
      <c r="D609" s="6" t="s">
        <v>1526</v>
      </c>
      <c r="E609" s="6" t="s">
        <v>1527</v>
      </c>
      <c r="F609" s="6" t="s">
        <v>1520</v>
      </c>
      <c r="G609" s="7">
        <v>0.08</v>
      </c>
      <c r="H609" s="6" t="s">
        <v>1444</v>
      </c>
      <c r="I609" s="6" t="s">
        <v>20</v>
      </c>
      <c r="J609" s="6">
        <v>2023.0</v>
      </c>
      <c r="K609" s="10">
        <v>46084.0</v>
      </c>
      <c r="L609" s="6">
        <v>2.0</v>
      </c>
      <c r="M609" s="8">
        <f t="shared" si="3"/>
        <v>0.16</v>
      </c>
      <c r="P609" s="9"/>
    </row>
    <row r="610">
      <c r="A610" s="6" t="s">
        <v>1528</v>
      </c>
      <c r="B610" s="6" t="s">
        <v>82</v>
      </c>
      <c r="C610" s="6" t="s">
        <v>15</v>
      </c>
      <c r="D610" s="6" t="s">
        <v>1529</v>
      </c>
      <c r="E610" s="6">
        <v>1.0</v>
      </c>
      <c r="F610" s="6" t="s">
        <v>80</v>
      </c>
      <c r="G610" s="7">
        <v>0.18</v>
      </c>
      <c r="H610" s="6" t="s">
        <v>1444</v>
      </c>
      <c r="I610" s="6" t="s">
        <v>20</v>
      </c>
      <c r="J610" s="6">
        <v>2023.0</v>
      </c>
      <c r="L610" s="6">
        <v>1.0</v>
      </c>
      <c r="M610" s="8">
        <f t="shared" si="3"/>
        <v>0.18</v>
      </c>
      <c r="P610" s="9"/>
    </row>
    <row r="611">
      <c r="A611" s="6" t="s">
        <v>1528</v>
      </c>
      <c r="B611" s="6" t="s">
        <v>82</v>
      </c>
      <c r="C611" s="6" t="s">
        <v>15</v>
      </c>
      <c r="D611" s="6" t="s">
        <v>1529</v>
      </c>
      <c r="E611" s="6">
        <v>1.0</v>
      </c>
      <c r="F611" s="6" t="s">
        <v>80</v>
      </c>
      <c r="G611" s="7">
        <v>1.9</v>
      </c>
      <c r="H611" s="6" t="s">
        <v>1444</v>
      </c>
      <c r="I611" s="6" t="s">
        <v>20</v>
      </c>
      <c r="J611" s="6">
        <v>2023.0</v>
      </c>
      <c r="L611" s="6">
        <v>1.0</v>
      </c>
      <c r="M611" s="8">
        <f t="shared" si="3"/>
        <v>1.9</v>
      </c>
      <c r="P611" s="9"/>
    </row>
    <row r="612">
      <c r="A612" s="6" t="s">
        <v>1530</v>
      </c>
      <c r="B612" s="6" t="s">
        <v>68</v>
      </c>
      <c r="C612" s="6" t="s">
        <v>15</v>
      </c>
      <c r="D612" s="6" t="s">
        <v>1531</v>
      </c>
      <c r="E612" s="6" t="s">
        <v>780</v>
      </c>
      <c r="F612" s="6" t="s">
        <v>18</v>
      </c>
      <c r="G612" s="7">
        <v>1.7</v>
      </c>
      <c r="H612" s="6" t="s">
        <v>1444</v>
      </c>
      <c r="I612" s="6" t="s">
        <v>31</v>
      </c>
      <c r="J612" s="6">
        <v>2023.0</v>
      </c>
      <c r="L612" s="6">
        <v>4.0</v>
      </c>
      <c r="M612" s="8">
        <f t="shared" si="3"/>
        <v>6.8</v>
      </c>
      <c r="P612" s="9"/>
    </row>
    <row r="613">
      <c r="A613" s="6" t="s">
        <v>1532</v>
      </c>
      <c r="B613" s="6" t="s">
        <v>980</v>
      </c>
      <c r="C613" s="6" t="s">
        <v>22</v>
      </c>
      <c r="D613" s="6" t="s">
        <v>1533</v>
      </c>
      <c r="E613" s="6" t="s">
        <v>1534</v>
      </c>
      <c r="F613" s="6" t="s">
        <v>1535</v>
      </c>
      <c r="G613" s="7">
        <v>0.18</v>
      </c>
      <c r="H613" s="6" t="s">
        <v>1444</v>
      </c>
      <c r="I613" s="6" t="s">
        <v>31</v>
      </c>
      <c r="J613" s="6">
        <v>2023.0</v>
      </c>
      <c r="L613" s="6">
        <v>2.0</v>
      </c>
      <c r="M613" s="8">
        <f t="shared" si="3"/>
        <v>0.36</v>
      </c>
      <c r="P613" s="9"/>
    </row>
    <row r="614">
      <c r="A614" s="6" t="s">
        <v>1514</v>
      </c>
      <c r="B614" s="6" t="s">
        <v>1515</v>
      </c>
      <c r="C614" s="6" t="s">
        <v>22</v>
      </c>
      <c r="D614" s="6" t="s">
        <v>1516</v>
      </c>
      <c r="G614" s="7">
        <v>0.18</v>
      </c>
      <c r="H614" s="6" t="s">
        <v>1444</v>
      </c>
      <c r="I614" s="6" t="s">
        <v>20</v>
      </c>
      <c r="J614" s="6">
        <v>2023.0</v>
      </c>
      <c r="K614" s="10">
        <v>46083.0</v>
      </c>
      <c r="L614" s="6">
        <v>1.0</v>
      </c>
      <c r="M614" s="8">
        <f t="shared" si="3"/>
        <v>0.18</v>
      </c>
      <c r="P614" s="9"/>
    </row>
    <row r="615">
      <c r="A615" s="6" t="s">
        <v>1536</v>
      </c>
      <c r="B615" s="6" t="s">
        <v>1537</v>
      </c>
      <c r="C615" s="6" t="s">
        <v>22</v>
      </c>
      <c r="D615" s="6" t="s">
        <v>1538</v>
      </c>
      <c r="E615" s="6" t="s">
        <v>697</v>
      </c>
      <c r="F615" s="6" t="s">
        <v>152</v>
      </c>
      <c r="G615" s="7">
        <v>1.43</v>
      </c>
      <c r="H615" s="6" t="s">
        <v>1444</v>
      </c>
      <c r="I615" s="6" t="s">
        <v>20</v>
      </c>
      <c r="J615" s="6">
        <v>2023.0</v>
      </c>
      <c r="K615" s="10">
        <v>46023.0</v>
      </c>
      <c r="L615" s="6">
        <v>1.0</v>
      </c>
      <c r="M615" s="8">
        <f t="shared" si="3"/>
        <v>1.43</v>
      </c>
      <c r="P615" s="9"/>
    </row>
    <row r="616">
      <c r="A616" s="6" t="s">
        <v>1539</v>
      </c>
      <c r="B616" s="6" t="s">
        <v>453</v>
      </c>
      <c r="C616" s="6" t="s">
        <v>22</v>
      </c>
      <c r="D616" s="6" t="s">
        <v>1540</v>
      </c>
      <c r="E616" s="6" t="s">
        <v>1541</v>
      </c>
      <c r="F616" s="6" t="s">
        <v>1513</v>
      </c>
      <c r="G616" s="7">
        <v>0.25</v>
      </c>
      <c r="H616" s="6" t="s">
        <v>1444</v>
      </c>
      <c r="I616" s="6" t="s">
        <v>20</v>
      </c>
      <c r="J616" s="6">
        <v>2023.0</v>
      </c>
      <c r="K616" s="10">
        <v>46055.0</v>
      </c>
      <c r="L616" s="6">
        <v>1.0</v>
      </c>
      <c r="M616" s="8">
        <f t="shared" si="3"/>
        <v>0.25</v>
      </c>
      <c r="P616" s="9"/>
    </row>
    <row r="617">
      <c r="A617" s="6" t="s">
        <v>1542</v>
      </c>
      <c r="B617" s="6" t="s">
        <v>1543</v>
      </c>
      <c r="C617" s="6" t="s">
        <v>22</v>
      </c>
      <c r="D617" s="6" t="s">
        <v>1544</v>
      </c>
      <c r="E617" s="6" t="s">
        <v>832</v>
      </c>
      <c r="F617" s="6" t="s">
        <v>18</v>
      </c>
      <c r="G617" s="7">
        <v>0.25</v>
      </c>
      <c r="H617" s="6" t="s">
        <v>1444</v>
      </c>
      <c r="I617" s="6" t="s">
        <v>20</v>
      </c>
      <c r="J617" s="6">
        <v>2023.0</v>
      </c>
      <c r="K617" s="10">
        <v>46178.0</v>
      </c>
      <c r="L617" s="6">
        <v>2.0</v>
      </c>
      <c r="M617" s="8">
        <f t="shared" si="3"/>
        <v>0.5</v>
      </c>
      <c r="P617" s="9"/>
    </row>
    <row r="618">
      <c r="A618" s="6" t="s">
        <v>1545</v>
      </c>
      <c r="B618" s="6" t="s">
        <v>1546</v>
      </c>
      <c r="C618" s="6" t="s">
        <v>22</v>
      </c>
      <c r="D618" s="6" t="s">
        <v>1547</v>
      </c>
      <c r="E618" s="6" t="s">
        <v>863</v>
      </c>
      <c r="F618" s="6" t="s">
        <v>88</v>
      </c>
      <c r="G618" s="7">
        <v>0.39</v>
      </c>
      <c r="H618" s="6" t="s">
        <v>1444</v>
      </c>
      <c r="I618" s="6" t="s">
        <v>20</v>
      </c>
      <c r="J618" s="6">
        <v>2023.0</v>
      </c>
      <c r="K618" s="10">
        <v>46056.0</v>
      </c>
      <c r="L618" s="6">
        <v>2.0</v>
      </c>
      <c r="M618" s="8">
        <f t="shared" si="3"/>
        <v>0.78</v>
      </c>
      <c r="P618" s="9"/>
    </row>
    <row r="619">
      <c r="A619" s="6" t="s">
        <v>1548</v>
      </c>
      <c r="B619" s="6" t="s">
        <v>1549</v>
      </c>
      <c r="C619" s="6" t="s">
        <v>22</v>
      </c>
      <c r="D619" s="6" t="s">
        <v>1550</v>
      </c>
      <c r="E619" s="6" t="s">
        <v>871</v>
      </c>
      <c r="F619" s="6" t="s">
        <v>88</v>
      </c>
      <c r="G619" s="7">
        <v>0.5</v>
      </c>
      <c r="H619" s="6" t="s">
        <v>1444</v>
      </c>
      <c r="I619" s="6" t="s">
        <v>20</v>
      </c>
      <c r="J619" s="6">
        <v>2023.0</v>
      </c>
      <c r="K619" s="10">
        <v>46114.0</v>
      </c>
      <c r="L619" s="6">
        <v>2.0</v>
      </c>
      <c r="M619" s="8">
        <f t="shared" si="3"/>
        <v>1</v>
      </c>
      <c r="P619" s="9"/>
    </row>
    <row r="620">
      <c r="A620" s="6" t="s">
        <v>1551</v>
      </c>
      <c r="B620" s="6" t="s">
        <v>1552</v>
      </c>
      <c r="C620" s="6" t="s">
        <v>22</v>
      </c>
      <c r="D620" s="6" t="s">
        <v>1553</v>
      </c>
      <c r="E620" s="6" t="s">
        <v>790</v>
      </c>
      <c r="F620" s="6" t="s">
        <v>18</v>
      </c>
      <c r="G620" s="7">
        <v>1.01</v>
      </c>
      <c r="H620" s="6" t="s">
        <v>1444</v>
      </c>
      <c r="I620" s="6" t="s">
        <v>20</v>
      </c>
      <c r="J620" s="6">
        <v>2023.0</v>
      </c>
      <c r="K620" s="10">
        <v>46083.0</v>
      </c>
      <c r="L620" s="6">
        <v>2.0</v>
      </c>
      <c r="M620" s="8">
        <f t="shared" si="3"/>
        <v>2.02</v>
      </c>
      <c r="P620" s="9"/>
    </row>
    <row r="621">
      <c r="A621" s="6" t="s">
        <v>1554</v>
      </c>
      <c r="B621" s="6" t="s">
        <v>453</v>
      </c>
      <c r="C621" s="6" t="s">
        <v>22</v>
      </c>
      <c r="D621" s="6" t="s">
        <v>1555</v>
      </c>
      <c r="E621" s="6" t="s">
        <v>1556</v>
      </c>
      <c r="F621" s="6" t="s">
        <v>1557</v>
      </c>
      <c r="G621" s="7">
        <v>0.23</v>
      </c>
      <c r="H621" s="6" t="s">
        <v>1444</v>
      </c>
      <c r="I621" s="6" t="s">
        <v>20</v>
      </c>
      <c r="J621" s="6">
        <v>2023.0</v>
      </c>
      <c r="K621" s="10">
        <v>46083.0</v>
      </c>
      <c r="L621" s="6">
        <v>1.0</v>
      </c>
      <c r="M621" s="8">
        <f t="shared" si="3"/>
        <v>0.23</v>
      </c>
      <c r="P621" s="9"/>
    </row>
    <row r="622">
      <c r="A622" s="6" t="s">
        <v>1558</v>
      </c>
      <c r="B622" s="6" t="s">
        <v>1546</v>
      </c>
      <c r="C622" s="6" t="s">
        <v>22</v>
      </c>
      <c r="D622" s="6" t="s">
        <v>1559</v>
      </c>
      <c r="E622" s="6" t="s">
        <v>783</v>
      </c>
      <c r="F622" s="6" t="s">
        <v>18</v>
      </c>
      <c r="G622" s="7">
        <v>0.2</v>
      </c>
      <c r="H622" s="6" t="s">
        <v>1444</v>
      </c>
      <c r="I622" s="6" t="s">
        <v>20</v>
      </c>
      <c r="J622" s="6">
        <v>2023.0</v>
      </c>
      <c r="K622" s="10">
        <v>46084.0</v>
      </c>
      <c r="L622" s="6">
        <v>2.0</v>
      </c>
      <c r="M622" s="8">
        <f t="shared" si="3"/>
        <v>0.4</v>
      </c>
      <c r="P622" s="9"/>
    </row>
    <row r="623">
      <c r="A623" s="6" t="s">
        <v>1560</v>
      </c>
      <c r="B623" s="6" t="s">
        <v>14</v>
      </c>
      <c r="C623" s="6" t="s">
        <v>22</v>
      </c>
      <c r="D623" s="6" t="s">
        <v>1561</v>
      </c>
      <c r="E623" s="6" t="s">
        <v>790</v>
      </c>
      <c r="F623" s="6" t="s">
        <v>18</v>
      </c>
      <c r="G623" s="7">
        <v>0.18</v>
      </c>
      <c r="H623" s="6" t="s">
        <v>1444</v>
      </c>
      <c r="I623" s="6" t="s">
        <v>20</v>
      </c>
      <c r="J623" s="6">
        <v>2023.0</v>
      </c>
      <c r="L623" s="6">
        <v>1.0</v>
      </c>
      <c r="M623" s="8">
        <f t="shared" si="3"/>
        <v>0.18</v>
      </c>
      <c r="P623" s="9"/>
    </row>
    <row r="624">
      <c r="A624" s="6" t="s">
        <v>1562</v>
      </c>
      <c r="B624" s="6" t="s">
        <v>1109</v>
      </c>
      <c r="C624" s="6" t="s">
        <v>15</v>
      </c>
      <c r="D624" s="6" t="s">
        <v>1563</v>
      </c>
      <c r="E624" s="6" t="s">
        <v>783</v>
      </c>
      <c r="F624" s="6" t="s">
        <v>18</v>
      </c>
      <c r="G624" s="7">
        <v>0.08</v>
      </c>
      <c r="H624" s="6" t="s">
        <v>1444</v>
      </c>
      <c r="I624" s="6" t="s">
        <v>20</v>
      </c>
      <c r="J624" s="6">
        <v>2023.0</v>
      </c>
      <c r="K624" s="10">
        <v>46023.0</v>
      </c>
      <c r="L624" s="6">
        <v>1.0</v>
      </c>
      <c r="M624" s="8">
        <f t="shared" si="3"/>
        <v>0.08</v>
      </c>
      <c r="P624" s="9"/>
    </row>
    <row r="625">
      <c r="A625" s="6" t="s">
        <v>1564</v>
      </c>
      <c r="B625" s="6" t="s">
        <v>1449</v>
      </c>
      <c r="C625" s="6" t="s">
        <v>22</v>
      </c>
      <c r="D625" s="6" t="s">
        <v>1565</v>
      </c>
      <c r="E625" s="6" t="s">
        <v>780</v>
      </c>
      <c r="F625" s="6" t="s">
        <v>18</v>
      </c>
      <c r="G625" s="7">
        <v>0.2</v>
      </c>
      <c r="H625" s="6" t="s">
        <v>1444</v>
      </c>
      <c r="I625" s="6" t="s">
        <v>20</v>
      </c>
      <c r="J625" s="6">
        <v>2023.0</v>
      </c>
      <c r="L625" s="6">
        <v>1.0</v>
      </c>
      <c r="M625" s="8">
        <f t="shared" si="3"/>
        <v>0.2</v>
      </c>
      <c r="P625" s="9"/>
    </row>
    <row r="626">
      <c r="A626" s="6" t="s">
        <v>1566</v>
      </c>
      <c r="B626" s="6" t="s">
        <v>68</v>
      </c>
      <c r="C626" s="6" t="s">
        <v>15</v>
      </c>
      <c r="D626" s="6" t="s">
        <v>1567</v>
      </c>
      <c r="E626" s="6" t="s">
        <v>783</v>
      </c>
      <c r="F626" s="6" t="s">
        <v>18</v>
      </c>
      <c r="G626" s="7">
        <v>0.08</v>
      </c>
      <c r="H626" s="6" t="s">
        <v>1444</v>
      </c>
      <c r="I626" s="6" t="s">
        <v>20</v>
      </c>
      <c r="J626" s="6">
        <v>2023.0</v>
      </c>
      <c r="L626" s="6">
        <v>1.0</v>
      </c>
      <c r="M626" s="8">
        <f t="shared" si="3"/>
        <v>0.08</v>
      </c>
      <c r="P626" s="9"/>
    </row>
    <row r="627">
      <c r="A627" s="6" t="s">
        <v>1568</v>
      </c>
      <c r="B627" s="6" t="s">
        <v>14</v>
      </c>
      <c r="C627" s="6" t="s">
        <v>15</v>
      </c>
      <c r="D627" s="6" t="s">
        <v>1569</v>
      </c>
      <c r="E627" s="6" t="s">
        <v>780</v>
      </c>
      <c r="F627" s="6" t="s">
        <v>18</v>
      </c>
      <c r="G627" s="7">
        <v>0.14</v>
      </c>
      <c r="H627" s="6" t="s">
        <v>1444</v>
      </c>
      <c r="I627" s="6" t="s">
        <v>20</v>
      </c>
      <c r="J627" s="6">
        <v>2023.0</v>
      </c>
      <c r="L627" s="6">
        <v>1.0</v>
      </c>
      <c r="M627" s="8">
        <f t="shared" si="3"/>
        <v>0.14</v>
      </c>
      <c r="P627" s="9"/>
    </row>
    <row r="628">
      <c r="A628" s="6" t="s">
        <v>1570</v>
      </c>
      <c r="B628" s="6" t="s">
        <v>1552</v>
      </c>
      <c r="C628" s="6" t="s">
        <v>22</v>
      </c>
      <c r="D628" s="6" t="s">
        <v>1571</v>
      </c>
      <c r="E628" s="6" t="s">
        <v>783</v>
      </c>
      <c r="F628" s="6" t="s">
        <v>18</v>
      </c>
      <c r="G628" s="7">
        <v>0.09</v>
      </c>
      <c r="H628" s="6" t="s">
        <v>1444</v>
      </c>
      <c r="I628" s="6" t="s">
        <v>20</v>
      </c>
      <c r="J628" s="6">
        <v>2023.0</v>
      </c>
      <c r="K628" s="10">
        <v>46055.0</v>
      </c>
      <c r="L628" s="6">
        <v>1.0</v>
      </c>
      <c r="M628" s="8">
        <f t="shared" si="3"/>
        <v>0.09</v>
      </c>
      <c r="P628" s="9"/>
    </row>
    <row r="629">
      <c r="A629" s="6" t="s">
        <v>1572</v>
      </c>
      <c r="B629" s="6" t="s">
        <v>1546</v>
      </c>
      <c r="C629" s="6" t="s">
        <v>22</v>
      </c>
      <c r="D629" s="6" t="s">
        <v>1573</v>
      </c>
      <c r="E629" s="6" t="s">
        <v>790</v>
      </c>
      <c r="F629" s="6" t="s">
        <v>18</v>
      </c>
      <c r="G629" s="7">
        <v>0.09</v>
      </c>
      <c r="H629" s="6" t="s">
        <v>1444</v>
      </c>
      <c r="I629" s="6" t="s">
        <v>20</v>
      </c>
      <c r="J629" s="6">
        <v>2023.0</v>
      </c>
      <c r="K629" s="10">
        <v>46056.0</v>
      </c>
      <c r="L629" s="6">
        <v>1.0</v>
      </c>
      <c r="M629" s="8">
        <f t="shared" si="3"/>
        <v>0.09</v>
      </c>
      <c r="P629" s="9"/>
    </row>
    <row r="630">
      <c r="A630" s="6" t="s">
        <v>1574</v>
      </c>
      <c r="B630" s="6" t="s">
        <v>494</v>
      </c>
      <c r="C630" s="6" t="s">
        <v>22</v>
      </c>
      <c r="D630" s="6" t="s">
        <v>1575</v>
      </c>
      <c r="E630" s="6" t="s">
        <v>838</v>
      </c>
      <c r="F630" s="6" t="s">
        <v>88</v>
      </c>
      <c r="G630" s="7">
        <v>0.09</v>
      </c>
      <c r="H630" s="6" t="s">
        <v>1444</v>
      </c>
      <c r="I630" s="6" t="s">
        <v>20</v>
      </c>
      <c r="J630" s="6">
        <v>2023.0</v>
      </c>
      <c r="K630" s="10">
        <v>46024.0</v>
      </c>
      <c r="L630" s="6">
        <v>2.0</v>
      </c>
      <c r="M630" s="8">
        <f t="shared" si="3"/>
        <v>0.18</v>
      </c>
      <c r="P630" s="9"/>
    </row>
    <row r="631">
      <c r="A631" s="6" t="s">
        <v>1576</v>
      </c>
      <c r="B631" s="6" t="s">
        <v>68</v>
      </c>
      <c r="C631" s="6" t="s">
        <v>15</v>
      </c>
      <c r="D631" s="6" t="s">
        <v>1577</v>
      </c>
      <c r="E631" s="6" t="s">
        <v>871</v>
      </c>
      <c r="F631" s="6" t="s">
        <v>88</v>
      </c>
      <c r="G631" s="7">
        <v>0.08</v>
      </c>
      <c r="H631" s="6" t="s">
        <v>1444</v>
      </c>
      <c r="I631" s="6" t="s">
        <v>20</v>
      </c>
      <c r="J631" s="6">
        <v>2023.0</v>
      </c>
      <c r="L631" s="6">
        <v>2.0</v>
      </c>
      <c r="M631" s="8">
        <f t="shared" si="3"/>
        <v>0.16</v>
      </c>
      <c r="P631" s="9"/>
    </row>
    <row r="632">
      <c r="A632" s="6" t="s">
        <v>1578</v>
      </c>
      <c r="B632" s="6" t="s">
        <v>1449</v>
      </c>
      <c r="C632" s="6" t="s">
        <v>22</v>
      </c>
      <c r="D632" s="6" t="s">
        <v>1579</v>
      </c>
      <c r="E632" s="6" t="s">
        <v>871</v>
      </c>
      <c r="F632" s="6" t="s">
        <v>88</v>
      </c>
      <c r="G632" s="7">
        <v>0.25</v>
      </c>
      <c r="H632" s="6" t="s">
        <v>1444</v>
      </c>
      <c r="I632" s="6" t="s">
        <v>20</v>
      </c>
      <c r="J632" s="6">
        <v>2023.0</v>
      </c>
      <c r="L632" s="6">
        <v>2.0</v>
      </c>
      <c r="M632" s="8">
        <f t="shared" si="3"/>
        <v>0.5</v>
      </c>
      <c r="P632" s="9"/>
    </row>
    <row r="633">
      <c r="A633" s="6" t="s">
        <v>1580</v>
      </c>
      <c r="B633" s="6" t="s">
        <v>1581</v>
      </c>
      <c r="C633" s="6" t="s">
        <v>15</v>
      </c>
      <c r="D633" s="6" t="s">
        <v>1582</v>
      </c>
      <c r="E633" s="6" t="s">
        <v>863</v>
      </c>
      <c r="F633" s="6" t="s">
        <v>88</v>
      </c>
      <c r="G633" s="7">
        <v>0.08</v>
      </c>
      <c r="H633" s="6" t="s">
        <v>1444</v>
      </c>
      <c r="I633" s="6" t="s">
        <v>20</v>
      </c>
      <c r="J633" s="6">
        <v>2023.0</v>
      </c>
      <c r="K633" s="10">
        <v>46083.0</v>
      </c>
      <c r="L633" s="6">
        <v>2.0</v>
      </c>
      <c r="M633" s="8">
        <f t="shared" si="3"/>
        <v>0.16</v>
      </c>
      <c r="P633" s="9"/>
    </row>
    <row r="634">
      <c r="A634" s="6" t="s">
        <v>1583</v>
      </c>
      <c r="B634" s="6" t="s">
        <v>14</v>
      </c>
      <c r="C634" s="6" t="s">
        <v>22</v>
      </c>
      <c r="D634" s="6" t="s">
        <v>1584</v>
      </c>
      <c r="E634" s="6" t="s">
        <v>838</v>
      </c>
      <c r="F634" s="6" t="s">
        <v>88</v>
      </c>
      <c r="G634" s="7">
        <v>0.21</v>
      </c>
      <c r="H634" s="6" t="s">
        <v>1444</v>
      </c>
      <c r="I634" s="6" t="s">
        <v>20</v>
      </c>
      <c r="J634" s="6">
        <v>2023.0</v>
      </c>
      <c r="L634" s="6">
        <v>1.0</v>
      </c>
      <c r="M634" s="8">
        <f t="shared" si="3"/>
        <v>0.21</v>
      </c>
      <c r="P634" s="9"/>
    </row>
    <row r="635">
      <c r="A635" s="6" t="s">
        <v>1585</v>
      </c>
      <c r="B635" s="6" t="s">
        <v>14</v>
      </c>
      <c r="C635" s="6" t="s">
        <v>15</v>
      </c>
      <c r="D635" s="6" t="s">
        <v>1586</v>
      </c>
      <c r="E635" s="6" t="s">
        <v>838</v>
      </c>
      <c r="F635" s="6" t="s">
        <v>88</v>
      </c>
      <c r="G635" s="7">
        <v>0.08</v>
      </c>
      <c r="H635" s="6" t="s">
        <v>1444</v>
      </c>
      <c r="I635" s="6" t="s">
        <v>20</v>
      </c>
      <c r="J635" s="6">
        <v>2023.0</v>
      </c>
      <c r="L635" s="6">
        <v>1.0</v>
      </c>
      <c r="M635" s="8">
        <f t="shared" si="3"/>
        <v>0.08</v>
      </c>
      <c r="P635" s="9"/>
    </row>
    <row r="636">
      <c r="A636" s="6" t="s">
        <v>1587</v>
      </c>
      <c r="B636" s="6" t="s">
        <v>14</v>
      </c>
      <c r="C636" s="6" t="s">
        <v>15</v>
      </c>
      <c r="D636" s="6" t="s">
        <v>1588</v>
      </c>
      <c r="E636" s="6" t="s">
        <v>871</v>
      </c>
      <c r="F636" s="6" t="s">
        <v>88</v>
      </c>
      <c r="G636" s="7">
        <v>0.08</v>
      </c>
      <c r="H636" s="6" t="s">
        <v>1444</v>
      </c>
      <c r="I636" s="6" t="s">
        <v>20</v>
      </c>
      <c r="J636" s="6">
        <v>2023.0</v>
      </c>
      <c r="L636" s="6">
        <v>1.0</v>
      </c>
      <c r="M636" s="8">
        <f t="shared" si="3"/>
        <v>0.08</v>
      </c>
      <c r="P636" s="9"/>
    </row>
    <row r="637">
      <c r="A637" s="6" t="s">
        <v>1589</v>
      </c>
      <c r="B637" s="6" t="s">
        <v>1590</v>
      </c>
      <c r="C637" s="6" t="s">
        <v>22</v>
      </c>
      <c r="D637" s="6" t="s">
        <v>1591</v>
      </c>
      <c r="E637" s="6" t="s">
        <v>871</v>
      </c>
      <c r="F637" s="6" t="s">
        <v>88</v>
      </c>
      <c r="G637" s="7">
        <v>0.13</v>
      </c>
      <c r="H637" s="6" t="s">
        <v>1444</v>
      </c>
      <c r="I637" s="6" t="s">
        <v>20</v>
      </c>
      <c r="J637" s="6">
        <v>2023.0</v>
      </c>
      <c r="K637" s="10">
        <v>46084.0</v>
      </c>
      <c r="L637" s="6">
        <v>1.0</v>
      </c>
      <c r="M637" s="8">
        <f t="shared" si="3"/>
        <v>0.13</v>
      </c>
      <c r="P637" s="9"/>
    </row>
    <row r="638">
      <c r="A638" s="6" t="s">
        <v>1592</v>
      </c>
      <c r="B638" s="6" t="s">
        <v>1593</v>
      </c>
      <c r="C638" s="6" t="s">
        <v>15</v>
      </c>
      <c r="D638" s="6" t="s">
        <v>1594</v>
      </c>
      <c r="E638" s="6" t="s">
        <v>838</v>
      </c>
      <c r="F638" s="6" t="s">
        <v>88</v>
      </c>
      <c r="G638" s="7">
        <v>0.08</v>
      </c>
      <c r="H638" s="6" t="s">
        <v>1444</v>
      </c>
      <c r="I638" s="6" t="s">
        <v>20</v>
      </c>
      <c r="J638" s="6">
        <v>2023.0</v>
      </c>
      <c r="K638" s="10">
        <v>46082.0</v>
      </c>
      <c r="L638" s="6">
        <v>1.0</v>
      </c>
      <c r="M638" s="8">
        <f t="shared" si="3"/>
        <v>0.08</v>
      </c>
      <c r="P638" s="9"/>
    </row>
    <row r="639">
      <c r="A639" s="6" t="s">
        <v>1595</v>
      </c>
      <c r="B639" s="6" t="s">
        <v>14</v>
      </c>
      <c r="C639" s="6" t="s">
        <v>22</v>
      </c>
      <c r="D639" s="6" t="s">
        <v>1596</v>
      </c>
      <c r="E639" s="6" t="s">
        <v>1597</v>
      </c>
      <c r="F639" s="6" t="s">
        <v>88</v>
      </c>
      <c r="G639" s="7">
        <v>0.31</v>
      </c>
      <c r="H639" s="6" t="s">
        <v>1444</v>
      </c>
      <c r="I639" s="6" t="s">
        <v>20</v>
      </c>
      <c r="J639" s="6">
        <v>2023.0</v>
      </c>
      <c r="L639" s="6">
        <v>2.0</v>
      </c>
      <c r="M639" s="8">
        <f t="shared" si="3"/>
        <v>0.62</v>
      </c>
      <c r="P639" s="9"/>
    </row>
    <row r="640">
      <c r="A640" s="6" t="s">
        <v>1598</v>
      </c>
      <c r="B640" s="6" t="s">
        <v>68</v>
      </c>
      <c r="C640" s="6" t="s">
        <v>15</v>
      </c>
      <c r="D640" s="6" t="s">
        <v>1599</v>
      </c>
      <c r="E640" s="6" t="s">
        <v>871</v>
      </c>
      <c r="F640" s="6" t="s">
        <v>88</v>
      </c>
      <c r="G640" s="7">
        <v>0.08</v>
      </c>
      <c r="H640" s="6" t="s">
        <v>1444</v>
      </c>
      <c r="I640" s="6" t="s">
        <v>20</v>
      </c>
      <c r="J640" s="6">
        <v>2023.0</v>
      </c>
      <c r="L640" s="6">
        <v>1.0</v>
      </c>
      <c r="M640" s="8">
        <f t="shared" si="3"/>
        <v>0.08</v>
      </c>
      <c r="P640" s="9"/>
    </row>
    <row r="641">
      <c r="A641" s="6" t="s">
        <v>1600</v>
      </c>
      <c r="B641" s="6" t="s">
        <v>308</v>
      </c>
      <c r="C641" s="6" t="s">
        <v>15</v>
      </c>
      <c r="D641" s="6" t="s">
        <v>1601</v>
      </c>
      <c r="E641" s="6" t="s">
        <v>871</v>
      </c>
      <c r="F641" s="6" t="s">
        <v>88</v>
      </c>
      <c r="G641" s="7">
        <v>0.14</v>
      </c>
      <c r="H641" s="6" t="s">
        <v>1444</v>
      </c>
      <c r="I641" s="6" t="s">
        <v>20</v>
      </c>
      <c r="J641" s="6">
        <v>2023.0</v>
      </c>
      <c r="K641" s="10">
        <v>46084.0</v>
      </c>
      <c r="L641" s="6">
        <v>1.0</v>
      </c>
      <c r="M641" s="8">
        <f t="shared" si="3"/>
        <v>0.14</v>
      </c>
      <c r="P641" s="9"/>
    </row>
    <row r="642">
      <c r="A642" s="6" t="s">
        <v>1602</v>
      </c>
      <c r="B642" s="6" t="s">
        <v>1549</v>
      </c>
      <c r="C642" s="6" t="s">
        <v>22</v>
      </c>
      <c r="D642" s="6" t="s">
        <v>1603</v>
      </c>
      <c r="E642" s="6" t="s">
        <v>912</v>
      </c>
      <c r="F642" s="6" t="s">
        <v>88</v>
      </c>
      <c r="G642" s="7">
        <v>0.25</v>
      </c>
      <c r="H642" s="6" t="s">
        <v>1444</v>
      </c>
      <c r="I642" s="6" t="s">
        <v>20</v>
      </c>
      <c r="J642" s="6">
        <v>2023.0</v>
      </c>
      <c r="K642" s="10">
        <v>46116.0</v>
      </c>
      <c r="L642" s="6">
        <v>1.0</v>
      </c>
      <c r="M642" s="8">
        <f t="shared" si="3"/>
        <v>0.25</v>
      </c>
      <c r="P642" s="9"/>
    </row>
    <row r="643">
      <c r="A643" s="6" t="s">
        <v>1604</v>
      </c>
      <c r="B643" s="6" t="s">
        <v>704</v>
      </c>
      <c r="C643" s="6" t="s">
        <v>22</v>
      </c>
      <c r="D643" s="6" t="s">
        <v>1605</v>
      </c>
      <c r="E643" s="6" t="s">
        <v>863</v>
      </c>
      <c r="F643" s="6" t="s">
        <v>88</v>
      </c>
      <c r="G643" s="7">
        <v>0.34</v>
      </c>
      <c r="H643" s="6" t="s">
        <v>1444</v>
      </c>
      <c r="I643" s="6" t="s">
        <v>20</v>
      </c>
      <c r="J643" s="6">
        <v>2023.0</v>
      </c>
      <c r="K643" s="10">
        <v>46113.0</v>
      </c>
      <c r="L643" s="6">
        <v>2.0</v>
      </c>
      <c r="M643" s="8">
        <f t="shared" si="3"/>
        <v>0.68</v>
      </c>
      <c r="P643" s="9"/>
    </row>
    <row r="644">
      <c r="A644" s="6" t="s">
        <v>1606</v>
      </c>
      <c r="B644" s="6" t="s">
        <v>1607</v>
      </c>
      <c r="C644" s="6" t="s">
        <v>22</v>
      </c>
      <c r="D644" s="6" t="s">
        <v>1608</v>
      </c>
      <c r="E644" s="6" t="s">
        <v>694</v>
      </c>
      <c r="F644" s="6" t="s">
        <v>152</v>
      </c>
      <c r="G644" s="7">
        <v>0.24</v>
      </c>
      <c r="H644" s="6" t="s">
        <v>1444</v>
      </c>
      <c r="I644" s="6" t="s">
        <v>20</v>
      </c>
      <c r="J644" s="6">
        <v>2023.0</v>
      </c>
      <c r="K644" s="10">
        <v>46055.0</v>
      </c>
      <c r="L644" s="6">
        <v>1.0</v>
      </c>
      <c r="M644" s="8">
        <f t="shared" si="3"/>
        <v>0.24</v>
      </c>
      <c r="P644" s="9"/>
    </row>
    <row r="645">
      <c r="A645" s="6" t="s">
        <v>1609</v>
      </c>
      <c r="B645" s="6" t="s">
        <v>1610</v>
      </c>
      <c r="C645" s="6" t="s">
        <v>1611</v>
      </c>
      <c r="D645" s="6" t="s">
        <v>1612</v>
      </c>
      <c r="E645" s="6" t="s">
        <v>1613</v>
      </c>
      <c r="F645" s="6" t="s">
        <v>163</v>
      </c>
      <c r="G645" s="7">
        <v>1.35</v>
      </c>
      <c r="H645" s="6" t="s">
        <v>1614</v>
      </c>
      <c r="I645" s="6" t="s">
        <v>20</v>
      </c>
      <c r="K645" s="10">
        <v>46082.0</v>
      </c>
      <c r="L645" s="6">
        <v>1.0</v>
      </c>
      <c r="M645" s="8">
        <f t="shared" si="3"/>
        <v>1.35</v>
      </c>
      <c r="P645" s="9"/>
    </row>
    <row r="646">
      <c r="A646" s="6" t="s">
        <v>1615</v>
      </c>
      <c r="B646" s="6" t="s">
        <v>1616</v>
      </c>
      <c r="C646" s="6" t="s">
        <v>22</v>
      </c>
      <c r="D646" s="6" t="s">
        <v>1617</v>
      </c>
      <c r="E646" s="6" t="s">
        <v>1618</v>
      </c>
      <c r="F646" s="6" t="s">
        <v>163</v>
      </c>
      <c r="G646" s="7">
        <v>0.09</v>
      </c>
      <c r="H646" s="6" t="s">
        <v>1619</v>
      </c>
      <c r="I646" s="6" t="s">
        <v>20</v>
      </c>
      <c r="J646" s="6">
        <v>2022.0</v>
      </c>
      <c r="K646" s="6" t="s">
        <v>1620</v>
      </c>
      <c r="L646" s="6">
        <v>2.0</v>
      </c>
      <c r="M646" s="8">
        <f t="shared" si="3"/>
        <v>0.18</v>
      </c>
      <c r="P646" s="9"/>
    </row>
    <row r="647">
      <c r="A647" s="6" t="s">
        <v>1621</v>
      </c>
      <c r="B647" s="6" t="s">
        <v>1622</v>
      </c>
      <c r="C647" s="6" t="s">
        <v>22</v>
      </c>
      <c r="D647" s="6" t="s">
        <v>1623</v>
      </c>
      <c r="E647" s="6" t="s">
        <v>1624</v>
      </c>
      <c r="F647" s="6" t="s">
        <v>163</v>
      </c>
      <c r="G647" s="7">
        <v>0.09</v>
      </c>
      <c r="H647" s="6" t="s">
        <v>1625</v>
      </c>
      <c r="I647" s="6" t="s">
        <v>20</v>
      </c>
      <c r="J647" s="6">
        <v>2021.0</v>
      </c>
      <c r="K647" s="10">
        <v>46085.0</v>
      </c>
      <c r="L647" s="6">
        <v>1.0</v>
      </c>
      <c r="M647" s="8">
        <f t="shared" si="3"/>
        <v>0.09</v>
      </c>
      <c r="P647" s="9"/>
    </row>
    <row r="648">
      <c r="A648" s="6" t="s">
        <v>1626</v>
      </c>
      <c r="B648" s="6" t="s">
        <v>1627</v>
      </c>
      <c r="C648" s="6" t="s">
        <v>1628</v>
      </c>
      <c r="D648" s="6" t="s">
        <v>1629</v>
      </c>
      <c r="E648" s="6" t="s">
        <v>1279</v>
      </c>
      <c r="F648" s="6" t="s">
        <v>1630</v>
      </c>
      <c r="G648" s="7">
        <v>0.24</v>
      </c>
      <c r="H648" s="6" t="s">
        <v>1631</v>
      </c>
      <c r="I648" s="6" t="s">
        <v>20</v>
      </c>
      <c r="J648" s="6">
        <v>2024.0</v>
      </c>
      <c r="K648" s="10">
        <v>46056.0</v>
      </c>
      <c r="L648" s="6">
        <v>1.0</v>
      </c>
      <c r="M648" s="8">
        <f t="shared" si="3"/>
        <v>0.24</v>
      </c>
      <c r="P648" s="9"/>
    </row>
    <row r="649">
      <c r="A649" s="6" t="s">
        <v>1632</v>
      </c>
      <c r="B649" s="6" t="s">
        <v>610</v>
      </c>
      <c r="C649" s="6" t="s">
        <v>1628</v>
      </c>
      <c r="D649" s="6" t="s">
        <v>1633</v>
      </c>
      <c r="E649" s="6" t="s">
        <v>973</v>
      </c>
      <c r="F649" s="6" t="s">
        <v>1630</v>
      </c>
      <c r="G649" s="7">
        <v>0.1</v>
      </c>
      <c r="H649" s="6" t="s">
        <v>1634</v>
      </c>
      <c r="I649" s="6" t="s">
        <v>20</v>
      </c>
      <c r="J649" s="6">
        <v>2005.0</v>
      </c>
      <c r="L649" s="6">
        <v>1.0</v>
      </c>
      <c r="M649" s="8">
        <f t="shared" si="3"/>
        <v>0.1</v>
      </c>
      <c r="P649" s="9"/>
    </row>
    <row r="650">
      <c r="A650" s="6" t="s">
        <v>1635</v>
      </c>
      <c r="B650" s="6" t="s">
        <v>1636</v>
      </c>
      <c r="C650" s="6" t="s">
        <v>101</v>
      </c>
      <c r="D650" s="6" t="s">
        <v>1637</v>
      </c>
      <c r="E650" s="6" t="s">
        <v>1279</v>
      </c>
      <c r="F650" s="6" t="s">
        <v>163</v>
      </c>
      <c r="G650" s="7">
        <v>0.75</v>
      </c>
      <c r="H650" s="6" t="s">
        <v>1638</v>
      </c>
      <c r="I650" s="6" t="s">
        <v>20</v>
      </c>
      <c r="J650" s="6">
        <v>2024.0</v>
      </c>
      <c r="L650" s="6">
        <v>1.0</v>
      </c>
      <c r="M650" s="8">
        <f t="shared" si="3"/>
        <v>0.75</v>
      </c>
      <c r="P650" s="9"/>
    </row>
    <row r="651">
      <c r="A651" s="6" t="s">
        <v>1639</v>
      </c>
      <c r="B651" s="6" t="s">
        <v>82</v>
      </c>
      <c r="C651" s="6" t="s">
        <v>101</v>
      </c>
      <c r="D651" s="6" t="s">
        <v>1640</v>
      </c>
      <c r="E651" s="6" t="s">
        <v>1035</v>
      </c>
      <c r="F651" s="6" t="s">
        <v>80</v>
      </c>
      <c r="G651" s="7">
        <v>0.23</v>
      </c>
      <c r="H651" s="6" t="s">
        <v>1641</v>
      </c>
      <c r="I651" s="6" t="s">
        <v>20</v>
      </c>
      <c r="J651" s="6">
        <v>2019.0</v>
      </c>
      <c r="L651" s="6">
        <v>1.0</v>
      </c>
      <c r="M651" s="8">
        <f t="shared" si="3"/>
        <v>0.23</v>
      </c>
      <c r="P651" s="9"/>
    </row>
    <row r="652">
      <c r="A652" s="6" t="s">
        <v>1642</v>
      </c>
      <c r="B652" s="6" t="s">
        <v>404</v>
      </c>
      <c r="C652" s="6" t="s">
        <v>22</v>
      </c>
      <c r="D652" s="6" t="s">
        <v>1643</v>
      </c>
      <c r="E652" s="6" t="s">
        <v>1035</v>
      </c>
      <c r="F652" s="6" t="s">
        <v>80</v>
      </c>
      <c r="G652" s="7">
        <v>0.03</v>
      </c>
      <c r="H652" s="6" t="s">
        <v>1644</v>
      </c>
      <c r="I652" s="6" t="s">
        <v>20</v>
      </c>
      <c r="J652" s="6">
        <v>2018.0</v>
      </c>
      <c r="L652" s="6">
        <v>1.0</v>
      </c>
      <c r="M652" s="8">
        <f t="shared" si="3"/>
        <v>0.03</v>
      </c>
      <c r="P652" s="9"/>
    </row>
    <row r="653">
      <c r="A653" s="6" t="s">
        <v>1645</v>
      </c>
      <c r="B653" s="6" t="s">
        <v>82</v>
      </c>
      <c r="C653" s="6" t="s">
        <v>1646</v>
      </c>
      <c r="D653" s="6" t="s">
        <v>1647</v>
      </c>
      <c r="E653" s="6" t="s">
        <v>1269</v>
      </c>
      <c r="F653" s="6" t="s">
        <v>80</v>
      </c>
      <c r="G653" s="7">
        <v>1.5</v>
      </c>
      <c r="H653" s="6" t="s">
        <v>1648</v>
      </c>
      <c r="I653" s="6" t="s">
        <v>20</v>
      </c>
      <c r="J653" s="6">
        <v>2024.0</v>
      </c>
      <c r="L653" s="6">
        <v>4.0</v>
      </c>
      <c r="M653" s="8">
        <f t="shared" si="3"/>
        <v>6</v>
      </c>
      <c r="P653" s="9"/>
    </row>
    <row r="654">
      <c r="A654" s="6" t="s">
        <v>1649</v>
      </c>
      <c r="B654" s="6" t="s">
        <v>82</v>
      </c>
      <c r="C654" s="6" t="s">
        <v>15</v>
      </c>
      <c r="D654" s="6" t="s">
        <v>1650</v>
      </c>
      <c r="E654" s="6" t="s">
        <v>1032</v>
      </c>
      <c r="F654" s="6" t="s">
        <v>80</v>
      </c>
      <c r="G654" s="7">
        <v>0.06</v>
      </c>
      <c r="H654" s="6" t="s">
        <v>1641</v>
      </c>
      <c r="I654" s="6" t="s">
        <v>20</v>
      </c>
      <c r="J654" s="6">
        <v>2019.0</v>
      </c>
      <c r="L654" s="6">
        <v>2.0</v>
      </c>
      <c r="M654" s="8">
        <f t="shared" si="3"/>
        <v>0.12</v>
      </c>
      <c r="P654" s="9"/>
    </row>
    <row r="655">
      <c r="A655" s="6" t="s">
        <v>1651</v>
      </c>
      <c r="B655" s="6" t="s">
        <v>82</v>
      </c>
      <c r="C655" s="6" t="s">
        <v>15</v>
      </c>
      <c r="D655" s="6" t="s">
        <v>1652</v>
      </c>
      <c r="E655" s="6" t="s">
        <v>1032</v>
      </c>
      <c r="F655" s="6" t="s">
        <v>80</v>
      </c>
      <c r="G655" s="7">
        <v>0.06</v>
      </c>
      <c r="H655" s="6" t="s">
        <v>1641</v>
      </c>
      <c r="I655" s="6" t="s">
        <v>20</v>
      </c>
      <c r="J655" s="6">
        <v>2019.0</v>
      </c>
      <c r="L655" s="6">
        <v>2.0</v>
      </c>
      <c r="M655" s="8">
        <f t="shared" si="3"/>
        <v>0.12</v>
      </c>
      <c r="P655" s="9"/>
    </row>
    <row r="656">
      <c r="A656" s="6" t="s">
        <v>1653</v>
      </c>
      <c r="B656" s="6" t="s">
        <v>82</v>
      </c>
      <c r="C656" s="6" t="s">
        <v>15</v>
      </c>
      <c r="D656" s="6" t="s">
        <v>1654</v>
      </c>
      <c r="E656" s="6" t="s">
        <v>1032</v>
      </c>
      <c r="F656" s="6" t="s">
        <v>80</v>
      </c>
      <c r="G656" s="7">
        <v>0.08</v>
      </c>
      <c r="H656" s="6" t="s">
        <v>1641</v>
      </c>
      <c r="I656" s="6" t="s">
        <v>20</v>
      </c>
      <c r="J656" s="6">
        <v>2019.0</v>
      </c>
      <c r="L656" s="6">
        <v>2.0</v>
      </c>
      <c r="M656" s="8">
        <f t="shared" si="3"/>
        <v>0.16</v>
      </c>
      <c r="P656" s="9"/>
    </row>
    <row r="657">
      <c r="A657" s="6" t="s">
        <v>1655</v>
      </c>
      <c r="B657" s="6" t="s">
        <v>82</v>
      </c>
      <c r="C657" s="6" t="s">
        <v>15</v>
      </c>
      <c r="D657" s="6" t="s">
        <v>1656</v>
      </c>
      <c r="E657" s="6" t="s">
        <v>1032</v>
      </c>
      <c r="F657" s="6" t="s">
        <v>80</v>
      </c>
      <c r="G657" s="7">
        <v>0.06</v>
      </c>
      <c r="H657" s="6" t="s">
        <v>1641</v>
      </c>
      <c r="I657" s="6" t="s">
        <v>20</v>
      </c>
      <c r="J657" s="6">
        <v>2019.0</v>
      </c>
      <c r="L657" s="6">
        <v>4.0</v>
      </c>
      <c r="M657" s="8">
        <f t="shared" si="3"/>
        <v>0.24</v>
      </c>
      <c r="P657" s="9"/>
    </row>
    <row r="658">
      <c r="A658" s="6" t="s">
        <v>1657</v>
      </c>
      <c r="B658" s="6" t="s">
        <v>404</v>
      </c>
      <c r="C658" s="6" t="s">
        <v>22</v>
      </c>
      <c r="D658" s="6" t="s">
        <v>1658</v>
      </c>
      <c r="E658" s="6" t="s">
        <v>1269</v>
      </c>
      <c r="F658" s="6" t="s">
        <v>80</v>
      </c>
      <c r="G658" s="7">
        <v>0.06</v>
      </c>
      <c r="H658" s="6" t="s">
        <v>1641</v>
      </c>
      <c r="I658" s="6" t="s">
        <v>20</v>
      </c>
      <c r="J658" s="6">
        <v>2019.0</v>
      </c>
      <c r="L658" s="6">
        <v>4.0</v>
      </c>
      <c r="M658" s="8">
        <f t="shared" si="3"/>
        <v>0.24</v>
      </c>
      <c r="P658" s="9"/>
    </row>
    <row r="659">
      <c r="A659" s="6" t="s">
        <v>1659</v>
      </c>
      <c r="B659" s="6" t="s">
        <v>82</v>
      </c>
      <c r="C659" s="6" t="s">
        <v>15</v>
      </c>
      <c r="D659" s="6" t="s">
        <v>1660</v>
      </c>
      <c r="E659" s="6" t="s">
        <v>1032</v>
      </c>
      <c r="F659" s="6" t="s">
        <v>80</v>
      </c>
      <c r="G659" s="7">
        <v>0.06</v>
      </c>
      <c r="H659" s="6" t="s">
        <v>1641</v>
      </c>
      <c r="I659" s="6" t="s">
        <v>20</v>
      </c>
      <c r="J659" s="6">
        <v>2019.0</v>
      </c>
      <c r="L659" s="6">
        <v>3.0</v>
      </c>
      <c r="M659" s="8">
        <f t="shared" si="3"/>
        <v>0.18</v>
      </c>
      <c r="P659" s="9"/>
    </row>
    <row r="660">
      <c r="A660" s="6" t="s">
        <v>1661</v>
      </c>
      <c r="B660" s="6" t="s">
        <v>1662</v>
      </c>
      <c r="C660" s="6" t="s">
        <v>15</v>
      </c>
      <c r="D660" s="6" t="s">
        <v>1663</v>
      </c>
      <c r="E660" s="6" t="s">
        <v>1035</v>
      </c>
      <c r="F660" s="6" t="s">
        <v>80</v>
      </c>
      <c r="G660" s="7">
        <v>0.03</v>
      </c>
      <c r="H660" s="6" t="s">
        <v>1664</v>
      </c>
      <c r="I660" s="6" t="s">
        <v>20</v>
      </c>
      <c r="J660" s="6">
        <v>2018.0</v>
      </c>
      <c r="K660" s="10">
        <v>46082.0</v>
      </c>
      <c r="L660" s="6">
        <v>4.0</v>
      </c>
      <c r="M660" s="8">
        <f t="shared" si="3"/>
        <v>0.12</v>
      </c>
      <c r="P660" s="9"/>
    </row>
    <row r="661">
      <c r="A661" s="6" t="s">
        <v>1665</v>
      </c>
      <c r="B661" s="6" t="s">
        <v>1666</v>
      </c>
      <c r="C661" s="6" t="s">
        <v>1667</v>
      </c>
      <c r="D661" s="6" t="s">
        <v>1668</v>
      </c>
      <c r="E661" s="6" t="s">
        <v>1269</v>
      </c>
      <c r="F661" s="6" t="s">
        <v>1669</v>
      </c>
      <c r="G661" s="7">
        <v>0.15</v>
      </c>
      <c r="H661" s="6" t="s">
        <v>1670</v>
      </c>
      <c r="I661" s="6" t="s">
        <v>20</v>
      </c>
      <c r="J661" s="6">
        <v>2025.0</v>
      </c>
      <c r="L661" s="6">
        <v>4.0</v>
      </c>
      <c r="M661" s="8">
        <f t="shared" si="3"/>
        <v>0.6</v>
      </c>
      <c r="P661" s="9"/>
    </row>
    <row r="662">
      <c r="A662" s="6" t="s">
        <v>1671</v>
      </c>
      <c r="B662" s="6" t="s">
        <v>82</v>
      </c>
      <c r="C662" s="6" t="s">
        <v>22</v>
      </c>
      <c r="D662" s="6" t="s">
        <v>1672</v>
      </c>
      <c r="E662" s="6" t="s">
        <v>1269</v>
      </c>
      <c r="F662" s="6" t="s">
        <v>80</v>
      </c>
      <c r="G662" s="7">
        <v>0.25</v>
      </c>
      <c r="H662" s="6" t="s">
        <v>1673</v>
      </c>
      <c r="I662" s="6" t="s">
        <v>20</v>
      </c>
      <c r="J662" s="6">
        <v>2012.0</v>
      </c>
      <c r="L662" s="6">
        <v>3.0</v>
      </c>
      <c r="M662" s="8">
        <f t="shared" si="3"/>
        <v>0.75</v>
      </c>
      <c r="P662" s="9"/>
    </row>
    <row r="663">
      <c r="A663" s="6" t="s">
        <v>1674</v>
      </c>
      <c r="B663" s="6" t="s">
        <v>1507</v>
      </c>
      <c r="C663" s="6" t="s">
        <v>15</v>
      </c>
      <c r="D663" s="6" t="s">
        <v>1675</v>
      </c>
      <c r="E663" s="6" t="s">
        <v>1032</v>
      </c>
      <c r="F663" s="6" t="s">
        <v>80</v>
      </c>
      <c r="G663" s="7">
        <v>0.13</v>
      </c>
      <c r="H663" s="6" t="s">
        <v>1676</v>
      </c>
      <c r="I663" s="6" t="s">
        <v>20</v>
      </c>
      <c r="J663" s="6">
        <v>2008.0</v>
      </c>
      <c r="K663" s="10">
        <v>46055.0</v>
      </c>
      <c r="L663" s="6">
        <v>2.0</v>
      </c>
      <c r="M663" s="8">
        <f t="shared" si="3"/>
        <v>0.26</v>
      </c>
      <c r="P663" s="9"/>
    </row>
    <row r="664">
      <c r="A664" s="6" t="s">
        <v>1677</v>
      </c>
      <c r="B664" s="6" t="s">
        <v>1678</v>
      </c>
      <c r="C664" s="6" t="s">
        <v>1667</v>
      </c>
      <c r="D664" s="6" t="s">
        <v>1679</v>
      </c>
      <c r="E664" s="6" t="s">
        <v>1680</v>
      </c>
      <c r="F664" s="6" t="s">
        <v>1669</v>
      </c>
      <c r="G664" s="7">
        <v>0.03</v>
      </c>
      <c r="H664" s="6" t="s">
        <v>1681</v>
      </c>
      <c r="I664" s="6" t="s">
        <v>20</v>
      </c>
      <c r="J664" s="6">
        <v>2015.0</v>
      </c>
      <c r="K664" s="6" t="s">
        <v>1256</v>
      </c>
      <c r="L664" s="6">
        <v>2.0</v>
      </c>
      <c r="M664" s="8">
        <f t="shared" si="3"/>
        <v>0.06</v>
      </c>
      <c r="P664" s="9"/>
    </row>
    <row r="665">
      <c r="A665" s="6" t="s">
        <v>1682</v>
      </c>
      <c r="B665" s="6" t="s">
        <v>1683</v>
      </c>
      <c r="C665" s="6" t="s">
        <v>15</v>
      </c>
      <c r="D665" s="6" t="s">
        <v>1684</v>
      </c>
      <c r="E665" s="6" t="s">
        <v>1032</v>
      </c>
      <c r="F665" s="6" t="s">
        <v>80</v>
      </c>
      <c r="G665" s="7">
        <v>0.15</v>
      </c>
      <c r="H665" s="6" t="s">
        <v>1685</v>
      </c>
      <c r="I665" s="6" t="s">
        <v>20</v>
      </c>
      <c r="J665" s="6">
        <v>2021.0</v>
      </c>
      <c r="L665" s="6">
        <v>2.0</v>
      </c>
      <c r="M665" s="8">
        <f t="shared" si="3"/>
        <v>0.3</v>
      </c>
      <c r="P665" s="9"/>
    </row>
    <row r="666">
      <c r="A666" s="6" t="s">
        <v>1686</v>
      </c>
      <c r="B666" s="6" t="s">
        <v>1687</v>
      </c>
      <c r="C666" s="6" t="s">
        <v>15</v>
      </c>
      <c r="D666" s="6" t="s">
        <v>1688</v>
      </c>
      <c r="E666" s="6" t="s">
        <v>1032</v>
      </c>
      <c r="F666" s="6" t="s">
        <v>80</v>
      </c>
      <c r="G666" s="7">
        <v>0.1</v>
      </c>
      <c r="H666" s="6" t="s">
        <v>1689</v>
      </c>
      <c r="I666" s="6" t="s">
        <v>20</v>
      </c>
      <c r="J666" s="6">
        <v>2020.0</v>
      </c>
      <c r="K666" s="10">
        <v>46055.0</v>
      </c>
      <c r="L666" s="6">
        <v>4.0</v>
      </c>
      <c r="M666" s="8">
        <f t="shared" si="3"/>
        <v>0.4</v>
      </c>
      <c r="P666" s="9"/>
    </row>
    <row r="667">
      <c r="A667" s="6" t="s">
        <v>1690</v>
      </c>
      <c r="B667" s="6" t="s">
        <v>1691</v>
      </c>
      <c r="C667" s="6" t="s">
        <v>15</v>
      </c>
      <c r="D667" s="6" t="s">
        <v>1692</v>
      </c>
      <c r="E667" s="6" t="s">
        <v>1693</v>
      </c>
      <c r="F667" s="6" t="s">
        <v>80</v>
      </c>
      <c r="G667" s="7">
        <v>0.1</v>
      </c>
      <c r="H667" s="6" t="s">
        <v>1694</v>
      </c>
      <c r="I667" s="6" t="s">
        <v>20</v>
      </c>
      <c r="J667" s="6">
        <v>2004.0</v>
      </c>
      <c r="K667" s="10">
        <v>46114.0</v>
      </c>
      <c r="L667" s="6">
        <v>2.0</v>
      </c>
      <c r="M667" s="8">
        <f t="shared" si="3"/>
        <v>0.2</v>
      </c>
      <c r="P667" s="9"/>
    </row>
    <row r="668">
      <c r="A668" s="6" t="s">
        <v>1695</v>
      </c>
      <c r="B668" s="6" t="s">
        <v>82</v>
      </c>
      <c r="C668" s="6" t="s">
        <v>15</v>
      </c>
      <c r="D668" s="6" t="s">
        <v>1696</v>
      </c>
      <c r="E668" s="6" t="s">
        <v>1269</v>
      </c>
      <c r="F668" s="6" t="s">
        <v>80</v>
      </c>
      <c r="G668" s="7">
        <v>0.45</v>
      </c>
      <c r="H668" s="6" t="s">
        <v>1697</v>
      </c>
      <c r="I668" s="6" t="s">
        <v>20</v>
      </c>
      <c r="J668" s="6">
        <v>2003.0</v>
      </c>
      <c r="L668" s="6">
        <v>1.0</v>
      </c>
      <c r="M668" s="8">
        <f t="shared" si="3"/>
        <v>0.45</v>
      </c>
      <c r="P668" s="9"/>
    </row>
    <row r="669">
      <c r="A669" s="6" t="s">
        <v>1695</v>
      </c>
      <c r="B669" s="6" t="s">
        <v>82</v>
      </c>
      <c r="C669" s="6" t="s">
        <v>15</v>
      </c>
      <c r="D669" s="6" t="s">
        <v>1696</v>
      </c>
      <c r="E669" s="6" t="s">
        <v>1269</v>
      </c>
      <c r="F669" s="6" t="s">
        <v>80</v>
      </c>
      <c r="G669" s="7">
        <v>2.99</v>
      </c>
      <c r="H669" s="6" t="s">
        <v>1698</v>
      </c>
      <c r="I669" s="6" t="s">
        <v>20</v>
      </c>
      <c r="J669" s="6">
        <v>2010.0</v>
      </c>
      <c r="L669" s="6">
        <v>2.0</v>
      </c>
      <c r="M669" s="8">
        <f t="shared" si="3"/>
        <v>5.98</v>
      </c>
      <c r="P669" s="9"/>
    </row>
    <row r="670">
      <c r="A670" s="6" t="s">
        <v>1699</v>
      </c>
      <c r="B670" s="6" t="s">
        <v>82</v>
      </c>
      <c r="C670" s="6" t="s">
        <v>15</v>
      </c>
      <c r="D670" s="6" t="s">
        <v>1700</v>
      </c>
      <c r="E670" s="6" t="s">
        <v>1032</v>
      </c>
      <c r="F670" s="6" t="s">
        <v>80</v>
      </c>
      <c r="G670" s="7">
        <v>0.15</v>
      </c>
      <c r="H670" s="6" t="s">
        <v>1701</v>
      </c>
      <c r="I670" s="6" t="s">
        <v>20</v>
      </c>
      <c r="J670" s="6">
        <v>2008.0</v>
      </c>
      <c r="L670" s="6">
        <v>2.0</v>
      </c>
      <c r="M670" s="8">
        <f t="shared" si="3"/>
        <v>0.3</v>
      </c>
      <c r="P670" s="9"/>
    </row>
    <row r="671">
      <c r="A671" s="6" t="s">
        <v>1702</v>
      </c>
      <c r="B671" s="6" t="s">
        <v>82</v>
      </c>
      <c r="C671" s="6" t="s">
        <v>15</v>
      </c>
      <c r="D671" s="6" t="s">
        <v>1703</v>
      </c>
      <c r="E671" s="6" t="s">
        <v>1035</v>
      </c>
      <c r="F671" s="6" t="s">
        <v>80</v>
      </c>
      <c r="G671" s="7">
        <v>0.09</v>
      </c>
      <c r="H671" s="6" t="s">
        <v>1704</v>
      </c>
      <c r="I671" s="6" t="s">
        <v>20</v>
      </c>
      <c r="J671" s="6">
        <v>2016.0</v>
      </c>
      <c r="L671" s="6">
        <v>4.0</v>
      </c>
      <c r="M671" s="8">
        <f t="shared" si="3"/>
        <v>0.36</v>
      </c>
      <c r="P671" s="9"/>
    </row>
    <row r="672">
      <c r="A672" s="6" t="s">
        <v>1705</v>
      </c>
      <c r="B672" s="6" t="s">
        <v>1706</v>
      </c>
      <c r="C672" s="6" t="s">
        <v>15</v>
      </c>
      <c r="D672" s="6" t="s">
        <v>1707</v>
      </c>
      <c r="E672" s="6" t="s">
        <v>1693</v>
      </c>
      <c r="F672" s="6" t="s">
        <v>80</v>
      </c>
      <c r="G672" s="7">
        <v>0.04</v>
      </c>
      <c r="H672" s="6" t="s">
        <v>1708</v>
      </c>
      <c r="I672" s="6" t="s">
        <v>20</v>
      </c>
      <c r="J672" s="6">
        <v>2019.0</v>
      </c>
      <c r="K672" s="10">
        <v>46147.0</v>
      </c>
      <c r="L672" s="6">
        <v>3.0</v>
      </c>
      <c r="M672" s="8">
        <f t="shared" si="3"/>
        <v>0.12</v>
      </c>
      <c r="P672" s="9"/>
    </row>
    <row r="673">
      <c r="A673" s="6" t="s">
        <v>1709</v>
      </c>
      <c r="B673" s="6" t="s">
        <v>569</v>
      </c>
      <c r="C673" s="6" t="s">
        <v>15</v>
      </c>
      <c r="D673" s="6" t="s">
        <v>1710</v>
      </c>
      <c r="E673" s="6" t="s">
        <v>1032</v>
      </c>
      <c r="F673" s="6" t="s">
        <v>80</v>
      </c>
      <c r="G673" s="7">
        <v>0.05</v>
      </c>
      <c r="H673" s="6" t="s">
        <v>1711</v>
      </c>
      <c r="I673" s="6" t="s">
        <v>20</v>
      </c>
      <c r="J673" s="6">
        <v>2022.0</v>
      </c>
      <c r="K673" s="10">
        <v>46085.0</v>
      </c>
      <c r="L673" s="6">
        <v>2.0</v>
      </c>
      <c r="M673" s="8">
        <f t="shared" si="3"/>
        <v>0.1</v>
      </c>
      <c r="P673" s="9"/>
    </row>
    <row r="674">
      <c r="A674" s="6" t="s">
        <v>1712</v>
      </c>
      <c r="B674" s="6" t="s">
        <v>82</v>
      </c>
      <c r="C674" s="6" t="s">
        <v>15</v>
      </c>
      <c r="D674" s="6" t="s">
        <v>1713</v>
      </c>
      <c r="E674" s="6" t="s">
        <v>1269</v>
      </c>
      <c r="F674" s="6" t="s">
        <v>80</v>
      </c>
      <c r="G674" s="7">
        <v>0.04</v>
      </c>
      <c r="H674" s="6" t="s">
        <v>1714</v>
      </c>
      <c r="I674" s="6" t="s">
        <v>20</v>
      </c>
      <c r="J674" s="6">
        <v>2020.0</v>
      </c>
      <c r="L674" s="6">
        <v>1.0</v>
      </c>
      <c r="M674" s="8">
        <f t="shared" si="3"/>
        <v>0.04</v>
      </c>
      <c r="P674" s="9"/>
    </row>
    <row r="675">
      <c r="A675" s="6" t="s">
        <v>1715</v>
      </c>
      <c r="B675" s="6" t="s">
        <v>1716</v>
      </c>
      <c r="C675" s="6" t="s">
        <v>1667</v>
      </c>
      <c r="D675" s="6" t="s">
        <v>1717</v>
      </c>
      <c r="E675" s="6" t="s">
        <v>1718</v>
      </c>
      <c r="F675" s="6" t="s">
        <v>1669</v>
      </c>
      <c r="G675" s="7">
        <v>0.32</v>
      </c>
      <c r="H675" s="6" t="s">
        <v>1681</v>
      </c>
      <c r="I675" s="6" t="s">
        <v>20</v>
      </c>
      <c r="J675" s="6">
        <v>2015.0</v>
      </c>
      <c r="K675" s="10">
        <v>46055.0</v>
      </c>
      <c r="L675" s="6">
        <v>1.0</v>
      </c>
      <c r="M675" s="8">
        <f t="shared" si="3"/>
        <v>0.32</v>
      </c>
      <c r="P675" s="9"/>
    </row>
    <row r="676">
      <c r="A676" s="6" t="s">
        <v>1719</v>
      </c>
      <c r="B676" s="6" t="s">
        <v>1720</v>
      </c>
      <c r="C676" s="6" t="s">
        <v>1667</v>
      </c>
      <c r="D676" s="6" t="s">
        <v>1721</v>
      </c>
      <c r="E676" s="6" t="s">
        <v>1035</v>
      </c>
      <c r="F676" s="6" t="s">
        <v>1669</v>
      </c>
      <c r="G676" s="7">
        <v>0.07</v>
      </c>
      <c r="H676" s="6" t="s">
        <v>1670</v>
      </c>
      <c r="I676" s="6" t="s">
        <v>20</v>
      </c>
      <c r="J676" s="6">
        <v>2025.0</v>
      </c>
      <c r="K676" s="10">
        <v>46055.0</v>
      </c>
      <c r="L676" s="6">
        <v>1.0</v>
      </c>
      <c r="M676" s="8">
        <f t="shared" si="3"/>
        <v>0.07</v>
      </c>
      <c r="P676" s="9"/>
    </row>
    <row r="677">
      <c r="A677" s="6" t="s">
        <v>1722</v>
      </c>
      <c r="B677" s="6" t="s">
        <v>1507</v>
      </c>
      <c r="C677" s="6" t="s">
        <v>15</v>
      </c>
      <c r="D677" s="6" t="s">
        <v>1723</v>
      </c>
      <c r="E677" s="6" t="s">
        <v>1718</v>
      </c>
      <c r="F677" s="6" t="s">
        <v>80</v>
      </c>
      <c r="G677" s="7">
        <v>0.05</v>
      </c>
      <c r="H677" s="6" t="s">
        <v>1708</v>
      </c>
      <c r="I677" s="6" t="s">
        <v>20</v>
      </c>
      <c r="J677" s="6">
        <v>2019.0</v>
      </c>
      <c r="K677" s="10">
        <v>46114.0</v>
      </c>
      <c r="L677" s="6">
        <v>1.0</v>
      </c>
      <c r="M677" s="8">
        <f t="shared" si="3"/>
        <v>0.05</v>
      </c>
      <c r="P677" s="9"/>
    </row>
    <row r="678">
      <c r="A678" s="6" t="s">
        <v>1724</v>
      </c>
      <c r="B678" s="6" t="s">
        <v>1725</v>
      </c>
      <c r="C678" s="6" t="s">
        <v>1667</v>
      </c>
      <c r="D678" s="6" t="s">
        <v>1726</v>
      </c>
      <c r="E678" s="6" t="s">
        <v>1035</v>
      </c>
      <c r="F678" s="6" t="s">
        <v>1669</v>
      </c>
      <c r="G678" s="7">
        <v>0.05</v>
      </c>
      <c r="H678" s="6" t="s">
        <v>1670</v>
      </c>
      <c r="I678" s="6" t="s">
        <v>20</v>
      </c>
      <c r="J678" s="6">
        <v>2025.0</v>
      </c>
      <c r="K678" s="10">
        <v>46024.0</v>
      </c>
      <c r="L678" s="6">
        <v>1.0</v>
      </c>
      <c r="M678" s="8">
        <f t="shared" si="3"/>
        <v>0.05</v>
      </c>
      <c r="P678" s="9"/>
    </row>
    <row r="679">
      <c r="A679" s="6" t="s">
        <v>1727</v>
      </c>
      <c r="B679" s="6" t="s">
        <v>82</v>
      </c>
      <c r="C679" s="6" t="s">
        <v>15</v>
      </c>
      <c r="D679" s="6" t="s">
        <v>1728</v>
      </c>
      <c r="E679" s="6" t="s">
        <v>1032</v>
      </c>
      <c r="F679" s="6" t="s">
        <v>80</v>
      </c>
      <c r="G679" s="7">
        <v>0.4</v>
      </c>
      <c r="H679" s="6" t="s">
        <v>1711</v>
      </c>
      <c r="I679" s="6" t="s">
        <v>31</v>
      </c>
      <c r="J679" s="6">
        <v>2022.0</v>
      </c>
      <c r="L679" s="6">
        <v>2.0</v>
      </c>
      <c r="M679" s="8">
        <f t="shared" si="3"/>
        <v>0.8</v>
      </c>
      <c r="P679" s="9"/>
    </row>
    <row r="680">
      <c r="A680" s="6" t="s">
        <v>1729</v>
      </c>
      <c r="B680" s="6" t="s">
        <v>1730</v>
      </c>
      <c r="C680" s="6" t="s">
        <v>1628</v>
      </c>
      <c r="D680" s="6" t="s">
        <v>1731</v>
      </c>
      <c r="E680" s="6" t="s">
        <v>1732</v>
      </c>
      <c r="F680" s="6" t="s">
        <v>1669</v>
      </c>
      <c r="G680" s="7">
        <v>1.1</v>
      </c>
      <c r="H680" s="6" t="s">
        <v>1697</v>
      </c>
      <c r="I680" s="6" t="s">
        <v>20</v>
      </c>
      <c r="J680" s="6">
        <v>2003.0</v>
      </c>
      <c r="K680" s="6" t="s">
        <v>1733</v>
      </c>
      <c r="L680" s="6">
        <v>1.0</v>
      </c>
      <c r="M680" s="8">
        <f t="shared" si="3"/>
        <v>1.1</v>
      </c>
      <c r="P680" s="9"/>
    </row>
    <row r="681">
      <c r="A681" s="6" t="s">
        <v>1734</v>
      </c>
      <c r="B681" s="6" t="s">
        <v>1735</v>
      </c>
      <c r="C681" s="6" t="s">
        <v>15</v>
      </c>
      <c r="D681" s="6" t="s">
        <v>1736</v>
      </c>
      <c r="E681" s="6" t="s">
        <v>1035</v>
      </c>
      <c r="F681" s="6" t="s">
        <v>80</v>
      </c>
      <c r="G681" s="7">
        <v>0.04</v>
      </c>
      <c r="H681" s="6" t="s">
        <v>1708</v>
      </c>
      <c r="I681" s="6" t="s">
        <v>20</v>
      </c>
      <c r="J681" s="6">
        <v>2019.0</v>
      </c>
      <c r="K681" s="10">
        <v>46024.0</v>
      </c>
      <c r="L681" s="6">
        <v>1.0</v>
      </c>
      <c r="M681" s="8">
        <f t="shared" si="3"/>
        <v>0.04</v>
      </c>
      <c r="P681" s="9"/>
    </row>
    <row r="682">
      <c r="A682" s="6" t="s">
        <v>1737</v>
      </c>
      <c r="B682" s="6" t="s">
        <v>82</v>
      </c>
      <c r="C682" s="6" t="s">
        <v>15</v>
      </c>
      <c r="D682" s="6" t="s">
        <v>1738</v>
      </c>
      <c r="E682" s="6" t="s">
        <v>1269</v>
      </c>
      <c r="F682" s="6" t="s">
        <v>80</v>
      </c>
      <c r="G682" s="7">
        <v>0.27</v>
      </c>
      <c r="H682" s="6" t="s">
        <v>1739</v>
      </c>
      <c r="I682" s="6" t="s">
        <v>31</v>
      </c>
      <c r="J682" s="6">
        <v>2023.0</v>
      </c>
      <c r="L682" s="6">
        <v>1.0</v>
      </c>
      <c r="M682" s="8">
        <f t="shared" si="3"/>
        <v>0.27</v>
      </c>
      <c r="P682" s="9"/>
    </row>
    <row r="683">
      <c r="A683" s="6" t="s">
        <v>1740</v>
      </c>
      <c r="B683" s="6" t="s">
        <v>1741</v>
      </c>
      <c r="C683" s="6" t="s">
        <v>1667</v>
      </c>
      <c r="D683" s="6" t="s">
        <v>1742</v>
      </c>
      <c r="E683" s="6" t="s">
        <v>1743</v>
      </c>
      <c r="F683" s="6" t="s">
        <v>152</v>
      </c>
      <c r="G683" s="7">
        <v>2.5</v>
      </c>
      <c r="H683" s="6" t="s">
        <v>1744</v>
      </c>
      <c r="I683" s="6" t="s">
        <v>20</v>
      </c>
      <c r="J683" s="6">
        <v>2000.0</v>
      </c>
      <c r="K683" s="10">
        <v>46023.0</v>
      </c>
      <c r="L683" s="6">
        <v>1.0</v>
      </c>
      <c r="M683" s="8">
        <f t="shared" si="3"/>
        <v>2.5</v>
      </c>
      <c r="P683" s="9"/>
    </row>
    <row r="684">
      <c r="A684" s="6" t="s">
        <v>1745</v>
      </c>
      <c r="B684" s="6" t="s">
        <v>1746</v>
      </c>
      <c r="C684" s="6" t="s">
        <v>15</v>
      </c>
      <c r="D684" s="6" t="s">
        <v>1747</v>
      </c>
      <c r="E684" s="6" t="s">
        <v>713</v>
      </c>
      <c r="F684" s="6" t="s">
        <v>152</v>
      </c>
      <c r="G684" s="7">
        <v>0.24</v>
      </c>
      <c r="H684" s="6" t="s">
        <v>1748</v>
      </c>
      <c r="I684" s="6" t="s">
        <v>20</v>
      </c>
      <c r="J684" s="6">
        <v>1993.0</v>
      </c>
      <c r="K684" s="10">
        <v>46023.0</v>
      </c>
      <c r="L684" s="6">
        <v>1.0</v>
      </c>
      <c r="M684" s="8">
        <f t="shared" si="3"/>
        <v>0.24</v>
      </c>
      <c r="P684" s="9"/>
    </row>
    <row r="685">
      <c r="A685" s="6" t="s">
        <v>1749</v>
      </c>
      <c r="B685" s="6" t="s">
        <v>1750</v>
      </c>
      <c r="C685" s="6" t="s">
        <v>15</v>
      </c>
      <c r="D685" s="6" t="s">
        <v>1751</v>
      </c>
      <c r="E685" s="6" t="s">
        <v>713</v>
      </c>
      <c r="F685" s="6" t="s">
        <v>152</v>
      </c>
      <c r="G685" s="7">
        <v>0.25</v>
      </c>
      <c r="H685" s="6" t="s">
        <v>1748</v>
      </c>
      <c r="I685" s="6" t="s">
        <v>20</v>
      </c>
      <c r="J685" s="6">
        <v>1993.0</v>
      </c>
      <c r="L685" s="6">
        <v>1.0</v>
      </c>
      <c r="M685" s="8">
        <f t="shared" si="3"/>
        <v>0.25</v>
      </c>
      <c r="P685" s="9"/>
    </row>
    <row r="686">
      <c r="A686" s="6" t="s">
        <v>1752</v>
      </c>
      <c r="B686" s="6" t="s">
        <v>1753</v>
      </c>
      <c r="C686" s="6" t="s">
        <v>22</v>
      </c>
      <c r="D686" s="6" t="s">
        <v>1754</v>
      </c>
      <c r="E686" s="6" t="s">
        <v>1755</v>
      </c>
      <c r="F686" s="6" t="s">
        <v>152</v>
      </c>
      <c r="G686" s="7">
        <v>0.5</v>
      </c>
      <c r="H686" s="6" t="s">
        <v>1748</v>
      </c>
      <c r="I686" s="6" t="s">
        <v>20</v>
      </c>
      <c r="J686" s="6">
        <v>1993.0</v>
      </c>
      <c r="L686" s="6">
        <v>1.0</v>
      </c>
      <c r="M686" s="8">
        <f t="shared" si="3"/>
        <v>0.5</v>
      </c>
      <c r="P686" s="9"/>
    </row>
    <row r="687">
      <c r="A687" s="6" t="s">
        <v>1756</v>
      </c>
      <c r="B687" s="6" t="s">
        <v>1753</v>
      </c>
      <c r="C687" s="6" t="s">
        <v>15</v>
      </c>
      <c r="D687" s="6" t="s">
        <v>1757</v>
      </c>
      <c r="E687" s="6" t="s">
        <v>1758</v>
      </c>
      <c r="F687" s="6" t="s">
        <v>277</v>
      </c>
      <c r="G687" s="7">
        <v>3.12</v>
      </c>
      <c r="H687" s="6" t="s">
        <v>1748</v>
      </c>
      <c r="I687" s="6" t="s">
        <v>20</v>
      </c>
      <c r="J687" s="6">
        <v>1993.0</v>
      </c>
      <c r="L687" s="6">
        <v>2.0</v>
      </c>
      <c r="M687" s="8">
        <f t="shared" si="3"/>
        <v>6.24</v>
      </c>
      <c r="P687" s="9"/>
    </row>
    <row r="688">
      <c r="A688" s="6" t="s">
        <v>1759</v>
      </c>
      <c r="B688" s="6" t="s">
        <v>610</v>
      </c>
      <c r="C688" s="6" t="s">
        <v>1611</v>
      </c>
      <c r="D688" s="6" t="s">
        <v>1760</v>
      </c>
      <c r="E688" s="6" t="s">
        <v>1761</v>
      </c>
      <c r="F688" s="6" t="s">
        <v>152</v>
      </c>
      <c r="G688" s="7">
        <v>0.75</v>
      </c>
      <c r="H688" s="6" t="s">
        <v>1762</v>
      </c>
      <c r="I688" s="6" t="s">
        <v>20</v>
      </c>
      <c r="J688" s="6">
        <v>2000.0</v>
      </c>
      <c r="L688" s="6">
        <v>1.0</v>
      </c>
      <c r="M688" s="8">
        <f t="shared" si="3"/>
        <v>0.75</v>
      </c>
      <c r="P688" s="9"/>
    </row>
    <row r="689">
      <c r="A689" s="6" t="s">
        <v>1763</v>
      </c>
      <c r="B689" s="6" t="s">
        <v>1750</v>
      </c>
      <c r="C689" s="6" t="s">
        <v>15</v>
      </c>
      <c r="D689" s="6" t="s">
        <v>1764</v>
      </c>
      <c r="E689" s="6" t="s">
        <v>629</v>
      </c>
      <c r="F689" s="6" t="s">
        <v>277</v>
      </c>
      <c r="G689" s="7">
        <v>0.09</v>
      </c>
      <c r="H689" s="6" t="s">
        <v>1765</v>
      </c>
      <c r="I689" s="6" t="s">
        <v>20</v>
      </c>
      <c r="J689" s="6">
        <v>1997.0</v>
      </c>
      <c r="L689" s="6">
        <v>1.0</v>
      </c>
      <c r="M689" s="8">
        <f t="shared" si="3"/>
        <v>0.09</v>
      </c>
      <c r="P689" s="9"/>
    </row>
    <row r="690">
      <c r="A690" s="6" t="s">
        <v>1766</v>
      </c>
      <c r="B690" s="6" t="s">
        <v>1730</v>
      </c>
      <c r="C690" s="6" t="s">
        <v>22</v>
      </c>
      <c r="D690" s="6" t="s">
        <v>1767</v>
      </c>
      <c r="E690" s="6" t="s">
        <v>1718</v>
      </c>
      <c r="F690" s="6" t="s">
        <v>80</v>
      </c>
      <c r="G690" s="7">
        <v>0.14</v>
      </c>
      <c r="H690" s="6" t="s">
        <v>1768</v>
      </c>
      <c r="I690" s="6" t="s">
        <v>20</v>
      </c>
      <c r="J690" s="6">
        <v>1997.0</v>
      </c>
      <c r="K690" s="10">
        <v>46025.0</v>
      </c>
      <c r="L690" s="6">
        <v>1.0</v>
      </c>
      <c r="M690" s="8">
        <f t="shared" si="3"/>
        <v>0.14</v>
      </c>
      <c r="P690" s="9"/>
    </row>
    <row r="691">
      <c r="A691" s="6" t="s">
        <v>1769</v>
      </c>
      <c r="B691" s="6" t="s">
        <v>1730</v>
      </c>
      <c r="C691" s="6" t="s">
        <v>15</v>
      </c>
      <c r="D691" s="6" t="s">
        <v>1770</v>
      </c>
      <c r="E691" s="6" t="s">
        <v>1035</v>
      </c>
      <c r="F691" s="6" t="s">
        <v>80</v>
      </c>
      <c r="G691" s="7">
        <v>0.05</v>
      </c>
      <c r="H691" s="6" t="s">
        <v>1771</v>
      </c>
      <c r="I691" s="6" t="s">
        <v>20</v>
      </c>
      <c r="J691" s="6">
        <v>1995.0</v>
      </c>
      <c r="K691" s="10">
        <v>46023.0</v>
      </c>
      <c r="L691" s="6">
        <v>3.0</v>
      </c>
      <c r="M691" s="8">
        <f t="shared" si="3"/>
        <v>0.15</v>
      </c>
      <c r="P691" s="9"/>
    </row>
    <row r="692">
      <c r="A692" s="6" t="s">
        <v>1772</v>
      </c>
      <c r="B692" s="6" t="s">
        <v>1730</v>
      </c>
      <c r="C692" s="6" t="s">
        <v>22</v>
      </c>
      <c r="D692" s="6" t="s">
        <v>1773</v>
      </c>
      <c r="E692" s="6" t="s">
        <v>1718</v>
      </c>
      <c r="F692" s="6" t="s">
        <v>80</v>
      </c>
      <c r="G692" s="7">
        <v>0.2</v>
      </c>
      <c r="H692" s="6" t="s">
        <v>1774</v>
      </c>
      <c r="I692" s="6" t="s">
        <v>20</v>
      </c>
      <c r="J692" s="6">
        <v>1995.0</v>
      </c>
      <c r="K692" s="6" t="s">
        <v>1775</v>
      </c>
      <c r="L692" s="6">
        <v>1.0</v>
      </c>
      <c r="M692" s="8">
        <f t="shared" si="3"/>
        <v>0.2</v>
      </c>
      <c r="P692" s="9"/>
    </row>
    <row r="693">
      <c r="A693" s="6" t="s">
        <v>1776</v>
      </c>
      <c r="B693" s="6" t="s">
        <v>1777</v>
      </c>
      <c r="C693" s="6" t="s">
        <v>22</v>
      </c>
      <c r="D693" s="6" t="s">
        <v>1778</v>
      </c>
      <c r="E693" s="6" t="s">
        <v>1779</v>
      </c>
      <c r="F693" s="6" t="s">
        <v>152</v>
      </c>
      <c r="G693" s="7">
        <v>0.24</v>
      </c>
      <c r="H693" s="6" t="s">
        <v>1780</v>
      </c>
      <c r="I693" s="6" t="s">
        <v>20</v>
      </c>
      <c r="J693" s="6">
        <v>1994.0</v>
      </c>
      <c r="K693" s="6" t="s">
        <v>1733</v>
      </c>
      <c r="L693" s="6">
        <v>4.0</v>
      </c>
      <c r="M693" s="8">
        <f t="shared" si="3"/>
        <v>0.96</v>
      </c>
      <c r="P693" s="9"/>
    </row>
    <row r="694">
      <c r="A694" s="6" t="s">
        <v>1781</v>
      </c>
      <c r="B694" s="6" t="s">
        <v>1782</v>
      </c>
      <c r="C694" s="6" t="s">
        <v>15</v>
      </c>
      <c r="D694" s="6" t="s">
        <v>1783</v>
      </c>
      <c r="E694" s="6" t="s">
        <v>713</v>
      </c>
      <c r="F694" s="6" t="s">
        <v>152</v>
      </c>
      <c r="G694" s="7">
        <v>0.17</v>
      </c>
      <c r="H694" s="6" t="s">
        <v>1771</v>
      </c>
      <c r="I694" s="6" t="s">
        <v>20</v>
      </c>
      <c r="J694" s="6">
        <v>1995.0</v>
      </c>
      <c r="L694" s="6">
        <v>2.0</v>
      </c>
      <c r="M694" s="8">
        <f t="shared" si="3"/>
        <v>0.34</v>
      </c>
      <c r="P694" s="9"/>
    </row>
    <row r="695">
      <c r="A695" s="6" t="s">
        <v>1784</v>
      </c>
      <c r="B695" s="6" t="s">
        <v>1750</v>
      </c>
      <c r="C695" s="6" t="s">
        <v>15</v>
      </c>
      <c r="D695" s="6" t="s">
        <v>1785</v>
      </c>
      <c r="E695" s="6" t="s">
        <v>713</v>
      </c>
      <c r="F695" s="6" t="s">
        <v>152</v>
      </c>
      <c r="G695" s="7">
        <v>0.15</v>
      </c>
      <c r="H695" s="6" t="s">
        <v>1748</v>
      </c>
      <c r="I695" s="6" t="s">
        <v>20</v>
      </c>
      <c r="J695" s="6">
        <v>1993.0</v>
      </c>
      <c r="L695" s="6">
        <v>1.0</v>
      </c>
      <c r="M695" s="8">
        <f t="shared" si="3"/>
        <v>0.15</v>
      </c>
      <c r="P695" s="9"/>
    </row>
    <row r="696">
      <c r="A696" s="6" t="s">
        <v>1786</v>
      </c>
      <c r="B696" s="6" t="s">
        <v>63</v>
      </c>
      <c r="C696" s="6" t="s">
        <v>15</v>
      </c>
      <c r="D696" s="6" t="s">
        <v>1787</v>
      </c>
      <c r="E696" s="6" t="s">
        <v>1743</v>
      </c>
      <c r="F696" s="6" t="s">
        <v>152</v>
      </c>
      <c r="G696" s="7">
        <v>0.2</v>
      </c>
      <c r="H696" s="6" t="s">
        <v>1771</v>
      </c>
      <c r="I696" s="6" t="s">
        <v>20</v>
      </c>
      <c r="J696" s="6">
        <v>1995.0</v>
      </c>
      <c r="L696" s="6">
        <v>3.0</v>
      </c>
      <c r="M696" s="8">
        <f t="shared" si="3"/>
        <v>0.6</v>
      </c>
      <c r="P696" s="9"/>
    </row>
    <row r="697">
      <c r="A697" s="6" t="s">
        <v>1788</v>
      </c>
      <c r="B697" s="6" t="s">
        <v>1753</v>
      </c>
      <c r="C697" s="6" t="s">
        <v>1667</v>
      </c>
      <c r="D697" s="6" t="s">
        <v>1789</v>
      </c>
      <c r="E697" s="6" t="s">
        <v>1743</v>
      </c>
      <c r="F697" s="6" t="s">
        <v>152</v>
      </c>
      <c r="G697" s="7">
        <v>0.1</v>
      </c>
      <c r="H697" s="6" t="s">
        <v>1790</v>
      </c>
      <c r="I697" s="6" t="s">
        <v>1791</v>
      </c>
      <c r="J697" s="6">
        <v>1995.0</v>
      </c>
      <c r="L697" s="6">
        <v>1.0</v>
      </c>
      <c r="M697" s="8">
        <f t="shared" si="3"/>
        <v>0.1</v>
      </c>
      <c r="P697" s="9"/>
    </row>
    <row r="698">
      <c r="A698" s="6" t="s">
        <v>1792</v>
      </c>
      <c r="B698" s="6" t="s">
        <v>385</v>
      </c>
      <c r="C698" s="6" t="s">
        <v>1611</v>
      </c>
      <c r="D698" s="6" t="s">
        <v>1793</v>
      </c>
      <c r="E698" s="6" t="s">
        <v>1794</v>
      </c>
      <c r="F698" s="6" t="s">
        <v>1795</v>
      </c>
      <c r="G698" s="7">
        <v>6.8</v>
      </c>
      <c r="H698" s="6" t="s">
        <v>1796</v>
      </c>
      <c r="I698" s="6" t="s">
        <v>1791</v>
      </c>
      <c r="J698" s="6">
        <v>1998.0</v>
      </c>
      <c r="L698" s="6">
        <v>1.0</v>
      </c>
      <c r="M698" s="8">
        <f t="shared" si="3"/>
        <v>6.8</v>
      </c>
      <c r="P698" s="9"/>
    </row>
    <row r="699">
      <c r="A699" s="6" t="s">
        <v>1797</v>
      </c>
      <c r="B699" s="6" t="s">
        <v>1798</v>
      </c>
      <c r="C699" s="6" t="s">
        <v>1611</v>
      </c>
      <c r="D699" s="6" t="s">
        <v>1799</v>
      </c>
      <c r="E699" s="6" t="s">
        <v>629</v>
      </c>
      <c r="F699" s="6" t="s">
        <v>277</v>
      </c>
      <c r="G699" s="7">
        <v>1.25</v>
      </c>
      <c r="H699" s="6" t="s">
        <v>1796</v>
      </c>
      <c r="I699" s="6" t="s">
        <v>1791</v>
      </c>
      <c r="J699" s="6">
        <v>1998.0</v>
      </c>
      <c r="L699" s="6">
        <v>1.0</v>
      </c>
      <c r="M699" s="8">
        <f t="shared" si="3"/>
        <v>1.25</v>
      </c>
      <c r="P699" s="9"/>
    </row>
    <row r="700">
      <c r="A700" s="6" t="s">
        <v>1800</v>
      </c>
      <c r="B700" s="6" t="s">
        <v>1753</v>
      </c>
      <c r="C700" s="6" t="s">
        <v>1611</v>
      </c>
      <c r="D700" s="6" t="s">
        <v>1801</v>
      </c>
      <c r="E700" s="6" t="s">
        <v>1802</v>
      </c>
      <c r="F700" s="6" t="s">
        <v>1795</v>
      </c>
      <c r="G700" s="7">
        <v>29.98</v>
      </c>
      <c r="H700" s="6" t="s">
        <v>1796</v>
      </c>
      <c r="I700" s="6" t="s">
        <v>1791</v>
      </c>
      <c r="J700" s="6">
        <v>1998.0</v>
      </c>
      <c r="L700" s="6">
        <v>1.0</v>
      </c>
      <c r="M700" s="8">
        <f t="shared" si="3"/>
        <v>29.98</v>
      </c>
      <c r="P700" s="9"/>
    </row>
    <row r="701">
      <c r="A701" s="6" t="s">
        <v>1803</v>
      </c>
      <c r="B701" s="6" t="s">
        <v>610</v>
      </c>
      <c r="C701" s="6" t="s">
        <v>1667</v>
      </c>
      <c r="D701" s="6" t="s">
        <v>1804</v>
      </c>
      <c r="E701" s="6" t="s">
        <v>1743</v>
      </c>
      <c r="F701" s="6" t="s">
        <v>1795</v>
      </c>
      <c r="G701" s="7">
        <v>0.05</v>
      </c>
      <c r="H701" s="6" t="s">
        <v>1805</v>
      </c>
      <c r="I701" s="6" t="s">
        <v>1791</v>
      </c>
      <c r="J701" s="6">
        <v>1996.0</v>
      </c>
      <c r="L701" s="6">
        <v>1.0</v>
      </c>
      <c r="M701" s="8">
        <f t="shared" si="3"/>
        <v>0.05</v>
      </c>
      <c r="P701" s="9"/>
    </row>
    <row r="702">
      <c r="A702" s="6" t="s">
        <v>1806</v>
      </c>
      <c r="B702" s="6" t="s">
        <v>1753</v>
      </c>
      <c r="C702" s="6" t="s">
        <v>1667</v>
      </c>
      <c r="D702" s="6" t="s">
        <v>1807</v>
      </c>
      <c r="E702" s="6" t="s">
        <v>1743</v>
      </c>
      <c r="F702" s="6" t="s">
        <v>1795</v>
      </c>
      <c r="G702" s="7">
        <v>0.24</v>
      </c>
      <c r="H702" s="6" t="s">
        <v>1771</v>
      </c>
      <c r="I702" s="6" t="s">
        <v>1791</v>
      </c>
      <c r="J702" s="6">
        <v>1995.0</v>
      </c>
      <c r="L702" s="6">
        <v>4.0</v>
      </c>
      <c r="M702" s="8">
        <f t="shared" si="3"/>
        <v>0.96</v>
      </c>
      <c r="P702" s="9"/>
    </row>
    <row r="703">
      <c r="A703" s="6" t="s">
        <v>1808</v>
      </c>
      <c r="B703" s="6" t="s">
        <v>1809</v>
      </c>
      <c r="C703" s="6" t="s">
        <v>1667</v>
      </c>
      <c r="D703" s="6" t="s">
        <v>1810</v>
      </c>
      <c r="E703" s="6" t="s">
        <v>1811</v>
      </c>
      <c r="F703" s="6" t="s">
        <v>1795</v>
      </c>
      <c r="G703" s="7">
        <v>0.25</v>
      </c>
      <c r="H703" s="6" t="s">
        <v>1796</v>
      </c>
      <c r="I703" s="6" t="s">
        <v>1791</v>
      </c>
      <c r="J703" s="6">
        <v>1998.0</v>
      </c>
      <c r="K703" s="10">
        <v>46055.0</v>
      </c>
      <c r="L703" s="6">
        <v>2.0</v>
      </c>
      <c r="M703" s="8">
        <f t="shared" si="3"/>
        <v>0.5</v>
      </c>
      <c r="P703" s="9"/>
    </row>
    <row r="704">
      <c r="A704" s="6" t="s">
        <v>1812</v>
      </c>
      <c r="B704" s="6" t="s">
        <v>1813</v>
      </c>
      <c r="C704" s="6" t="s">
        <v>1628</v>
      </c>
      <c r="D704" s="6" t="s">
        <v>1814</v>
      </c>
      <c r="E704" s="6" t="s">
        <v>1732</v>
      </c>
      <c r="F704" s="6" t="s">
        <v>1669</v>
      </c>
      <c r="G704" s="7">
        <v>0.45</v>
      </c>
      <c r="H704" s="6" t="s">
        <v>1768</v>
      </c>
      <c r="I704" s="6" t="s">
        <v>1791</v>
      </c>
      <c r="J704" s="6">
        <v>1997.0</v>
      </c>
      <c r="L704" s="6">
        <v>1.0</v>
      </c>
      <c r="M704" s="8">
        <f t="shared" si="3"/>
        <v>0.45</v>
      </c>
      <c r="P704" s="9"/>
    </row>
    <row r="705">
      <c r="A705" s="6" t="s">
        <v>1815</v>
      </c>
      <c r="B705" s="6" t="s">
        <v>1816</v>
      </c>
      <c r="C705" s="6" t="s">
        <v>1667</v>
      </c>
      <c r="D705" s="6" t="s">
        <v>1817</v>
      </c>
      <c r="E705" s="6" t="s">
        <v>713</v>
      </c>
      <c r="F705" s="6" t="s">
        <v>1795</v>
      </c>
      <c r="G705" s="7">
        <v>0.1</v>
      </c>
      <c r="H705" s="6" t="s">
        <v>1818</v>
      </c>
      <c r="I705" s="6" t="s">
        <v>1791</v>
      </c>
      <c r="J705" s="6">
        <v>1999.0</v>
      </c>
      <c r="K705" s="10">
        <v>46023.0</v>
      </c>
      <c r="L705" s="6">
        <v>1.0</v>
      </c>
      <c r="M705" s="8">
        <f t="shared" si="3"/>
        <v>0.1</v>
      </c>
      <c r="P705" s="9"/>
    </row>
    <row r="706">
      <c r="A706" s="6" t="s">
        <v>1815</v>
      </c>
      <c r="B706" s="6" t="s">
        <v>1816</v>
      </c>
      <c r="C706" s="6" t="s">
        <v>1667</v>
      </c>
      <c r="D706" s="6" t="s">
        <v>1817</v>
      </c>
      <c r="E706" s="6" t="s">
        <v>713</v>
      </c>
      <c r="F706" s="6" t="s">
        <v>1795</v>
      </c>
      <c r="G706" s="7">
        <v>0.28</v>
      </c>
      <c r="H706" s="6" t="s">
        <v>1819</v>
      </c>
      <c r="I706" s="6" t="s">
        <v>1791</v>
      </c>
      <c r="J706" s="6">
        <v>1995.0</v>
      </c>
      <c r="K706" s="10">
        <v>46023.0</v>
      </c>
      <c r="L706" s="6">
        <v>6.0</v>
      </c>
      <c r="M706" s="8">
        <f t="shared" si="3"/>
        <v>1.68</v>
      </c>
      <c r="P706" s="9"/>
    </row>
    <row r="707">
      <c r="A707" s="6" t="s">
        <v>1820</v>
      </c>
      <c r="B707" s="6" t="s">
        <v>1821</v>
      </c>
      <c r="C707" s="6" t="s">
        <v>1611</v>
      </c>
      <c r="D707" s="6" t="s">
        <v>1822</v>
      </c>
      <c r="E707" s="6" t="s">
        <v>1823</v>
      </c>
      <c r="F707" s="6" t="s">
        <v>1795</v>
      </c>
      <c r="G707" s="7">
        <v>1.25</v>
      </c>
      <c r="H707" s="6" t="s">
        <v>1762</v>
      </c>
      <c r="I707" s="6" t="s">
        <v>1791</v>
      </c>
      <c r="J707" s="6">
        <v>2000.0</v>
      </c>
      <c r="K707" s="10">
        <v>46269.0</v>
      </c>
      <c r="L707" s="6">
        <v>2.0</v>
      </c>
      <c r="M707" s="8">
        <f t="shared" si="3"/>
        <v>2.5</v>
      </c>
      <c r="P707" s="9"/>
    </row>
    <row r="708">
      <c r="A708" s="6" t="s">
        <v>1824</v>
      </c>
      <c r="B708" s="6" t="s">
        <v>1782</v>
      </c>
      <c r="C708" s="6" t="s">
        <v>15</v>
      </c>
      <c r="D708" s="6" t="s">
        <v>1825</v>
      </c>
      <c r="E708" s="6" t="s">
        <v>713</v>
      </c>
      <c r="F708" s="6" t="s">
        <v>152</v>
      </c>
      <c r="G708" s="7">
        <v>0.13</v>
      </c>
      <c r="H708" s="6" t="s">
        <v>1771</v>
      </c>
      <c r="I708" s="6" t="s">
        <v>20</v>
      </c>
      <c r="J708" s="6">
        <v>1995.0</v>
      </c>
      <c r="L708" s="6">
        <v>1.0</v>
      </c>
      <c r="M708" s="8">
        <f t="shared" si="3"/>
        <v>0.13</v>
      </c>
      <c r="P708" s="9"/>
    </row>
    <row r="709">
      <c r="A709" s="6" t="s">
        <v>1824</v>
      </c>
      <c r="B709" s="6" t="s">
        <v>1782</v>
      </c>
      <c r="C709" s="6" t="s">
        <v>15</v>
      </c>
      <c r="D709" s="6" t="s">
        <v>1825</v>
      </c>
      <c r="E709" s="6" t="s">
        <v>713</v>
      </c>
      <c r="F709" s="6" t="s">
        <v>152</v>
      </c>
      <c r="G709" s="7">
        <v>0.09</v>
      </c>
      <c r="H709" s="6" t="s">
        <v>1790</v>
      </c>
      <c r="I709" s="6" t="s">
        <v>20</v>
      </c>
      <c r="J709" s="6">
        <v>1995.0</v>
      </c>
      <c r="L709" s="6">
        <v>1.0</v>
      </c>
      <c r="M709" s="8">
        <f t="shared" si="3"/>
        <v>0.09</v>
      </c>
      <c r="P709" s="9"/>
    </row>
    <row r="710">
      <c r="A710" s="6" t="s">
        <v>1826</v>
      </c>
      <c r="B710" s="6" t="s">
        <v>63</v>
      </c>
      <c r="C710" s="6" t="s">
        <v>22</v>
      </c>
      <c r="D710" s="6" t="s">
        <v>1827</v>
      </c>
      <c r="E710" s="6" t="s">
        <v>1761</v>
      </c>
      <c r="F710" s="6" t="s">
        <v>152</v>
      </c>
      <c r="G710" s="7">
        <v>0.43</v>
      </c>
      <c r="H710" s="6" t="s">
        <v>1771</v>
      </c>
      <c r="I710" s="6" t="s">
        <v>20</v>
      </c>
      <c r="J710" s="6">
        <v>1995.0</v>
      </c>
      <c r="L710" s="6">
        <v>1.0</v>
      </c>
      <c r="M710" s="8">
        <f t="shared" si="3"/>
        <v>0.43</v>
      </c>
      <c r="P710" s="9"/>
    </row>
    <row r="711">
      <c r="A711" s="6" t="s">
        <v>1826</v>
      </c>
      <c r="B711" s="6" t="s">
        <v>63</v>
      </c>
      <c r="C711" s="6" t="s">
        <v>22</v>
      </c>
      <c r="D711" s="6" t="s">
        <v>1827</v>
      </c>
      <c r="E711" s="6" t="s">
        <v>1761</v>
      </c>
      <c r="F711" s="6" t="s">
        <v>152</v>
      </c>
      <c r="G711" s="7">
        <v>0.17</v>
      </c>
      <c r="H711" s="6" t="s">
        <v>1771</v>
      </c>
      <c r="I711" s="6" t="s">
        <v>20</v>
      </c>
      <c r="J711" s="6">
        <v>1999.0</v>
      </c>
      <c r="L711" s="6">
        <v>1.0</v>
      </c>
      <c r="M711" s="8">
        <f t="shared" si="3"/>
        <v>0.17</v>
      </c>
      <c r="P711" s="9"/>
    </row>
    <row r="712">
      <c r="A712" s="6" t="s">
        <v>1828</v>
      </c>
      <c r="B712" s="6" t="s">
        <v>1829</v>
      </c>
      <c r="C712" s="6" t="s">
        <v>1667</v>
      </c>
      <c r="D712" s="6" t="s">
        <v>1830</v>
      </c>
      <c r="E712" s="6" t="s">
        <v>1761</v>
      </c>
      <c r="F712" s="6" t="s">
        <v>1795</v>
      </c>
      <c r="G712" s="7">
        <v>0.07</v>
      </c>
      <c r="H712" s="6" t="s">
        <v>1831</v>
      </c>
      <c r="I712" s="6" t="s">
        <v>1791</v>
      </c>
      <c r="J712" s="6">
        <v>1995.0</v>
      </c>
      <c r="K712" s="10">
        <v>46055.0</v>
      </c>
      <c r="L712" s="6">
        <v>5.0</v>
      </c>
      <c r="M712" s="8">
        <f t="shared" si="3"/>
        <v>0.35</v>
      </c>
      <c r="P712" s="9"/>
    </row>
    <row r="713">
      <c r="A713" s="6" t="s">
        <v>1832</v>
      </c>
      <c r="B713" s="6" t="s">
        <v>1833</v>
      </c>
      <c r="C713" s="6" t="s">
        <v>1667</v>
      </c>
      <c r="D713" s="6" t="s">
        <v>1834</v>
      </c>
      <c r="E713" s="6" t="s">
        <v>713</v>
      </c>
      <c r="F713" s="6" t="s">
        <v>1795</v>
      </c>
      <c r="G713" s="7">
        <v>0.05</v>
      </c>
      <c r="H713" s="6" t="s">
        <v>1762</v>
      </c>
      <c r="I713" s="6" t="s">
        <v>1791</v>
      </c>
      <c r="J713" s="6">
        <v>2000.0</v>
      </c>
      <c r="K713" s="10">
        <v>46023.0</v>
      </c>
      <c r="L713" s="6">
        <v>2.0</v>
      </c>
      <c r="M713" s="8">
        <f t="shared" si="3"/>
        <v>0.1</v>
      </c>
      <c r="P713" s="9"/>
    </row>
    <row r="714">
      <c r="A714" s="6" t="s">
        <v>1835</v>
      </c>
      <c r="B714" s="6" t="s">
        <v>1836</v>
      </c>
      <c r="C714" s="6" t="s">
        <v>1628</v>
      </c>
      <c r="D714" s="6" t="s">
        <v>1837</v>
      </c>
      <c r="E714" s="6" t="s">
        <v>1838</v>
      </c>
      <c r="F714" s="6" t="s">
        <v>152</v>
      </c>
      <c r="G714" s="7">
        <v>0.15</v>
      </c>
      <c r="H714" s="6" t="s">
        <v>1744</v>
      </c>
      <c r="I714" s="6" t="s">
        <v>20</v>
      </c>
      <c r="J714" s="6">
        <v>2000.0</v>
      </c>
      <c r="K714" s="10">
        <v>46084.0</v>
      </c>
      <c r="L714" s="6">
        <v>2.0</v>
      </c>
      <c r="M714" s="8">
        <f t="shared" si="3"/>
        <v>0.3</v>
      </c>
      <c r="P714" s="9"/>
    </row>
    <row r="715">
      <c r="A715" s="6" t="s">
        <v>1839</v>
      </c>
      <c r="B715" s="6" t="s">
        <v>1750</v>
      </c>
      <c r="C715" s="6" t="s">
        <v>15</v>
      </c>
      <c r="D715" s="6" t="s">
        <v>1840</v>
      </c>
      <c r="E715" s="6" t="s">
        <v>1755</v>
      </c>
      <c r="F715" s="6" t="s">
        <v>152</v>
      </c>
      <c r="G715" s="7">
        <v>0.05</v>
      </c>
      <c r="H715" s="6" t="s">
        <v>1771</v>
      </c>
      <c r="I715" s="6" t="s">
        <v>20</v>
      </c>
      <c r="J715" s="6">
        <v>1995.0</v>
      </c>
      <c r="L715" s="6">
        <v>2.0</v>
      </c>
      <c r="M715" s="8">
        <f t="shared" si="3"/>
        <v>0.1</v>
      </c>
      <c r="P715" s="9"/>
    </row>
    <row r="716">
      <c r="A716" s="6" t="s">
        <v>1841</v>
      </c>
      <c r="B716" s="6" t="s">
        <v>1730</v>
      </c>
      <c r="C716" s="6" t="s">
        <v>1628</v>
      </c>
      <c r="D716" s="6" t="s">
        <v>1731</v>
      </c>
      <c r="E716" s="6" t="s">
        <v>1718</v>
      </c>
      <c r="F716" s="6" t="s">
        <v>80</v>
      </c>
      <c r="G716" s="7">
        <v>2.99</v>
      </c>
      <c r="H716" s="6" t="s">
        <v>1805</v>
      </c>
      <c r="I716" s="6" t="s">
        <v>20</v>
      </c>
      <c r="J716" s="6">
        <v>1996.0</v>
      </c>
      <c r="K716" s="10">
        <v>46143.0</v>
      </c>
      <c r="L716" s="6">
        <v>3.0</v>
      </c>
      <c r="M716" s="8">
        <f t="shared" si="3"/>
        <v>8.97</v>
      </c>
      <c r="P716" s="9"/>
    </row>
    <row r="717">
      <c r="A717" s="6" t="s">
        <v>1842</v>
      </c>
      <c r="B717" s="6" t="s">
        <v>1843</v>
      </c>
      <c r="C717" s="6" t="s">
        <v>1628</v>
      </c>
      <c r="D717" s="6" t="s">
        <v>1844</v>
      </c>
      <c r="E717" s="6" t="s">
        <v>1779</v>
      </c>
      <c r="F717" s="6" t="s">
        <v>1795</v>
      </c>
      <c r="G717" s="7">
        <v>0.09</v>
      </c>
      <c r="H717" s="6" t="s">
        <v>1762</v>
      </c>
      <c r="I717" s="6" t="s">
        <v>1791</v>
      </c>
      <c r="J717" s="6">
        <v>2000.0</v>
      </c>
      <c r="K717" s="10">
        <v>46023.0</v>
      </c>
      <c r="L717" s="6">
        <v>2.0</v>
      </c>
      <c r="M717" s="8">
        <f t="shared" si="3"/>
        <v>0.18</v>
      </c>
      <c r="P717" s="9"/>
    </row>
    <row r="718">
      <c r="A718" s="6" t="s">
        <v>1845</v>
      </c>
      <c r="B718" s="6" t="s">
        <v>1846</v>
      </c>
      <c r="C718" s="6" t="s">
        <v>1667</v>
      </c>
      <c r="D718" s="6" t="s">
        <v>1847</v>
      </c>
      <c r="E718" s="6" t="s">
        <v>1811</v>
      </c>
      <c r="F718" s="6" t="s">
        <v>1795</v>
      </c>
      <c r="G718" s="7">
        <v>0.25</v>
      </c>
      <c r="H718" s="6" t="s">
        <v>1796</v>
      </c>
      <c r="I718" s="6" t="s">
        <v>1791</v>
      </c>
      <c r="J718" s="6">
        <v>1998.0</v>
      </c>
      <c r="K718" s="10">
        <v>46055.0</v>
      </c>
      <c r="L718" s="6">
        <v>2.0</v>
      </c>
      <c r="M718" s="8">
        <f t="shared" si="3"/>
        <v>0.5</v>
      </c>
      <c r="P718" s="9"/>
    </row>
    <row r="719">
      <c r="A719" s="6" t="s">
        <v>1848</v>
      </c>
      <c r="B719" s="6" t="s">
        <v>1753</v>
      </c>
      <c r="C719" s="6" t="s">
        <v>1667</v>
      </c>
      <c r="D719" s="6" t="s">
        <v>1849</v>
      </c>
      <c r="E719" s="6" t="s">
        <v>1743</v>
      </c>
      <c r="F719" s="6" t="s">
        <v>1795</v>
      </c>
      <c r="G719" s="7">
        <v>0.2</v>
      </c>
      <c r="H719" s="6" t="s">
        <v>1771</v>
      </c>
      <c r="I719" s="6" t="s">
        <v>1791</v>
      </c>
      <c r="J719" s="6">
        <v>1995.0</v>
      </c>
      <c r="L719" s="6">
        <v>3.0</v>
      </c>
      <c r="M719" s="8">
        <f t="shared" si="3"/>
        <v>0.6</v>
      </c>
      <c r="P719" s="9"/>
    </row>
    <row r="720">
      <c r="A720" s="6" t="s">
        <v>1850</v>
      </c>
      <c r="B720" s="6" t="s">
        <v>1851</v>
      </c>
      <c r="C720" s="6" t="s">
        <v>1611</v>
      </c>
      <c r="D720" s="6" t="s">
        <v>1852</v>
      </c>
      <c r="E720" s="6" t="s">
        <v>1853</v>
      </c>
      <c r="F720" s="6" t="s">
        <v>277</v>
      </c>
      <c r="G720" s="7">
        <v>0.25</v>
      </c>
      <c r="H720" s="6" t="s">
        <v>1796</v>
      </c>
      <c r="I720" s="6" t="s">
        <v>1791</v>
      </c>
      <c r="J720" s="6">
        <v>1998.0</v>
      </c>
      <c r="K720" s="10">
        <v>46084.0</v>
      </c>
      <c r="L720" s="6">
        <v>2.0</v>
      </c>
      <c r="M720" s="8">
        <f t="shared" si="3"/>
        <v>0.5</v>
      </c>
      <c r="P720" s="9"/>
    </row>
    <row r="721">
      <c r="A721" s="6" t="s">
        <v>1854</v>
      </c>
      <c r="B721" s="6" t="s">
        <v>1809</v>
      </c>
      <c r="C721" s="6" t="s">
        <v>1611</v>
      </c>
      <c r="D721" s="6" t="s">
        <v>1855</v>
      </c>
      <c r="E721" s="6" t="s">
        <v>1856</v>
      </c>
      <c r="F721" s="6" t="s">
        <v>277</v>
      </c>
      <c r="G721" s="7">
        <v>0.3</v>
      </c>
      <c r="H721" s="6" t="s">
        <v>1796</v>
      </c>
      <c r="I721" s="6" t="s">
        <v>1791</v>
      </c>
      <c r="J721" s="6">
        <v>1998.0</v>
      </c>
      <c r="K721" s="10">
        <v>46023.0</v>
      </c>
      <c r="L721" s="6">
        <v>2.0</v>
      </c>
      <c r="M721" s="8">
        <f t="shared" si="3"/>
        <v>0.6</v>
      </c>
      <c r="P721" s="9"/>
    </row>
    <row r="722">
      <c r="A722" s="6" t="s">
        <v>1857</v>
      </c>
      <c r="B722" s="6" t="s">
        <v>554</v>
      </c>
      <c r="C722" s="6" t="s">
        <v>1628</v>
      </c>
      <c r="D722" s="6" t="s">
        <v>1858</v>
      </c>
      <c r="E722" s="6" t="s">
        <v>1035</v>
      </c>
      <c r="F722" s="6" t="s">
        <v>80</v>
      </c>
      <c r="G722" s="7">
        <v>0.1</v>
      </c>
      <c r="H722" s="6" t="s">
        <v>1771</v>
      </c>
      <c r="I722" s="6" t="s">
        <v>20</v>
      </c>
      <c r="J722" s="6">
        <v>1995.0</v>
      </c>
      <c r="L722" s="6">
        <v>1.0</v>
      </c>
      <c r="M722" s="8">
        <f t="shared" si="3"/>
        <v>0.1</v>
      </c>
      <c r="P722" s="9"/>
    </row>
    <row r="723">
      <c r="A723" s="6" t="s">
        <v>1859</v>
      </c>
      <c r="B723" s="6" t="s">
        <v>1730</v>
      </c>
      <c r="C723" s="6" t="s">
        <v>1628</v>
      </c>
      <c r="D723" s="6" t="s">
        <v>1860</v>
      </c>
      <c r="E723" s="6" t="s">
        <v>1032</v>
      </c>
      <c r="F723" s="6" t="s">
        <v>1669</v>
      </c>
      <c r="G723" s="7">
        <v>0.25</v>
      </c>
      <c r="H723" s="6" t="s">
        <v>1861</v>
      </c>
      <c r="I723" s="6" t="s">
        <v>1791</v>
      </c>
      <c r="J723" s="6">
        <v>1997.0</v>
      </c>
      <c r="K723" s="10">
        <v>46055.0</v>
      </c>
      <c r="L723" s="6">
        <v>1.0</v>
      </c>
      <c r="M723" s="8">
        <f t="shared" si="3"/>
        <v>0.25</v>
      </c>
      <c r="P723" s="9"/>
    </row>
    <row r="724">
      <c r="A724" s="6" t="s">
        <v>1862</v>
      </c>
      <c r="B724" s="6" t="s">
        <v>554</v>
      </c>
      <c r="C724" s="6" t="s">
        <v>1667</v>
      </c>
      <c r="D724" s="6" t="s">
        <v>1863</v>
      </c>
      <c r="E724" s="6" t="s">
        <v>1035</v>
      </c>
      <c r="F724" s="6" t="s">
        <v>1669</v>
      </c>
      <c r="G724" s="7">
        <v>0.09</v>
      </c>
      <c r="H724" s="6" t="s">
        <v>1861</v>
      </c>
      <c r="I724" s="6" t="s">
        <v>1791</v>
      </c>
      <c r="J724" s="6">
        <v>1997.0</v>
      </c>
      <c r="L724" s="6">
        <v>1.0</v>
      </c>
      <c r="M724" s="8">
        <f t="shared" si="3"/>
        <v>0.09</v>
      </c>
      <c r="P724" s="9"/>
    </row>
    <row r="725">
      <c r="A725" s="6" t="s">
        <v>1862</v>
      </c>
      <c r="B725" s="6" t="s">
        <v>554</v>
      </c>
      <c r="C725" s="6" t="s">
        <v>1667</v>
      </c>
      <c r="D725" s="6" t="s">
        <v>1863</v>
      </c>
      <c r="E725" s="6" t="s">
        <v>1035</v>
      </c>
      <c r="F725" s="6" t="s">
        <v>1669</v>
      </c>
      <c r="G725" s="7">
        <v>0.05</v>
      </c>
      <c r="H725" s="6" t="s">
        <v>1861</v>
      </c>
      <c r="I725" s="6" t="s">
        <v>1791</v>
      </c>
      <c r="J725" s="6">
        <v>1995.0</v>
      </c>
      <c r="L725" s="6">
        <v>1.0</v>
      </c>
      <c r="M725" s="8">
        <f t="shared" si="3"/>
        <v>0.05</v>
      </c>
      <c r="P725" s="9"/>
    </row>
    <row r="726">
      <c r="A726" s="6" t="s">
        <v>1864</v>
      </c>
      <c r="B726" s="6" t="s">
        <v>610</v>
      </c>
      <c r="C726" s="6" t="s">
        <v>1667</v>
      </c>
      <c r="D726" s="6" t="s">
        <v>1865</v>
      </c>
      <c r="E726" s="6" t="s">
        <v>1743</v>
      </c>
      <c r="F726" s="6" t="s">
        <v>1795</v>
      </c>
      <c r="G726" s="7">
        <v>0.09</v>
      </c>
      <c r="H726" s="6" t="s">
        <v>1866</v>
      </c>
      <c r="I726" s="6" t="s">
        <v>1791</v>
      </c>
      <c r="J726" s="6">
        <v>1999.0</v>
      </c>
      <c r="L726" s="6">
        <v>1.0</v>
      </c>
      <c r="M726" s="8">
        <f t="shared" si="3"/>
        <v>0.09</v>
      </c>
      <c r="P726" s="9"/>
    </row>
    <row r="727">
      <c r="A727" s="6" t="s">
        <v>1867</v>
      </c>
      <c r="B727" s="6" t="s">
        <v>1868</v>
      </c>
      <c r="C727" s="6" t="s">
        <v>295</v>
      </c>
      <c r="D727" s="6" t="s">
        <v>1869</v>
      </c>
      <c r="E727" s="6" t="s">
        <v>713</v>
      </c>
      <c r="F727" s="6" t="s">
        <v>152</v>
      </c>
      <c r="G727" s="7">
        <v>0.05</v>
      </c>
      <c r="H727" s="6" t="s">
        <v>1771</v>
      </c>
      <c r="I727" s="6" t="s">
        <v>1791</v>
      </c>
      <c r="J727" s="6">
        <v>1995.0</v>
      </c>
      <c r="K727" s="10">
        <v>46023.0</v>
      </c>
      <c r="L727" s="6">
        <v>1.0</v>
      </c>
      <c r="M727" s="8">
        <f t="shared" si="3"/>
        <v>0.05</v>
      </c>
      <c r="P727" s="9"/>
    </row>
    <row r="728">
      <c r="A728" s="6" t="s">
        <v>1870</v>
      </c>
      <c r="B728" s="6" t="s">
        <v>1871</v>
      </c>
      <c r="C728" s="6" t="s">
        <v>1611</v>
      </c>
      <c r="D728" s="6" t="s">
        <v>1872</v>
      </c>
      <c r="E728" s="6" t="s">
        <v>1761</v>
      </c>
      <c r="F728" s="6" t="s">
        <v>1795</v>
      </c>
      <c r="G728" s="7">
        <v>0.25</v>
      </c>
      <c r="H728" s="6" t="s">
        <v>1796</v>
      </c>
      <c r="I728" s="6" t="s">
        <v>1791</v>
      </c>
      <c r="J728" s="6">
        <v>1998.0</v>
      </c>
      <c r="K728" s="10">
        <v>46025.0</v>
      </c>
      <c r="L728" s="6">
        <v>1.0</v>
      </c>
      <c r="M728" s="8">
        <f t="shared" si="3"/>
        <v>0.25</v>
      </c>
      <c r="P728" s="9"/>
    </row>
    <row r="729">
      <c r="A729" s="6" t="s">
        <v>1873</v>
      </c>
      <c r="B729" s="6" t="s">
        <v>554</v>
      </c>
      <c r="C729" s="6" t="s">
        <v>1628</v>
      </c>
      <c r="D729" s="6" t="s">
        <v>1874</v>
      </c>
      <c r="E729" s="6" t="s">
        <v>1035</v>
      </c>
      <c r="F729" s="6" t="s">
        <v>1669</v>
      </c>
      <c r="G729" s="7">
        <v>5.1</v>
      </c>
      <c r="H729" s="6" t="s">
        <v>1805</v>
      </c>
      <c r="I729" s="6" t="s">
        <v>1791</v>
      </c>
      <c r="J729" s="6">
        <v>1996.0</v>
      </c>
      <c r="L729" s="6">
        <v>1.0</v>
      </c>
      <c r="M729" s="8">
        <f t="shared" si="3"/>
        <v>5.1</v>
      </c>
      <c r="P729" s="9"/>
    </row>
    <row r="730">
      <c r="A730" s="6" t="s">
        <v>1875</v>
      </c>
      <c r="B730" s="6" t="s">
        <v>554</v>
      </c>
      <c r="C730" s="6" t="s">
        <v>1628</v>
      </c>
      <c r="D730" s="6" t="s">
        <v>1876</v>
      </c>
      <c r="E730" s="6" t="s">
        <v>1269</v>
      </c>
      <c r="F730" s="6" t="s">
        <v>1669</v>
      </c>
      <c r="G730" s="7">
        <v>0.39</v>
      </c>
      <c r="H730" s="6" t="s">
        <v>1866</v>
      </c>
      <c r="I730" s="6" t="s">
        <v>1791</v>
      </c>
      <c r="J730" s="6">
        <v>1999.0</v>
      </c>
      <c r="L730" s="6">
        <v>1.0</v>
      </c>
      <c r="M730" s="8">
        <f t="shared" si="3"/>
        <v>0.39</v>
      </c>
      <c r="P730" s="9"/>
    </row>
    <row r="731">
      <c r="A731" s="6" t="s">
        <v>1877</v>
      </c>
      <c r="B731" s="6" t="s">
        <v>1750</v>
      </c>
      <c r="C731" s="6" t="s">
        <v>1628</v>
      </c>
      <c r="D731" s="6" t="s">
        <v>1878</v>
      </c>
      <c r="G731" s="7">
        <v>0.27</v>
      </c>
      <c r="H731" s="6" t="s">
        <v>1879</v>
      </c>
      <c r="I731" s="6" t="s">
        <v>20</v>
      </c>
      <c r="J731" s="6">
        <v>1994.0</v>
      </c>
      <c r="L731" s="6">
        <v>1.0</v>
      </c>
      <c r="M731" s="8">
        <f t="shared" si="3"/>
        <v>0.27</v>
      </c>
      <c r="P731" s="9"/>
    </row>
    <row r="732">
      <c r="A732" s="6" t="s">
        <v>1880</v>
      </c>
      <c r="B732" s="6" t="s">
        <v>554</v>
      </c>
      <c r="C732" s="6" t="s">
        <v>1628</v>
      </c>
      <c r="D732" s="6" t="s">
        <v>1881</v>
      </c>
      <c r="E732" s="6" t="s">
        <v>1269</v>
      </c>
      <c r="F732" s="6" t="s">
        <v>1669</v>
      </c>
      <c r="G732" s="7">
        <v>0.9</v>
      </c>
      <c r="H732" s="6" t="s">
        <v>1765</v>
      </c>
      <c r="I732" s="6" t="s">
        <v>1791</v>
      </c>
      <c r="J732" s="6">
        <v>1997.0</v>
      </c>
      <c r="L732" s="6">
        <v>1.0</v>
      </c>
      <c r="M732" s="8">
        <f t="shared" si="3"/>
        <v>0.9</v>
      </c>
      <c r="P732" s="9"/>
    </row>
    <row r="733">
      <c r="A733" s="6" t="s">
        <v>1882</v>
      </c>
      <c r="B733" s="6" t="s">
        <v>1883</v>
      </c>
      <c r="C733" s="6" t="s">
        <v>295</v>
      </c>
      <c r="D733" s="6" t="s">
        <v>1884</v>
      </c>
      <c r="E733" s="6" t="s">
        <v>1885</v>
      </c>
      <c r="F733" s="6" t="s">
        <v>152</v>
      </c>
      <c r="G733" s="7">
        <v>1.45</v>
      </c>
      <c r="H733" s="6" t="s">
        <v>1886</v>
      </c>
      <c r="I733" s="6" t="s">
        <v>1791</v>
      </c>
      <c r="J733" s="6">
        <v>1994.0</v>
      </c>
      <c r="K733" s="10">
        <v>46083.0</v>
      </c>
      <c r="L733" s="6">
        <v>1.0</v>
      </c>
      <c r="M733" s="8">
        <f t="shared" si="3"/>
        <v>1.45</v>
      </c>
      <c r="P733" s="9"/>
    </row>
    <row r="734">
      <c r="A734" s="6" t="s">
        <v>1887</v>
      </c>
      <c r="B734" s="6" t="s">
        <v>1888</v>
      </c>
      <c r="C734" s="6" t="s">
        <v>1667</v>
      </c>
      <c r="D734" s="6" t="s">
        <v>1889</v>
      </c>
      <c r="E734" s="6" t="s">
        <v>1811</v>
      </c>
      <c r="F734" s="6" t="s">
        <v>1795</v>
      </c>
      <c r="G734" s="7">
        <v>4.41</v>
      </c>
      <c r="H734" s="6" t="s">
        <v>1768</v>
      </c>
      <c r="I734" s="6" t="s">
        <v>1791</v>
      </c>
      <c r="J734" s="6">
        <v>1997.0</v>
      </c>
      <c r="K734" s="10">
        <v>46024.0</v>
      </c>
      <c r="L734" s="6">
        <v>1.0</v>
      </c>
      <c r="M734" s="8">
        <f t="shared" si="3"/>
        <v>4.41</v>
      </c>
      <c r="P734" s="9"/>
    </row>
    <row r="735">
      <c r="A735" s="6" t="s">
        <v>1890</v>
      </c>
      <c r="B735" s="6" t="s">
        <v>1753</v>
      </c>
      <c r="C735" s="6" t="s">
        <v>1667</v>
      </c>
      <c r="D735" s="6" t="s">
        <v>1891</v>
      </c>
      <c r="E735" s="6" t="s">
        <v>1743</v>
      </c>
      <c r="F735" s="6" t="s">
        <v>1795</v>
      </c>
      <c r="G735" s="7">
        <v>3.45</v>
      </c>
      <c r="H735" s="6" t="s">
        <v>1762</v>
      </c>
      <c r="I735" s="6" t="s">
        <v>1791</v>
      </c>
      <c r="J735" s="6">
        <v>2000.0</v>
      </c>
      <c r="L735" s="6">
        <v>1.0</v>
      </c>
      <c r="M735" s="8">
        <f t="shared" si="3"/>
        <v>3.45</v>
      </c>
      <c r="P735" s="9"/>
    </row>
    <row r="736">
      <c r="A736" s="6" t="s">
        <v>1892</v>
      </c>
      <c r="B736" s="6" t="s">
        <v>554</v>
      </c>
      <c r="C736" s="6" t="s">
        <v>1628</v>
      </c>
      <c r="D736" s="6" t="s">
        <v>1893</v>
      </c>
      <c r="E736" s="6" t="s">
        <v>1035</v>
      </c>
      <c r="F736" s="6" t="s">
        <v>1669</v>
      </c>
      <c r="G736" s="7">
        <v>7.75</v>
      </c>
      <c r="H736" s="6" t="s">
        <v>1894</v>
      </c>
      <c r="I736" s="6" t="s">
        <v>1791</v>
      </c>
      <c r="J736" s="6">
        <v>1998.0</v>
      </c>
      <c r="L736" s="6">
        <v>1.0</v>
      </c>
      <c r="M736" s="8">
        <f t="shared" si="3"/>
        <v>7.75</v>
      </c>
      <c r="P736" s="9"/>
    </row>
    <row r="737">
      <c r="A737" s="6" t="s">
        <v>1895</v>
      </c>
      <c r="B737" s="6" t="s">
        <v>1896</v>
      </c>
      <c r="C737" s="6" t="s">
        <v>1897</v>
      </c>
      <c r="D737" s="6" t="s">
        <v>1898</v>
      </c>
      <c r="E737" s="6" t="s">
        <v>1718</v>
      </c>
      <c r="F737" s="6" t="s">
        <v>80</v>
      </c>
      <c r="G737" s="7">
        <v>0.55</v>
      </c>
      <c r="H737" s="6" t="s">
        <v>1768</v>
      </c>
      <c r="I737" s="6" t="s">
        <v>1791</v>
      </c>
      <c r="J737" s="6">
        <v>1997.0</v>
      </c>
      <c r="L737" s="6">
        <v>1.0</v>
      </c>
      <c r="M737" s="8">
        <f t="shared" si="3"/>
        <v>0.55</v>
      </c>
      <c r="P737" s="9"/>
    </row>
    <row r="738">
      <c r="A738" s="6" t="s">
        <v>1899</v>
      </c>
      <c r="B738" s="6" t="s">
        <v>554</v>
      </c>
      <c r="C738" s="6" t="s">
        <v>1611</v>
      </c>
      <c r="D738" s="6" t="s">
        <v>1900</v>
      </c>
      <c r="E738" s="6" t="s">
        <v>1718</v>
      </c>
      <c r="F738" s="6" t="s">
        <v>80</v>
      </c>
      <c r="G738" s="7">
        <v>0.48</v>
      </c>
      <c r="H738" s="6" t="s">
        <v>1901</v>
      </c>
      <c r="I738" s="6" t="s">
        <v>20</v>
      </c>
      <c r="J738" s="6">
        <v>1996.0</v>
      </c>
      <c r="L738" s="6">
        <v>1.0</v>
      </c>
      <c r="M738" s="8">
        <f t="shared" si="3"/>
        <v>0.48</v>
      </c>
      <c r="P738" s="9"/>
    </row>
    <row r="739">
      <c r="A739" s="6" t="s">
        <v>1899</v>
      </c>
      <c r="B739" s="6" t="s">
        <v>554</v>
      </c>
      <c r="C739" s="6" t="s">
        <v>1611</v>
      </c>
      <c r="D739" s="6" t="s">
        <v>1902</v>
      </c>
      <c r="E739" s="6" t="s">
        <v>1032</v>
      </c>
      <c r="F739" s="6" t="s">
        <v>80</v>
      </c>
      <c r="G739" s="7">
        <v>0.09</v>
      </c>
      <c r="H739" s="6" t="s">
        <v>1903</v>
      </c>
      <c r="I739" s="6" t="s">
        <v>20</v>
      </c>
      <c r="J739" s="6">
        <v>2000.0</v>
      </c>
      <c r="L739" s="6">
        <v>1.0</v>
      </c>
      <c r="M739" s="8">
        <f t="shared" si="3"/>
        <v>0.09</v>
      </c>
      <c r="P739" s="9"/>
    </row>
    <row r="740">
      <c r="A740" s="6" t="s">
        <v>1904</v>
      </c>
      <c r="B740" s="6" t="s">
        <v>385</v>
      </c>
      <c r="C740" s="6" t="s">
        <v>1611</v>
      </c>
      <c r="D740" s="6" t="s">
        <v>1905</v>
      </c>
      <c r="E740" s="6" t="s">
        <v>1743</v>
      </c>
      <c r="F740" s="6" t="s">
        <v>1795</v>
      </c>
      <c r="G740" s="7">
        <v>0.62</v>
      </c>
      <c r="H740" s="6" t="s">
        <v>1906</v>
      </c>
      <c r="I740" s="6" t="s">
        <v>1791</v>
      </c>
      <c r="J740" s="6">
        <v>2001.0</v>
      </c>
      <c r="L740" s="6">
        <v>1.0</v>
      </c>
      <c r="M740" s="8">
        <f t="shared" si="3"/>
        <v>0.62</v>
      </c>
      <c r="P740" s="9"/>
    </row>
    <row r="741">
      <c r="A741" s="6" t="s">
        <v>1907</v>
      </c>
      <c r="B741" s="6" t="s">
        <v>554</v>
      </c>
      <c r="C741" s="6" t="s">
        <v>1611</v>
      </c>
      <c r="D741" s="6" t="s">
        <v>1908</v>
      </c>
      <c r="E741" s="6" t="s">
        <v>1909</v>
      </c>
      <c r="F741" s="6" t="s">
        <v>1669</v>
      </c>
      <c r="G741" s="7">
        <v>0.75</v>
      </c>
      <c r="H741" s="6" t="s">
        <v>1771</v>
      </c>
      <c r="I741" s="6" t="s">
        <v>1791</v>
      </c>
      <c r="J741" s="6">
        <v>1995.0</v>
      </c>
      <c r="L741" s="6">
        <v>1.0</v>
      </c>
      <c r="M741" s="8">
        <f t="shared" si="3"/>
        <v>0.75</v>
      </c>
      <c r="P741" s="9"/>
    </row>
    <row r="742">
      <c r="A742" s="6" t="s">
        <v>1910</v>
      </c>
      <c r="B742" s="6" t="s">
        <v>610</v>
      </c>
      <c r="C742" s="6" t="s">
        <v>1611</v>
      </c>
      <c r="D742" s="6" t="s">
        <v>1911</v>
      </c>
      <c r="E742" s="6" t="s">
        <v>1912</v>
      </c>
      <c r="F742" s="6" t="s">
        <v>1913</v>
      </c>
      <c r="G742" s="7">
        <v>0.45</v>
      </c>
      <c r="H742" s="6" t="s">
        <v>1796</v>
      </c>
      <c r="I742" s="6" t="s">
        <v>1791</v>
      </c>
      <c r="J742" s="6">
        <v>1998.0</v>
      </c>
      <c r="L742" s="6">
        <v>1.0</v>
      </c>
      <c r="M742" s="8">
        <f t="shared" si="3"/>
        <v>0.45</v>
      </c>
      <c r="P742" s="9"/>
    </row>
    <row r="743">
      <c r="A743" s="6" t="s">
        <v>1914</v>
      </c>
      <c r="B743" s="6" t="s">
        <v>1915</v>
      </c>
      <c r="C743" s="6" t="s">
        <v>295</v>
      </c>
      <c r="D743" s="6" t="s">
        <v>1916</v>
      </c>
      <c r="E743" s="6" t="s">
        <v>1884</v>
      </c>
      <c r="F743" s="6" t="s">
        <v>80</v>
      </c>
      <c r="G743" s="7">
        <v>3.0</v>
      </c>
      <c r="H743" s="6" t="s">
        <v>1917</v>
      </c>
      <c r="I743" s="6" t="s">
        <v>1791</v>
      </c>
      <c r="J743" s="6">
        <v>1995.0</v>
      </c>
      <c r="L743" s="6">
        <v>1.0</v>
      </c>
      <c r="M743" s="8">
        <f t="shared" si="3"/>
        <v>3</v>
      </c>
      <c r="P743" s="9"/>
    </row>
    <row r="744">
      <c r="A744" s="6" t="s">
        <v>1918</v>
      </c>
      <c r="B744" s="6" t="s">
        <v>1753</v>
      </c>
      <c r="C744" s="6" t="s">
        <v>1611</v>
      </c>
      <c r="D744" s="6" t="s">
        <v>1919</v>
      </c>
      <c r="E744" s="6" t="s">
        <v>1755</v>
      </c>
      <c r="F744" s="6" t="s">
        <v>1795</v>
      </c>
      <c r="G744" s="7">
        <v>0.32</v>
      </c>
      <c r="H744" s="6" t="s">
        <v>1762</v>
      </c>
      <c r="I744" s="6" t="s">
        <v>1791</v>
      </c>
      <c r="J744" s="6">
        <v>2000.0</v>
      </c>
      <c r="L744" s="6">
        <v>1.0</v>
      </c>
      <c r="M744" s="8">
        <f t="shared" si="3"/>
        <v>0.32</v>
      </c>
      <c r="P744" s="9"/>
    </row>
    <row r="745">
      <c r="A745" s="6" t="s">
        <v>1920</v>
      </c>
      <c r="B745" s="6" t="s">
        <v>554</v>
      </c>
      <c r="C745" s="6" t="s">
        <v>1611</v>
      </c>
      <c r="D745" s="6" t="s">
        <v>1921</v>
      </c>
      <c r="E745" s="6" t="s">
        <v>1035</v>
      </c>
      <c r="F745" s="6" t="s">
        <v>1669</v>
      </c>
      <c r="G745" s="7">
        <v>11.99</v>
      </c>
      <c r="H745" s="6" t="s">
        <v>1765</v>
      </c>
      <c r="I745" s="6" t="s">
        <v>1791</v>
      </c>
      <c r="J745" s="6">
        <v>1997.0</v>
      </c>
      <c r="L745" s="6">
        <v>1.0</v>
      </c>
      <c r="M745" s="8">
        <f t="shared" si="3"/>
        <v>11.99</v>
      </c>
      <c r="P745" s="9"/>
    </row>
    <row r="746">
      <c r="A746" s="6" t="s">
        <v>1922</v>
      </c>
      <c r="B746" s="6" t="s">
        <v>1813</v>
      </c>
      <c r="C746" s="6" t="s">
        <v>1611</v>
      </c>
      <c r="D746" s="6" t="s">
        <v>1923</v>
      </c>
      <c r="E746" s="6" t="s">
        <v>1884</v>
      </c>
      <c r="F746" s="6" t="s">
        <v>1924</v>
      </c>
      <c r="G746" s="7">
        <v>26.78</v>
      </c>
      <c r="H746" s="6" t="s">
        <v>1866</v>
      </c>
      <c r="I746" s="6" t="s">
        <v>1791</v>
      </c>
      <c r="J746" s="6">
        <v>1999.0</v>
      </c>
      <c r="L746" s="6">
        <v>1.0</v>
      </c>
      <c r="M746" s="8">
        <f t="shared" si="3"/>
        <v>26.78</v>
      </c>
      <c r="P746" s="9"/>
    </row>
    <row r="747">
      <c r="A747" s="6" t="s">
        <v>1925</v>
      </c>
      <c r="B747" s="6" t="s">
        <v>1926</v>
      </c>
      <c r="C747" s="6" t="s">
        <v>1897</v>
      </c>
      <c r="D747" s="6" t="s">
        <v>1927</v>
      </c>
      <c r="E747" s="6" t="s">
        <v>1693</v>
      </c>
      <c r="F747" s="6" t="s">
        <v>80</v>
      </c>
      <c r="G747" s="7">
        <v>0.43</v>
      </c>
      <c r="H747" s="6" t="s">
        <v>1917</v>
      </c>
      <c r="I747" s="6" t="s">
        <v>1791</v>
      </c>
      <c r="J747" s="6">
        <v>1995.0</v>
      </c>
      <c r="K747" s="6" t="s">
        <v>1928</v>
      </c>
      <c r="L747" s="6">
        <v>1.0</v>
      </c>
      <c r="M747" s="8">
        <f t="shared" si="3"/>
        <v>0.43</v>
      </c>
      <c r="P747" s="9"/>
    </row>
    <row r="748">
      <c r="A748" s="6" t="s">
        <v>1929</v>
      </c>
      <c r="B748" s="6" t="s">
        <v>1753</v>
      </c>
      <c r="C748" s="6" t="s">
        <v>1628</v>
      </c>
      <c r="D748" s="6" t="s">
        <v>1930</v>
      </c>
      <c r="E748" s="6" t="s">
        <v>1779</v>
      </c>
      <c r="F748" s="6" t="s">
        <v>1795</v>
      </c>
      <c r="G748" s="7">
        <v>3.9</v>
      </c>
      <c r="H748" s="6" t="s">
        <v>1931</v>
      </c>
      <c r="I748" s="6" t="s">
        <v>1791</v>
      </c>
      <c r="J748" s="6">
        <v>1999.0</v>
      </c>
      <c r="L748" s="6">
        <v>1.0</v>
      </c>
      <c r="M748" s="8">
        <f t="shared" si="3"/>
        <v>3.9</v>
      </c>
      <c r="P748" s="9"/>
    </row>
    <row r="749">
      <c r="A749" s="6" t="s">
        <v>1932</v>
      </c>
      <c r="B749" s="6" t="s">
        <v>554</v>
      </c>
      <c r="C749" s="6" t="s">
        <v>1611</v>
      </c>
      <c r="D749" s="6" t="s">
        <v>1933</v>
      </c>
      <c r="E749" s="6" t="s">
        <v>1032</v>
      </c>
      <c r="F749" s="6" t="s">
        <v>1669</v>
      </c>
      <c r="G749" s="7">
        <v>13.32</v>
      </c>
      <c r="H749" s="6" t="s">
        <v>1934</v>
      </c>
      <c r="I749" s="6" t="s">
        <v>1791</v>
      </c>
      <c r="J749" s="6">
        <v>2000.0</v>
      </c>
      <c r="L749" s="6">
        <v>1.0</v>
      </c>
      <c r="M749" s="8">
        <f t="shared" si="3"/>
        <v>13.32</v>
      </c>
      <c r="P749" s="9"/>
    </row>
    <row r="750">
      <c r="A750" s="6" t="s">
        <v>1935</v>
      </c>
      <c r="B750" s="6" t="s">
        <v>1753</v>
      </c>
      <c r="C750" s="6" t="s">
        <v>1628</v>
      </c>
      <c r="D750" s="6" t="s">
        <v>1936</v>
      </c>
      <c r="E750" s="6" t="s">
        <v>1743</v>
      </c>
      <c r="F750" s="6" t="s">
        <v>1795</v>
      </c>
      <c r="G750" s="7">
        <v>2.38</v>
      </c>
      <c r="H750" s="6" t="s">
        <v>1866</v>
      </c>
      <c r="I750" s="6" t="s">
        <v>1791</v>
      </c>
      <c r="J750" s="6">
        <v>1999.0</v>
      </c>
      <c r="L750" s="6">
        <v>1.0</v>
      </c>
      <c r="M750" s="8">
        <f t="shared" si="3"/>
        <v>2.38</v>
      </c>
      <c r="P750" s="9"/>
    </row>
    <row r="751">
      <c r="A751" s="6" t="s">
        <v>1937</v>
      </c>
      <c r="B751" s="6" t="s">
        <v>554</v>
      </c>
      <c r="C751" s="6" t="s">
        <v>1667</v>
      </c>
      <c r="D751" s="6" t="s">
        <v>1938</v>
      </c>
      <c r="E751" s="6" t="s">
        <v>1035</v>
      </c>
      <c r="F751" s="6" t="s">
        <v>1669</v>
      </c>
      <c r="G751" s="7">
        <v>2.5</v>
      </c>
      <c r="H751" s="6" t="s">
        <v>1805</v>
      </c>
      <c r="I751" s="6" t="s">
        <v>1791</v>
      </c>
      <c r="J751" s="6">
        <v>1996.0</v>
      </c>
      <c r="L751" s="6">
        <v>1.0</v>
      </c>
      <c r="M751" s="8">
        <f t="shared" si="3"/>
        <v>2.5</v>
      </c>
      <c r="P751" s="9"/>
    </row>
    <row r="752">
      <c r="A752" s="6" t="s">
        <v>1939</v>
      </c>
      <c r="B752" s="6" t="s">
        <v>554</v>
      </c>
      <c r="C752" s="6" t="s">
        <v>1611</v>
      </c>
      <c r="D752" s="6" t="s">
        <v>1940</v>
      </c>
      <c r="E752" s="6" t="s">
        <v>1032</v>
      </c>
      <c r="F752" s="6" t="s">
        <v>1669</v>
      </c>
      <c r="G752" s="7">
        <v>0.75</v>
      </c>
      <c r="H752" s="6" t="s">
        <v>1818</v>
      </c>
      <c r="I752" s="6" t="s">
        <v>1791</v>
      </c>
      <c r="J752" s="6">
        <v>1995.0</v>
      </c>
      <c r="L752" s="6">
        <v>4.0</v>
      </c>
      <c r="M752" s="8">
        <f t="shared" si="3"/>
        <v>3</v>
      </c>
      <c r="P752" s="9"/>
    </row>
    <row r="753">
      <c r="A753" s="6" t="s">
        <v>1941</v>
      </c>
      <c r="B753" s="6" t="s">
        <v>1741</v>
      </c>
      <c r="C753" s="6" t="s">
        <v>1667</v>
      </c>
      <c r="D753" s="6" t="s">
        <v>1942</v>
      </c>
      <c r="E753" s="6" t="s">
        <v>1743</v>
      </c>
      <c r="F753" s="6" t="s">
        <v>1795</v>
      </c>
      <c r="G753" s="7">
        <v>4.79</v>
      </c>
      <c r="H753" s="6" t="s">
        <v>1744</v>
      </c>
      <c r="I753" s="6" t="s">
        <v>1791</v>
      </c>
      <c r="J753" s="6">
        <v>2000.0</v>
      </c>
      <c r="K753" s="10">
        <v>46023.0</v>
      </c>
      <c r="L753" s="6">
        <v>1.0</v>
      </c>
      <c r="M753" s="8">
        <f t="shared" si="3"/>
        <v>4.79</v>
      </c>
      <c r="P753" s="9"/>
    </row>
    <row r="754">
      <c r="A754" s="6" t="s">
        <v>1943</v>
      </c>
      <c r="B754" s="6" t="s">
        <v>1944</v>
      </c>
      <c r="C754" s="6" t="s">
        <v>295</v>
      </c>
      <c r="D754" s="6" t="s">
        <v>1945</v>
      </c>
      <c r="E754" s="6" t="s">
        <v>1743</v>
      </c>
      <c r="F754" s="6" t="s">
        <v>152</v>
      </c>
      <c r="G754" s="7">
        <v>0.45</v>
      </c>
      <c r="H754" s="6" t="s">
        <v>1771</v>
      </c>
      <c r="I754" s="6" t="s">
        <v>1791</v>
      </c>
      <c r="J754" s="6">
        <v>1995.0</v>
      </c>
      <c r="L754" s="6">
        <v>1.0</v>
      </c>
      <c r="M754" s="8">
        <f t="shared" si="3"/>
        <v>0.45</v>
      </c>
      <c r="P754" s="9"/>
    </row>
    <row r="755">
      <c r="A755" s="6" t="s">
        <v>1946</v>
      </c>
      <c r="B755" s="6" t="s">
        <v>1944</v>
      </c>
      <c r="C755" s="6" t="s">
        <v>295</v>
      </c>
      <c r="D755" s="6" t="s">
        <v>1947</v>
      </c>
      <c r="E755" s="6" t="s">
        <v>1743</v>
      </c>
      <c r="F755" s="6" t="s">
        <v>152</v>
      </c>
      <c r="G755" s="7">
        <v>0.51</v>
      </c>
      <c r="H755" s="6" t="s">
        <v>1771</v>
      </c>
      <c r="I755" s="6" t="s">
        <v>1791</v>
      </c>
      <c r="J755" s="6">
        <v>1995.0</v>
      </c>
      <c r="L755" s="6">
        <v>1.0</v>
      </c>
      <c r="M755" s="8">
        <f t="shared" si="3"/>
        <v>0.51</v>
      </c>
      <c r="P755" s="9"/>
    </row>
    <row r="756">
      <c r="A756" s="6" t="s">
        <v>1948</v>
      </c>
      <c r="B756" s="6" t="s">
        <v>1896</v>
      </c>
      <c r="C756" s="6" t="s">
        <v>1949</v>
      </c>
      <c r="D756" s="6" t="s">
        <v>1950</v>
      </c>
      <c r="E756" s="6" t="s">
        <v>1035</v>
      </c>
      <c r="F756" s="6" t="s">
        <v>80</v>
      </c>
      <c r="G756" s="7">
        <v>0.1</v>
      </c>
      <c r="H756" s="6" t="s">
        <v>1625</v>
      </c>
      <c r="I756" s="6" t="s">
        <v>1791</v>
      </c>
      <c r="J756" s="6">
        <v>2021.0</v>
      </c>
      <c r="L756" s="6">
        <v>1.0</v>
      </c>
      <c r="M756" s="8">
        <f t="shared" si="3"/>
        <v>0.1</v>
      </c>
      <c r="P756" s="9"/>
    </row>
    <row r="757">
      <c r="A757" s="6" t="s">
        <v>1951</v>
      </c>
      <c r="B757" s="6" t="s">
        <v>1952</v>
      </c>
      <c r="C757" s="6" t="s">
        <v>295</v>
      </c>
      <c r="D757" s="6" t="s">
        <v>1953</v>
      </c>
      <c r="E757" s="6" t="s">
        <v>1954</v>
      </c>
      <c r="F757" s="6" t="s">
        <v>1955</v>
      </c>
      <c r="G757" s="7">
        <v>0.06</v>
      </c>
      <c r="H757" s="6" t="s">
        <v>1956</v>
      </c>
      <c r="I757" s="6" t="s">
        <v>1791</v>
      </c>
      <c r="J757" s="6">
        <v>2021.0</v>
      </c>
      <c r="L757" s="6">
        <v>1.0</v>
      </c>
      <c r="M757" s="8">
        <f t="shared" si="3"/>
        <v>0.06</v>
      </c>
      <c r="P757" s="9"/>
    </row>
    <row r="758">
      <c r="A758" s="6" t="s">
        <v>1957</v>
      </c>
      <c r="B758" s="6" t="s">
        <v>554</v>
      </c>
      <c r="C758" s="6" t="s">
        <v>1667</v>
      </c>
      <c r="D758" s="6" t="s">
        <v>1958</v>
      </c>
      <c r="E758" s="6" t="s">
        <v>1269</v>
      </c>
      <c r="F758" s="6" t="s">
        <v>1669</v>
      </c>
      <c r="G758" s="7">
        <v>0.15</v>
      </c>
      <c r="H758" s="6" t="s">
        <v>1959</v>
      </c>
      <c r="I758" s="6" t="s">
        <v>31</v>
      </c>
      <c r="J758" s="6">
        <v>2024.0</v>
      </c>
      <c r="L758" s="6">
        <v>1.0</v>
      </c>
      <c r="M758" s="8">
        <f t="shared" si="3"/>
        <v>0.15</v>
      </c>
      <c r="P758" s="9"/>
    </row>
    <row r="759">
      <c r="A759" s="6" t="s">
        <v>1960</v>
      </c>
      <c r="B759" s="6" t="s">
        <v>554</v>
      </c>
      <c r="C759" s="6" t="s">
        <v>1628</v>
      </c>
      <c r="D759" s="6" t="s">
        <v>1961</v>
      </c>
      <c r="E759" s="6" t="s">
        <v>1269</v>
      </c>
      <c r="F759" s="6" t="s">
        <v>1669</v>
      </c>
      <c r="G759" s="7">
        <v>8.75</v>
      </c>
      <c r="H759" s="6" t="s">
        <v>1962</v>
      </c>
      <c r="I759" s="6" t="s">
        <v>1791</v>
      </c>
      <c r="J759" s="6">
        <v>2026.0</v>
      </c>
      <c r="L759" s="6">
        <v>1.0</v>
      </c>
      <c r="M759" s="8">
        <f t="shared" si="3"/>
        <v>8.75</v>
      </c>
      <c r="P759" s="9"/>
    </row>
    <row r="760">
      <c r="A760" s="6" t="s">
        <v>1963</v>
      </c>
      <c r="B760" s="6" t="s">
        <v>1896</v>
      </c>
      <c r="C760" s="6" t="s">
        <v>295</v>
      </c>
      <c r="D760" s="6" t="s">
        <v>1964</v>
      </c>
      <c r="E760" s="6" t="s">
        <v>1269</v>
      </c>
      <c r="F760" s="6" t="s">
        <v>80</v>
      </c>
      <c r="G760" s="7">
        <v>0.05</v>
      </c>
      <c r="H760" s="6" t="s">
        <v>1965</v>
      </c>
      <c r="I760" s="6" t="s">
        <v>1791</v>
      </c>
      <c r="J760" s="6">
        <v>2022.0</v>
      </c>
      <c r="L760" s="6">
        <v>1.0</v>
      </c>
      <c r="M760" s="8">
        <f t="shared" si="3"/>
        <v>0.05</v>
      </c>
      <c r="P760" s="9"/>
    </row>
    <row r="761">
      <c r="A761" s="6" t="s">
        <v>1966</v>
      </c>
      <c r="B761" s="6" t="s">
        <v>1967</v>
      </c>
      <c r="C761" s="6" t="s">
        <v>1667</v>
      </c>
      <c r="D761" s="6" t="s">
        <v>1968</v>
      </c>
      <c r="E761" s="6" t="s">
        <v>1269</v>
      </c>
      <c r="F761" s="6" t="s">
        <v>1669</v>
      </c>
      <c r="G761" s="7">
        <v>0.03</v>
      </c>
      <c r="H761" s="6" t="s">
        <v>1959</v>
      </c>
      <c r="I761" s="6" t="s">
        <v>1791</v>
      </c>
      <c r="J761" s="6">
        <v>2024.0</v>
      </c>
      <c r="L761" s="6">
        <v>1.0</v>
      </c>
      <c r="M761" s="8">
        <f t="shared" si="3"/>
        <v>0.03</v>
      </c>
      <c r="P761" s="9"/>
    </row>
    <row r="762">
      <c r="A762" s="6" t="s">
        <v>1969</v>
      </c>
      <c r="B762" s="6" t="s">
        <v>675</v>
      </c>
      <c r="C762" s="6" t="s">
        <v>1667</v>
      </c>
      <c r="D762" s="6" t="s">
        <v>1970</v>
      </c>
      <c r="E762" s="6" t="s">
        <v>1035</v>
      </c>
      <c r="F762" s="6" t="s">
        <v>1669</v>
      </c>
      <c r="G762" s="7">
        <v>0.05</v>
      </c>
      <c r="H762" s="6" t="s">
        <v>1959</v>
      </c>
      <c r="I762" s="6" t="s">
        <v>1791</v>
      </c>
      <c r="J762" s="6">
        <v>2024.0</v>
      </c>
      <c r="L762" s="6">
        <v>1.0</v>
      </c>
      <c r="M762" s="8">
        <f t="shared" si="3"/>
        <v>0.05</v>
      </c>
      <c r="P762" s="9"/>
    </row>
    <row r="763">
      <c r="A763" s="6" t="s">
        <v>1971</v>
      </c>
      <c r="B763" s="6" t="s">
        <v>1972</v>
      </c>
      <c r="C763" s="6" t="s">
        <v>1949</v>
      </c>
      <c r="D763" s="6" t="s">
        <v>1973</v>
      </c>
      <c r="E763" s="6" t="s">
        <v>1974</v>
      </c>
      <c r="F763" s="6" t="s">
        <v>80</v>
      </c>
      <c r="G763" s="7">
        <v>0.09</v>
      </c>
      <c r="H763" s="6" t="s">
        <v>1641</v>
      </c>
      <c r="I763" s="6" t="s">
        <v>1791</v>
      </c>
      <c r="J763" s="6">
        <v>2019.0</v>
      </c>
      <c r="K763" s="10">
        <v>46242.0</v>
      </c>
      <c r="L763" s="6">
        <v>1.0</v>
      </c>
      <c r="M763" s="8">
        <f t="shared" si="3"/>
        <v>0.09</v>
      </c>
      <c r="P763" s="9"/>
    </row>
    <row r="764">
      <c r="A764" s="6" t="s">
        <v>1975</v>
      </c>
      <c r="B764" s="6" t="s">
        <v>1896</v>
      </c>
      <c r="C764" s="6" t="s">
        <v>295</v>
      </c>
      <c r="D764" s="6" t="s">
        <v>1976</v>
      </c>
      <c r="E764" s="6" t="s">
        <v>1035</v>
      </c>
      <c r="F764" s="6" t="s">
        <v>80</v>
      </c>
      <c r="G764" s="7">
        <v>0.05</v>
      </c>
      <c r="H764" s="6" t="s">
        <v>1625</v>
      </c>
      <c r="I764" s="6" t="s">
        <v>1791</v>
      </c>
      <c r="J764" s="6">
        <v>2021.0</v>
      </c>
      <c r="L764" s="6">
        <v>1.0</v>
      </c>
      <c r="M764" s="8">
        <f t="shared" si="3"/>
        <v>0.05</v>
      </c>
      <c r="P764" s="9"/>
    </row>
    <row r="765">
      <c r="A765" s="6" t="s">
        <v>1977</v>
      </c>
      <c r="B765" s="6" t="s">
        <v>1952</v>
      </c>
      <c r="C765" s="6" t="s">
        <v>295</v>
      </c>
      <c r="D765" s="6" t="s">
        <v>1978</v>
      </c>
      <c r="E765" s="6" t="s">
        <v>1035</v>
      </c>
      <c r="F765" s="6" t="s">
        <v>80</v>
      </c>
      <c r="G765" s="7">
        <v>0.2</v>
      </c>
      <c r="H765" s="6" t="s">
        <v>1979</v>
      </c>
      <c r="I765" s="6" t="s">
        <v>31</v>
      </c>
      <c r="J765" s="6">
        <v>2022.0</v>
      </c>
      <c r="L765" s="6">
        <v>1.0</v>
      </c>
      <c r="M765" s="8">
        <f t="shared" si="3"/>
        <v>0.2</v>
      </c>
      <c r="P765" s="9"/>
    </row>
    <row r="766">
      <c r="A766" s="6" t="s">
        <v>1980</v>
      </c>
      <c r="B766" s="6" t="s">
        <v>1896</v>
      </c>
      <c r="C766" s="6" t="s">
        <v>1949</v>
      </c>
      <c r="D766" s="6" t="s">
        <v>1981</v>
      </c>
      <c r="E766" s="6" t="s">
        <v>1718</v>
      </c>
      <c r="F766" s="6" t="s">
        <v>80</v>
      </c>
      <c r="G766" s="7">
        <v>0.06</v>
      </c>
      <c r="H766" s="6" t="s">
        <v>1676</v>
      </c>
      <c r="I766" s="6" t="s">
        <v>1791</v>
      </c>
      <c r="J766" s="6">
        <v>2008.0</v>
      </c>
      <c r="L766" s="6">
        <v>1.0</v>
      </c>
      <c r="M766" s="8">
        <f t="shared" si="3"/>
        <v>0.06</v>
      </c>
      <c r="P766" s="9"/>
    </row>
    <row r="767">
      <c r="A767" s="6" t="s">
        <v>1982</v>
      </c>
      <c r="B767" s="6" t="s">
        <v>1952</v>
      </c>
      <c r="C767" s="6" t="s">
        <v>295</v>
      </c>
      <c r="D767" s="6" t="s">
        <v>1983</v>
      </c>
      <c r="E767" s="6" t="s">
        <v>1269</v>
      </c>
      <c r="F767" s="6" t="s">
        <v>80</v>
      </c>
      <c r="G767" s="7">
        <v>0.09</v>
      </c>
      <c r="H767" s="6" t="s">
        <v>1984</v>
      </c>
      <c r="I767" s="6" t="s">
        <v>1791</v>
      </c>
      <c r="J767" s="6">
        <v>2015.0</v>
      </c>
      <c r="L767" s="6">
        <v>1.0</v>
      </c>
      <c r="M767" s="8">
        <f t="shared" si="3"/>
        <v>0.09</v>
      </c>
      <c r="P767" s="9"/>
    </row>
    <row r="768">
      <c r="A768" s="6" t="s">
        <v>1985</v>
      </c>
      <c r="B768" s="6" t="s">
        <v>1896</v>
      </c>
      <c r="C768" s="6" t="s">
        <v>1949</v>
      </c>
      <c r="D768" s="6" t="s">
        <v>1986</v>
      </c>
      <c r="E768" s="6" t="s">
        <v>1032</v>
      </c>
      <c r="F768" s="6" t="s">
        <v>80</v>
      </c>
      <c r="G768" s="7">
        <v>0.06</v>
      </c>
      <c r="H768" s="6" t="s">
        <v>1987</v>
      </c>
      <c r="I768" s="6" t="s">
        <v>1791</v>
      </c>
      <c r="J768" s="6">
        <v>2019.0</v>
      </c>
      <c r="L768" s="6">
        <v>1.0</v>
      </c>
      <c r="M768" s="8">
        <f t="shared" si="3"/>
        <v>0.06</v>
      </c>
      <c r="P768" s="9"/>
    </row>
    <row r="769">
      <c r="A769" s="6" t="s">
        <v>1988</v>
      </c>
      <c r="B769" s="6" t="s">
        <v>1952</v>
      </c>
      <c r="C769" s="6" t="s">
        <v>1897</v>
      </c>
      <c r="D769" s="6" t="s">
        <v>1989</v>
      </c>
      <c r="E769" s="6" t="s">
        <v>1035</v>
      </c>
      <c r="F769" s="6" t="s">
        <v>80</v>
      </c>
      <c r="G769" s="7">
        <v>0.5</v>
      </c>
      <c r="H769" s="6" t="s">
        <v>1990</v>
      </c>
      <c r="I769" s="6" t="s">
        <v>1791</v>
      </c>
      <c r="J769" s="6">
        <v>2011.0</v>
      </c>
      <c r="L769" s="6">
        <v>1.0</v>
      </c>
      <c r="M769" s="8">
        <f t="shared" si="3"/>
        <v>0.5</v>
      </c>
      <c r="P769" s="9"/>
    </row>
    <row r="770">
      <c r="A770" s="6" t="s">
        <v>1991</v>
      </c>
      <c r="B770" s="6" t="s">
        <v>554</v>
      </c>
      <c r="C770" s="6" t="s">
        <v>1628</v>
      </c>
      <c r="D770" s="6" t="s">
        <v>1992</v>
      </c>
      <c r="E770" s="6" t="s">
        <v>1035</v>
      </c>
      <c r="F770" s="6" t="s">
        <v>1669</v>
      </c>
      <c r="G770" s="7">
        <v>0.05</v>
      </c>
      <c r="H770" s="6" t="s">
        <v>1697</v>
      </c>
      <c r="I770" s="6" t="s">
        <v>1791</v>
      </c>
      <c r="J770" s="6">
        <v>2003.0</v>
      </c>
      <c r="L770" s="6">
        <v>1.0</v>
      </c>
      <c r="M770" s="8">
        <f t="shared" si="3"/>
        <v>0.05</v>
      </c>
      <c r="P770" s="9"/>
    </row>
    <row r="771">
      <c r="A771" s="6" t="s">
        <v>1993</v>
      </c>
      <c r="B771" s="6" t="s">
        <v>1952</v>
      </c>
      <c r="C771" s="6" t="s">
        <v>295</v>
      </c>
      <c r="D771" s="6" t="s">
        <v>1994</v>
      </c>
      <c r="E771" s="6" t="s">
        <v>1732</v>
      </c>
      <c r="F771" s="6" t="s">
        <v>80</v>
      </c>
      <c r="G771" s="7">
        <v>0.08</v>
      </c>
      <c r="H771" s="6" t="s">
        <v>1995</v>
      </c>
      <c r="I771" s="6" t="s">
        <v>1791</v>
      </c>
      <c r="J771" s="6">
        <v>2016.0</v>
      </c>
      <c r="L771" s="6">
        <v>1.0</v>
      </c>
      <c r="M771" s="8">
        <f t="shared" si="3"/>
        <v>0.08</v>
      </c>
      <c r="P771" s="9"/>
    </row>
    <row r="772">
      <c r="A772" s="6" t="s">
        <v>1996</v>
      </c>
      <c r="B772" s="6" t="s">
        <v>1896</v>
      </c>
      <c r="C772" s="6" t="s">
        <v>295</v>
      </c>
      <c r="D772" s="6" t="s">
        <v>1997</v>
      </c>
      <c r="E772" s="6" t="s">
        <v>1718</v>
      </c>
      <c r="F772" s="6" t="s">
        <v>80</v>
      </c>
      <c r="G772" s="7">
        <v>0.04</v>
      </c>
      <c r="H772" s="6" t="s">
        <v>1708</v>
      </c>
      <c r="I772" s="6" t="s">
        <v>1791</v>
      </c>
      <c r="J772" s="6">
        <v>2019.0</v>
      </c>
      <c r="L772" s="6">
        <v>1.0</v>
      </c>
      <c r="M772" s="8">
        <f t="shared" si="3"/>
        <v>0.04</v>
      </c>
      <c r="P772" s="9"/>
    </row>
    <row r="773">
      <c r="A773" s="6" t="s">
        <v>1998</v>
      </c>
      <c r="B773" s="6" t="s">
        <v>554</v>
      </c>
      <c r="C773" s="6" t="s">
        <v>1667</v>
      </c>
      <c r="D773" s="6" t="s">
        <v>1999</v>
      </c>
      <c r="E773" s="6" t="s">
        <v>1718</v>
      </c>
      <c r="F773" s="6" t="s">
        <v>1669</v>
      </c>
      <c r="G773" s="7">
        <v>0.03</v>
      </c>
      <c r="H773" s="6" t="s">
        <v>1681</v>
      </c>
      <c r="I773" s="6" t="s">
        <v>1791</v>
      </c>
      <c r="J773" s="6">
        <v>2015.0</v>
      </c>
      <c r="K773" s="10">
        <v>46147.0</v>
      </c>
      <c r="L773" s="6">
        <v>1.0</v>
      </c>
      <c r="M773" s="8">
        <f t="shared" si="3"/>
        <v>0.03</v>
      </c>
      <c r="P773" s="9"/>
    </row>
    <row r="774">
      <c r="A774" s="6" t="s">
        <v>2000</v>
      </c>
      <c r="B774" s="6" t="s">
        <v>2001</v>
      </c>
      <c r="C774" s="6" t="s">
        <v>295</v>
      </c>
      <c r="D774" s="6" t="s">
        <v>2002</v>
      </c>
      <c r="E774" s="6" t="s">
        <v>1035</v>
      </c>
      <c r="F774" s="6" t="s">
        <v>80</v>
      </c>
      <c r="G774" s="7">
        <v>0.05</v>
      </c>
      <c r="H774" s="6" t="s">
        <v>2003</v>
      </c>
      <c r="I774" s="6" t="s">
        <v>1791</v>
      </c>
      <c r="J774" s="6">
        <v>2020.0</v>
      </c>
      <c r="K774" s="10">
        <v>46024.0</v>
      </c>
      <c r="L774" s="6">
        <v>1.0</v>
      </c>
      <c r="M774" s="8">
        <f t="shared" si="3"/>
        <v>0.05</v>
      </c>
      <c r="P774" s="9"/>
    </row>
    <row r="775">
      <c r="A775" s="6" t="s">
        <v>2004</v>
      </c>
      <c r="B775" s="6" t="s">
        <v>1896</v>
      </c>
      <c r="C775" s="6" t="s">
        <v>1949</v>
      </c>
      <c r="D775" s="6" t="s">
        <v>2005</v>
      </c>
      <c r="E775" s="6" t="s">
        <v>1032</v>
      </c>
      <c r="F775" s="6" t="s">
        <v>80</v>
      </c>
      <c r="G775" s="7">
        <v>0.21</v>
      </c>
      <c r="H775" s="6" t="s">
        <v>2006</v>
      </c>
      <c r="I775" s="6" t="s">
        <v>1791</v>
      </c>
      <c r="J775" s="6">
        <v>2013.0</v>
      </c>
      <c r="L775" s="6">
        <v>1.0</v>
      </c>
      <c r="M775" s="8">
        <f t="shared" si="3"/>
        <v>0.21</v>
      </c>
      <c r="P775" s="9"/>
    </row>
    <row r="776">
      <c r="A776" s="6" t="s">
        <v>2007</v>
      </c>
      <c r="B776" s="6" t="s">
        <v>1896</v>
      </c>
      <c r="C776" s="6" t="s">
        <v>295</v>
      </c>
      <c r="D776" s="6" t="s">
        <v>2008</v>
      </c>
      <c r="E776" s="6" t="s">
        <v>1032</v>
      </c>
      <c r="F776" s="6" t="s">
        <v>80</v>
      </c>
      <c r="G776" s="7">
        <v>0.06</v>
      </c>
      <c r="H776" s="6" t="s">
        <v>1714</v>
      </c>
      <c r="I776" s="6" t="s">
        <v>1791</v>
      </c>
      <c r="J776" s="6">
        <v>2020.0</v>
      </c>
      <c r="L776" s="6">
        <v>1.0</v>
      </c>
      <c r="M776" s="8">
        <f t="shared" si="3"/>
        <v>0.06</v>
      </c>
      <c r="P776" s="9"/>
    </row>
    <row r="777">
      <c r="A777" s="6" t="s">
        <v>2009</v>
      </c>
      <c r="B777" s="6" t="s">
        <v>1896</v>
      </c>
      <c r="C777" s="6" t="s">
        <v>295</v>
      </c>
      <c r="D777" s="6" t="s">
        <v>2010</v>
      </c>
      <c r="E777" s="6" t="s">
        <v>1035</v>
      </c>
      <c r="F777" s="6" t="s">
        <v>80</v>
      </c>
      <c r="G777" s="7">
        <v>0.06</v>
      </c>
      <c r="H777" s="6" t="s">
        <v>1676</v>
      </c>
      <c r="I777" s="6" t="s">
        <v>1791</v>
      </c>
      <c r="J777" s="6">
        <v>2008.0</v>
      </c>
      <c r="L777" s="6">
        <v>1.0</v>
      </c>
      <c r="M777" s="8">
        <f t="shared" si="3"/>
        <v>0.06</v>
      </c>
      <c r="P777" s="9"/>
    </row>
    <row r="778">
      <c r="A778" s="6" t="s">
        <v>2011</v>
      </c>
      <c r="B778" s="6" t="s">
        <v>1972</v>
      </c>
      <c r="C778" s="6" t="s">
        <v>295</v>
      </c>
      <c r="D778" s="6" t="s">
        <v>2012</v>
      </c>
      <c r="E778" s="6" t="s">
        <v>1680</v>
      </c>
      <c r="F778" s="6" t="s">
        <v>80</v>
      </c>
      <c r="G778" s="7">
        <v>0.25</v>
      </c>
      <c r="H778" s="6" t="s">
        <v>1711</v>
      </c>
      <c r="I778" s="6" t="s">
        <v>31</v>
      </c>
      <c r="J778" s="6">
        <v>2022.0</v>
      </c>
      <c r="K778" s="10">
        <v>46056.0</v>
      </c>
      <c r="L778" s="6">
        <v>1.0</v>
      </c>
      <c r="M778" s="8">
        <f t="shared" si="3"/>
        <v>0.25</v>
      </c>
      <c r="P778" s="9"/>
    </row>
    <row r="779">
      <c r="A779" s="6" t="s">
        <v>2013</v>
      </c>
      <c r="B779" s="6" t="s">
        <v>2014</v>
      </c>
      <c r="C779" s="6" t="s">
        <v>295</v>
      </c>
      <c r="D779" s="6" t="s">
        <v>2015</v>
      </c>
      <c r="E779" s="6" t="s">
        <v>1743</v>
      </c>
      <c r="F779" s="6" t="s">
        <v>152</v>
      </c>
      <c r="G779" s="7">
        <v>0.1</v>
      </c>
      <c r="H779" s="6" t="s">
        <v>1934</v>
      </c>
      <c r="I779" s="6" t="s">
        <v>1791</v>
      </c>
      <c r="J779" s="6">
        <v>2000.0</v>
      </c>
      <c r="L779" s="6">
        <v>1.0</v>
      </c>
      <c r="M779" s="8">
        <f t="shared" si="3"/>
        <v>0.1</v>
      </c>
      <c r="P779" s="9"/>
    </row>
    <row r="780">
      <c r="A780" s="6" t="s">
        <v>2016</v>
      </c>
      <c r="B780" s="6" t="s">
        <v>2017</v>
      </c>
      <c r="C780" s="6" t="s">
        <v>295</v>
      </c>
      <c r="D780" s="6" t="s">
        <v>2018</v>
      </c>
      <c r="E780" s="6" t="s">
        <v>1761</v>
      </c>
      <c r="F780" s="6" t="s">
        <v>152</v>
      </c>
      <c r="G780" s="7">
        <v>0.03</v>
      </c>
      <c r="H780" s="6" t="s">
        <v>1768</v>
      </c>
      <c r="I780" s="6" t="s">
        <v>1791</v>
      </c>
      <c r="J780" s="6">
        <v>1997.0</v>
      </c>
      <c r="K780" s="10">
        <v>46055.0</v>
      </c>
      <c r="L780" s="6">
        <v>1.0</v>
      </c>
      <c r="M780" s="8">
        <f t="shared" si="3"/>
        <v>0.03</v>
      </c>
      <c r="P780" s="9"/>
    </row>
    <row r="781">
      <c r="A781" s="6" t="s">
        <v>2019</v>
      </c>
      <c r="B781" s="6" t="s">
        <v>1896</v>
      </c>
      <c r="C781" s="6" t="s">
        <v>1897</v>
      </c>
      <c r="D781" s="6" t="s">
        <v>2020</v>
      </c>
      <c r="E781" s="6" t="s">
        <v>1269</v>
      </c>
      <c r="F781" s="6" t="s">
        <v>80</v>
      </c>
      <c r="G781" s="7">
        <v>0.13</v>
      </c>
      <c r="H781" s="6" t="s">
        <v>2021</v>
      </c>
      <c r="I781" s="6" t="s">
        <v>1791</v>
      </c>
      <c r="J781" s="6">
        <v>1997.0</v>
      </c>
      <c r="L781" s="6">
        <v>1.0</v>
      </c>
      <c r="M781" s="8">
        <f t="shared" si="3"/>
        <v>0.13</v>
      </c>
      <c r="P781" s="9"/>
    </row>
    <row r="782">
      <c r="A782" s="6" t="s">
        <v>2022</v>
      </c>
      <c r="B782" s="6" t="s">
        <v>2001</v>
      </c>
      <c r="C782" s="6" t="s">
        <v>295</v>
      </c>
      <c r="D782" s="6" t="s">
        <v>2023</v>
      </c>
      <c r="E782" s="6" t="s">
        <v>1680</v>
      </c>
      <c r="F782" s="6" t="s">
        <v>80</v>
      </c>
      <c r="G782" s="7">
        <v>0.05</v>
      </c>
      <c r="H782" s="6" t="s">
        <v>2024</v>
      </c>
      <c r="I782" s="6" t="s">
        <v>1791</v>
      </c>
      <c r="J782" s="6">
        <v>1996.0</v>
      </c>
      <c r="K782" s="10">
        <v>46057.0</v>
      </c>
      <c r="L782" s="6">
        <v>1.0</v>
      </c>
      <c r="M782" s="8">
        <f t="shared" si="3"/>
        <v>0.05</v>
      </c>
      <c r="P782" s="9"/>
    </row>
    <row r="783">
      <c r="A783" s="6" t="s">
        <v>1864</v>
      </c>
      <c r="B783" s="6" t="s">
        <v>2025</v>
      </c>
      <c r="C783" s="6" t="s">
        <v>295</v>
      </c>
      <c r="D783" s="6" t="s">
        <v>2026</v>
      </c>
      <c r="E783" s="6" t="s">
        <v>1743</v>
      </c>
      <c r="F783" s="6" t="s">
        <v>152</v>
      </c>
      <c r="G783" s="7">
        <v>0.43</v>
      </c>
      <c r="H783" s="6" t="s">
        <v>2027</v>
      </c>
      <c r="I783" s="6" t="s">
        <v>1791</v>
      </c>
      <c r="J783" s="6">
        <v>1993.0</v>
      </c>
      <c r="L783" s="6">
        <v>1.0</v>
      </c>
      <c r="M783" s="8">
        <f t="shared" si="3"/>
        <v>0.43</v>
      </c>
      <c r="P783" s="9"/>
    </row>
    <row r="784">
      <c r="A784" s="6" t="s">
        <v>2028</v>
      </c>
      <c r="B784" s="6" t="s">
        <v>1972</v>
      </c>
      <c r="C784" s="6" t="s">
        <v>1897</v>
      </c>
      <c r="D784" s="6" t="s">
        <v>2029</v>
      </c>
      <c r="E784" s="6" t="s">
        <v>2030</v>
      </c>
      <c r="F784" s="6" t="s">
        <v>80</v>
      </c>
      <c r="G784" s="7">
        <v>0.5</v>
      </c>
      <c r="H784" s="6" t="s">
        <v>1771</v>
      </c>
      <c r="I784" s="6" t="s">
        <v>1791</v>
      </c>
      <c r="J784" s="6">
        <v>1995.0</v>
      </c>
      <c r="K784" s="10">
        <v>46147.0</v>
      </c>
      <c r="L784" s="6">
        <v>2.0</v>
      </c>
      <c r="M784" s="8">
        <f t="shared" si="3"/>
        <v>1</v>
      </c>
      <c r="P784" s="9"/>
    </row>
    <row r="785">
      <c r="A785" s="6" t="s">
        <v>2031</v>
      </c>
      <c r="B785" s="6" t="s">
        <v>2032</v>
      </c>
      <c r="C785" s="6" t="s">
        <v>295</v>
      </c>
      <c r="D785" s="6" t="s">
        <v>2033</v>
      </c>
      <c r="E785" s="6" t="s">
        <v>1779</v>
      </c>
      <c r="F785" s="6" t="s">
        <v>152</v>
      </c>
      <c r="G785" s="7">
        <v>0.17</v>
      </c>
      <c r="H785" s="6" t="s">
        <v>1771</v>
      </c>
      <c r="I785" s="6" t="s">
        <v>1791</v>
      </c>
      <c r="J785" s="6">
        <v>1995.0</v>
      </c>
      <c r="K785" s="10">
        <v>46055.0</v>
      </c>
      <c r="L785" s="6">
        <v>1.0</v>
      </c>
      <c r="M785" s="8">
        <f t="shared" si="3"/>
        <v>0.17</v>
      </c>
      <c r="P785" s="9"/>
    </row>
    <row r="786">
      <c r="A786" s="6" t="s">
        <v>2034</v>
      </c>
      <c r="B786" s="6" t="s">
        <v>2035</v>
      </c>
      <c r="C786" s="6" t="s">
        <v>1949</v>
      </c>
      <c r="D786" s="6" t="s">
        <v>2036</v>
      </c>
      <c r="E786" s="6" t="s">
        <v>1761</v>
      </c>
      <c r="F786" s="6" t="s">
        <v>152</v>
      </c>
      <c r="G786" s="7">
        <v>0.09</v>
      </c>
      <c r="H786" s="6" t="s">
        <v>1931</v>
      </c>
      <c r="I786" s="6" t="s">
        <v>1791</v>
      </c>
      <c r="J786" s="6">
        <v>1999.0</v>
      </c>
      <c r="K786" s="10">
        <v>46055.0</v>
      </c>
      <c r="L786" s="6">
        <v>1.0</v>
      </c>
      <c r="M786" s="8">
        <f t="shared" si="3"/>
        <v>0.09</v>
      </c>
      <c r="P786" s="9"/>
    </row>
    <row r="787">
      <c r="A787" s="6" t="s">
        <v>2037</v>
      </c>
      <c r="B787" s="6" t="s">
        <v>2014</v>
      </c>
      <c r="C787" s="6" t="s">
        <v>295</v>
      </c>
      <c r="D787" s="6" t="s">
        <v>2038</v>
      </c>
      <c r="E787" s="6" t="s">
        <v>1779</v>
      </c>
      <c r="F787" s="6" t="s">
        <v>152</v>
      </c>
      <c r="G787" s="7">
        <v>0.05</v>
      </c>
      <c r="H787" s="6" t="s">
        <v>1931</v>
      </c>
      <c r="I787" s="6" t="s">
        <v>1791</v>
      </c>
      <c r="J787" s="6">
        <v>1999.0</v>
      </c>
      <c r="L787" s="6">
        <v>1.0</v>
      </c>
      <c r="M787" s="8">
        <f t="shared" si="3"/>
        <v>0.05</v>
      </c>
      <c r="P787" s="9"/>
    </row>
    <row r="788">
      <c r="A788" s="6" t="s">
        <v>2039</v>
      </c>
      <c r="B788" s="6" t="s">
        <v>2040</v>
      </c>
      <c r="C788" s="6" t="s">
        <v>295</v>
      </c>
      <c r="D788" s="6" t="s">
        <v>2041</v>
      </c>
      <c r="E788" s="6" t="s">
        <v>713</v>
      </c>
      <c r="F788" s="6" t="s">
        <v>152</v>
      </c>
      <c r="G788" s="7">
        <v>0.18</v>
      </c>
      <c r="H788" s="6" t="s">
        <v>1780</v>
      </c>
      <c r="I788" s="6" t="s">
        <v>1791</v>
      </c>
      <c r="J788" s="6">
        <v>1994.0</v>
      </c>
      <c r="K788" s="10">
        <v>46023.0</v>
      </c>
      <c r="L788" s="6">
        <v>1.0</v>
      </c>
      <c r="M788" s="8">
        <f t="shared" si="3"/>
        <v>0.18</v>
      </c>
      <c r="P788" s="9"/>
    </row>
    <row r="789">
      <c r="A789" s="6" t="s">
        <v>2042</v>
      </c>
      <c r="B789" s="6" t="s">
        <v>2043</v>
      </c>
      <c r="C789" s="6" t="s">
        <v>295</v>
      </c>
      <c r="D789" s="6" t="s">
        <v>2044</v>
      </c>
      <c r="E789" s="6" t="s">
        <v>713</v>
      </c>
      <c r="F789" s="6" t="s">
        <v>152</v>
      </c>
      <c r="G789" s="7">
        <v>0.25</v>
      </c>
      <c r="H789" s="6" t="s">
        <v>1780</v>
      </c>
      <c r="I789" s="6" t="s">
        <v>1791</v>
      </c>
      <c r="J789" s="6">
        <v>1994.0</v>
      </c>
      <c r="K789" s="10">
        <v>46023.0</v>
      </c>
      <c r="L789" s="6">
        <v>1.0</v>
      </c>
      <c r="M789" s="8">
        <f t="shared" si="3"/>
        <v>0.25</v>
      </c>
      <c r="P789" s="9"/>
    </row>
    <row r="790">
      <c r="A790" s="6" t="s">
        <v>2045</v>
      </c>
      <c r="B790" s="6" t="s">
        <v>2035</v>
      </c>
      <c r="C790" s="6" t="s">
        <v>295</v>
      </c>
      <c r="D790" s="6" t="s">
        <v>2046</v>
      </c>
      <c r="E790" s="6" t="s">
        <v>1761</v>
      </c>
      <c r="F790" s="6" t="s">
        <v>152</v>
      </c>
      <c r="G790" s="7">
        <v>0.09</v>
      </c>
      <c r="H790" s="6" t="s">
        <v>1934</v>
      </c>
      <c r="I790" s="6" t="s">
        <v>1791</v>
      </c>
      <c r="J790" s="6">
        <v>2000.0</v>
      </c>
      <c r="K790" s="10">
        <v>46083.0</v>
      </c>
      <c r="L790" s="6">
        <v>3.0</v>
      </c>
      <c r="M790" s="8">
        <f t="shared" si="3"/>
        <v>0.27</v>
      </c>
      <c r="P790" s="9"/>
    </row>
    <row r="791">
      <c r="A791" s="6" t="s">
        <v>2047</v>
      </c>
      <c r="B791" s="6" t="s">
        <v>1896</v>
      </c>
      <c r="C791" s="6" t="s">
        <v>1949</v>
      </c>
      <c r="D791" s="6" t="s">
        <v>2048</v>
      </c>
      <c r="E791" s="6" t="s">
        <v>1035</v>
      </c>
      <c r="F791" s="6" t="s">
        <v>80</v>
      </c>
      <c r="G791" s="7">
        <v>0.2</v>
      </c>
      <c r="H791" s="6" t="s">
        <v>1774</v>
      </c>
      <c r="I791" s="6" t="s">
        <v>1791</v>
      </c>
      <c r="J791" s="6">
        <v>1995.0</v>
      </c>
      <c r="L791" s="6">
        <v>1.0</v>
      </c>
      <c r="M791" s="8">
        <f t="shared" si="3"/>
        <v>0.2</v>
      </c>
      <c r="P791" s="9"/>
    </row>
    <row r="792">
      <c r="A792" s="6" t="s">
        <v>2049</v>
      </c>
      <c r="B792" s="6" t="s">
        <v>2050</v>
      </c>
      <c r="C792" s="6" t="s">
        <v>1949</v>
      </c>
      <c r="D792" s="6" t="s">
        <v>2051</v>
      </c>
      <c r="E792" s="6" t="s">
        <v>1718</v>
      </c>
      <c r="F792" s="6" t="s">
        <v>80</v>
      </c>
      <c r="G792" s="7">
        <v>0.2</v>
      </c>
      <c r="H792" s="6" t="s">
        <v>1774</v>
      </c>
      <c r="I792" s="6" t="s">
        <v>1791</v>
      </c>
      <c r="J792" s="6">
        <v>1995.0</v>
      </c>
      <c r="K792" s="6" t="s">
        <v>1775</v>
      </c>
      <c r="L792" s="6">
        <v>1.0</v>
      </c>
      <c r="M792" s="8">
        <f t="shared" si="3"/>
        <v>0.2</v>
      </c>
      <c r="P792" s="9"/>
    </row>
    <row r="793">
      <c r="A793" s="6" t="s">
        <v>2052</v>
      </c>
      <c r="B793" s="6" t="s">
        <v>2053</v>
      </c>
      <c r="C793" s="6" t="s">
        <v>1897</v>
      </c>
      <c r="D793" s="6" t="s">
        <v>2054</v>
      </c>
      <c r="E793" s="6" t="s">
        <v>1779</v>
      </c>
      <c r="F793" s="6" t="s">
        <v>152</v>
      </c>
      <c r="G793" s="7">
        <v>0.35</v>
      </c>
      <c r="H793" s="6" t="s">
        <v>1906</v>
      </c>
      <c r="I793" s="6" t="s">
        <v>1791</v>
      </c>
      <c r="J793" s="6">
        <v>2001.0</v>
      </c>
      <c r="K793" s="10">
        <v>46084.0</v>
      </c>
      <c r="L793" s="6">
        <v>1.0</v>
      </c>
      <c r="M793" s="8">
        <f t="shared" si="3"/>
        <v>0.35</v>
      </c>
      <c r="P793" s="9"/>
    </row>
    <row r="794">
      <c r="A794" s="6" t="s">
        <v>2055</v>
      </c>
      <c r="B794" s="6" t="s">
        <v>2025</v>
      </c>
      <c r="C794" s="6" t="s">
        <v>1897</v>
      </c>
      <c r="D794" s="6" t="s">
        <v>2056</v>
      </c>
      <c r="E794" s="6" t="s">
        <v>1838</v>
      </c>
      <c r="F794" s="6" t="s">
        <v>152</v>
      </c>
      <c r="G794" s="7">
        <v>0.2</v>
      </c>
      <c r="H794" s="6" t="s">
        <v>1796</v>
      </c>
      <c r="I794" s="6" t="s">
        <v>1791</v>
      </c>
      <c r="J794" s="6">
        <v>1998.0</v>
      </c>
      <c r="L794" s="6">
        <v>1.0</v>
      </c>
      <c r="M794" s="8">
        <f t="shared" si="3"/>
        <v>0.2</v>
      </c>
      <c r="P794" s="9"/>
    </row>
    <row r="795">
      <c r="A795" s="6" t="s">
        <v>2057</v>
      </c>
      <c r="B795" s="6" t="s">
        <v>2058</v>
      </c>
      <c r="C795" s="6" t="s">
        <v>295</v>
      </c>
      <c r="D795" s="6" t="s">
        <v>2059</v>
      </c>
      <c r="E795" s="6" t="s">
        <v>713</v>
      </c>
      <c r="F795" s="6" t="s">
        <v>152</v>
      </c>
      <c r="G795" s="7">
        <v>0.45</v>
      </c>
      <c r="H795" s="6" t="s">
        <v>1796</v>
      </c>
      <c r="I795" s="6" t="s">
        <v>1791</v>
      </c>
      <c r="J795" s="6">
        <v>1998.0</v>
      </c>
      <c r="L795" s="6">
        <v>1.0</v>
      </c>
      <c r="M795" s="8">
        <f t="shared" si="3"/>
        <v>0.45</v>
      </c>
      <c r="P795" s="9"/>
    </row>
    <row r="796">
      <c r="A796" s="6" t="s">
        <v>2060</v>
      </c>
      <c r="B796" s="6" t="s">
        <v>2061</v>
      </c>
      <c r="C796" s="6" t="s">
        <v>1897</v>
      </c>
      <c r="D796" s="6" t="s">
        <v>2062</v>
      </c>
      <c r="E796" s="6" t="s">
        <v>1856</v>
      </c>
      <c r="F796" s="6" t="s">
        <v>2063</v>
      </c>
      <c r="G796" s="7">
        <v>0.19</v>
      </c>
      <c r="H796" s="6" t="s">
        <v>1796</v>
      </c>
      <c r="I796" s="6" t="s">
        <v>1791</v>
      </c>
      <c r="J796" s="6">
        <v>1998.0</v>
      </c>
      <c r="K796" s="10">
        <v>46084.0</v>
      </c>
      <c r="L796" s="6">
        <v>1.0</v>
      </c>
      <c r="M796" s="8">
        <f t="shared" si="3"/>
        <v>0.19</v>
      </c>
      <c r="P796" s="9"/>
    </row>
    <row r="797">
      <c r="A797" s="6" t="s">
        <v>2064</v>
      </c>
      <c r="B797" s="6" t="s">
        <v>2035</v>
      </c>
      <c r="C797" s="6" t="s">
        <v>295</v>
      </c>
      <c r="D797" s="6" t="s">
        <v>2065</v>
      </c>
      <c r="E797" s="6" t="s">
        <v>1779</v>
      </c>
      <c r="F797" s="6" t="s">
        <v>152</v>
      </c>
      <c r="G797" s="7">
        <v>0.19</v>
      </c>
      <c r="H797" s="6" t="s">
        <v>1931</v>
      </c>
      <c r="I797" s="6" t="s">
        <v>1791</v>
      </c>
      <c r="J797" s="6">
        <v>1999.0</v>
      </c>
      <c r="K797" s="10">
        <v>46024.0</v>
      </c>
      <c r="L797" s="6">
        <v>1.0</v>
      </c>
      <c r="M797" s="8">
        <f t="shared" si="3"/>
        <v>0.19</v>
      </c>
      <c r="P797" s="9"/>
    </row>
    <row r="798">
      <c r="A798" s="6" t="s">
        <v>2066</v>
      </c>
      <c r="B798" s="6" t="s">
        <v>1896</v>
      </c>
      <c r="C798" s="6" t="s">
        <v>1949</v>
      </c>
      <c r="D798" s="6" t="s">
        <v>2067</v>
      </c>
      <c r="E798" s="6" t="s">
        <v>1718</v>
      </c>
      <c r="F798" s="6" t="s">
        <v>80</v>
      </c>
      <c r="G798" s="7">
        <v>0.25</v>
      </c>
      <c r="H798" s="6" t="s">
        <v>2068</v>
      </c>
      <c r="I798" s="6" t="s">
        <v>1791</v>
      </c>
      <c r="J798" s="6">
        <v>1999.0</v>
      </c>
      <c r="L798" s="6">
        <v>1.0</v>
      </c>
      <c r="M798" s="8">
        <f t="shared" si="3"/>
        <v>0.25</v>
      </c>
      <c r="P798" s="9"/>
    </row>
    <row r="799">
      <c r="A799" s="6" t="s">
        <v>2069</v>
      </c>
      <c r="B799" s="6" t="s">
        <v>1896</v>
      </c>
      <c r="C799" s="6" t="s">
        <v>1949</v>
      </c>
      <c r="D799" s="6" t="s">
        <v>2070</v>
      </c>
      <c r="E799" s="6" t="s">
        <v>1718</v>
      </c>
      <c r="F799" s="6" t="s">
        <v>80</v>
      </c>
      <c r="G799" s="7">
        <v>0.09</v>
      </c>
      <c r="H799" s="6" t="s">
        <v>2068</v>
      </c>
      <c r="I799" s="6" t="s">
        <v>1791</v>
      </c>
      <c r="J799" s="6">
        <v>1999.0</v>
      </c>
      <c r="L799" s="6">
        <v>1.0</v>
      </c>
      <c r="M799" s="8">
        <f t="shared" si="3"/>
        <v>0.09</v>
      </c>
      <c r="P799" s="9"/>
    </row>
    <row r="800">
      <c r="A800" s="6" t="s">
        <v>2071</v>
      </c>
      <c r="B800" s="6" t="s">
        <v>1896</v>
      </c>
      <c r="C800" s="6" t="s">
        <v>1949</v>
      </c>
      <c r="D800" s="6" t="s">
        <v>2072</v>
      </c>
      <c r="E800" s="6" t="s">
        <v>1035</v>
      </c>
      <c r="F800" s="6" t="s">
        <v>80</v>
      </c>
      <c r="G800" s="7">
        <v>0.18</v>
      </c>
      <c r="H800" s="6" t="s">
        <v>1774</v>
      </c>
      <c r="I800" s="6" t="s">
        <v>1791</v>
      </c>
      <c r="J800" s="6">
        <v>1995.0</v>
      </c>
      <c r="L800" s="6">
        <v>1.0</v>
      </c>
      <c r="M800" s="8">
        <f t="shared" si="3"/>
        <v>0.18</v>
      </c>
      <c r="P800" s="9"/>
    </row>
    <row r="801">
      <c r="A801" s="6" t="s">
        <v>2073</v>
      </c>
      <c r="B801" s="6" t="s">
        <v>2043</v>
      </c>
      <c r="C801" s="6" t="s">
        <v>295</v>
      </c>
      <c r="D801" s="6" t="s">
        <v>2074</v>
      </c>
      <c r="E801" s="6" t="s">
        <v>1743</v>
      </c>
      <c r="F801" s="6" t="s">
        <v>152</v>
      </c>
      <c r="G801" s="7">
        <v>0.19</v>
      </c>
      <c r="H801" s="6" t="s">
        <v>1768</v>
      </c>
      <c r="I801" s="6" t="s">
        <v>1791</v>
      </c>
      <c r="J801" s="6">
        <v>1997.0</v>
      </c>
      <c r="K801" s="10">
        <v>46023.0</v>
      </c>
      <c r="L801" s="6">
        <v>1.0</v>
      </c>
      <c r="M801" s="8">
        <f t="shared" si="3"/>
        <v>0.19</v>
      </c>
      <c r="P801" s="9"/>
    </row>
    <row r="802">
      <c r="A802" s="6" t="s">
        <v>2075</v>
      </c>
      <c r="B802" s="6" t="s">
        <v>2043</v>
      </c>
      <c r="C802" s="6" t="s">
        <v>295</v>
      </c>
      <c r="D802" s="6" t="s">
        <v>2076</v>
      </c>
      <c r="E802" s="6" t="s">
        <v>1743</v>
      </c>
      <c r="F802" s="6" t="s">
        <v>152</v>
      </c>
      <c r="G802" s="7">
        <v>0.05</v>
      </c>
      <c r="H802" s="6" t="s">
        <v>1931</v>
      </c>
      <c r="I802" s="6" t="s">
        <v>1791</v>
      </c>
      <c r="J802" s="6">
        <v>1999.0</v>
      </c>
      <c r="K802" s="10">
        <v>46023.0</v>
      </c>
      <c r="L802" s="6">
        <v>1.0</v>
      </c>
      <c r="M802" s="8">
        <f t="shared" si="3"/>
        <v>0.05</v>
      </c>
      <c r="P802" s="9"/>
    </row>
    <row r="803">
      <c r="A803" s="6" t="s">
        <v>2077</v>
      </c>
      <c r="B803" s="6" t="s">
        <v>2078</v>
      </c>
      <c r="C803" s="6" t="s">
        <v>295</v>
      </c>
      <c r="D803" s="6" t="s">
        <v>2079</v>
      </c>
      <c r="E803" s="6" t="s">
        <v>1885</v>
      </c>
      <c r="F803" s="6" t="s">
        <v>152</v>
      </c>
      <c r="G803" s="7">
        <v>0.06</v>
      </c>
      <c r="H803" s="6" t="s">
        <v>1934</v>
      </c>
      <c r="I803" s="6" t="s">
        <v>1791</v>
      </c>
      <c r="J803" s="6">
        <v>2000.0</v>
      </c>
      <c r="K803" s="10">
        <v>46055.0</v>
      </c>
      <c r="L803" s="6">
        <v>1.0</v>
      </c>
      <c r="M803" s="8">
        <f t="shared" si="3"/>
        <v>0.06</v>
      </c>
      <c r="P803" s="9"/>
    </row>
    <row r="804">
      <c r="A804" s="6" t="s">
        <v>2080</v>
      </c>
      <c r="B804" s="6" t="s">
        <v>2081</v>
      </c>
      <c r="C804" s="6" t="s">
        <v>295</v>
      </c>
      <c r="D804" s="6" t="s">
        <v>2082</v>
      </c>
      <c r="E804" s="6" t="s">
        <v>1779</v>
      </c>
      <c r="F804" s="6" t="s">
        <v>152</v>
      </c>
      <c r="G804" s="7">
        <v>0.05</v>
      </c>
      <c r="H804" s="6" t="s">
        <v>1768</v>
      </c>
      <c r="I804" s="6" t="s">
        <v>1791</v>
      </c>
      <c r="J804" s="6">
        <v>1997.0</v>
      </c>
      <c r="K804" s="10">
        <v>46055.0</v>
      </c>
      <c r="L804" s="6">
        <v>1.0</v>
      </c>
      <c r="M804" s="8">
        <f t="shared" si="3"/>
        <v>0.05</v>
      </c>
      <c r="P804" s="9"/>
    </row>
    <row r="805">
      <c r="A805" s="6" t="s">
        <v>2083</v>
      </c>
      <c r="B805" s="6" t="s">
        <v>2025</v>
      </c>
      <c r="C805" s="6" t="s">
        <v>295</v>
      </c>
      <c r="D805" s="6" t="s">
        <v>2084</v>
      </c>
      <c r="E805" s="6" t="s">
        <v>1743</v>
      </c>
      <c r="F805" s="6" t="s">
        <v>152</v>
      </c>
      <c r="G805" s="7">
        <v>0.01</v>
      </c>
      <c r="H805" s="6" t="s">
        <v>1762</v>
      </c>
      <c r="I805" s="6" t="s">
        <v>1791</v>
      </c>
      <c r="J805" s="6">
        <v>2000.0</v>
      </c>
      <c r="L805" s="6">
        <v>1.0</v>
      </c>
      <c r="M805" s="8">
        <f t="shared" si="3"/>
        <v>0.01</v>
      </c>
      <c r="P805" s="9"/>
    </row>
    <row r="806">
      <c r="A806" s="6" t="s">
        <v>2085</v>
      </c>
      <c r="B806" s="6" t="s">
        <v>1896</v>
      </c>
      <c r="C806" s="6" t="s">
        <v>295</v>
      </c>
      <c r="D806" s="6" t="s">
        <v>2086</v>
      </c>
      <c r="E806" s="6" t="s">
        <v>1269</v>
      </c>
      <c r="F806" s="6" t="s">
        <v>80</v>
      </c>
      <c r="G806" s="7">
        <v>0.2</v>
      </c>
      <c r="H806" s="6" t="s">
        <v>1805</v>
      </c>
      <c r="I806" s="6" t="s">
        <v>1791</v>
      </c>
      <c r="J806" s="6">
        <v>1996.0</v>
      </c>
      <c r="L806" s="6">
        <v>1.0</v>
      </c>
      <c r="M806" s="8">
        <f t="shared" si="3"/>
        <v>0.2</v>
      </c>
      <c r="P806" s="9"/>
    </row>
    <row r="807">
      <c r="A807" s="6" t="s">
        <v>2087</v>
      </c>
      <c r="B807" s="6" t="s">
        <v>1896</v>
      </c>
      <c r="C807" s="6" t="s">
        <v>1949</v>
      </c>
      <c r="D807" s="6" t="s">
        <v>2088</v>
      </c>
      <c r="E807" s="6" t="s">
        <v>1693</v>
      </c>
      <c r="F807" s="6" t="s">
        <v>80</v>
      </c>
      <c r="G807" s="7">
        <v>0.14</v>
      </c>
      <c r="H807" s="6" t="s">
        <v>2089</v>
      </c>
      <c r="I807" s="6" t="s">
        <v>1791</v>
      </c>
      <c r="J807" s="6">
        <v>1995.0</v>
      </c>
      <c r="L807" s="6">
        <v>1.0</v>
      </c>
      <c r="M807" s="8">
        <f t="shared" si="3"/>
        <v>0.14</v>
      </c>
      <c r="P807" s="9"/>
    </row>
    <row r="808">
      <c r="A808" s="6" t="s">
        <v>2090</v>
      </c>
      <c r="B808" s="6" t="s">
        <v>1896</v>
      </c>
      <c r="C808" s="6" t="s">
        <v>1949</v>
      </c>
      <c r="D808" s="6" t="s">
        <v>2091</v>
      </c>
      <c r="E808" s="6" t="s">
        <v>1269</v>
      </c>
      <c r="F808" s="6" t="s">
        <v>80</v>
      </c>
      <c r="G808" s="7">
        <v>0.28</v>
      </c>
      <c r="H808" s="6" t="s">
        <v>1917</v>
      </c>
      <c r="I808" s="6" t="s">
        <v>1791</v>
      </c>
      <c r="J808" s="6">
        <v>1995.0</v>
      </c>
      <c r="L808" s="6">
        <v>2.0</v>
      </c>
      <c r="M808" s="8">
        <f t="shared" si="3"/>
        <v>0.56</v>
      </c>
      <c r="P808" s="9"/>
    </row>
    <row r="809">
      <c r="A809" s="6" t="s">
        <v>2092</v>
      </c>
      <c r="B809" s="6" t="s">
        <v>378</v>
      </c>
      <c r="C809" s="6" t="s">
        <v>295</v>
      </c>
      <c r="D809" s="6" t="s">
        <v>2093</v>
      </c>
      <c r="E809" s="6" t="s">
        <v>1885</v>
      </c>
      <c r="F809" s="6" t="s">
        <v>152</v>
      </c>
      <c r="G809" s="7">
        <v>0.12</v>
      </c>
      <c r="H809" s="6" t="s">
        <v>1774</v>
      </c>
      <c r="I809" s="6" t="s">
        <v>1791</v>
      </c>
      <c r="J809" s="6">
        <v>1995.0</v>
      </c>
      <c r="L809" s="6">
        <v>1.0</v>
      </c>
      <c r="M809" s="8">
        <f t="shared" si="3"/>
        <v>0.12</v>
      </c>
      <c r="P809" s="9"/>
    </row>
    <row r="810">
      <c r="A810" s="6" t="s">
        <v>2094</v>
      </c>
      <c r="B810" s="6" t="s">
        <v>1896</v>
      </c>
      <c r="C810" s="6" t="s">
        <v>1949</v>
      </c>
      <c r="D810" s="6" t="s">
        <v>2095</v>
      </c>
      <c r="E810" s="6" t="s">
        <v>1035</v>
      </c>
      <c r="F810" s="6" t="s">
        <v>80</v>
      </c>
      <c r="G810" s="7">
        <v>0.4</v>
      </c>
      <c r="H810" s="6" t="s">
        <v>1805</v>
      </c>
      <c r="I810" s="6" t="s">
        <v>1791</v>
      </c>
      <c r="J810" s="6">
        <v>1996.0</v>
      </c>
      <c r="L810" s="6">
        <v>1.0</v>
      </c>
      <c r="M810" s="8">
        <f t="shared" si="3"/>
        <v>0.4</v>
      </c>
      <c r="P810" s="9"/>
    </row>
    <row r="811">
      <c r="A811" s="6" t="s">
        <v>2096</v>
      </c>
      <c r="B811" s="6" t="s">
        <v>2035</v>
      </c>
      <c r="C811" s="6" t="s">
        <v>1949</v>
      </c>
      <c r="D811" s="6" t="s">
        <v>2097</v>
      </c>
      <c r="E811" s="6" t="s">
        <v>1779</v>
      </c>
      <c r="F811" s="6" t="s">
        <v>152</v>
      </c>
      <c r="G811" s="7">
        <v>0.2</v>
      </c>
      <c r="H811" s="6" t="s">
        <v>1934</v>
      </c>
      <c r="I811" s="6" t="s">
        <v>1791</v>
      </c>
      <c r="J811" s="6">
        <v>2000.0</v>
      </c>
      <c r="K811" s="10">
        <v>46055.0</v>
      </c>
      <c r="L811" s="6">
        <v>1.0</v>
      </c>
      <c r="M811" s="8">
        <f t="shared" si="3"/>
        <v>0.2</v>
      </c>
      <c r="P811" s="9"/>
    </row>
    <row r="812">
      <c r="A812" s="6" t="s">
        <v>2098</v>
      </c>
      <c r="B812" s="6" t="s">
        <v>2035</v>
      </c>
      <c r="C812" s="6" t="s">
        <v>1897</v>
      </c>
      <c r="D812" s="6" t="s">
        <v>2099</v>
      </c>
      <c r="E812" s="6" t="s">
        <v>1779</v>
      </c>
      <c r="F812" s="6" t="s">
        <v>152</v>
      </c>
      <c r="G812" s="7">
        <v>0.09</v>
      </c>
      <c r="H812" s="6" t="s">
        <v>1762</v>
      </c>
      <c r="I812" s="6" t="s">
        <v>1791</v>
      </c>
      <c r="J812" s="6">
        <v>2000.0</v>
      </c>
      <c r="K812" s="10">
        <v>46082.0</v>
      </c>
      <c r="L812" s="6">
        <v>1.0</v>
      </c>
      <c r="M812" s="8">
        <f t="shared" si="3"/>
        <v>0.09</v>
      </c>
      <c r="P812" s="9"/>
    </row>
    <row r="813">
      <c r="A813" s="6" t="s">
        <v>2100</v>
      </c>
      <c r="B813" s="6" t="s">
        <v>2101</v>
      </c>
      <c r="C813" s="6" t="s">
        <v>1949</v>
      </c>
      <c r="D813" s="6" t="s">
        <v>2102</v>
      </c>
      <c r="E813" s="6" t="s">
        <v>1779</v>
      </c>
      <c r="F813" s="6" t="s">
        <v>152</v>
      </c>
      <c r="G813" s="7">
        <v>0.24</v>
      </c>
      <c r="H813" s="6" t="s">
        <v>1762</v>
      </c>
      <c r="I813" s="6" t="s">
        <v>1791</v>
      </c>
      <c r="J813" s="6">
        <v>2000.0</v>
      </c>
      <c r="K813" s="10">
        <v>46024.0</v>
      </c>
      <c r="L813" s="6">
        <v>1.0</v>
      </c>
      <c r="M813" s="8">
        <f t="shared" si="3"/>
        <v>0.24</v>
      </c>
      <c r="P813" s="9"/>
    </row>
    <row r="814">
      <c r="A814" s="6" t="s">
        <v>2103</v>
      </c>
      <c r="B814" s="6" t="s">
        <v>378</v>
      </c>
      <c r="C814" s="6" t="s">
        <v>295</v>
      </c>
      <c r="D814" s="6" t="s">
        <v>2104</v>
      </c>
      <c r="E814" s="6" t="s">
        <v>1779</v>
      </c>
      <c r="F814" s="6" t="s">
        <v>152</v>
      </c>
      <c r="G814" s="7">
        <v>0.14</v>
      </c>
      <c r="H814" s="6" t="s">
        <v>1774</v>
      </c>
      <c r="I814" s="6" t="s">
        <v>1791</v>
      </c>
      <c r="J814" s="6">
        <v>1995.0</v>
      </c>
      <c r="L814" s="6">
        <v>1.0</v>
      </c>
      <c r="M814" s="8">
        <f t="shared" si="3"/>
        <v>0.14</v>
      </c>
      <c r="P814" s="9"/>
    </row>
    <row r="815">
      <c r="A815" s="6" t="s">
        <v>2105</v>
      </c>
      <c r="B815" s="6" t="s">
        <v>2106</v>
      </c>
      <c r="C815" s="6" t="s">
        <v>295</v>
      </c>
      <c r="D815" s="6" t="s">
        <v>2107</v>
      </c>
      <c r="E815" s="6" t="s">
        <v>1743</v>
      </c>
      <c r="F815" s="6" t="s">
        <v>152</v>
      </c>
      <c r="G815" s="7">
        <v>0.07</v>
      </c>
      <c r="H815" s="6" t="s">
        <v>1917</v>
      </c>
      <c r="I815" s="6" t="s">
        <v>1791</v>
      </c>
      <c r="J815" s="6">
        <v>1995.0</v>
      </c>
      <c r="K815" s="10">
        <v>46023.0</v>
      </c>
      <c r="L815" s="6">
        <v>1.0</v>
      </c>
      <c r="M815" s="8">
        <f t="shared" si="3"/>
        <v>0.07</v>
      </c>
      <c r="P815" s="9"/>
    </row>
    <row r="816">
      <c r="A816" s="6" t="s">
        <v>2108</v>
      </c>
      <c r="B816" s="6" t="s">
        <v>2035</v>
      </c>
      <c r="C816" s="6" t="s">
        <v>295</v>
      </c>
      <c r="D816" s="6" t="s">
        <v>2109</v>
      </c>
      <c r="E816" s="6" t="s">
        <v>1779</v>
      </c>
      <c r="F816" s="6" t="s">
        <v>152</v>
      </c>
      <c r="G816" s="7">
        <v>0.03</v>
      </c>
      <c r="H816" s="6" t="s">
        <v>1762</v>
      </c>
      <c r="I816" s="6" t="s">
        <v>1791</v>
      </c>
      <c r="J816" s="6">
        <v>2000.0</v>
      </c>
      <c r="K816" s="10">
        <v>46055.0</v>
      </c>
      <c r="L816" s="6">
        <v>1.0</v>
      </c>
      <c r="M816" s="8">
        <f t="shared" si="3"/>
        <v>0.03</v>
      </c>
      <c r="P816" s="9"/>
    </row>
    <row r="817">
      <c r="A817" s="6" t="s">
        <v>2110</v>
      </c>
      <c r="B817" s="6" t="s">
        <v>2014</v>
      </c>
      <c r="C817" s="6" t="s">
        <v>1949</v>
      </c>
      <c r="D817" s="6" t="s">
        <v>2111</v>
      </c>
      <c r="E817" s="6" t="s">
        <v>1743</v>
      </c>
      <c r="F817" s="6" t="s">
        <v>152</v>
      </c>
      <c r="G817" s="7">
        <v>0.05</v>
      </c>
      <c r="H817" s="6" t="s">
        <v>1906</v>
      </c>
      <c r="I817" s="6" t="s">
        <v>1791</v>
      </c>
      <c r="J817" s="6">
        <v>2001.0</v>
      </c>
      <c r="L817" s="6">
        <v>1.0</v>
      </c>
      <c r="M817" s="8">
        <f t="shared" si="3"/>
        <v>0.05</v>
      </c>
      <c r="P817" s="9"/>
    </row>
    <row r="818">
      <c r="A818" s="6" t="s">
        <v>2112</v>
      </c>
      <c r="B818" s="6" t="s">
        <v>2081</v>
      </c>
      <c r="C818" s="6" t="s">
        <v>295</v>
      </c>
      <c r="D818" s="6" t="s">
        <v>2113</v>
      </c>
      <c r="E818" s="6" t="s">
        <v>1779</v>
      </c>
      <c r="F818" s="6" t="s">
        <v>152</v>
      </c>
      <c r="G818" s="7">
        <v>0.06</v>
      </c>
      <c r="H818" s="6" t="s">
        <v>1744</v>
      </c>
      <c r="I818" s="6" t="s">
        <v>1791</v>
      </c>
      <c r="J818" s="6">
        <v>2000.0</v>
      </c>
      <c r="K818" s="10">
        <v>46055.0</v>
      </c>
      <c r="L818" s="6">
        <v>1.0</v>
      </c>
      <c r="M818" s="8">
        <f t="shared" si="3"/>
        <v>0.06</v>
      </c>
      <c r="P818" s="9"/>
    </row>
    <row r="819">
      <c r="A819" s="6" t="s">
        <v>2114</v>
      </c>
      <c r="B819" s="6" t="s">
        <v>2115</v>
      </c>
      <c r="C819" s="6" t="s">
        <v>1897</v>
      </c>
      <c r="D819" s="6" t="s">
        <v>2116</v>
      </c>
      <c r="E819" s="6" t="s">
        <v>1761</v>
      </c>
      <c r="F819" s="6" t="s">
        <v>152</v>
      </c>
      <c r="G819" s="7">
        <v>0.06</v>
      </c>
      <c r="H819" s="6" t="s">
        <v>2089</v>
      </c>
      <c r="I819" s="6" t="s">
        <v>1791</v>
      </c>
      <c r="J819" s="6">
        <v>1995.0</v>
      </c>
      <c r="K819" s="6" t="s">
        <v>1733</v>
      </c>
      <c r="L819" s="6">
        <v>1.0</v>
      </c>
      <c r="M819" s="8">
        <f t="shared" si="3"/>
        <v>0.06</v>
      </c>
      <c r="P819" s="9"/>
    </row>
    <row r="820">
      <c r="A820" s="6" t="s">
        <v>2117</v>
      </c>
      <c r="B820" s="6" t="s">
        <v>2118</v>
      </c>
      <c r="C820" s="6" t="s">
        <v>295</v>
      </c>
      <c r="D820" s="6" t="s">
        <v>2119</v>
      </c>
      <c r="E820" s="6" t="s">
        <v>1779</v>
      </c>
      <c r="F820" s="6" t="s">
        <v>152</v>
      </c>
      <c r="G820" s="7">
        <v>0.1</v>
      </c>
      <c r="H820" s="6" t="s">
        <v>2089</v>
      </c>
      <c r="I820" s="6" t="s">
        <v>1791</v>
      </c>
      <c r="J820" s="6">
        <v>1995.0</v>
      </c>
      <c r="K820" s="10">
        <v>46082.0</v>
      </c>
      <c r="L820" s="6">
        <v>1.0</v>
      </c>
      <c r="M820" s="8">
        <f t="shared" si="3"/>
        <v>0.1</v>
      </c>
      <c r="P820" s="9"/>
    </row>
    <row r="821">
      <c r="A821" s="6" t="s">
        <v>2120</v>
      </c>
      <c r="B821" s="6" t="s">
        <v>2078</v>
      </c>
      <c r="C821" s="6" t="s">
        <v>295</v>
      </c>
      <c r="D821" s="6" t="s">
        <v>2121</v>
      </c>
      <c r="E821" s="6" t="s">
        <v>1761</v>
      </c>
      <c r="F821" s="6" t="s">
        <v>152</v>
      </c>
      <c r="G821" s="7">
        <v>0.09</v>
      </c>
      <c r="H821" s="6" t="s">
        <v>1744</v>
      </c>
      <c r="I821" s="6" t="s">
        <v>1791</v>
      </c>
      <c r="J821" s="6">
        <v>2000.0</v>
      </c>
      <c r="K821" s="10">
        <v>46055.0</v>
      </c>
      <c r="L821" s="6">
        <v>1.0</v>
      </c>
      <c r="M821" s="8">
        <f t="shared" si="3"/>
        <v>0.09</v>
      </c>
      <c r="P821" s="9"/>
    </row>
    <row r="822">
      <c r="A822" s="6" t="s">
        <v>2122</v>
      </c>
      <c r="B822" s="6" t="s">
        <v>2032</v>
      </c>
      <c r="C822" s="6" t="s">
        <v>295</v>
      </c>
      <c r="D822" s="6" t="s">
        <v>2123</v>
      </c>
      <c r="E822" s="6" t="s">
        <v>1743</v>
      </c>
      <c r="F822" s="6" t="s">
        <v>152</v>
      </c>
      <c r="G822" s="7">
        <v>0.07</v>
      </c>
      <c r="H822" s="6" t="s">
        <v>1744</v>
      </c>
      <c r="I822" s="6" t="s">
        <v>1791</v>
      </c>
      <c r="J822" s="6">
        <v>2000.0</v>
      </c>
      <c r="K822" s="10">
        <v>46054.0</v>
      </c>
      <c r="L822" s="6">
        <v>1.0</v>
      </c>
      <c r="M822" s="8">
        <f t="shared" si="3"/>
        <v>0.07</v>
      </c>
      <c r="P822" s="9"/>
    </row>
    <row r="823">
      <c r="A823" s="6" t="s">
        <v>2124</v>
      </c>
      <c r="B823" s="6" t="s">
        <v>2043</v>
      </c>
      <c r="C823" s="6" t="s">
        <v>295</v>
      </c>
      <c r="D823" s="6" t="s">
        <v>2125</v>
      </c>
      <c r="E823" s="6" t="s">
        <v>1743</v>
      </c>
      <c r="F823" s="6" t="s">
        <v>152</v>
      </c>
      <c r="G823" s="7">
        <v>0.09</v>
      </c>
      <c r="H823" s="6" t="s">
        <v>1744</v>
      </c>
      <c r="I823" s="6" t="s">
        <v>1791</v>
      </c>
      <c r="J823" s="6">
        <v>2000.0</v>
      </c>
      <c r="K823" s="10">
        <v>46054.0</v>
      </c>
      <c r="L823" s="6">
        <v>1.0</v>
      </c>
      <c r="M823" s="8">
        <f t="shared" si="3"/>
        <v>0.09</v>
      </c>
      <c r="P823" s="9"/>
    </row>
    <row r="824">
      <c r="A824" s="6" t="s">
        <v>2126</v>
      </c>
      <c r="B824" s="6" t="s">
        <v>2127</v>
      </c>
      <c r="C824" s="6" t="s">
        <v>295</v>
      </c>
      <c r="D824" s="6" t="s">
        <v>2128</v>
      </c>
      <c r="E824" s="6" t="s">
        <v>1761</v>
      </c>
      <c r="F824" s="6" t="s">
        <v>152</v>
      </c>
      <c r="G824" s="7">
        <v>0.05</v>
      </c>
      <c r="H824" s="6" t="s">
        <v>1744</v>
      </c>
      <c r="I824" s="6" t="s">
        <v>1791</v>
      </c>
      <c r="J824" s="6">
        <v>2000.0</v>
      </c>
      <c r="K824" s="10">
        <v>46055.0</v>
      </c>
      <c r="L824" s="6">
        <v>1.0</v>
      </c>
      <c r="M824" s="8">
        <f t="shared" si="3"/>
        <v>0.05</v>
      </c>
      <c r="P824" s="9"/>
    </row>
    <row r="825">
      <c r="A825" s="6" t="s">
        <v>2129</v>
      </c>
      <c r="B825" s="6" t="s">
        <v>2130</v>
      </c>
      <c r="C825" s="6" t="s">
        <v>295</v>
      </c>
      <c r="D825" s="6" t="s">
        <v>2131</v>
      </c>
      <c r="E825" s="6" t="s">
        <v>1035</v>
      </c>
      <c r="F825" s="6" t="s">
        <v>80</v>
      </c>
      <c r="G825" s="7">
        <v>3.76</v>
      </c>
      <c r="H825" s="6" t="s">
        <v>2132</v>
      </c>
      <c r="I825" s="6" t="s">
        <v>1791</v>
      </c>
      <c r="J825" s="6">
        <v>2020.0</v>
      </c>
      <c r="K825" s="10">
        <v>46023.0</v>
      </c>
      <c r="L825" s="6">
        <v>1.0</v>
      </c>
      <c r="M825" s="8">
        <f t="shared" si="3"/>
        <v>3.76</v>
      </c>
      <c r="P825" s="9"/>
    </row>
    <row r="826">
      <c r="A826" s="6" t="s">
        <v>2133</v>
      </c>
      <c r="B826" s="6" t="s">
        <v>2134</v>
      </c>
      <c r="C826" s="6" t="s">
        <v>295</v>
      </c>
      <c r="D826" s="6" t="s">
        <v>2135</v>
      </c>
      <c r="E826" s="6" t="s">
        <v>1032</v>
      </c>
      <c r="F826" s="6" t="s">
        <v>80</v>
      </c>
      <c r="G826" s="7">
        <v>0.06</v>
      </c>
      <c r="H826" s="6" t="s">
        <v>2132</v>
      </c>
      <c r="I826" s="6" t="s">
        <v>1791</v>
      </c>
      <c r="J826" s="6">
        <v>2020.0</v>
      </c>
      <c r="K826" s="10">
        <v>46023.0</v>
      </c>
      <c r="L826" s="6">
        <v>1.0</v>
      </c>
      <c r="M826" s="8">
        <f t="shared" si="3"/>
        <v>0.06</v>
      </c>
      <c r="P826" s="9"/>
    </row>
    <row r="827">
      <c r="A827" s="6" t="s">
        <v>2136</v>
      </c>
      <c r="B827" s="6" t="s">
        <v>2137</v>
      </c>
      <c r="C827" s="6" t="s">
        <v>2138</v>
      </c>
      <c r="D827" s="6" t="s">
        <v>2139</v>
      </c>
      <c r="E827" s="6" t="s">
        <v>1032</v>
      </c>
      <c r="F827" s="6" t="s">
        <v>2140</v>
      </c>
      <c r="G827" s="7">
        <v>0.06</v>
      </c>
      <c r="H827" s="6" t="s">
        <v>2141</v>
      </c>
      <c r="I827" s="6" t="s">
        <v>1791</v>
      </c>
      <c r="J827" s="6">
        <v>2023.0</v>
      </c>
      <c r="K827" s="10">
        <v>46023.0</v>
      </c>
      <c r="L827" s="6">
        <v>1.0</v>
      </c>
      <c r="M827" s="8">
        <f t="shared" si="3"/>
        <v>0.06</v>
      </c>
      <c r="P827" s="9"/>
    </row>
    <row r="828">
      <c r="A828" s="6" t="s">
        <v>2142</v>
      </c>
      <c r="B828" s="6" t="s">
        <v>2143</v>
      </c>
      <c r="C828" s="6" t="s">
        <v>295</v>
      </c>
      <c r="D828" s="6" t="s">
        <v>2144</v>
      </c>
      <c r="E828" s="6" t="s">
        <v>1035</v>
      </c>
      <c r="F828" s="6" t="s">
        <v>80</v>
      </c>
      <c r="G828" s="7">
        <v>0.08</v>
      </c>
      <c r="H828" s="6" t="s">
        <v>1676</v>
      </c>
      <c r="I828" s="6" t="s">
        <v>1791</v>
      </c>
      <c r="J828" s="6">
        <v>2008.0</v>
      </c>
      <c r="K828" s="10">
        <v>46084.0</v>
      </c>
      <c r="L828" s="6">
        <v>1.0</v>
      </c>
      <c r="M828" s="8">
        <f t="shared" si="3"/>
        <v>0.08</v>
      </c>
      <c r="P828" s="9"/>
    </row>
    <row r="829">
      <c r="A829" s="6" t="s">
        <v>2145</v>
      </c>
      <c r="B829" s="6" t="s">
        <v>2143</v>
      </c>
      <c r="C829" s="6" t="s">
        <v>295</v>
      </c>
      <c r="D829" s="6" t="s">
        <v>2146</v>
      </c>
      <c r="E829" s="6" t="s">
        <v>1718</v>
      </c>
      <c r="F829" s="6" t="s">
        <v>80</v>
      </c>
      <c r="G829" s="7">
        <v>0.09</v>
      </c>
      <c r="H829" s="6" t="s">
        <v>1676</v>
      </c>
      <c r="I829" s="6" t="s">
        <v>1791</v>
      </c>
      <c r="J829" s="6">
        <v>2008.0</v>
      </c>
      <c r="K829" s="10">
        <v>46056.0</v>
      </c>
      <c r="L829" s="6">
        <v>1.0</v>
      </c>
      <c r="M829" s="8">
        <f t="shared" si="3"/>
        <v>0.09</v>
      </c>
      <c r="P829" s="9"/>
    </row>
    <row r="830">
      <c r="A830" s="6" t="s">
        <v>2147</v>
      </c>
      <c r="B830" s="6" t="s">
        <v>1972</v>
      </c>
      <c r="C830" s="6" t="s">
        <v>295</v>
      </c>
      <c r="D830" s="6" t="s">
        <v>2148</v>
      </c>
      <c r="E830" s="6" t="s">
        <v>1032</v>
      </c>
      <c r="F830" s="6" t="s">
        <v>80</v>
      </c>
      <c r="G830" s="7">
        <v>0.03</v>
      </c>
      <c r="H830" s="6" t="s">
        <v>1704</v>
      </c>
      <c r="I830" s="6" t="s">
        <v>1791</v>
      </c>
      <c r="J830" s="6">
        <v>2016.0</v>
      </c>
      <c r="K830" s="10">
        <v>46054.0</v>
      </c>
      <c r="L830" s="6">
        <v>1.0</v>
      </c>
      <c r="M830" s="8">
        <f t="shared" si="3"/>
        <v>0.03</v>
      </c>
      <c r="P830" s="9"/>
    </row>
    <row r="831">
      <c r="A831" s="6" t="s">
        <v>2149</v>
      </c>
      <c r="B831" s="6" t="s">
        <v>2134</v>
      </c>
      <c r="C831" s="6" t="s">
        <v>1949</v>
      </c>
      <c r="D831" s="6" t="s">
        <v>2150</v>
      </c>
      <c r="E831" s="6" t="s">
        <v>1693</v>
      </c>
      <c r="F831" s="6" t="s">
        <v>80</v>
      </c>
      <c r="G831" s="7">
        <v>0.13</v>
      </c>
      <c r="H831" s="6" t="s">
        <v>2151</v>
      </c>
      <c r="I831" s="6" t="s">
        <v>1791</v>
      </c>
      <c r="J831" s="6">
        <v>2013.0</v>
      </c>
      <c r="K831" s="6" t="s">
        <v>1256</v>
      </c>
      <c r="L831" s="6">
        <v>1.0</v>
      </c>
      <c r="M831" s="8">
        <f t="shared" si="3"/>
        <v>0.13</v>
      </c>
      <c r="P831" s="9"/>
    </row>
    <row r="832">
      <c r="A832" s="6" t="s">
        <v>2152</v>
      </c>
      <c r="B832" s="6" t="s">
        <v>1972</v>
      </c>
      <c r="C832" s="6" t="s">
        <v>295</v>
      </c>
      <c r="D832" s="6" t="s">
        <v>2153</v>
      </c>
      <c r="E832" s="6" t="s">
        <v>1718</v>
      </c>
      <c r="F832" s="6" t="s">
        <v>80</v>
      </c>
      <c r="G832" s="7">
        <v>0.15</v>
      </c>
      <c r="H832" s="6" t="s">
        <v>2132</v>
      </c>
      <c r="I832" s="6" t="s">
        <v>31</v>
      </c>
      <c r="J832" s="6">
        <v>2020.0</v>
      </c>
      <c r="K832" s="10">
        <v>46055.0</v>
      </c>
      <c r="L832" s="6">
        <v>1.0</v>
      </c>
      <c r="M832" s="8">
        <f t="shared" si="3"/>
        <v>0.15</v>
      </c>
      <c r="P832" s="9"/>
    </row>
    <row r="833">
      <c r="A833" s="6" t="s">
        <v>2154</v>
      </c>
      <c r="B833" s="6" t="s">
        <v>2134</v>
      </c>
      <c r="C833" s="6" t="s">
        <v>295</v>
      </c>
      <c r="D833" s="6" t="s">
        <v>2155</v>
      </c>
      <c r="E833" s="6" t="s">
        <v>1693</v>
      </c>
      <c r="F833" s="6" t="s">
        <v>80</v>
      </c>
      <c r="G833" s="7">
        <v>0.05</v>
      </c>
      <c r="H833" s="6" t="s">
        <v>2156</v>
      </c>
      <c r="I833" s="6" t="s">
        <v>1791</v>
      </c>
      <c r="J833" s="6">
        <v>2014.0</v>
      </c>
      <c r="K833" s="10">
        <v>46116.0</v>
      </c>
      <c r="L833" s="6">
        <v>1.0</v>
      </c>
      <c r="M833" s="8">
        <f t="shared" si="3"/>
        <v>0.05</v>
      </c>
      <c r="P833" s="9"/>
    </row>
    <row r="834">
      <c r="A834" s="6" t="s">
        <v>2157</v>
      </c>
      <c r="B834" s="6" t="s">
        <v>2134</v>
      </c>
      <c r="C834" s="6" t="s">
        <v>295</v>
      </c>
      <c r="D834" s="6" t="s">
        <v>2158</v>
      </c>
      <c r="E834" s="6" t="s">
        <v>1035</v>
      </c>
      <c r="F834" s="6" t="s">
        <v>80</v>
      </c>
      <c r="G834" s="7">
        <v>0.05</v>
      </c>
      <c r="H834" s="6" t="s">
        <v>2159</v>
      </c>
      <c r="I834" s="6" t="s">
        <v>1791</v>
      </c>
      <c r="J834" s="6">
        <v>2024.0</v>
      </c>
      <c r="K834" s="10">
        <v>46024.0</v>
      </c>
      <c r="L834" s="6">
        <v>1.0</v>
      </c>
      <c r="M834" s="8">
        <f t="shared" si="3"/>
        <v>0.05</v>
      </c>
      <c r="P834" s="9"/>
    </row>
    <row r="835">
      <c r="A835" s="6" t="s">
        <v>2157</v>
      </c>
      <c r="B835" s="6" t="s">
        <v>2134</v>
      </c>
      <c r="C835" s="6" t="s">
        <v>295</v>
      </c>
      <c r="D835" s="6" t="s">
        <v>2158</v>
      </c>
      <c r="E835" s="6" t="s">
        <v>1035</v>
      </c>
      <c r="F835" s="6" t="s">
        <v>80</v>
      </c>
      <c r="G835" s="7">
        <v>0.25</v>
      </c>
      <c r="H835" s="6" t="s">
        <v>2159</v>
      </c>
      <c r="I835" s="6" t="s">
        <v>31</v>
      </c>
      <c r="J835" s="6">
        <v>2024.0</v>
      </c>
      <c r="K835" s="10">
        <v>46024.0</v>
      </c>
      <c r="L835" s="6">
        <v>1.0</v>
      </c>
      <c r="M835" s="8">
        <f t="shared" si="3"/>
        <v>0.25</v>
      </c>
      <c r="P835" s="9"/>
    </row>
    <row r="836">
      <c r="A836" s="6" t="s">
        <v>2160</v>
      </c>
      <c r="B836" s="6" t="s">
        <v>1972</v>
      </c>
      <c r="C836" s="6" t="s">
        <v>1949</v>
      </c>
      <c r="D836" s="6" t="s">
        <v>2161</v>
      </c>
      <c r="E836" s="6" t="s">
        <v>1035</v>
      </c>
      <c r="F836" s="6" t="s">
        <v>80</v>
      </c>
      <c r="G836" s="7">
        <v>0.04</v>
      </c>
      <c r="H836" s="6" t="s">
        <v>2162</v>
      </c>
      <c r="I836" s="6" t="s">
        <v>1791</v>
      </c>
      <c r="J836" s="6">
        <v>2021.0</v>
      </c>
      <c r="K836" s="10">
        <v>46023.0</v>
      </c>
      <c r="L836" s="6">
        <v>1.0</v>
      </c>
      <c r="M836" s="8">
        <f t="shared" si="3"/>
        <v>0.04</v>
      </c>
      <c r="P836" s="9"/>
    </row>
    <row r="837">
      <c r="A837" s="6" t="s">
        <v>2163</v>
      </c>
      <c r="B837" s="6" t="s">
        <v>2164</v>
      </c>
      <c r="C837" s="6" t="s">
        <v>295</v>
      </c>
      <c r="D837" s="6" t="s">
        <v>2165</v>
      </c>
      <c r="E837" s="6" t="s">
        <v>1032</v>
      </c>
      <c r="F837" s="6" t="s">
        <v>80</v>
      </c>
      <c r="G837" s="7">
        <v>0.03</v>
      </c>
      <c r="H837" s="6" t="s">
        <v>2166</v>
      </c>
      <c r="I837" s="6" t="s">
        <v>1791</v>
      </c>
      <c r="J837" s="6">
        <v>2015.0</v>
      </c>
      <c r="K837" s="10">
        <v>46082.0</v>
      </c>
      <c r="L837" s="6">
        <v>1.0</v>
      </c>
      <c r="M837" s="8">
        <f t="shared" si="3"/>
        <v>0.03</v>
      </c>
      <c r="P837" s="9"/>
    </row>
    <row r="838">
      <c r="A838" s="6" t="s">
        <v>2167</v>
      </c>
      <c r="B838" s="6" t="s">
        <v>2168</v>
      </c>
      <c r="C838" s="6" t="s">
        <v>295</v>
      </c>
      <c r="D838" s="6" t="s">
        <v>2169</v>
      </c>
      <c r="E838" s="6" t="s">
        <v>1680</v>
      </c>
      <c r="F838" s="6" t="s">
        <v>80</v>
      </c>
      <c r="G838" s="7">
        <v>0.03</v>
      </c>
      <c r="H838" s="6" t="s">
        <v>1704</v>
      </c>
      <c r="I838" s="6" t="s">
        <v>1791</v>
      </c>
      <c r="J838" s="6">
        <v>2016.0</v>
      </c>
      <c r="K838" s="10">
        <v>46116.0</v>
      </c>
      <c r="L838" s="6">
        <v>1.0</v>
      </c>
      <c r="M838" s="8">
        <f t="shared" si="3"/>
        <v>0.03</v>
      </c>
      <c r="P838" s="9"/>
    </row>
    <row r="839">
      <c r="A839" s="6" t="s">
        <v>2170</v>
      </c>
      <c r="B839" s="6" t="s">
        <v>1896</v>
      </c>
      <c r="C839" s="6" t="s">
        <v>295</v>
      </c>
      <c r="D839" s="6" t="s">
        <v>2171</v>
      </c>
      <c r="E839" s="6" t="s">
        <v>1035</v>
      </c>
      <c r="F839" s="6" t="s">
        <v>80</v>
      </c>
      <c r="G839" s="7">
        <v>1.0</v>
      </c>
      <c r="H839" s="6" t="s">
        <v>2172</v>
      </c>
      <c r="I839" s="6" t="s">
        <v>1791</v>
      </c>
      <c r="J839" s="6">
        <v>2021.0</v>
      </c>
      <c r="L839" s="6">
        <v>1.0</v>
      </c>
      <c r="M839" s="8">
        <f t="shared" si="3"/>
        <v>1</v>
      </c>
      <c r="P839" s="9"/>
    </row>
    <row r="840">
      <c r="A840" s="6" t="s">
        <v>2173</v>
      </c>
      <c r="B840" s="6" t="s">
        <v>1896</v>
      </c>
      <c r="C840" s="6" t="s">
        <v>295</v>
      </c>
      <c r="D840" s="6" t="s">
        <v>2174</v>
      </c>
      <c r="E840" s="6" t="s">
        <v>1035</v>
      </c>
      <c r="F840" s="6" t="s">
        <v>80</v>
      </c>
      <c r="G840" s="7">
        <v>2.64</v>
      </c>
      <c r="H840" s="6" t="s">
        <v>2175</v>
      </c>
      <c r="I840" s="6" t="s">
        <v>1791</v>
      </c>
      <c r="J840" s="6">
        <v>2018.0</v>
      </c>
      <c r="L840" s="6">
        <v>1.0</v>
      </c>
      <c r="M840" s="8">
        <f t="shared" si="3"/>
        <v>2.64</v>
      </c>
      <c r="P840" s="9"/>
    </row>
    <row r="841">
      <c r="A841" s="6" t="s">
        <v>2176</v>
      </c>
      <c r="B841" s="6" t="s">
        <v>2177</v>
      </c>
      <c r="C841" s="6" t="s">
        <v>295</v>
      </c>
      <c r="D841" s="6" t="s">
        <v>2178</v>
      </c>
      <c r="E841" s="6" t="s">
        <v>1974</v>
      </c>
      <c r="F841" s="6" t="s">
        <v>80</v>
      </c>
      <c r="G841" s="7">
        <v>0.9</v>
      </c>
      <c r="H841" s="6" t="s">
        <v>2179</v>
      </c>
      <c r="I841" s="6" t="s">
        <v>1791</v>
      </c>
      <c r="J841" s="6">
        <v>2018.0</v>
      </c>
      <c r="K841" s="10">
        <v>46242.0</v>
      </c>
      <c r="L841" s="6">
        <v>1.0</v>
      </c>
      <c r="M841" s="8">
        <f t="shared" si="3"/>
        <v>0.9</v>
      </c>
      <c r="P841" s="9"/>
    </row>
    <row r="842">
      <c r="A842" s="6" t="s">
        <v>2180</v>
      </c>
      <c r="B842" s="6" t="s">
        <v>2168</v>
      </c>
      <c r="C842" s="6" t="s">
        <v>295</v>
      </c>
      <c r="D842" s="6" t="s">
        <v>2181</v>
      </c>
      <c r="E842" s="6" t="s">
        <v>1032</v>
      </c>
      <c r="F842" s="6" t="s">
        <v>80</v>
      </c>
      <c r="G842" s="7">
        <v>0.17</v>
      </c>
      <c r="H842" s="6" t="s">
        <v>2182</v>
      </c>
      <c r="I842" s="6" t="s">
        <v>1791</v>
      </c>
      <c r="J842" s="6">
        <v>2022.0</v>
      </c>
      <c r="K842" s="10">
        <v>46055.0</v>
      </c>
      <c r="L842" s="6">
        <v>1.0</v>
      </c>
      <c r="M842" s="8">
        <f t="shared" si="3"/>
        <v>0.17</v>
      </c>
      <c r="P842" s="9"/>
    </row>
    <row r="843">
      <c r="A843" s="6" t="s">
        <v>2183</v>
      </c>
      <c r="B843" s="6" t="s">
        <v>2184</v>
      </c>
      <c r="C843" s="6" t="s">
        <v>1949</v>
      </c>
      <c r="D843" s="6" t="s">
        <v>2185</v>
      </c>
      <c r="E843" s="6" t="s">
        <v>1035</v>
      </c>
      <c r="F843" s="6" t="s">
        <v>80</v>
      </c>
      <c r="G843" s="7">
        <v>0.12</v>
      </c>
      <c r="H843" s="6" t="s">
        <v>2186</v>
      </c>
      <c r="I843" s="6" t="s">
        <v>1791</v>
      </c>
      <c r="J843" s="6">
        <v>2022.0</v>
      </c>
      <c r="K843" s="6" t="s">
        <v>564</v>
      </c>
      <c r="L843" s="6">
        <v>1.0</v>
      </c>
      <c r="M843" s="8">
        <f t="shared" si="3"/>
        <v>0.12</v>
      </c>
      <c r="P843" s="9"/>
    </row>
    <row r="844">
      <c r="A844" s="6" t="s">
        <v>2187</v>
      </c>
      <c r="B844" s="6" t="s">
        <v>2188</v>
      </c>
      <c r="C844" s="6" t="s">
        <v>1897</v>
      </c>
      <c r="D844" s="6" t="s">
        <v>2189</v>
      </c>
      <c r="E844" s="6" t="s">
        <v>1974</v>
      </c>
      <c r="F844" s="6" t="s">
        <v>80</v>
      </c>
      <c r="G844" s="7">
        <v>0.35</v>
      </c>
      <c r="H844" s="6" t="s">
        <v>2190</v>
      </c>
      <c r="I844" s="6" t="s">
        <v>1791</v>
      </c>
      <c r="J844" s="6">
        <v>2016.0</v>
      </c>
      <c r="K844" s="10">
        <v>46178.0</v>
      </c>
      <c r="L844" s="6">
        <v>1.0</v>
      </c>
      <c r="M844" s="8">
        <f t="shared" si="3"/>
        <v>0.35</v>
      </c>
      <c r="P844" s="9"/>
    </row>
    <row r="845">
      <c r="A845" s="6" t="s">
        <v>2191</v>
      </c>
      <c r="B845" s="6" t="s">
        <v>2058</v>
      </c>
      <c r="C845" s="6" t="s">
        <v>1897</v>
      </c>
      <c r="D845" s="6" t="s">
        <v>2192</v>
      </c>
      <c r="E845" s="6" t="s">
        <v>1693</v>
      </c>
      <c r="F845" s="6" t="s">
        <v>80</v>
      </c>
      <c r="G845" s="7">
        <v>0.14</v>
      </c>
      <c r="H845" s="6" t="s">
        <v>1984</v>
      </c>
      <c r="I845" s="6" t="s">
        <v>1791</v>
      </c>
      <c r="J845" s="6">
        <v>2015.0</v>
      </c>
      <c r="L845" s="6">
        <v>1.0</v>
      </c>
      <c r="M845" s="8">
        <f t="shared" si="3"/>
        <v>0.14</v>
      </c>
      <c r="P845" s="9"/>
    </row>
    <row r="846">
      <c r="A846" s="6" t="s">
        <v>2193</v>
      </c>
      <c r="B846" s="6" t="s">
        <v>2194</v>
      </c>
      <c r="C846" s="6" t="s">
        <v>295</v>
      </c>
      <c r="D846" s="6" t="s">
        <v>2195</v>
      </c>
      <c r="E846" s="6" t="s">
        <v>1032</v>
      </c>
      <c r="F846" s="6" t="s">
        <v>80</v>
      </c>
      <c r="G846" s="7">
        <v>0.05</v>
      </c>
      <c r="H846" s="6" t="s">
        <v>1697</v>
      </c>
      <c r="I846" s="6" t="s">
        <v>1791</v>
      </c>
      <c r="J846" s="6">
        <v>2003.0</v>
      </c>
      <c r="K846" s="10">
        <v>46055.0</v>
      </c>
      <c r="L846" s="6">
        <v>1.0</v>
      </c>
      <c r="M846" s="8">
        <f t="shared" si="3"/>
        <v>0.05</v>
      </c>
      <c r="P846" s="9"/>
    </row>
    <row r="847">
      <c r="A847" s="6" t="s">
        <v>2196</v>
      </c>
      <c r="B847" s="6" t="s">
        <v>2134</v>
      </c>
      <c r="C847" s="6" t="s">
        <v>295</v>
      </c>
      <c r="D847" s="6" t="s">
        <v>2197</v>
      </c>
      <c r="E847" s="6" t="s">
        <v>1718</v>
      </c>
      <c r="F847" s="6" t="s">
        <v>80</v>
      </c>
      <c r="G847" s="7">
        <v>0.04</v>
      </c>
      <c r="H847" s="6" t="s">
        <v>2162</v>
      </c>
      <c r="I847" s="6" t="s">
        <v>1791</v>
      </c>
      <c r="J847" s="6">
        <v>2021.0</v>
      </c>
      <c r="K847" s="10">
        <v>46084.0</v>
      </c>
      <c r="L847" s="6">
        <v>1.0</v>
      </c>
      <c r="M847" s="8">
        <f t="shared" si="3"/>
        <v>0.04</v>
      </c>
      <c r="P847" s="9"/>
    </row>
    <row r="848">
      <c r="A848" s="6" t="s">
        <v>2198</v>
      </c>
      <c r="B848" s="6" t="s">
        <v>1972</v>
      </c>
      <c r="C848" s="6" t="s">
        <v>1949</v>
      </c>
      <c r="D848" s="6" t="s">
        <v>2199</v>
      </c>
      <c r="F848" s="6" t="s">
        <v>80</v>
      </c>
      <c r="G848" s="7">
        <v>0.06</v>
      </c>
      <c r="H848" s="6" t="s">
        <v>1965</v>
      </c>
      <c r="I848" s="6" t="s">
        <v>1791</v>
      </c>
      <c r="J848" s="6">
        <v>2022.0</v>
      </c>
      <c r="K848" s="10">
        <v>46084.0</v>
      </c>
      <c r="L848" s="6">
        <v>1.0</v>
      </c>
      <c r="M848" s="8">
        <f t="shared" si="3"/>
        <v>0.06</v>
      </c>
      <c r="P848" s="9"/>
    </row>
    <row r="849">
      <c r="A849" s="6" t="s">
        <v>2200</v>
      </c>
      <c r="B849" s="6" t="s">
        <v>1896</v>
      </c>
      <c r="C849" s="6" t="s">
        <v>295</v>
      </c>
      <c r="D849" s="6" t="s">
        <v>2201</v>
      </c>
      <c r="E849" s="6" t="s">
        <v>1032</v>
      </c>
      <c r="F849" s="6" t="s">
        <v>80</v>
      </c>
      <c r="G849" s="7">
        <v>0.08</v>
      </c>
      <c r="H849" s="6" t="s">
        <v>2202</v>
      </c>
      <c r="I849" s="6" t="s">
        <v>1791</v>
      </c>
      <c r="J849" s="6">
        <v>2014.0</v>
      </c>
      <c r="L849" s="6">
        <v>1.0</v>
      </c>
      <c r="M849" s="8">
        <f t="shared" si="3"/>
        <v>0.08</v>
      </c>
      <c r="P849" s="9"/>
    </row>
    <row r="850">
      <c r="A850" s="6" t="s">
        <v>2203</v>
      </c>
      <c r="B850" s="6" t="s">
        <v>1896</v>
      </c>
      <c r="C850" s="6" t="s">
        <v>295</v>
      </c>
      <c r="D850" s="6" t="s">
        <v>2204</v>
      </c>
      <c r="E850" s="6" t="s">
        <v>1693</v>
      </c>
      <c r="F850" s="6" t="s">
        <v>80</v>
      </c>
      <c r="G850" s="7">
        <v>0.07</v>
      </c>
      <c r="H850" s="6" t="s">
        <v>2205</v>
      </c>
      <c r="I850" s="6" t="s">
        <v>1791</v>
      </c>
      <c r="J850" s="6">
        <v>2023.0</v>
      </c>
      <c r="L850" s="6">
        <v>1.0</v>
      </c>
      <c r="M850" s="8">
        <f t="shared" si="3"/>
        <v>0.07</v>
      </c>
      <c r="P850" s="9"/>
    </row>
    <row r="851">
      <c r="A851" s="6" t="s">
        <v>2206</v>
      </c>
      <c r="B851" s="6" t="s">
        <v>1896</v>
      </c>
      <c r="C851" s="6" t="s">
        <v>1949</v>
      </c>
      <c r="D851" s="6" t="s">
        <v>2207</v>
      </c>
      <c r="E851" s="6" t="s">
        <v>1032</v>
      </c>
      <c r="F851" s="6" t="s">
        <v>80</v>
      </c>
      <c r="G851" s="7">
        <v>0.03</v>
      </c>
      <c r="H851" s="6" t="s">
        <v>2166</v>
      </c>
      <c r="I851" s="6" t="s">
        <v>1791</v>
      </c>
      <c r="J851" s="6">
        <v>2015.0</v>
      </c>
      <c r="L851" s="6">
        <v>1.0</v>
      </c>
      <c r="M851" s="8">
        <f t="shared" si="3"/>
        <v>0.03</v>
      </c>
      <c r="P851" s="9"/>
    </row>
    <row r="852">
      <c r="A852" s="6" t="s">
        <v>2208</v>
      </c>
      <c r="B852" s="6" t="s">
        <v>1952</v>
      </c>
      <c r="C852" s="6" t="s">
        <v>295</v>
      </c>
      <c r="D852" s="6" t="s">
        <v>2209</v>
      </c>
      <c r="E852" s="6" t="s">
        <v>1032</v>
      </c>
      <c r="F852" s="6" t="s">
        <v>80</v>
      </c>
      <c r="G852" s="7">
        <v>0.03</v>
      </c>
      <c r="H852" s="6" t="s">
        <v>2166</v>
      </c>
      <c r="I852" s="6" t="s">
        <v>1791</v>
      </c>
      <c r="J852" s="6">
        <v>2015.0</v>
      </c>
      <c r="L852" s="6">
        <v>2.0</v>
      </c>
      <c r="M852" s="8">
        <f t="shared" si="3"/>
        <v>0.06</v>
      </c>
      <c r="P852" s="9"/>
    </row>
    <row r="853">
      <c r="A853" s="6" t="s">
        <v>1702</v>
      </c>
      <c r="B853" s="6" t="s">
        <v>1896</v>
      </c>
      <c r="C853" s="6" t="s">
        <v>295</v>
      </c>
      <c r="D853" s="6" t="s">
        <v>2210</v>
      </c>
      <c r="E853" s="6" t="s">
        <v>1035</v>
      </c>
      <c r="F853" s="6" t="s">
        <v>80</v>
      </c>
      <c r="G853" s="7">
        <v>0.2</v>
      </c>
      <c r="H853" s="6" t="s">
        <v>2141</v>
      </c>
      <c r="I853" s="6" t="s">
        <v>1791</v>
      </c>
      <c r="J853" s="6">
        <v>2023.0</v>
      </c>
      <c r="L853" s="6">
        <v>1.0</v>
      </c>
      <c r="M853" s="8">
        <f t="shared" si="3"/>
        <v>0.2</v>
      </c>
      <c r="P853" s="9"/>
    </row>
    <row r="854">
      <c r="A854" s="6" t="s">
        <v>2211</v>
      </c>
      <c r="B854" s="6" t="s">
        <v>2212</v>
      </c>
      <c r="C854" s="6" t="s">
        <v>295</v>
      </c>
      <c r="D854" s="6" t="s">
        <v>2213</v>
      </c>
      <c r="E854" s="6" t="s">
        <v>1035</v>
      </c>
      <c r="F854" s="6" t="s">
        <v>80</v>
      </c>
      <c r="G854" s="7">
        <v>0.06</v>
      </c>
      <c r="H854" s="6" t="s">
        <v>1708</v>
      </c>
      <c r="I854" s="6" t="s">
        <v>1791</v>
      </c>
      <c r="J854" s="6">
        <v>2019.0</v>
      </c>
      <c r="L854" s="6">
        <v>1.0</v>
      </c>
      <c r="M854" s="8">
        <f t="shared" si="3"/>
        <v>0.06</v>
      </c>
      <c r="P854" s="9"/>
    </row>
    <row r="855">
      <c r="A855" s="6" t="s">
        <v>2214</v>
      </c>
      <c r="B855" s="6" t="s">
        <v>2215</v>
      </c>
      <c r="C855" s="6" t="s">
        <v>295</v>
      </c>
      <c r="D855" s="6" t="s">
        <v>2216</v>
      </c>
      <c r="E855" s="6" t="s">
        <v>1035</v>
      </c>
      <c r="F855" s="6" t="s">
        <v>80</v>
      </c>
      <c r="G855" s="7">
        <v>0.05</v>
      </c>
      <c r="H855" s="6" t="s">
        <v>1959</v>
      </c>
      <c r="I855" s="6" t="s">
        <v>1791</v>
      </c>
      <c r="J855" s="6">
        <v>2024.0</v>
      </c>
      <c r="K855" s="10">
        <v>46055.0</v>
      </c>
      <c r="L855" s="6">
        <v>1.0</v>
      </c>
      <c r="M855" s="8">
        <f t="shared" si="3"/>
        <v>0.05</v>
      </c>
      <c r="P855" s="9"/>
    </row>
    <row r="856">
      <c r="A856" s="6" t="s">
        <v>2217</v>
      </c>
      <c r="B856" s="6" t="s">
        <v>2184</v>
      </c>
      <c r="C856" s="6" t="s">
        <v>295</v>
      </c>
      <c r="D856" s="6" t="s">
        <v>2218</v>
      </c>
      <c r="E856" s="6" t="s">
        <v>1035</v>
      </c>
      <c r="F856" s="6" t="s">
        <v>80</v>
      </c>
      <c r="G856" s="7">
        <v>0.05</v>
      </c>
      <c r="H856" s="6" t="s">
        <v>2219</v>
      </c>
      <c r="I856" s="6" t="s">
        <v>1791</v>
      </c>
      <c r="J856" s="6">
        <v>2024.0</v>
      </c>
      <c r="K856" s="6" t="s">
        <v>564</v>
      </c>
      <c r="L856" s="6">
        <v>1.0</v>
      </c>
      <c r="M856" s="8">
        <f t="shared" si="3"/>
        <v>0.05</v>
      </c>
      <c r="P856" s="9"/>
    </row>
    <row r="857">
      <c r="A857" s="6" t="s">
        <v>2220</v>
      </c>
      <c r="B857" s="6" t="s">
        <v>2221</v>
      </c>
      <c r="C857" s="6" t="s">
        <v>295</v>
      </c>
      <c r="D857" s="6" t="s">
        <v>2222</v>
      </c>
      <c r="E857" s="6" t="s">
        <v>1032</v>
      </c>
      <c r="F857" s="6" t="s">
        <v>80</v>
      </c>
      <c r="G857" s="7">
        <v>0.05</v>
      </c>
      <c r="H857" s="6" t="s">
        <v>2205</v>
      </c>
      <c r="I857" s="6" t="s">
        <v>1791</v>
      </c>
      <c r="J857" s="6">
        <v>2023.0</v>
      </c>
      <c r="K857" s="10">
        <v>46024.0</v>
      </c>
      <c r="L857" s="6">
        <v>1.0</v>
      </c>
      <c r="M857" s="8">
        <f t="shared" si="3"/>
        <v>0.05</v>
      </c>
      <c r="P857" s="9"/>
    </row>
    <row r="858">
      <c r="A858" s="6" t="s">
        <v>2223</v>
      </c>
      <c r="B858" s="6" t="s">
        <v>2224</v>
      </c>
      <c r="C858" s="6" t="s">
        <v>295</v>
      </c>
      <c r="D858" s="6" t="s">
        <v>2225</v>
      </c>
      <c r="E858" s="6" t="s">
        <v>1035</v>
      </c>
      <c r="F858" s="6" t="s">
        <v>80</v>
      </c>
      <c r="G858" s="7">
        <v>0.06</v>
      </c>
      <c r="H858" s="6" t="s">
        <v>2156</v>
      </c>
      <c r="I858" s="6" t="s">
        <v>1791</v>
      </c>
      <c r="J858" s="6">
        <v>2014.0</v>
      </c>
      <c r="K858" s="10">
        <v>46024.0</v>
      </c>
      <c r="L858" s="6">
        <v>1.0</v>
      </c>
      <c r="M858" s="8">
        <f t="shared" si="3"/>
        <v>0.06</v>
      </c>
      <c r="P858" s="9"/>
    </row>
    <row r="859">
      <c r="A859" s="6" t="s">
        <v>2226</v>
      </c>
      <c r="B859" s="6" t="s">
        <v>2221</v>
      </c>
      <c r="C859" s="6" t="s">
        <v>295</v>
      </c>
      <c r="D859" s="6" t="s">
        <v>2227</v>
      </c>
      <c r="E859" s="6" t="s">
        <v>1035</v>
      </c>
      <c r="F859" s="6" t="s">
        <v>80</v>
      </c>
      <c r="G859" s="7">
        <v>0.05</v>
      </c>
      <c r="H859" s="6" t="s">
        <v>2205</v>
      </c>
      <c r="I859" s="6" t="s">
        <v>1791</v>
      </c>
      <c r="J859" s="6">
        <v>2023.0</v>
      </c>
      <c r="K859" s="10">
        <v>46024.0</v>
      </c>
      <c r="L859" s="6">
        <v>1.0</v>
      </c>
      <c r="M859" s="8">
        <f t="shared" si="3"/>
        <v>0.05</v>
      </c>
      <c r="P859" s="9"/>
    </row>
    <row r="860">
      <c r="A860" s="6" t="s">
        <v>2228</v>
      </c>
      <c r="B860" s="6" t="s">
        <v>2229</v>
      </c>
      <c r="C860" s="6" t="s">
        <v>295</v>
      </c>
      <c r="D860" s="6" t="s">
        <v>2230</v>
      </c>
      <c r="E860" s="6" t="s">
        <v>1718</v>
      </c>
      <c r="F860" s="6" t="s">
        <v>80</v>
      </c>
      <c r="G860" s="7">
        <v>0.09</v>
      </c>
      <c r="H860" s="6" t="s">
        <v>2175</v>
      </c>
      <c r="I860" s="6" t="s">
        <v>1791</v>
      </c>
      <c r="J860" s="6">
        <v>2018.0</v>
      </c>
      <c r="K860" s="6" t="s">
        <v>345</v>
      </c>
      <c r="L860" s="6">
        <v>1.0</v>
      </c>
      <c r="M860" s="8">
        <f t="shared" si="3"/>
        <v>0.09</v>
      </c>
      <c r="P860" s="9"/>
    </row>
    <row r="861">
      <c r="A861" s="6" t="s">
        <v>2231</v>
      </c>
      <c r="B861" s="6" t="s">
        <v>2232</v>
      </c>
      <c r="C861" s="6" t="s">
        <v>295</v>
      </c>
      <c r="D861" s="6" t="s">
        <v>2233</v>
      </c>
      <c r="E861" s="6" t="s">
        <v>2030</v>
      </c>
      <c r="F861" s="6" t="s">
        <v>80</v>
      </c>
      <c r="G861" s="7">
        <v>0.09</v>
      </c>
      <c r="H861" s="6" t="s">
        <v>1711</v>
      </c>
      <c r="I861" s="6" t="s">
        <v>1791</v>
      </c>
      <c r="J861" s="6">
        <v>2022.0</v>
      </c>
      <c r="K861" s="10">
        <v>46210.0</v>
      </c>
      <c r="L861" s="6">
        <v>1.0</v>
      </c>
      <c r="M861" s="8">
        <f t="shared" si="3"/>
        <v>0.09</v>
      </c>
      <c r="P861" s="9"/>
    </row>
    <row r="862">
      <c r="A862" s="6" t="s">
        <v>2234</v>
      </c>
      <c r="B862" s="6" t="s">
        <v>2168</v>
      </c>
      <c r="C862" s="6" t="s">
        <v>1897</v>
      </c>
      <c r="D862" s="6" t="s">
        <v>2235</v>
      </c>
      <c r="E862" s="6" t="s">
        <v>1680</v>
      </c>
      <c r="F862" s="6" t="s">
        <v>80</v>
      </c>
      <c r="G862" s="7">
        <v>0.25</v>
      </c>
      <c r="H862" s="6" t="s">
        <v>1664</v>
      </c>
      <c r="I862" s="6" t="s">
        <v>1791</v>
      </c>
      <c r="J862" s="6">
        <v>2018.0</v>
      </c>
      <c r="K862" s="10">
        <v>46055.0</v>
      </c>
      <c r="L862" s="6">
        <v>1.0</v>
      </c>
      <c r="M862" s="8">
        <f t="shared" si="3"/>
        <v>0.25</v>
      </c>
      <c r="P862" s="9"/>
    </row>
    <row r="863">
      <c r="A863" s="6" t="s">
        <v>2236</v>
      </c>
      <c r="B863" s="6" t="s">
        <v>1896</v>
      </c>
      <c r="C863" s="6" t="s">
        <v>295</v>
      </c>
      <c r="D863" s="6" t="s">
        <v>2237</v>
      </c>
      <c r="E863" s="6" t="s">
        <v>1032</v>
      </c>
      <c r="F863" s="6" t="s">
        <v>80</v>
      </c>
      <c r="G863" s="7">
        <v>0.09</v>
      </c>
      <c r="H863" s="6" t="s">
        <v>2238</v>
      </c>
      <c r="I863" s="6" t="s">
        <v>1791</v>
      </c>
      <c r="J863" s="6">
        <v>2024.0</v>
      </c>
      <c r="L863" s="6">
        <v>1.0</v>
      </c>
      <c r="M863" s="8">
        <f t="shared" si="3"/>
        <v>0.09</v>
      </c>
      <c r="P863" s="9"/>
    </row>
    <row r="864">
      <c r="A864" s="6" t="s">
        <v>2239</v>
      </c>
      <c r="B864" s="6" t="s">
        <v>2240</v>
      </c>
      <c r="C864" s="6" t="s">
        <v>1897</v>
      </c>
      <c r="D864" s="6" t="s">
        <v>2241</v>
      </c>
      <c r="E864" s="6" t="s">
        <v>1680</v>
      </c>
      <c r="F864" s="6" t="s">
        <v>80</v>
      </c>
      <c r="G864" s="7">
        <v>0.38</v>
      </c>
      <c r="H864" s="6" t="s">
        <v>2242</v>
      </c>
      <c r="I864" s="6" t="s">
        <v>1791</v>
      </c>
      <c r="J864" s="6">
        <v>2014.0</v>
      </c>
      <c r="L864" s="6">
        <v>1.0</v>
      </c>
      <c r="M864" s="8">
        <f t="shared" si="3"/>
        <v>0.38</v>
      </c>
      <c r="P864" s="9"/>
    </row>
    <row r="865">
      <c r="A865" s="6" t="s">
        <v>2243</v>
      </c>
      <c r="B865" s="6" t="s">
        <v>1952</v>
      </c>
      <c r="C865" s="6" t="s">
        <v>1949</v>
      </c>
      <c r="D865" s="6" t="s">
        <v>2244</v>
      </c>
      <c r="E865" s="6" t="s">
        <v>1718</v>
      </c>
      <c r="F865" s="6" t="s">
        <v>80</v>
      </c>
      <c r="G865" s="7">
        <v>0.1</v>
      </c>
      <c r="H865" s="6" t="s">
        <v>1631</v>
      </c>
      <c r="I865" s="6" t="s">
        <v>1791</v>
      </c>
      <c r="J865" s="6">
        <v>2024.0</v>
      </c>
      <c r="L865" s="6">
        <v>1.0</v>
      </c>
      <c r="M865" s="8">
        <f t="shared" si="3"/>
        <v>0.1</v>
      </c>
      <c r="P865" s="9"/>
    </row>
    <row r="866">
      <c r="A866" s="6" t="s">
        <v>2245</v>
      </c>
      <c r="B866" s="6" t="s">
        <v>1896</v>
      </c>
      <c r="C866" s="6" t="s">
        <v>295</v>
      </c>
      <c r="D866" s="6" t="s">
        <v>2246</v>
      </c>
      <c r="E866" s="6" t="s">
        <v>1035</v>
      </c>
      <c r="F866" s="6" t="s">
        <v>80</v>
      </c>
      <c r="G866" s="7">
        <v>0.49</v>
      </c>
      <c r="H866" s="6" t="s">
        <v>2247</v>
      </c>
      <c r="I866" s="6" t="s">
        <v>1791</v>
      </c>
      <c r="J866" s="6">
        <v>2017.0</v>
      </c>
      <c r="L866" s="6">
        <v>1.0</v>
      </c>
      <c r="M866" s="8">
        <f t="shared" si="3"/>
        <v>0.49</v>
      </c>
      <c r="P866" s="9"/>
    </row>
    <row r="867">
      <c r="A867" s="6" t="s">
        <v>2248</v>
      </c>
      <c r="B867" s="6" t="s">
        <v>2249</v>
      </c>
      <c r="C867" s="6" t="s">
        <v>160</v>
      </c>
      <c r="D867" s="6" t="s">
        <v>2250</v>
      </c>
      <c r="E867" s="6" t="s">
        <v>1909</v>
      </c>
      <c r="F867" s="6" t="s">
        <v>80</v>
      </c>
      <c r="G867" s="7">
        <v>0.89</v>
      </c>
      <c r="H867" s="6" t="s">
        <v>2190</v>
      </c>
      <c r="I867" s="6" t="s">
        <v>1791</v>
      </c>
      <c r="J867" s="6">
        <v>2016.0</v>
      </c>
      <c r="K867" s="10">
        <v>46210.0</v>
      </c>
      <c r="L867" s="6">
        <v>1.0</v>
      </c>
      <c r="M867" s="8">
        <f t="shared" si="3"/>
        <v>0.89</v>
      </c>
      <c r="P867" s="9"/>
    </row>
    <row r="868">
      <c r="A868" s="6" t="s">
        <v>2251</v>
      </c>
      <c r="B868" s="6" t="s">
        <v>2212</v>
      </c>
      <c r="C868" s="6" t="s">
        <v>295</v>
      </c>
      <c r="D868" s="6" t="s">
        <v>2252</v>
      </c>
      <c r="E868" s="6" t="s">
        <v>1743</v>
      </c>
      <c r="F868" s="6" t="s">
        <v>2253</v>
      </c>
      <c r="G868" s="7">
        <v>0.45</v>
      </c>
      <c r="H868" s="6" t="s">
        <v>1631</v>
      </c>
      <c r="I868" s="6" t="s">
        <v>31</v>
      </c>
      <c r="J868" s="6">
        <v>2024.0</v>
      </c>
      <c r="L868" s="6">
        <v>4.0</v>
      </c>
      <c r="M868" s="8">
        <f t="shared" si="3"/>
        <v>1.8</v>
      </c>
      <c r="P868" s="9"/>
    </row>
    <row r="869">
      <c r="A869" s="6" t="s">
        <v>2191</v>
      </c>
      <c r="B869" s="6" t="s">
        <v>2058</v>
      </c>
      <c r="C869" s="6" t="s">
        <v>1897</v>
      </c>
      <c r="D869" s="6" t="s">
        <v>2254</v>
      </c>
      <c r="E869" s="6" t="s">
        <v>1693</v>
      </c>
      <c r="F869" s="6" t="s">
        <v>80</v>
      </c>
      <c r="G869" s="7">
        <v>0.14</v>
      </c>
      <c r="H869" s="6" t="s">
        <v>1984</v>
      </c>
      <c r="I869" s="6" t="s">
        <v>1791</v>
      </c>
      <c r="J869" s="6">
        <v>2015.0</v>
      </c>
      <c r="L869" s="6">
        <v>1.0</v>
      </c>
      <c r="M869" s="8">
        <f t="shared" si="3"/>
        <v>0.14</v>
      </c>
      <c r="P869" s="9"/>
    </row>
    <row r="870">
      <c r="A870" s="6" t="s">
        <v>2255</v>
      </c>
      <c r="B870" s="6" t="s">
        <v>1952</v>
      </c>
      <c r="C870" s="6" t="s">
        <v>295</v>
      </c>
      <c r="D870" s="6" t="s">
        <v>2256</v>
      </c>
      <c r="E870" s="6" t="s">
        <v>1035</v>
      </c>
      <c r="F870" s="6" t="s">
        <v>80</v>
      </c>
      <c r="G870" s="7">
        <v>0.03</v>
      </c>
      <c r="H870" s="6" t="s">
        <v>1681</v>
      </c>
      <c r="I870" s="6" t="s">
        <v>1791</v>
      </c>
      <c r="J870" s="6">
        <v>2015.0</v>
      </c>
      <c r="L870" s="6">
        <v>1.0</v>
      </c>
      <c r="M870" s="8">
        <f t="shared" si="3"/>
        <v>0.03</v>
      </c>
      <c r="P870" s="9"/>
    </row>
    <row r="871">
      <c r="A871" s="6" t="s">
        <v>2257</v>
      </c>
      <c r="B871" s="6" t="s">
        <v>1896</v>
      </c>
      <c r="C871" s="6" t="s">
        <v>295</v>
      </c>
      <c r="D871" s="6" t="s">
        <v>2258</v>
      </c>
      <c r="E871" s="6" t="s">
        <v>1269</v>
      </c>
      <c r="F871" s="6" t="s">
        <v>80</v>
      </c>
      <c r="G871" s="7">
        <v>0.06</v>
      </c>
      <c r="H871" s="6" t="s">
        <v>2259</v>
      </c>
      <c r="I871" s="6" t="s">
        <v>1791</v>
      </c>
      <c r="J871" s="6">
        <v>2025.0</v>
      </c>
      <c r="L871" s="6">
        <v>1.0</v>
      </c>
      <c r="M871" s="8">
        <f t="shared" si="3"/>
        <v>0.06</v>
      </c>
      <c r="P871" s="9"/>
    </row>
    <row r="872">
      <c r="A872" s="6" t="s">
        <v>2260</v>
      </c>
      <c r="B872" s="6" t="s">
        <v>1952</v>
      </c>
      <c r="C872" s="6" t="s">
        <v>295</v>
      </c>
      <c r="D872" s="6" t="s">
        <v>2261</v>
      </c>
      <c r="E872" s="6" t="s">
        <v>1035</v>
      </c>
      <c r="F872" s="6" t="s">
        <v>80</v>
      </c>
      <c r="G872" s="7">
        <v>0.03</v>
      </c>
      <c r="H872" s="6" t="s">
        <v>2219</v>
      </c>
      <c r="I872" s="6" t="s">
        <v>1791</v>
      </c>
      <c r="J872" s="6">
        <v>2024.0</v>
      </c>
      <c r="L872" s="6">
        <v>1.0</v>
      </c>
      <c r="M872" s="8">
        <f t="shared" si="3"/>
        <v>0.03</v>
      </c>
      <c r="P872" s="9"/>
    </row>
    <row r="873">
      <c r="A873" s="6" t="s">
        <v>2262</v>
      </c>
      <c r="B873" s="6" t="s">
        <v>1896</v>
      </c>
      <c r="C873" s="6" t="s">
        <v>295</v>
      </c>
      <c r="D873" s="6" t="s">
        <v>2263</v>
      </c>
      <c r="E873" s="6" t="s">
        <v>1035</v>
      </c>
      <c r="F873" s="6" t="s">
        <v>80</v>
      </c>
      <c r="G873" s="7">
        <v>0.09</v>
      </c>
      <c r="H873" s="6" t="s">
        <v>2003</v>
      </c>
      <c r="I873" s="6" t="s">
        <v>1791</v>
      </c>
      <c r="J873" s="6">
        <v>2020.0</v>
      </c>
      <c r="L873" s="6">
        <v>1.0</v>
      </c>
      <c r="M873" s="8">
        <f t="shared" si="3"/>
        <v>0.09</v>
      </c>
      <c r="P873" s="9"/>
    </row>
    <row r="874">
      <c r="A874" s="6" t="s">
        <v>2264</v>
      </c>
      <c r="B874" s="6" t="s">
        <v>1896</v>
      </c>
      <c r="C874" s="6" t="s">
        <v>295</v>
      </c>
      <c r="D874" s="6" t="s">
        <v>2265</v>
      </c>
      <c r="E874" s="6" t="s">
        <v>1035</v>
      </c>
      <c r="F874" s="6" t="s">
        <v>80</v>
      </c>
      <c r="G874" s="7">
        <v>0.06</v>
      </c>
      <c r="H874" s="6" t="s">
        <v>2156</v>
      </c>
      <c r="I874" s="6" t="s">
        <v>1791</v>
      </c>
      <c r="J874" s="6">
        <v>2014.0</v>
      </c>
      <c r="L874" s="6">
        <v>1.0</v>
      </c>
      <c r="M874" s="8">
        <f t="shared" si="3"/>
        <v>0.06</v>
      </c>
      <c r="P874" s="9"/>
    </row>
    <row r="875">
      <c r="A875" s="6" t="s">
        <v>2266</v>
      </c>
      <c r="B875" s="6" t="s">
        <v>1896</v>
      </c>
      <c r="C875" s="6" t="s">
        <v>295</v>
      </c>
      <c r="D875" s="6" t="s">
        <v>2267</v>
      </c>
      <c r="E875" s="6" t="s">
        <v>1035</v>
      </c>
      <c r="F875" s="6" t="s">
        <v>80</v>
      </c>
      <c r="G875" s="7">
        <v>0.2</v>
      </c>
      <c r="H875" s="6" t="s">
        <v>2268</v>
      </c>
      <c r="I875" s="6" t="s">
        <v>1791</v>
      </c>
      <c r="J875" s="6">
        <v>2004.0</v>
      </c>
      <c r="L875" s="6">
        <v>1.0</v>
      </c>
      <c r="M875" s="8">
        <f t="shared" si="3"/>
        <v>0.2</v>
      </c>
      <c r="P875" s="9"/>
    </row>
    <row r="876">
      <c r="A876" s="6" t="s">
        <v>2269</v>
      </c>
      <c r="B876" s="6" t="s">
        <v>1952</v>
      </c>
      <c r="C876" s="6" t="s">
        <v>1949</v>
      </c>
      <c r="D876" s="6" t="s">
        <v>2270</v>
      </c>
      <c r="E876" s="6" t="s">
        <v>1035</v>
      </c>
      <c r="F876" s="6" t="s">
        <v>80</v>
      </c>
      <c r="G876" s="7">
        <v>0.09</v>
      </c>
      <c r="H876" s="6" t="s">
        <v>2162</v>
      </c>
      <c r="I876" s="6" t="s">
        <v>1791</v>
      </c>
      <c r="J876" s="6">
        <v>2021.0</v>
      </c>
      <c r="L876" s="6">
        <v>1.0</v>
      </c>
      <c r="M876" s="8">
        <f t="shared" si="3"/>
        <v>0.09</v>
      </c>
      <c r="P876" s="9"/>
    </row>
    <row r="877">
      <c r="A877" s="6" t="s">
        <v>2160</v>
      </c>
      <c r="B877" s="6" t="s">
        <v>1972</v>
      </c>
      <c r="C877" s="6" t="s">
        <v>1949</v>
      </c>
      <c r="D877" s="6" t="s">
        <v>2161</v>
      </c>
      <c r="E877" s="6" t="s">
        <v>1035</v>
      </c>
      <c r="F877" s="6" t="s">
        <v>80</v>
      </c>
      <c r="G877" s="7">
        <v>0.04</v>
      </c>
      <c r="H877" s="6" t="s">
        <v>2162</v>
      </c>
      <c r="I877" s="6" t="s">
        <v>1791</v>
      </c>
      <c r="J877" s="6">
        <v>2021.0</v>
      </c>
      <c r="K877" s="10">
        <v>46023.0</v>
      </c>
      <c r="L877" s="6">
        <v>1.0</v>
      </c>
      <c r="M877" s="8">
        <f t="shared" si="3"/>
        <v>0.04</v>
      </c>
      <c r="P877" s="9"/>
    </row>
    <row r="878">
      <c r="A878" s="6" t="s">
        <v>2271</v>
      </c>
      <c r="B878" s="6" t="s">
        <v>2272</v>
      </c>
      <c r="C878" s="6" t="s">
        <v>295</v>
      </c>
      <c r="D878" s="6" t="s">
        <v>2273</v>
      </c>
      <c r="E878" s="6" t="s">
        <v>1856</v>
      </c>
      <c r="F878" s="6" t="s">
        <v>277</v>
      </c>
      <c r="G878" s="7">
        <v>0.09</v>
      </c>
      <c r="H878" s="6" t="s">
        <v>2274</v>
      </c>
      <c r="I878" s="6" t="s">
        <v>1791</v>
      </c>
      <c r="J878" s="6">
        <v>2026.0</v>
      </c>
      <c r="K878" s="10">
        <v>46056.0</v>
      </c>
      <c r="L878" s="6">
        <v>1.0</v>
      </c>
      <c r="M878" s="8">
        <f t="shared" si="3"/>
        <v>0.09</v>
      </c>
      <c r="P878" s="9"/>
    </row>
    <row r="879">
      <c r="A879" s="6" t="s">
        <v>2275</v>
      </c>
      <c r="B879" s="6" t="s">
        <v>2276</v>
      </c>
      <c r="C879" s="6" t="s">
        <v>295</v>
      </c>
      <c r="D879" s="6" t="s">
        <v>2277</v>
      </c>
      <c r="E879" s="6" t="s">
        <v>629</v>
      </c>
      <c r="F879" s="6" t="s">
        <v>277</v>
      </c>
      <c r="G879" s="7">
        <v>0.08</v>
      </c>
      <c r="H879" s="6" t="s">
        <v>2274</v>
      </c>
      <c r="I879" s="6" t="s">
        <v>1791</v>
      </c>
      <c r="J879" s="6">
        <v>2026.0</v>
      </c>
      <c r="K879" s="10">
        <v>46023.0</v>
      </c>
      <c r="L879" s="6">
        <v>3.0</v>
      </c>
      <c r="M879" s="8">
        <f t="shared" si="3"/>
        <v>0.24</v>
      </c>
      <c r="P879" s="9"/>
    </row>
    <row r="880">
      <c r="A880" s="6" t="s">
        <v>2278</v>
      </c>
      <c r="B880" s="6" t="s">
        <v>2058</v>
      </c>
      <c r="C880" s="6" t="s">
        <v>1949</v>
      </c>
      <c r="D880" s="6" t="s">
        <v>2279</v>
      </c>
      <c r="E880" s="6" t="s">
        <v>2280</v>
      </c>
      <c r="F880" s="6" t="s">
        <v>277</v>
      </c>
      <c r="G880" s="7">
        <v>0.25</v>
      </c>
      <c r="H880" s="6" t="s">
        <v>2274</v>
      </c>
      <c r="I880" s="6" t="s">
        <v>1791</v>
      </c>
      <c r="J880" s="6">
        <v>2026.0</v>
      </c>
      <c r="L880" s="6">
        <v>1.0</v>
      </c>
      <c r="M880" s="8">
        <f t="shared" si="3"/>
        <v>0.25</v>
      </c>
      <c r="P880" s="9"/>
    </row>
    <row r="881">
      <c r="A881" s="6" t="s">
        <v>2281</v>
      </c>
      <c r="B881" s="6" t="s">
        <v>2282</v>
      </c>
      <c r="C881" s="6" t="s">
        <v>295</v>
      </c>
      <c r="D881" s="6" t="s">
        <v>2283</v>
      </c>
      <c r="E881" s="6" t="s">
        <v>629</v>
      </c>
      <c r="F881" s="6" t="s">
        <v>277</v>
      </c>
      <c r="G881" s="7">
        <v>0.09</v>
      </c>
      <c r="H881" s="6" t="s">
        <v>2274</v>
      </c>
      <c r="I881" s="6" t="s">
        <v>1791</v>
      </c>
      <c r="J881" s="6">
        <v>2026.0</v>
      </c>
      <c r="L881" s="6">
        <v>1.0</v>
      </c>
      <c r="M881" s="8">
        <f t="shared" si="3"/>
        <v>0.09</v>
      </c>
      <c r="P881" s="9"/>
    </row>
    <row r="882">
      <c r="A882" s="6" t="s">
        <v>2284</v>
      </c>
      <c r="B882" s="6" t="s">
        <v>2285</v>
      </c>
      <c r="C882" s="6" t="s">
        <v>295</v>
      </c>
      <c r="D882" s="6" t="s">
        <v>2286</v>
      </c>
      <c r="E882" s="6" t="s">
        <v>2287</v>
      </c>
      <c r="F882" s="6" t="s">
        <v>277</v>
      </c>
      <c r="G882" s="7">
        <v>0.09</v>
      </c>
      <c r="H882" s="6" t="s">
        <v>2274</v>
      </c>
      <c r="I882" s="6" t="s">
        <v>1791</v>
      </c>
      <c r="J882" s="6">
        <v>2026.0</v>
      </c>
      <c r="K882" s="10">
        <v>46084.0</v>
      </c>
      <c r="L882" s="6">
        <v>1.0</v>
      </c>
      <c r="M882" s="8">
        <f t="shared" si="3"/>
        <v>0.09</v>
      </c>
      <c r="P882" s="9"/>
    </row>
    <row r="883">
      <c r="A883" s="6" t="s">
        <v>2288</v>
      </c>
      <c r="B883" s="6" t="s">
        <v>2282</v>
      </c>
      <c r="C883" s="6" t="s">
        <v>295</v>
      </c>
      <c r="D883" s="6" t="s">
        <v>2289</v>
      </c>
      <c r="E883" s="6" t="s">
        <v>1853</v>
      </c>
      <c r="F883" s="6" t="s">
        <v>277</v>
      </c>
      <c r="G883" s="7">
        <v>0.09</v>
      </c>
      <c r="H883" s="6" t="s">
        <v>2274</v>
      </c>
      <c r="I883" s="6" t="s">
        <v>1791</v>
      </c>
      <c r="J883" s="6">
        <v>2026.0</v>
      </c>
      <c r="L883" s="6">
        <v>2.0</v>
      </c>
      <c r="M883" s="8">
        <f t="shared" si="3"/>
        <v>0.18</v>
      </c>
      <c r="P883" s="9"/>
    </row>
    <row r="884">
      <c r="A884" s="6" t="s">
        <v>2290</v>
      </c>
      <c r="B884" s="6" t="s">
        <v>1944</v>
      </c>
      <c r="C884" s="6" t="s">
        <v>1949</v>
      </c>
      <c r="D884" s="6" t="s">
        <v>2291</v>
      </c>
      <c r="E884" s="6" t="s">
        <v>2292</v>
      </c>
      <c r="F884" s="6" t="s">
        <v>1955</v>
      </c>
      <c r="G884" s="7">
        <v>0.19</v>
      </c>
      <c r="H884" s="6" t="s">
        <v>2274</v>
      </c>
      <c r="I884" s="6" t="s">
        <v>1791</v>
      </c>
      <c r="J884" s="6">
        <v>2026.0</v>
      </c>
      <c r="L884" s="6">
        <v>1.0</v>
      </c>
      <c r="M884" s="8">
        <f t="shared" si="3"/>
        <v>0.19</v>
      </c>
      <c r="P884" s="9"/>
    </row>
    <row r="885">
      <c r="A885" s="6" t="s">
        <v>2293</v>
      </c>
      <c r="B885" s="6" t="s">
        <v>2282</v>
      </c>
      <c r="C885" s="6" t="s">
        <v>295</v>
      </c>
      <c r="D885" s="6" t="s">
        <v>2294</v>
      </c>
      <c r="E885" s="6" t="s">
        <v>2295</v>
      </c>
      <c r="F885" s="6" t="s">
        <v>18</v>
      </c>
      <c r="G885" s="7">
        <v>0.09</v>
      </c>
      <c r="H885" s="6" t="s">
        <v>2274</v>
      </c>
      <c r="I885" s="6" t="s">
        <v>1791</v>
      </c>
      <c r="J885" s="6">
        <v>2026.0</v>
      </c>
      <c r="L885" s="6">
        <v>1.0</v>
      </c>
      <c r="M885" s="8">
        <f t="shared" si="3"/>
        <v>0.09</v>
      </c>
      <c r="P885" s="9"/>
    </row>
    <row r="886">
      <c r="A886" s="6" t="s">
        <v>2296</v>
      </c>
      <c r="B886" s="6" t="s">
        <v>2297</v>
      </c>
      <c r="C886" s="6" t="s">
        <v>1949</v>
      </c>
      <c r="D886" s="6" t="s">
        <v>2298</v>
      </c>
      <c r="E886" s="6" t="s">
        <v>2299</v>
      </c>
      <c r="F886" s="6" t="s">
        <v>18</v>
      </c>
      <c r="G886" s="7">
        <v>0.4</v>
      </c>
      <c r="H886" s="6" t="s">
        <v>2274</v>
      </c>
      <c r="I886" s="6" t="s">
        <v>31</v>
      </c>
      <c r="J886" s="6">
        <v>2026.0</v>
      </c>
      <c r="K886" s="10">
        <v>46116.0</v>
      </c>
      <c r="L886" s="6">
        <v>1.0</v>
      </c>
      <c r="M886" s="8">
        <f t="shared" si="3"/>
        <v>0.4</v>
      </c>
      <c r="P886" s="9"/>
    </row>
    <row r="887">
      <c r="A887" s="6" t="s">
        <v>2300</v>
      </c>
      <c r="B887" s="6" t="s">
        <v>2301</v>
      </c>
      <c r="C887" s="6" t="s">
        <v>1949</v>
      </c>
      <c r="D887" s="6" t="s">
        <v>2302</v>
      </c>
      <c r="E887" s="6" t="s">
        <v>2295</v>
      </c>
      <c r="F887" s="6" t="s">
        <v>18</v>
      </c>
      <c r="G887" s="7">
        <v>0.3</v>
      </c>
      <c r="H887" s="6" t="s">
        <v>2274</v>
      </c>
      <c r="I887" s="6" t="s">
        <v>1791</v>
      </c>
      <c r="J887" s="6">
        <v>2026.0</v>
      </c>
      <c r="K887" s="10">
        <v>46054.0</v>
      </c>
      <c r="L887" s="6">
        <v>2.0</v>
      </c>
      <c r="M887" s="8">
        <f t="shared" si="3"/>
        <v>0.6</v>
      </c>
      <c r="P887" s="9"/>
    </row>
    <row r="888">
      <c r="A888" s="6" t="s">
        <v>2303</v>
      </c>
      <c r="B888" s="6" t="s">
        <v>2058</v>
      </c>
      <c r="C888" s="6" t="s">
        <v>295</v>
      </c>
      <c r="D888" s="6" t="s">
        <v>2304</v>
      </c>
      <c r="E888" s="6" t="s">
        <v>2305</v>
      </c>
      <c r="F888" s="6" t="s">
        <v>18</v>
      </c>
      <c r="G888" s="7">
        <v>0.06</v>
      </c>
      <c r="H888" s="6" t="s">
        <v>2274</v>
      </c>
      <c r="I888" s="6" t="s">
        <v>1791</v>
      </c>
      <c r="J888" s="6">
        <v>2026.0</v>
      </c>
      <c r="L888" s="6">
        <v>1.0</v>
      </c>
      <c r="M888" s="8">
        <f t="shared" si="3"/>
        <v>0.06</v>
      </c>
      <c r="P888" s="9"/>
    </row>
    <row r="889">
      <c r="A889" s="6" t="s">
        <v>2306</v>
      </c>
      <c r="B889" s="6" t="s">
        <v>2307</v>
      </c>
      <c r="C889" s="6" t="s">
        <v>1949</v>
      </c>
      <c r="D889" s="6" t="s">
        <v>2308</v>
      </c>
      <c r="E889" s="6" t="s">
        <v>1954</v>
      </c>
      <c r="F889" s="6" t="s">
        <v>18</v>
      </c>
      <c r="G889" s="7">
        <v>0.17</v>
      </c>
      <c r="H889" s="6" t="s">
        <v>2274</v>
      </c>
      <c r="I889" s="6" t="s">
        <v>1791</v>
      </c>
      <c r="J889" s="6">
        <v>2026.0</v>
      </c>
      <c r="K889" s="10">
        <v>46055.0</v>
      </c>
      <c r="L889" s="6">
        <v>1.0</v>
      </c>
      <c r="M889" s="8">
        <f t="shared" si="3"/>
        <v>0.17</v>
      </c>
      <c r="P889" s="9"/>
    </row>
    <row r="890">
      <c r="A890" s="6" t="s">
        <v>2309</v>
      </c>
      <c r="B890" s="6" t="s">
        <v>2310</v>
      </c>
      <c r="C890" s="6" t="s">
        <v>295</v>
      </c>
      <c r="D890" s="6" t="s">
        <v>2311</v>
      </c>
      <c r="E890" s="6" t="s">
        <v>2299</v>
      </c>
      <c r="F890" s="6" t="s">
        <v>18</v>
      </c>
      <c r="G890" s="7">
        <v>0.06</v>
      </c>
      <c r="H890" s="6" t="s">
        <v>2274</v>
      </c>
      <c r="I890" s="6" t="s">
        <v>1791</v>
      </c>
      <c r="J890" s="6">
        <v>2026.0</v>
      </c>
      <c r="K890" s="10">
        <v>46115.0</v>
      </c>
      <c r="L890" s="6">
        <v>2.0</v>
      </c>
      <c r="M890" s="8">
        <f t="shared" si="3"/>
        <v>0.12</v>
      </c>
      <c r="P890" s="9"/>
    </row>
    <row r="891">
      <c r="A891" s="6" t="s">
        <v>2312</v>
      </c>
      <c r="B891" s="6" t="s">
        <v>2313</v>
      </c>
      <c r="C891" s="6" t="s">
        <v>295</v>
      </c>
      <c r="D891" s="6" t="s">
        <v>2314</v>
      </c>
      <c r="E891" s="6" t="s">
        <v>1954</v>
      </c>
      <c r="F891" s="6" t="s">
        <v>18</v>
      </c>
      <c r="G891" s="7">
        <v>0.1</v>
      </c>
      <c r="H891" s="6" t="s">
        <v>2274</v>
      </c>
      <c r="I891" s="6" t="s">
        <v>1791</v>
      </c>
      <c r="J891" s="6">
        <v>2026.0</v>
      </c>
      <c r="K891" s="10">
        <v>46054.0</v>
      </c>
      <c r="L891" s="6">
        <v>3.0</v>
      </c>
      <c r="M891" s="8">
        <f t="shared" si="3"/>
        <v>0.3</v>
      </c>
      <c r="P891" s="9"/>
    </row>
    <row r="892">
      <c r="A892" s="6" t="s">
        <v>2315</v>
      </c>
      <c r="B892" s="6" t="s">
        <v>2316</v>
      </c>
      <c r="C892" s="6" t="s">
        <v>1949</v>
      </c>
      <c r="D892" s="6" t="s">
        <v>2317</v>
      </c>
      <c r="E892" s="6" t="s">
        <v>2318</v>
      </c>
      <c r="F892" s="6" t="s">
        <v>88</v>
      </c>
      <c r="G892" s="7">
        <v>0.21</v>
      </c>
      <c r="H892" s="6" t="s">
        <v>2274</v>
      </c>
      <c r="I892" s="6" t="s">
        <v>1791</v>
      </c>
      <c r="J892" s="6">
        <v>2026.0</v>
      </c>
      <c r="K892" s="10">
        <v>46055.0</v>
      </c>
      <c r="L892" s="6">
        <v>1.0</v>
      </c>
      <c r="M892" s="8">
        <f t="shared" si="3"/>
        <v>0.21</v>
      </c>
      <c r="P892" s="9"/>
    </row>
    <row r="893">
      <c r="A893" s="6" t="s">
        <v>2319</v>
      </c>
      <c r="B893" s="6" t="s">
        <v>2282</v>
      </c>
      <c r="C893" s="6" t="s">
        <v>295</v>
      </c>
      <c r="D893" s="6" t="s">
        <v>2320</v>
      </c>
      <c r="E893" s="6" t="s">
        <v>2321</v>
      </c>
      <c r="F893" s="6" t="s">
        <v>88</v>
      </c>
      <c r="G893" s="7">
        <v>0.06</v>
      </c>
      <c r="H893" s="6" t="s">
        <v>2274</v>
      </c>
      <c r="I893" s="6" t="s">
        <v>1791</v>
      </c>
      <c r="J893" s="6">
        <v>2026.0</v>
      </c>
      <c r="L893" s="6">
        <v>2.0</v>
      </c>
      <c r="M893" s="8">
        <f t="shared" si="3"/>
        <v>0.12</v>
      </c>
      <c r="P893" s="9"/>
    </row>
    <row r="894">
      <c r="A894" s="6" t="s">
        <v>2322</v>
      </c>
      <c r="B894" s="6" t="s">
        <v>2282</v>
      </c>
      <c r="C894" s="6" t="s">
        <v>295</v>
      </c>
      <c r="D894" s="6" t="s">
        <v>2323</v>
      </c>
      <c r="E894" s="6" t="s">
        <v>2318</v>
      </c>
      <c r="F894" s="6" t="s">
        <v>88</v>
      </c>
      <c r="G894" s="7">
        <v>0.06</v>
      </c>
      <c r="H894" s="6" t="s">
        <v>2274</v>
      </c>
      <c r="I894" s="6" t="s">
        <v>1791</v>
      </c>
      <c r="J894" s="6">
        <v>2026.0</v>
      </c>
      <c r="L894" s="6">
        <v>1.0</v>
      </c>
      <c r="M894" s="8">
        <f t="shared" si="3"/>
        <v>0.06</v>
      </c>
      <c r="P894" s="9"/>
    </row>
    <row r="895">
      <c r="A895" s="6" t="s">
        <v>2324</v>
      </c>
      <c r="B895" s="6" t="s">
        <v>2282</v>
      </c>
      <c r="C895" s="6" t="s">
        <v>295</v>
      </c>
      <c r="D895" s="6" t="s">
        <v>2325</v>
      </c>
      <c r="E895" s="6" t="s">
        <v>2326</v>
      </c>
      <c r="F895" s="6" t="s">
        <v>88</v>
      </c>
      <c r="G895" s="7">
        <v>0.04</v>
      </c>
      <c r="H895" s="6" t="s">
        <v>2274</v>
      </c>
      <c r="I895" s="6" t="s">
        <v>1791</v>
      </c>
      <c r="J895" s="6">
        <v>2026.0</v>
      </c>
      <c r="L895" s="6">
        <v>2.0</v>
      </c>
      <c r="M895" s="8">
        <f t="shared" si="3"/>
        <v>0.08</v>
      </c>
      <c r="P895" s="9"/>
    </row>
    <row r="896">
      <c r="A896" s="6" t="s">
        <v>2324</v>
      </c>
      <c r="B896" s="6" t="s">
        <v>2282</v>
      </c>
      <c r="C896" s="6" t="s">
        <v>295</v>
      </c>
      <c r="D896" s="6" t="s">
        <v>2325</v>
      </c>
      <c r="E896" s="6" t="s">
        <v>2326</v>
      </c>
      <c r="F896" s="6" t="s">
        <v>88</v>
      </c>
      <c r="G896" s="7">
        <v>0.2</v>
      </c>
      <c r="H896" s="6" t="s">
        <v>2274</v>
      </c>
      <c r="I896" s="6" t="s">
        <v>31</v>
      </c>
      <c r="J896" s="6">
        <v>2026.0</v>
      </c>
      <c r="L896" s="6">
        <v>1.0</v>
      </c>
      <c r="M896" s="8">
        <f t="shared" si="3"/>
        <v>0.2</v>
      </c>
      <c r="P896" s="9"/>
    </row>
    <row r="897">
      <c r="A897" s="6" t="s">
        <v>2327</v>
      </c>
      <c r="B897" s="6" t="s">
        <v>2328</v>
      </c>
      <c r="C897" s="6" t="s">
        <v>295</v>
      </c>
      <c r="D897" s="6" t="s">
        <v>2329</v>
      </c>
      <c r="E897" s="6" t="s">
        <v>2326</v>
      </c>
      <c r="F897" s="6" t="s">
        <v>88</v>
      </c>
      <c r="G897" s="7">
        <v>0.06</v>
      </c>
      <c r="H897" s="6" t="s">
        <v>2274</v>
      </c>
      <c r="I897" s="6" t="s">
        <v>1791</v>
      </c>
      <c r="J897" s="6">
        <v>2026.0</v>
      </c>
      <c r="K897" s="10">
        <v>46084.0</v>
      </c>
      <c r="L897" s="6">
        <v>1.0</v>
      </c>
      <c r="M897" s="8">
        <f t="shared" si="3"/>
        <v>0.06</v>
      </c>
      <c r="P897" s="9"/>
    </row>
    <row r="898">
      <c r="A898" s="6" t="s">
        <v>2330</v>
      </c>
      <c r="B898" s="6" t="s">
        <v>2331</v>
      </c>
      <c r="C898" s="6" t="s">
        <v>295</v>
      </c>
      <c r="D898" s="6" t="s">
        <v>2332</v>
      </c>
      <c r="E898" s="6" t="s">
        <v>380</v>
      </c>
      <c r="F898" s="6" t="s">
        <v>88</v>
      </c>
      <c r="G898" s="7">
        <v>0.04</v>
      </c>
      <c r="H898" s="6" t="s">
        <v>2274</v>
      </c>
      <c r="I898" s="6" t="s">
        <v>1791</v>
      </c>
      <c r="J898" s="6">
        <v>2026.0</v>
      </c>
      <c r="K898" s="10">
        <v>46024.0</v>
      </c>
      <c r="L898" s="6">
        <v>3.0</v>
      </c>
      <c r="M898" s="8">
        <f t="shared" si="3"/>
        <v>0.12</v>
      </c>
      <c r="P898" s="9"/>
    </row>
    <row r="899">
      <c r="A899" s="6" t="s">
        <v>2333</v>
      </c>
      <c r="B899" s="6" t="s">
        <v>2282</v>
      </c>
      <c r="C899" s="6" t="s">
        <v>295</v>
      </c>
      <c r="D899" s="6" t="s">
        <v>2334</v>
      </c>
      <c r="E899" s="6" t="s">
        <v>915</v>
      </c>
      <c r="F899" s="6" t="s">
        <v>88</v>
      </c>
      <c r="G899" s="7">
        <v>0.06</v>
      </c>
      <c r="H899" s="6" t="s">
        <v>2274</v>
      </c>
      <c r="I899" s="6" t="s">
        <v>1791</v>
      </c>
      <c r="J899" s="6">
        <v>2026.0</v>
      </c>
      <c r="L899" s="6">
        <v>1.0</v>
      </c>
      <c r="M899" s="8">
        <f t="shared" si="3"/>
        <v>0.06</v>
      </c>
      <c r="P899" s="9"/>
    </row>
    <row r="900">
      <c r="A900" s="6" t="s">
        <v>2335</v>
      </c>
      <c r="B900" s="6" t="s">
        <v>2328</v>
      </c>
      <c r="C900" s="6" t="s">
        <v>1949</v>
      </c>
      <c r="D900" s="6" t="s">
        <v>2336</v>
      </c>
      <c r="E900" s="6" t="s">
        <v>2318</v>
      </c>
      <c r="F900" s="6" t="s">
        <v>88</v>
      </c>
      <c r="G900" s="7">
        <v>0.18</v>
      </c>
      <c r="H900" s="6" t="s">
        <v>2274</v>
      </c>
      <c r="I900" s="6" t="s">
        <v>1791</v>
      </c>
      <c r="J900" s="6">
        <v>2026.0</v>
      </c>
      <c r="K900" s="10">
        <v>46083.0</v>
      </c>
      <c r="L900" s="6">
        <v>1.0</v>
      </c>
      <c r="M900" s="8">
        <f t="shared" si="3"/>
        <v>0.18</v>
      </c>
      <c r="P900" s="9"/>
    </row>
    <row r="901">
      <c r="A901" s="6" t="s">
        <v>2337</v>
      </c>
      <c r="B901" s="6" t="s">
        <v>2331</v>
      </c>
      <c r="C901" s="6" t="s">
        <v>295</v>
      </c>
      <c r="D901" s="6" t="s">
        <v>2338</v>
      </c>
      <c r="E901" s="6" t="s">
        <v>380</v>
      </c>
      <c r="F901" s="6" t="s">
        <v>88</v>
      </c>
      <c r="G901" s="7">
        <v>0.04</v>
      </c>
      <c r="H901" s="6" t="s">
        <v>2274</v>
      </c>
      <c r="I901" s="6" t="s">
        <v>1791</v>
      </c>
      <c r="J901" s="6">
        <v>2026.0</v>
      </c>
      <c r="K901" s="10">
        <v>46082.0</v>
      </c>
      <c r="L901" s="6">
        <v>4.0</v>
      </c>
      <c r="M901" s="8">
        <f t="shared" si="3"/>
        <v>0.16</v>
      </c>
      <c r="P901" s="9"/>
    </row>
    <row r="902">
      <c r="A902" s="6" t="s">
        <v>2337</v>
      </c>
      <c r="B902" s="6" t="s">
        <v>2331</v>
      </c>
      <c r="C902" s="6" t="s">
        <v>295</v>
      </c>
      <c r="D902" s="6" t="s">
        <v>2338</v>
      </c>
      <c r="E902" s="6" t="s">
        <v>380</v>
      </c>
      <c r="F902" s="6" t="s">
        <v>88</v>
      </c>
      <c r="G902" s="7">
        <v>0.2</v>
      </c>
      <c r="H902" s="6" t="s">
        <v>2274</v>
      </c>
      <c r="I902" s="6" t="s">
        <v>31</v>
      </c>
      <c r="J902" s="6">
        <v>2026.0</v>
      </c>
      <c r="K902" s="10">
        <v>46082.0</v>
      </c>
      <c r="L902" s="6">
        <v>1.0</v>
      </c>
      <c r="M902" s="8">
        <f t="shared" si="3"/>
        <v>0.2</v>
      </c>
      <c r="P902" s="9"/>
    </row>
    <row r="903">
      <c r="A903" s="6" t="s">
        <v>2339</v>
      </c>
      <c r="B903" s="6" t="s">
        <v>2340</v>
      </c>
      <c r="C903" s="6" t="s">
        <v>295</v>
      </c>
      <c r="D903" s="6" t="s">
        <v>2341</v>
      </c>
      <c r="E903" s="6" t="s">
        <v>2342</v>
      </c>
      <c r="F903" s="6" t="s">
        <v>170</v>
      </c>
      <c r="G903" s="7">
        <v>0.06</v>
      </c>
      <c r="H903" s="6" t="s">
        <v>2274</v>
      </c>
      <c r="I903" s="6" t="s">
        <v>1791</v>
      </c>
      <c r="J903" s="6">
        <v>2026.0</v>
      </c>
      <c r="K903" s="10">
        <v>46055.0</v>
      </c>
      <c r="L903" s="6">
        <v>3.0</v>
      </c>
      <c r="M903" s="8">
        <f t="shared" si="3"/>
        <v>0.18</v>
      </c>
      <c r="P903" s="9"/>
    </row>
    <row r="904">
      <c r="A904" s="6" t="s">
        <v>2343</v>
      </c>
      <c r="B904" s="6" t="s">
        <v>2058</v>
      </c>
      <c r="C904" s="6" t="s">
        <v>295</v>
      </c>
      <c r="D904" s="6" t="s">
        <v>2344</v>
      </c>
      <c r="E904" s="6" t="s">
        <v>930</v>
      </c>
      <c r="F904" s="6" t="s">
        <v>170</v>
      </c>
      <c r="G904" s="7">
        <v>0.07</v>
      </c>
      <c r="H904" s="6" t="s">
        <v>2274</v>
      </c>
      <c r="I904" s="6" t="s">
        <v>1791</v>
      </c>
      <c r="J904" s="6">
        <v>2026.0</v>
      </c>
      <c r="L904" s="6">
        <v>1.0</v>
      </c>
      <c r="M904" s="8">
        <f t="shared" si="3"/>
        <v>0.07</v>
      </c>
      <c r="P904" s="9"/>
    </row>
    <row r="905">
      <c r="A905" s="6" t="s">
        <v>2345</v>
      </c>
      <c r="B905" s="6" t="s">
        <v>2058</v>
      </c>
      <c r="C905" s="6" t="s">
        <v>1949</v>
      </c>
      <c r="D905" s="6" t="s">
        <v>2346</v>
      </c>
      <c r="E905" s="6" t="s">
        <v>930</v>
      </c>
      <c r="F905" s="6" t="s">
        <v>170</v>
      </c>
      <c r="G905" s="7">
        <v>1.45</v>
      </c>
      <c r="H905" s="6" t="s">
        <v>2274</v>
      </c>
      <c r="I905" s="6" t="s">
        <v>31</v>
      </c>
      <c r="J905" s="6">
        <v>2026.0</v>
      </c>
      <c r="L905" s="6">
        <v>1.0</v>
      </c>
      <c r="M905" s="8">
        <f t="shared" si="3"/>
        <v>1.45</v>
      </c>
      <c r="P905" s="9"/>
    </row>
    <row r="906">
      <c r="A906" s="6" t="s">
        <v>2347</v>
      </c>
      <c r="B906" s="6" t="s">
        <v>2348</v>
      </c>
      <c r="C906" s="6" t="s">
        <v>295</v>
      </c>
      <c r="D906" s="6" t="s">
        <v>2349</v>
      </c>
      <c r="E906" s="6" t="s">
        <v>2350</v>
      </c>
      <c r="F906" s="6" t="s">
        <v>170</v>
      </c>
      <c r="G906" s="7">
        <v>0.32</v>
      </c>
      <c r="H906" s="6" t="s">
        <v>2274</v>
      </c>
      <c r="I906" s="6" t="s">
        <v>31</v>
      </c>
      <c r="J906" s="6">
        <v>2026.0</v>
      </c>
      <c r="K906" s="10">
        <v>46056.0</v>
      </c>
      <c r="L906" s="6">
        <v>1.0</v>
      </c>
      <c r="M906" s="8">
        <f t="shared" si="3"/>
        <v>0.32</v>
      </c>
      <c r="P906" s="9"/>
    </row>
    <row r="907">
      <c r="A907" s="6" t="s">
        <v>2347</v>
      </c>
      <c r="B907" s="6" t="s">
        <v>2348</v>
      </c>
      <c r="C907" s="6" t="s">
        <v>295</v>
      </c>
      <c r="D907" s="6" t="s">
        <v>2349</v>
      </c>
      <c r="E907" s="6" t="s">
        <v>2350</v>
      </c>
      <c r="F907" s="6" t="s">
        <v>170</v>
      </c>
      <c r="G907" s="7">
        <v>0.06</v>
      </c>
      <c r="H907" s="6" t="s">
        <v>2274</v>
      </c>
      <c r="I907" s="6" t="s">
        <v>1791</v>
      </c>
      <c r="J907" s="6">
        <v>2026.0</v>
      </c>
      <c r="K907" s="10">
        <v>46056.0</v>
      </c>
      <c r="L907" s="6">
        <v>1.0</v>
      </c>
      <c r="M907" s="8">
        <f t="shared" si="3"/>
        <v>0.06</v>
      </c>
      <c r="P907" s="9"/>
    </row>
    <row r="908">
      <c r="A908" s="6" t="s">
        <v>2351</v>
      </c>
      <c r="B908" s="6" t="s">
        <v>2058</v>
      </c>
      <c r="C908" s="6" t="s">
        <v>295</v>
      </c>
      <c r="D908" s="6" t="s">
        <v>2352</v>
      </c>
      <c r="E908" s="6" t="s">
        <v>2342</v>
      </c>
      <c r="F908" s="6" t="s">
        <v>170</v>
      </c>
      <c r="G908" s="7">
        <v>0.31</v>
      </c>
      <c r="H908" s="6" t="s">
        <v>2274</v>
      </c>
      <c r="I908" s="6" t="s">
        <v>31</v>
      </c>
      <c r="J908" s="6">
        <v>2026.0</v>
      </c>
      <c r="L908" s="6">
        <v>1.0</v>
      </c>
      <c r="M908" s="8">
        <f t="shared" si="3"/>
        <v>0.31</v>
      </c>
      <c r="P908" s="9"/>
    </row>
    <row r="909">
      <c r="A909" s="6" t="s">
        <v>2353</v>
      </c>
      <c r="B909" s="6" t="s">
        <v>2282</v>
      </c>
      <c r="C909" s="6" t="s">
        <v>295</v>
      </c>
      <c r="D909" s="6" t="s">
        <v>2354</v>
      </c>
      <c r="E909" s="6" t="s">
        <v>2350</v>
      </c>
      <c r="F909" s="6" t="s">
        <v>170</v>
      </c>
      <c r="G909" s="7">
        <v>0.06</v>
      </c>
      <c r="H909" s="6" t="s">
        <v>2274</v>
      </c>
      <c r="I909" s="6" t="s">
        <v>1791</v>
      </c>
      <c r="J909" s="6">
        <v>2026.0</v>
      </c>
      <c r="L909" s="6">
        <v>1.0</v>
      </c>
      <c r="M909" s="8">
        <f t="shared" si="3"/>
        <v>0.06</v>
      </c>
      <c r="P909" s="9"/>
    </row>
    <row r="910">
      <c r="A910" s="6" t="s">
        <v>2355</v>
      </c>
      <c r="B910" s="6" t="s">
        <v>2356</v>
      </c>
      <c r="C910" s="6" t="s">
        <v>295</v>
      </c>
      <c r="D910" s="6" t="s">
        <v>2357</v>
      </c>
      <c r="E910" s="6" t="s">
        <v>2358</v>
      </c>
      <c r="F910" s="6" t="s">
        <v>170</v>
      </c>
      <c r="G910" s="7">
        <v>0.06</v>
      </c>
      <c r="H910" s="6" t="s">
        <v>2274</v>
      </c>
      <c r="I910" s="6" t="s">
        <v>1791</v>
      </c>
      <c r="J910" s="6">
        <v>2026.0</v>
      </c>
      <c r="K910" s="10">
        <v>46116.0</v>
      </c>
      <c r="L910" s="6">
        <v>2.0</v>
      </c>
      <c r="M910" s="8">
        <f t="shared" si="3"/>
        <v>0.12</v>
      </c>
      <c r="P910" s="9"/>
    </row>
    <row r="911">
      <c r="A911" s="6" t="s">
        <v>2359</v>
      </c>
      <c r="B911" s="6" t="s">
        <v>1944</v>
      </c>
      <c r="C911" s="6" t="s">
        <v>1949</v>
      </c>
      <c r="D911" s="6" t="s">
        <v>2360</v>
      </c>
      <c r="E911" s="6" t="s">
        <v>2342</v>
      </c>
      <c r="F911" s="6" t="s">
        <v>170</v>
      </c>
      <c r="G911" s="7">
        <v>0.14</v>
      </c>
      <c r="H911" s="6" t="s">
        <v>2274</v>
      </c>
      <c r="I911" s="6" t="s">
        <v>1791</v>
      </c>
      <c r="J911" s="6">
        <v>2026.0</v>
      </c>
      <c r="L911" s="6">
        <v>1.0</v>
      </c>
      <c r="M911" s="8">
        <f t="shared" si="3"/>
        <v>0.14</v>
      </c>
      <c r="P911" s="9"/>
    </row>
    <row r="912">
      <c r="A912" s="6" t="s">
        <v>2361</v>
      </c>
      <c r="B912" s="6" t="s">
        <v>2058</v>
      </c>
      <c r="C912" s="6" t="s">
        <v>295</v>
      </c>
      <c r="D912" s="6" t="s">
        <v>2362</v>
      </c>
      <c r="E912" s="6" t="s">
        <v>2350</v>
      </c>
      <c r="F912" s="6" t="s">
        <v>170</v>
      </c>
      <c r="G912" s="7">
        <v>0.06</v>
      </c>
      <c r="H912" s="6" t="s">
        <v>2274</v>
      </c>
      <c r="I912" s="6" t="s">
        <v>1791</v>
      </c>
      <c r="J912" s="6">
        <v>2026.0</v>
      </c>
      <c r="L912" s="6">
        <v>1.0</v>
      </c>
      <c r="M912" s="8">
        <f t="shared" si="3"/>
        <v>0.06</v>
      </c>
      <c r="P912" s="9"/>
    </row>
    <row r="913">
      <c r="A913" s="6" t="s">
        <v>2363</v>
      </c>
      <c r="B913" s="6" t="s">
        <v>2348</v>
      </c>
      <c r="C913" s="6" t="s">
        <v>1949</v>
      </c>
      <c r="D913" s="6" t="s">
        <v>2364</v>
      </c>
      <c r="E913" s="6" t="s">
        <v>2365</v>
      </c>
      <c r="F913" s="6" t="s">
        <v>170</v>
      </c>
      <c r="G913" s="7">
        <v>0.18</v>
      </c>
      <c r="H913" s="6" t="s">
        <v>2274</v>
      </c>
      <c r="I913" s="6" t="s">
        <v>1791</v>
      </c>
      <c r="J913" s="6">
        <v>2026.0</v>
      </c>
      <c r="K913" s="10">
        <v>46115.0</v>
      </c>
      <c r="L913" s="6">
        <v>1.0</v>
      </c>
      <c r="M913" s="8">
        <f t="shared" si="3"/>
        <v>0.18</v>
      </c>
      <c r="P913" s="9"/>
    </row>
    <row r="914">
      <c r="A914" s="6" t="s">
        <v>2366</v>
      </c>
      <c r="B914" s="6" t="s">
        <v>2367</v>
      </c>
      <c r="C914" s="6" t="s">
        <v>295</v>
      </c>
      <c r="D914" s="6" t="s">
        <v>2368</v>
      </c>
      <c r="E914" s="6" t="s">
        <v>2342</v>
      </c>
      <c r="F914" s="6" t="s">
        <v>170</v>
      </c>
      <c r="G914" s="7">
        <v>0.38</v>
      </c>
      <c r="H914" s="6" t="s">
        <v>2274</v>
      </c>
      <c r="I914" s="6" t="s">
        <v>31</v>
      </c>
      <c r="J914" s="6">
        <v>2026.0</v>
      </c>
      <c r="K914" s="10">
        <v>46055.0</v>
      </c>
      <c r="L914" s="6">
        <v>1.0</v>
      </c>
      <c r="M914" s="8">
        <f t="shared" si="3"/>
        <v>0.38</v>
      </c>
      <c r="P914" s="9"/>
    </row>
    <row r="915">
      <c r="A915" s="6" t="s">
        <v>2369</v>
      </c>
      <c r="B915" s="6" t="s">
        <v>2370</v>
      </c>
      <c r="C915" s="6" t="s">
        <v>1897</v>
      </c>
      <c r="D915" s="6" t="s">
        <v>2371</v>
      </c>
      <c r="E915" s="6" t="s">
        <v>1856</v>
      </c>
      <c r="F915" s="6" t="s">
        <v>277</v>
      </c>
      <c r="G915" s="7">
        <v>0.94</v>
      </c>
      <c r="H915" s="6" t="s">
        <v>2372</v>
      </c>
      <c r="I915" s="6" t="s">
        <v>20</v>
      </c>
      <c r="J915" s="6">
        <v>2010.0</v>
      </c>
      <c r="K915" s="6" t="s">
        <v>1733</v>
      </c>
      <c r="L915" s="6">
        <v>2.0</v>
      </c>
      <c r="M915" s="8">
        <f t="shared" si="3"/>
        <v>1.88</v>
      </c>
      <c r="P915" s="9"/>
    </row>
    <row r="916">
      <c r="A916" s="6" t="s">
        <v>2373</v>
      </c>
      <c r="B916" s="6" t="s">
        <v>378</v>
      </c>
      <c r="C916" s="6" t="s">
        <v>295</v>
      </c>
      <c r="D916" s="6" t="s">
        <v>2374</v>
      </c>
      <c r="E916" s="6" t="s">
        <v>629</v>
      </c>
      <c r="F916" s="6" t="s">
        <v>277</v>
      </c>
      <c r="G916" s="7">
        <v>2.49</v>
      </c>
      <c r="H916" s="6" t="s">
        <v>2375</v>
      </c>
      <c r="I916" s="6" t="s">
        <v>20</v>
      </c>
      <c r="J916" s="6">
        <v>2021.0</v>
      </c>
      <c r="L916" s="6">
        <v>2.0</v>
      </c>
      <c r="M916" s="8">
        <f t="shared" si="3"/>
        <v>4.98</v>
      </c>
      <c r="P916" s="9"/>
    </row>
    <row r="917">
      <c r="A917" s="6" t="s">
        <v>2376</v>
      </c>
      <c r="B917" s="6" t="s">
        <v>2377</v>
      </c>
      <c r="C917" s="6" t="s">
        <v>2378</v>
      </c>
      <c r="D917" s="6" t="s">
        <v>2379</v>
      </c>
      <c r="E917" s="6" t="s">
        <v>2380</v>
      </c>
      <c r="F917" s="6" t="s">
        <v>277</v>
      </c>
      <c r="G917" s="7">
        <v>1.5</v>
      </c>
      <c r="H917" s="6" t="s">
        <v>381</v>
      </c>
      <c r="I917" s="6" t="s">
        <v>20</v>
      </c>
      <c r="J917" s="6">
        <v>2011.0</v>
      </c>
      <c r="K917" s="10">
        <v>46084.0</v>
      </c>
      <c r="L917" s="6">
        <v>1.0</v>
      </c>
      <c r="M917" s="8">
        <f t="shared" si="3"/>
        <v>1.5</v>
      </c>
      <c r="P917" s="9"/>
    </row>
    <row r="918">
      <c r="A918" s="6" t="s">
        <v>2381</v>
      </c>
      <c r="B918" s="6" t="s">
        <v>2382</v>
      </c>
      <c r="C918" s="6" t="s">
        <v>1949</v>
      </c>
      <c r="D918" s="6" t="s">
        <v>2383</v>
      </c>
      <c r="E918" s="6" t="s">
        <v>1853</v>
      </c>
      <c r="F918" s="6" t="s">
        <v>277</v>
      </c>
      <c r="G918" s="7">
        <v>0.39</v>
      </c>
      <c r="H918" s="6" t="s">
        <v>2384</v>
      </c>
      <c r="I918" s="6" t="s">
        <v>20</v>
      </c>
      <c r="J918" s="6">
        <v>2019.0</v>
      </c>
      <c r="K918" s="10">
        <v>46023.0</v>
      </c>
      <c r="L918" s="6">
        <v>1.0</v>
      </c>
      <c r="M918" s="8">
        <f t="shared" si="3"/>
        <v>0.39</v>
      </c>
      <c r="P918" s="9"/>
    </row>
    <row r="919">
      <c r="A919" s="6" t="s">
        <v>2385</v>
      </c>
      <c r="B919" s="6" t="s">
        <v>378</v>
      </c>
      <c r="C919" s="6" t="s">
        <v>1897</v>
      </c>
      <c r="D919" s="6" t="s">
        <v>2386</v>
      </c>
      <c r="E919" s="6" t="s">
        <v>1853</v>
      </c>
      <c r="F919" s="6" t="s">
        <v>277</v>
      </c>
      <c r="G919" s="7">
        <v>0.8</v>
      </c>
      <c r="H919" s="6" t="s">
        <v>2387</v>
      </c>
      <c r="I919" s="6" t="s">
        <v>20</v>
      </c>
      <c r="J919" s="6">
        <v>2022.0</v>
      </c>
      <c r="L919" s="6">
        <v>1.0</v>
      </c>
      <c r="M919" s="8">
        <f t="shared" si="3"/>
        <v>0.8</v>
      </c>
      <c r="P919" s="9"/>
    </row>
    <row r="920">
      <c r="A920" s="6" t="s">
        <v>2388</v>
      </c>
      <c r="B920" s="6" t="s">
        <v>294</v>
      </c>
      <c r="C920" s="6" t="s">
        <v>295</v>
      </c>
      <c r="D920" s="6" t="s">
        <v>2389</v>
      </c>
      <c r="F920" s="6" t="s">
        <v>80</v>
      </c>
      <c r="G920" s="7">
        <v>0.25</v>
      </c>
      <c r="H920" s="6" t="s">
        <v>1444</v>
      </c>
      <c r="I920" s="6" t="s">
        <v>20</v>
      </c>
      <c r="J920" s="6">
        <v>2023.0</v>
      </c>
      <c r="L920" s="6">
        <v>1.0</v>
      </c>
      <c r="M920" s="8">
        <f t="shared" si="3"/>
        <v>0.25</v>
      </c>
      <c r="P920" s="9"/>
    </row>
    <row r="921">
      <c r="A921" s="6" t="s">
        <v>2390</v>
      </c>
      <c r="B921" s="6" t="s">
        <v>2391</v>
      </c>
      <c r="C921" s="6" t="s">
        <v>1949</v>
      </c>
      <c r="D921" s="6" t="s">
        <v>2392</v>
      </c>
      <c r="F921" s="6" t="s">
        <v>80</v>
      </c>
      <c r="G921" s="7">
        <v>0.75</v>
      </c>
      <c r="H921" s="6" t="s">
        <v>1444</v>
      </c>
      <c r="I921" s="6" t="s">
        <v>20</v>
      </c>
      <c r="J921" s="6">
        <v>2023.0</v>
      </c>
      <c r="L921" s="6">
        <v>2.0</v>
      </c>
      <c r="M921" s="8">
        <f t="shared" si="3"/>
        <v>1.5</v>
      </c>
      <c r="P921" s="9"/>
    </row>
    <row r="922">
      <c r="A922" s="6" t="s">
        <v>2393</v>
      </c>
      <c r="B922" s="6" t="s">
        <v>2394</v>
      </c>
      <c r="C922" s="6" t="s">
        <v>1949</v>
      </c>
      <c r="D922" s="6" t="s">
        <v>2395</v>
      </c>
      <c r="E922" s="6" t="s">
        <v>2396</v>
      </c>
      <c r="F922" s="6" t="s">
        <v>479</v>
      </c>
      <c r="G922" s="7">
        <v>0.2</v>
      </c>
      <c r="H922" s="6" t="s">
        <v>1444</v>
      </c>
      <c r="I922" s="6" t="s">
        <v>20</v>
      </c>
      <c r="J922" s="6">
        <v>2023.0</v>
      </c>
      <c r="K922" s="10">
        <v>46082.0</v>
      </c>
      <c r="L922" s="6">
        <v>1.0</v>
      </c>
      <c r="M922" s="8">
        <f t="shared" si="3"/>
        <v>0.2</v>
      </c>
      <c r="P922" s="9"/>
    </row>
    <row r="923">
      <c r="A923" s="6" t="s">
        <v>2397</v>
      </c>
      <c r="B923" s="6" t="s">
        <v>2240</v>
      </c>
      <c r="C923" s="6" t="s">
        <v>1949</v>
      </c>
      <c r="D923" s="6" t="s">
        <v>2398</v>
      </c>
      <c r="E923" s="6" t="s">
        <v>1035</v>
      </c>
      <c r="F923" s="6" t="s">
        <v>80</v>
      </c>
      <c r="G923" s="7">
        <v>0.15</v>
      </c>
      <c r="H923" s="6" t="s">
        <v>1444</v>
      </c>
      <c r="I923" s="6" t="s">
        <v>20</v>
      </c>
      <c r="J923" s="6">
        <v>2023.0</v>
      </c>
      <c r="L923" s="6">
        <v>2.0</v>
      </c>
      <c r="M923" s="8">
        <f t="shared" si="3"/>
        <v>0.3</v>
      </c>
      <c r="P923" s="9"/>
    </row>
    <row r="924">
      <c r="A924" s="6" t="s">
        <v>2399</v>
      </c>
      <c r="B924" s="6" t="s">
        <v>378</v>
      </c>
      <c r="C924" s="6" t="s">
        <v>1949</v>
      </c>
      <c r="D924" s="6" t="s">
        <v>2400</v>
      </c>
      <c r="E924" s="6" t="s">
        <v>2401</v>
      </c>
      <c r="F924" s="6" t="s">
        <v>492</v>
      </c>
      <c r="G924" s="7">
        <v>0.18</v>
      </c>
      <c r="H924" s="6" t="s">
        <v>1444</v>
      </c>
      <c r="I924" s="6" t="s">
        <v>20</v>
      </c>
      <c r="J924" s="6">
        <v>2023.0</v>
      </c>
      <c r="L924" s="6">
        <v>1.0</v>
      </c>
      <c r="M924" s="8">
        <f t="shared" si="3"/>
        <v>0.18</v>
      </c>
      <c r="P924" s="9"/>
    </row>
    <row r="925">
      <c r="A925" s="6" t="s">
        <v>2402</v>
      </c>
      <c r="B925" s="6" t="s">
        <v>2403</v>
      </c>
      <c r="C925" s="6" t="s">
        <v>1949</v>
      </c>
      <c r="D925" s="6" t="s">
        <v>2404</v>
      </c>
      <c r="E925" s="6" t="s">
        <v>2405</v>
      </c>
      <c r="F925" s="6" t="s">
        <v>459</v>
      </c>
      <c r="G925" s="7">
        <v>0.25</v>
      </c>
      <c r="H925" s="6" t="s">
        <v>1444</v>
      </c>
      <c r="I925" s="6" t="s">
        <v>20</v>
      </c>
      <c r="J925" s="6">
        <v>2023.0</v>
      </c>
      <c r="K925" s="10">
        <v>46116.0</v>
      </c>
      <c r="L925" s="6">
        <v>1.0</v>
      </c>
      <c r="M925" s="8">
        <f t="shared" si="3"/>
        <v>0.25</v>
      </c>
      <c r="P925" s="9"/>
    </row>
    <row r="926">
      <c r="A926" s="6" t="s">
        <v>2406</v>
      </c>
      <c r="B926" s="6" t="s">
        <v>2407</v>
      </c>
      <c r="C926" s="6" t="s">
        <v>1949</v>
      </c>
      <c r="D926" s="6" t="s">
        <v>2408</v>
      </c>
      <c r="E926" s="6" t="s">
        <v>1541</v>
      </c>
      <c r="F926" s="6" t="s">
        <v>2409</v>
      </c>
      <c r="G926" s="7">
        <v>0.18</v>
      </c>
      <c r="H926" s="6" t="s">
        <v>1444</v>
      </c>
      <c r="I926" s="6" t="s">
        <v>20</v>
      </c>
      <c r="J926" s="6">
        <v>2023.0</v>
      </c>
      <c r="K926" s="10">
        <v>46055.0</v>
      </c>
      <c r="L926" s="6">
        <v>1.0</v>
      </c>
      <c r="M926" s="8">
        <f t="shared" si="3"/>
        <v>0.18</v>
      </c>
      <c r="P926" s="9"/>
    </row>
    <row r="927">
      <c r="A927" s="6" t="s">
        <v>2410</v>
      </c>
      <c r="B927" s="6" t="s">
        <v>2411</v>
      </c>
      <c r="C927" s="6" t="s">
        <v>295</v>
      </c>
      <c r="D927" s="6" t="s">
        <v>2412</v>
      </c>
      <c r="E927" s="6" t="s">
        <v>1838</v>
      </c>
      <c r="F927" s="6" t="s">
        <v>152</v>
      </c>
      <c r="G927" s="7">
        <v>0.08</v>
      </c>
      <c r="H927" s="6" t="s">
        <v>1444</v>
      </c>
      <c r="I927" s="6" t="s">
        <v>20</v>
      </c>
      <c r="J927" s="6">
        <v>2023.0</v>
      </c>
      <c r="K927" s="10">
        <v>46085.0</v>
      </c>
      <c r="L927" s="6">
        <v>1.0</v>
      </c>
      <c r="M927" s="8">
        <f t="shared" si="3"/>
        <v>0.08</v>
      </c>
      <c r="P927" s="9"/>
    </row>
    <row r="928">
      <c r="A928" s="6" t="s">
        <v>2413</v>
      </c>
      <c r="B928" s="6" t="s">
        <v>2411</v>
      </c>
      <c r="C928" s="6" t="s">
        <v>295</v>
      </c>
      <c r="D928" s="6" t="s">
        <v>2414</v>
      </c>
      <c r="E928" s="6" t="s">
        <v>713</v>
      </c>
      <c r="F928" s="6" t="s">
        <v>152</v>
      </c>
      <c r="G928" s="7">
        <v>0.08</v>
      </c>
      <c r="H928" s="6" t="s">
        <v>1444</v>
      </c>
      <c r="I928" s="6" t="s">
        <v>20</v>
      </c>
      <c r="J928" s="6">
        <v>2023.0</v>
      </c>
      <c r="K928" s="10">
        <v>46023.0</v>
      </c>
      <c r="L928" s="6">
        <v>1.0</v>
      </c>
      <c r="M928" s="8">
        <f t="shared" si="3"/>
        <v>0.08</v>
      </c>
      <c r="P928" s="9"/>
    </row>
    <row r="929">
      <c r="A929" s="6" t="s">
        <v>2415</v>
      </c>
      <c r="B929" s="6" t="s">
        <v>2416</v>
      </c>
      <c r="C929" s="6" t="s">
        <v>295</v>
      </c>
      <c r="D929" s="6" t="s">
        <v>2417</v>
      </c>
      <c r="E929" s="6" t="s">
        <v>1743</v>
      </c>
      <c r="F929" s="6" t="s">
        <v>152</v>
      </c>
      <c r="G929" s="7">
        <v>0.08</v>
      </c>
      <c r="H929" s="6" t="s">
        <v>1444</v>
      </c>
      <c r="I929" s="6" t="s">
        <v>20</v>
      </c>
      <c r="J929" s="6">
        <v>2023.0</v>
      </c>
      <c r="K929" s="10">
        <v>46082.0</v>
      </c>
      <c r="L929" s="6">
        <v>1.0</v>
      </c>
      <c r="M929" s="8">
        <f t="shared" si="3"/>
        <v>0.08</v>
      </c>
      <c r="P929" s="9"/>
    </row>
    <row r="930">
      <c r="A930" s="6" t="s">
        <v>2418</v>
      </c>
      <c r="B930" s="6" t="s">
        <v>2411</v>
      </c>
      <c r="C930" s="6" t="s">
        <v>295</v>
      </c>
      <c r="D930" s="6" t="s">
        <v>2419</v>
      </c>
      <c r="E930" s="6" t="s">
        <v>1761</v>
      </c>
      <c r="F930" s="6" t="s">
        <v>152</v>
      </c>
      <c r="G930" s="7">
        <v>0.08</v>
      </c>
      <c r="H930" s="6" t="s">
        <v>1444</v>
      </c>
      <c r="I930" s="6" t="s">
        <v>20</v>
      </c>
      <c r="J930" s="6">
        <v>2023.0</v>
      </c>
      <c r="K930" s="10">
        <v>46084.0</v>
      </c>
      <c r="L930" s="6">
        <v>1.0</v>
      </c>
      <c r="M930" s="8">
        <f t="shared" si="3"/>
        <v>0.08</v>
      </c>
      <c r="P930" s="9"/>
    </row>
    <row r="931">
      <c r="A931" s="6" t="s">
        <v>2420</v>
      </c>
      <c r="B931" s="6" t="s">
        <v>2421</v>
      </c>
      <c r="C931" s="6" t="s">
        <v>295</v>
      </c>
      <c r="D931" s="6" t="s">
        <v>2422</v>
      </c>
      <c r="E931" s="6" t="s">
        <v>1761</v>
      </c>
      <c r="F931" s="6" t="s">
        <v>152</v>
      </c>
      <c r="G931" s="7">
        <v>0.08</v>
      </c>
      <c r="H931" s="6" t="s">
        <v>1444</v>
      </c>
      <c r="I931" s="6" t="s">
        <v>20</v>
      </c>
      <c r="J931" s="6">
        <v>2023.0</v>
      </c>
      <c r="K931" s="10">
        <v>46055.0</v>
      </c>
      <c r="L931" s="6">
        <v>1.0</v>
      </c>
      <c r="M931" s="8">
        <f t="shared" si="3"/>
        <v>0.08</v>
      </c>
      <c r="P931" s="9"/>
    </row>
    <row r="932">
      <c r="A932" s="6" t="s">
        <v>2423</v>
      </c>
      <c r="B932" s="6" t="s">
        <v>2424</v>
      </c>
      <c r="C932" s="6" t="s">
        <v>1949</v>
      </c>
      <c r="D932" s="6" t="s">
        <v>2425</v>
      </c>
      <c r="E932" s="6" t="s">
        <v>2426</v>
      </c>
      <c r="F932" s="6" t="s">
        <v>152</v>
      </c>
      <c r="G932" s="7">
        <v>0.22</v>
      </c>
      <c r="H932" s="6" t="s">
        <v>1444</v>
      </c>
      <c r="I932" s="6" t="s">
        <v>20</v>
      </c>
      <c r="J932" s="6">
        <v>2023.0</v>
      </c>
      <c r="L932" s="6">
        <v>1.0</v>
      </c>
      <c r="M932" s="8">
        <f t="shared" si="3"/>
        <v>0.22</v>
      </c>
      <c r="P932" s="9"/>
    </row>
    <row r="933">
      <c r="A933" s="6" t="s">
        <v>2427</v>
      </c>
      <c r="B933" s="6" t="s">
        <v>2428</v>
      </c>
      <c r="C933" s="6" t="s">
        <v>1949</v>
      </c>
      <c r="D933" s="6" t="s">
        <v>2429</v>
      </c>
      <c r="E933" s="6" t="s">
        <v>1761</v>
      </c>
      <c r="F933" s="6" t="s">
        <v>152</v>
      </c>
      <c r="G933" s="7">
        <v>0.2</v>
      </c>
      <c r="H933" s="6" t="s">
        <v>1444</v>
      </c>
      <c r="I933" s="6" t="s">
        <v>20</v>
      </c>
      <c r="J933" s="6">
        <v>2023.0</v>
      </c>
      <c r="K933" s="10">
        <v>46084.0</v>
      </c>
      <c r="L933" s="6">
        <v>1.0</v>
      </c>
      <c r="M933" s="8">
        <f t="shared" si="3"/>
        <v>0.2</v>
      </c>
      <c r="P933" s="9"/>
    </row>
    <row r="934">
      <c r="A934" s="6" t="s">
        <v>2430</v>
      </c>
      <c r="B934" s="6" t="s">
        <v>2411</v>
      </c>
      <c r="C934" s="6" t="s">
        <v>295</v>
      </c>
      <c r="D934" s="6" t="s">
        <v>2431</v>
      </c>
      <c r="E934" s="6" t="s">
        <v>1779</v>
      </c>
      <c r="F934" s="6" t="s">
        <v>152</v>
      </c>
      <c r="G934" s="7">
        <v>0.08</v>
      </c>
      <c r="H934" s="6" t="s">
        <v>1444</v>
      </c>
      <c r="I934" s="6" t="s">
        <v>20</v>
      </c>
      <c r="J934" s="6">
        <v>2023.0</v>
      </c>
      <c r="K934" s="10">
        <v>46056.0</v>
      </c>
      <c r="L934" s="6">
        <v>1.0</v>
      </c>
      <c r="M934" s="8">
        <f t="shared" si="3"/>
        <v>0.08</v>
      </c>
      <c r="P934" s="9"/>
    </row>
    <row r="935">
      <c r="A935" s="6" t="s">
        <v>2432</v>
      </c>
      <c r="B935" s="6" t="s">
        <v>2407</v>
      </c>
      <c r="C935" s="6" t="s">
        <v>1949</v>
      </c>
      <c r="D935" s="6" t="s">
        <v>2433</v>
      </c>
      <c r="E935" s="6" t="s">
        <v>1779</v>
      </c>
      <c r="F935" s="6" t="s">
        <v>152</v>
      </c>
      <c r="G935" s="7">
        <v>0.25</v>
      </c>
      <c r="H935" s="6" t="s">
        <v>1444</v>
      </c>
      <c r="I935" s="6" t="s">
        <v>20</v>
      </c>
      <c r="J935" s="6">
        <v>2023.0</v>
      </c>
      <c r="K935" s="10">
        <v>46114.0</v>
      </c>
      <c r="L935" s="6">
        <v>1.0</v>
      </c>
      <c r="M935" s="8">
        <f t="shared" si="3"/>
        <v>0.25</v>
      </c>
      <c r="P935" s="9"/>
    </row>
    <row r="936">
      <c r="A936" s="6" t="s">
        <v>2434</v>
      </c>
      <c r="B936" s="6" t="s">
        <v>2403</v>
      </c>
      <c r="C936" s="6" t="s">
        <v>1949</v>
      </c>
      <c r="D936" s="6" t="s">
        <v>2435</v>
      </c>
      <c r="E936" s="6" t="s">
        <v>1761</v>
      </c>
      <c r="F936" s="6" t="s">
        <v>152</v>
      </c>
      <c r="G936" s="7">
        <v>0.18</v>
      </c>
      <c r="H936" s="6" t="s">
        <v>1444</v>
      </c>
      <c r="I936" s="6" t="s">
        <v>20</v>
      </c>
      <c r="J936" s="6">
        <v>2023.0</v>
      </c>
      <c r="K936" s="10">
        <v>46113.0</v>
      </c>
      <c r="L936" s="6">
        <v>2.0</v>
      </c>
      <c r="M936" s="8">
        <f t="shared" si="3"/>
        <v>0.36</v>
      </c>
      <c r="P936" s="9"/>
    </row>
    <row r="937">
      <c r="A937" s="6" t="s">
        <v>2436</v>
      </c>
      <c r="B937" s="6" t="s">
        <v>2437</v>
      </c>
      <c r="C937" s="6" t="s">
        <v>1949</v>
      </c>
      <c r="D937" s="6" t="s">
        <v>2438</v>
      </c>
      <c r="E937" s="6" t="s">
        <v>1779</v>
      </c>
      <c r="F937" s="6" t="s">
        <v>152</v>
      </c>
      <c r="G937" s="7">
        <v>0.5</v>
      </c>
      <c r="H937" s="6" t="s">
        <v>1444</v>
      </c>
      <c r="I937" s="6" t="s">
        <v>20</v>
      </c>
      <c r="J937" s="6">
        <v>2023.0</v>
      </c>
      <c r="K937" s="10">
        <v>46023.0</v>
      </c>
      <c r="L937" s="6">
        <v>2.0</v>
      </c>
      <c r="M937" s="8">
        <f t="shared" si="3"/>
        <v>1</v>
      </c>
      <c r="P937" s="9"/>
    </row>
    <row r="938">
      <c r="A938" s="6" t="s">
        <v>2439</v>
      </c>
      <c r="B938" s="6" t="s">
        <v>2437</v>
      </c>
      <c r="C938" s="6" t="s">
        <v>1949</v>
      </c>
      <c r="D938" s="6" t="s">
        <v>2440</v>
      </c>
      <c r="E938" s="6" t="s">
        <v>1743</v>
      </c>
      <c r="F938" s="6" t="s">
        <v>152</v>
      </c>
      <c r="G938" s="7">
        <v>0.25</v>
      </c>
      <c r="H938" s="6" t="s">
        <v>1444</v>
      </c>
      <c r="I938" s="6" t="s">
        <v>20</v>
      </c>
      <c r="J938" s="6">
        <v>2023.0</v>
      </c>
      <c r="K938" s="10">
        <v>46024.0</v>
      </c>
      <c r="L938" s="6">
        <v>2.0</v>
      </c>
      <c r="M938" s="8">
        <f t="shared" si="3"/>
        <v>0.5</v>
      </c>
      <c r="P938" s="9"/>
    </row>
    <row r="939">
      <c r="A939" s="6" t="s">
        <v>2441</v>
      </c>
      <c r="B939" s="6" t="s">
        <v>2442</v>
      </c>
      <c r="C939" s="6" t="s">
        <v>295</v>
      </c>
      <c r="D939" s="6" t="s">
        <v>2443</v>
      </c>
      <c r="E939" s="6" t="s">
        <v>2444</v>
      </c>
      <c r="F939" s="6" t="s">
        <v>152</v>
      </c>
      <c r="G939" s="7">
        <v>0.61</v>
      </c>
      <c r="H939" s="6" t="s">
        <v>1444</v>
      </c>
      <c r="I939" s="6" t="s">
        <v>20</v>
      </c>
      <c r="J939" s="6">
        <v>2023.0</v>
      </c>
      <c r="K939" s="10">
        <v>46084.0</v>
      </c>
      <c r="L939" s="6">
        <v>2.0</v>
      </c>
      <c r="M939" s="8">
        <f t="shared" si="3"/>
        <v>1.22</v>
      </c>
      <c r="P939" s="9"/>
    </row>
    <row r="940">
      <c r="A940" s="6" t="s">
        <v>2445</v>
      </c>
      <c r="B940" s="6" t="s">
        <v>378</v>
      </c>
      <c r="C940" s="6" t="s">
        <v>295</v>
      </c>
      <c r="D940" s="6" t="s">
        <v>2446</v>
      </c>
      <c r="E940" s="6" t="s">
        <v>713</v>
      </c>
      <c r="F940" s="6" t="s">
        <v>152</v>
      </c>
      <c r="G940" s="7">
        <v>0.09</v>
      </c>
      <c r="H940" s="6" t="s">
        <v>1444</v>
      </c>
      <c r="I940" s="6" t="s">
        <v>20</v>
      </c>
      <c r="J940" s="6">
        <v>2023.0</v>
      </c>
      <c r="L940" s="6">
        <v>1.0</v>
      </c>
      <c r="M940" s="8">
        <f t="shared" si="3"/>
        <v>0.09</v>
      </c>
      <c r="P940" s="9"/>
    </row>
    <row r="941">
      <c r="A941" s="6" t="s">
        <v>2447</v>
      </c>
      <c r="B941" s="6" t="s">
        <v>2448</v>
      </c>
      <c r="C941" s="6" t="s">
        <v>1949</v>
      </c>
      <c r="D941" s="6" t="s">
        <v>2449</v>
      </c>
      <c r="E941" s="6" t="s">
        <v>1838</v>
      </c>
      <c r="F941" s="6" t="s">
        <v>152</v>
      </c>
      <c r="G941" s="7">
        <v>0.14</v>
      </c>
      <c r="H941" s="6" t="s">
        <v>1444</v>
      </c>
      <c r="I941" s="6" t="s">
        <v>20</v>
      </c>
      <c r="J941" s="6">
        <v>2023.0</v>
      </c>
      <c r="K941" s="10">
        <v>46115.0</v>
      </c>
      <c r="L941" s="6">
        <v>1.0</v>
      </c>
      <c r="M941" s="8">
        <f t="shared" si="3"/>
        <v>0.14</v>
      </c>
      <c r="P941" s="9"/>
    </row>
    <row r="942">
      <c r="A942" s="6" t="s">
        <v>2450</v>
      </c>
      <c r="B942" s="6" t="s">
        <v>2451</v>
      </c>
      <c r="C942" s="6" t="s">
        <v>1949</v>
      </c>
      <c r="D942" s="6" t="s">
        <v>2452</v>
      </c>
      <c r="E942" s="6" t="s">
        <v>1743</v>
      </c>
      <c r="F942" s="6" t="s">
        <v>152</v>
      </c>
      <c r="G942" s="7">
        <v>0.09</v>
      </c>
      <c r="H942" s="6" t="s">
        <v>1444</v>
      </c>
      <c r="I942" s="6" t="s">
        <v>20</v>
      </c>
      <c r="J942" s="6">
        <v>2023.0</v>
      </c>
      <c r="K942" s="10">
        <v>46055.0</v>
      </c>
      <c r="L942" s="6">
        <v>2.0</v>
      </c>
      <c r="M942" s="8">
        <f t="shared" si="3"/>
        <v>0.18</v>
      </c>
      <c r="P942" s="9"/>
    </row>
    <row r="943">
      <c r="A943" s="6" t="s">
        <v>2453</v>
      </c>
      <c r="B943" s="6" t="s">
        <v>2454</v>
      </c>
      <c r="C943" s="6" t="s">
        <v>295</v>
      </c>
      <c r="D943" s="6" t="s">
        <v>2455</v>
      </c>
      <c r="E943" s="6" t="s">
        <v>2305</v>
      </c>
      <c r="F943" s="6" t="s">
        <v>18</v>
      </c>
      <c r="G943" s="7">
        <v>1.68</v>
      </c>
      <c r="H943" s="6" t="s">
        <v>2456</v>
      </c>
      <c r="I943" s="6" t="s">
        <v>20</v>
      </c>
      <c r="J943" s="6">
        <v>2024.0</v>
      </c>
      <c r="K943" s="6" t="s">
        <v>750</v>
      </c>
      <c r="L943" s="6">
        <v>2.0</v>
      </c>
      <c r="M943" s="8">
        <f t="shared" si="3"/>
        <v>3.36</v>
      </c>
      <c r="P943" s="9"/>
    </row>
    <row r="944">
      <c r="A944" s="6" t="s">
        <v>2457</v>
      </c>
      <c r="B944" s="6" t="s">
        <v>2458</v>
      </c>
      <c r="C944" s="6" t="s">
        <v>295</v>
      </c>
      <c r="D944" s="6" t="s">
        <v>2459</v>
      </c>
      <c r="E944" s="6" t="s">
        <v>2295</v>
      </c>
      <c r="F944" s="6" t="s">
        <v>18</v>
      </c>
      <c r="G944" s="7">
        <v>0.09</v>
      </c>
      <c r="H944" s="6" t="s">
        <v>1965</v>
      </c>
      <c r="I944" s="6" t="s">
        <v>20</v>
      </c>
      <c r="J944" s="6">
        <v>2022.0</v>
      </c>
      <c r="K944" s="10">
        <v>46056.0</v>
      </c>
      <c r="L944" s="6">
        <v>3.0</v>
      </c>
      <c r="M944" s="8">
        <f t="shared" si="3"/>
        <v>0.27</v>
      </c>
      <c r="P944" s="9"/>
    </row>
    <row r="945">
      <c r="A945" s="6" t="s">
        <v>2460</v>
      </c>
      <c r="B945" s="6" t="s">
        <v>2461</v>
      </c>
      <c r="C945" s="6" t="s">
        <v>295</v>
      </c>
      <c r="D945" s="6" t="s">
        <v>2462</v>
      </c>
      <c r="E945" s="6" t="s">
        <v>2295</v>
      </c>
      <c r="F945" s="6" t="s">
        <v>18</v>
      </c>
      <c r="G945" s="7">
        <v>0.85</v>
      </c>
      <c r="H945" s="6" t="s">
        <v>2463</v>
      </c>
      <c r="I945" s="6" t="s">
        <v>20</v>
      </c>
      <c r="J945" s="6">
        <v>2008.0</v>
      </c>
      <c r="K945" s="10">
        <v>46082.0</v>
      </c>
      <c r="L945" s="6">
        <v>2.0</v>
      </c>
      <c r="M945" s="8">
        <f t="shared" si="3"/>
        <v>1.7</v>
      </c>
      <c r="P945" s="9"/>
    </row>
    <row r="946">
      <c r="A946" s="6" t="s">
        <v>2464</v>
      </c>
      <c r="B946" s="6" t="s">
        <v>2465</v>
      </c>
      <c r="C946" s="6" t="s">
        <v>295</v>
      </c>
      <c r="D946" s="6" t="s">
        <v>2466</v>
      </c>
      <c r="E946" s="6" t="s">
        <v>2295</v>
      </c>
      <c r="F946" s="6" t="s">
        <v>18</v>
      </c>
      <c r="G946" s="7">
        <v>0.03</v>
      </c>
      <c r="H946" s="6" t="s">
        <v>2467</v>
      </c>
      <c r="I946" s="6" t="s">
        <v>20</v>
      </c>
      <c r="J946" s="6">
        <v>2017.0</v>
      </c>
      <c r="K946" s="10">
        <v>46056.0</v>
      </c>
      <c r="L946" s="6">
        <v>4.0</v>
      </c>
      <c r="M946" s="8">
        <f t="shared" si="3"/>
        <v>0.12</v>
      </c>
      <c r="P946" s="9"/>
    </row>
    <row r="947">
      <c r="A947" s="6" t="s">
        <v>2468</v>
      </c>
      <c r="B947" s="6" t="s">
        <v>2469</v>
      </c>
      <c r="C947" s="6" t="s">
        <v>1897</v>
      </c>
      <c r="D947" s="6" t="s">
        <v>2470</v>
      </c>
      <c r="E947" s="6" t="s">
        <v>780</v>
      </c>
      <c r="F947" s="6" t="s">
        <v>18</v>
      </c>
      <c r="G947" s="7">
        <v>0.65</v>
      </c>
      <c r="H947" s="6" t="s">
        <v>2471</v>
      </c>
      <c r="I947" s="6" t="s">
        <v>20</v>
      </c>
      <c r="J947" s="6">
        <v>2012.0</v>
      </c>
      <c r="K947" s="10">
        <v>46023.0</v>
      </c>
      <c r="L947" s="6">
        <v>1.0</v>
      </c>
      <c r="M947" s="8">
        <f t="shared" si="3"/>
        <v>0.65</v>
      </c>
      <c r="P947" s="9"/>
    </row>
    <row r="948">
      <c r="A948" s="6" t="s">
        <v>2472</v>
      </c>
      <c r="B948" s="6" t="s">
        <v>2307</v>
      </c>
      <c r="C948" s="6" t="s">
        <v>295</v>
      </c>
      <c r="D948" s="6" t="s">
        <v>2473</v>
      </c>
      <c r="E948" s="6" t="s">
        <v>780</v>
      </c>
      <c r="F948" s="6" t="s">
        <v>18</v>
      </c>
      <c r="G948" s="7">
        <v>0.03</v>
      </c>
      <c r="H948" s="6" t="s">
        <v>2474</v>
      </c>
      <c r="I948" s="6" t="s">
        <v>20</v>
      </c>
      <c r="J948" s="6">
        <v>2017.0</v>
      </c>
      <c r="K948" s="6" t="s">
        <v>89</v>
      </c>
      <c r="L948" s="6">
        <v>1.0</v>
      </c>
      <c r="M948" s="8">
        <f t="shared" si="3"/>
        <v>0.03</v>
      </c>
      <c r="P948" s="9"/>
    </row>
    <row r="949">
      <c r="A949" s="6" t="s">
        <v>2475</v>
      </c>
      <c r="B949" s="6" t="s">
        <v>2476</v>
      </c>
      <c r="C949" s="6" t="s">
        <v>295</v>
      </c>
      <c r="D949" s="6" t="s">
        <v>2477</v>
      </c>
      <c r="E949" s="6" t="s">
        <v>780</v>
      </c>
      <c r="F949" s="6" t="s">
        <v>18</v>
      </c>
      <c r="G949" s="7">
        <v>0.23</v>
      </c>
      <c r="H949" s="6" t="s">
        <v>2478</v>
      </c>
      <c r="I949" s="6" t="s">
        <v>20</v>
      </c>
      <c r="J949" s="6">
        <v>2006.0</v>
      </c>
      <c r="K949" s="10">
        <v>46023.0</v>
      </c>
      <c r="L949" s="6">
        <v>4.0</v>
      </c>
      <c r="M949" s="8">
        <f t="shared" si="3"/>
        <v>0.92</v>
      </c>
      <c r="P949" s="9"/>
    </row>
    <row r="950">
      <c r="A950" s="6" t="s">
        <v>2479</v>
      </c>
      <c r="B950" s="6" t="s">
        <v>2480</v>
      </c>
      <c r="C950" s="6" t="s">
        <v>295</v>
      </c>
      <c r="D950" s="6" t="s">
        <v>2481</v>
      </c>
      <c r="E950" s="6" t="s">
        <v>1954</v>
      </c>
      <c r="F950" s="6" t="s">
        <v>18</v>
      </c>
      <c r="G950" s="7">
        <v>0.05</v>
      </c>
      <c r="H950" s="6" t="s">
        <v>1625</v>
      </c>
      <c r="I950" s="6" t="s">
        <v>20</v>
      </c>
      <c r="J950" s="6">
        <v>2021.0</v>
      </c>
      <c r="K950" s="10">
        <v>46023.0</v>
      </c>
      <c r="L950" s="6">
        <v>5.0</v>
      </c>
      <c r="M950" s="8">
        <f t="shared" si="3"/>
        <v>0.25</v>
      </c>
      <c r="P950" s="9"/>
    </row>
    <row r="951">
      <c r="A951" s="6" t="s">
        <v>2482</v>
      </c>
      <c r="B951" s="6" t="s">
        <v>2483</v>
      </c>
      <c r="C951" s="6" t="s">
        <v>295</v>
      </c>
      <c r="D951" s="6" t="s">
        <v>2484</v>
      </c>
      <c r="E951" s="6" t="s">
        <v>2299</v>
      </c>
      <c r="F951" s="6" t="s">
        <v>18</v>
      </c>
      <c r="G951" s="7">
        <v>0.06</v>
      </c>
      <c r="H951" s="6" t="s">
        <v>2372</v>
      </c>
      <c r="I951" s="6" t="s">
        <v>20</v>
      </c>
      <c r="J951" s="6">
        <v>2010.0</v>
      </c>
      <c r="K951" s="10">
        <v>46055.0</v>
      </c>
      <c r="L951" s="6">
        <v>1.0</v>
      </c>
      <c r="M951" s="8">
        <f t="shared" si="3"/>
        <v>0.06</v>
      </c>
      <c r="P951" s="9"/>
    </row>
    <row r="952">
      <c r="A952" s="6" t="s">
        <v>2485</v>
      </c>
      <c r="B952" s="6" t="s">
        <v>2486</v>
      </c>
      <c r="C952" s="6" t="s">
        <v>1949</v>
      </c>
      <c r="D952" s="6" t="s">
        <v>2487</v>
      </c>
      <c r="E952" s="6" t="s">
        <v>2488</v>
      </c>
      <c r="F952" s="6" t="s">
        <v>18</v>
      </c>
      <c r="G952" s="7">
        <v>4.95</v>
      </c>
      <c r="H952" s="6" t="s">
        <v>2489</v>
      </c>
      <c r="I952" s="6" t="s">
        <v>31</v>
      </c>
      <c r="J952" s="6">
        <v>2023.0</v>
      </c>
      <c r="K952" s="10">
        <v>46024.0</v>
      </c>
      <c r="L952" s="6">
        <v>1.0</v>
      </c>
      <c r="M952" s="8">
        <f t="shared" si="3"/>
        <v>4.95</v>
      </c>
      <c r="P952" s="9"/>
    </row>
    <row r="953">
      <c r="A953" s="6" t="s">
        <v>2490</v>
      </c>
      <c r="B953" s="6" t="s">
        <v>2491</v>
      </c>
      <c r="C953" s="6" t="s">
        <v>1949</v>
      </c>
      <c r="D953" s="6" t="s">
        <v>2492</v>
      </c>
      <c r="E953" s="6" t="s">
        <v>2292</v>
      </c>
      <c r="F953" s="6" t="s">
        <v>18</v>
      </c>
      <c r="G953" s="7">
        <v>0.06</v>
      </c>
      <c r="H953" s="6" t="s">
        <v>1704</v>
      </c>
      <c r="I953" s="6" t="s">
        <v>20</v>
      </c>
      <c r="J953" s="6">
        <v>2016.0</v>
      </c>
      <c r="K953" s="10">
        <v>46117.0</v>
      </c>
      <c r="L953" s="6">
        <v>4.0</v>
      </c>
      <c r="M953" s="8">
        <f t="shared" si="3"/>
        <v>0.24</v>
      </c>
      <c r="P953" s="9"/>
    </row>
    <row r="954">
      <c r="A954" s="6" t="s">
        <v>2493</v>
      </c>
      <c r="B954" s="6" t="s">
        <v>2494</v>
      </c>
      <c r="C954" s="6" t="s">
        <v>295</v>
      </c>
      <c r="D954" s="6" t="s">
        <v>2495</v>
      </c>
      <c r="E954" s="6" t="s">
        <v>1954</v>
      </c>
      <c r="F954" s="6" t="s">
        <v>18</v>
      </c>
      <c r="G954" s="7">
        <v>0.75</v>
      </c>
      <c r="H954" s="6" t="s">
        <v>1681</v>
      </c>
      <c r="I954" s="6" t="s">
        <v>20</v>
      </c>
      <c r="J954" s="6">
        <v>2015.0</v>
      </c>
      <c r="K954" s="10">
        <v>46055.0</v>
      </c>
      <c r="L954" s="6">
        <v>2.0</v>
      </c>
      <c r="M954" s="8">
        <f t="shared" si="3"/>
        <v>1.5</v>
      </c>
      <c r="P954" s="9"/>
    </row>
    <row r="955">
      <c r="A955" s="6" t="s">
        <v>2493</v>
      </c>
      <c r="B955" s="6" t="s">
        <v>2494</v>
      </c>
      <c r="C955" s="6" t="s">
        <v>295</v>
      </c>
      <c r="D955" s="6" t="s">
        <v>2496</v>
      </c>
      <c r="E955" s="6" t="s">
        <v>1954</v>
      </c>
      <c r="F955" s="6" t="s">
        <v>18</v>
      </c>
      <c r="G955" s="7">
        <v>1.95</v>
      </c>
      <c r="H955" s="6" t="s">
        <v>2497</v>
      </c>
      <c r="I955" s="6" t="s">
        <v>20</v>
      </c>
      <c r="J955" s="6">
        <v>2016.0</v>
      </c>
      <c r="K955" s="10">
        <v>46055.0</v>
      </c>
      <c r="L955" s="6">
        <v>1.0</v>
      </c>
      <c r="M955" s="8">
        <f t="shared" si="3"/>
        <v>1.95</v>
      </c>
      <c r="P955" s="9"/>
    </row>
    <row r="956">
      <c r="A956" s="6" t="s">
        <v>2498</v>
      </c>
      <c r="B956" s="6" t="s">
        <v>2411</v>
      </c>
      <c r="C956" s="6" t="s">
        <v>295</v>
      </c>
      <c r="D956" s="6" t="s">
        <v>2499</v>
      </c>
      <c r="E956" s="6" t="s">
        <v>780</v>
      </c>
      <c r="F956" s="6" t="s">
        <v>18</v>
      </c>
      <c r="G956" s="7">
        <v>0.09</v>
      </c>
      <c r="H956" s="6" t="s">
        <v>2500</v>
      </c>
      <c r="I956" s="6" t="s">
        <v>20</v>
      </c>
      <c r="J956" s="6">
        <v>2015.0</v>
      </c>
      <c r="K956" s="6" t="s">
        <v>1256</v>
      </c>
      <c r="L956" s="6">
        <v>4.0</v>
      </c>
      <c r="M956" s="8">
        <f t="shared" si="3"/>
        <v>0.36</v>
      </c>
      <c r="P956" s="9"/>
    </row>
    <row r="957">
      <c r="A957" s="6" t="s">
        <v>2501</v>
      </c>
      <c r="B957" s="6" t="s">
        <v>2502</v>
      </c>
      <c r="C957" s="6" t="s">
        <v>295</v>
      </c>
      <c r="E957" s="6" t="s">
        <v>2503</v>
      </c>
      <c r="F957" s="6" t="s">
        <v>18</v>
      </c>
      <c r="G957" s="7">
        <v>0.03</v>
      </c>
      <c r="H957" s="6" t="s">
        <v>2474</v>
      </c>
      <c r="I957" s="6" t="s">
        <v>20</v>
      </c>
      <c r="J957" s="6">
        <v>2017.0</v>
      </c>
      <c r="K957" s="10">
        <v>46147.0</v>
      </c>
      <c r="L957" s="6">
        <v>3.0</v>
      </c>
      <c r="M957" s="8">
        <f t="shared" si="3"/>
        <v>0.09</v>
      </c>
      <c r="P957" s="9"/>
    </row>
    <row r="958">
      <c r="A958" s="6" t="s">
        <v>2504</v>
      </c>
      <c r="B958" s="6" t="s">
        <v>2505</v>
      </c>
      <c r="C958" s="6" t="s">
        <v>1949</v>
      </c>
      <c r="D958" s="6" t="s">
        <v>2506</v>
      </c>
      <c r="E958" s="6" t="s">
        <v>2295</v>
      </c>
      <c r="F958" s="6" t="s">
        <v>18</v>
      </c>
      <c r="G958" s="7">
        <v>0.13</v>
      </c>
      <c r="H958" s="6" t="s">
        <v>1641</v>
      </c>
      <c r="I958" s="6" t="s">
        <v>20</v>
      </c>
      <c r="J958" s="6">
        <v>2019.0</v>
      </c>
      <c r="K958" s="10">
        <v>46055.0</v>
      </c>
      <c r="L958" s="6">
        <v>3.0</v>
      </c>
      <c r="M958" s="8">
        <f t="shared" si="3"/>
        <v>0.39</v>
      </c>
      <c r="P958" s="9"/>
    </row>
    <row r="959">
      <c r="A959" s="6" t="s">
        <v>2507</v>
      </c>
      <c r="B959" s="6" t="s">
        <v>2508</v>
      </c>
      <c r="C959" s="6" t="s">
        <v>295</v>
      </c>
      <c r="D959" s="6" t="s">
        <v>2509</v>
      </c>
      <c r="E959" s="6" t="s">
        <v>2510</v>
      </c>
      <c r="F959" s="6" t="s">
        <v>18</v>
      </c>
      <c r="G959" s="7">
        <v>0.05</v>
      </c>
      <c r="H959" s="6" t="s">
        <v>2511</v>
      </c>
      <c r="I959" s="6" t="s">
        <v>20</v>
      </c>
      <c r="J959" s="6">
        <v>2018.0</v>
      </c>
      <c r="K959" s="10">
        <v>46179.0</v>
      </c>
      <c r="L959" s="6">
        <v>4.0</v>
      </c>
      <c r="M959" s="8">
        <f t="shared" si="3"/>
        <v>0.2</v>
      </c>
      <c r="P959" s="9"/>
    </row>
    <row r="960">
      <c r="A960" s="6" t="s">
        <v>2512</v>
      </c>
      <c r="B960" s="6" t="s">
        <v>2307</v>
      </c>
      <c r="C960" s="6" t="s">
        <v>295</v>
      </c>
      <c r="D960" s="6" t="s">
        <v>2513</v>
      </c>
      <c r="E960" s="6" t="s">
        <v>780</v>
      </c>
      <c r="F960" s="6" t="s">
        <v>18</v>
      </c>
      <c r="G960" s="7">
        <v>0.09</v>
      </c>
      <c r="H960" s="6" t="s">
        <v>2514</v>
      </c>
      <c r="I960" s="6" t="s">
        <v>20</v>
      </c>
      <c r="J960" s="6">
        <v>2005.0</v>
      </c>
      <c r="K960" s="10">
        <v>46023.0</v>
      </c>
      <c r="L960" s="6">
        <v>1.0</v>
      </c>
      <c r="M960" s="8">
        <f t="shared" si="3"/>
        <v>0.09</v>
      </c>
      <c r="P960" s="9"/>
    </row>
    <row r="961">
      <c r="A961" s="6" t="s">
        <v>2515</v>
      </c>
      <c r="B961" s="6" t="s">
        <v>2516</v>
      </c>
      <c r="C961" s="6" t="s">
        <v>295</v>
      </c>
      <c r="D961" s="6" t="s">
        <v>2517</v>
      </c>
      <c r="E961" s="6" t="s">
        <v>2503</v>
      </c>
      <c r="F961" s="6" t="s">
        <v>18</v>
      </c>
      <c r="G961" s="7">
        <v>0.05</v>
      </c>
      <c r="H961" s="6" t="s">
        <v>1956</v>
      </c>
      <c r="I961" s="6" t="s">
        <v>20</v>
      </c>
      <c r="J961" s="6">
        <v>2021.0</v>
      </c>
      <c r="K961" s="10">
        <v>46026.0</v>
      </c>
      <c r="L961" s="6">
        <v>1.0</v>
      </c>
      <c r="M961" s="8">
        <f t="shared" si="3"/>
        <v>0.05</v>
      </c>
      <c r="P961" s="9"/>
    </row>
    <row r="962">
      <c r="A962" s="6" t="s">
        <v>2518</v>
      </c>
      <c r="B962" s="6" t="s">
        <v>2519</v>
      </c>
      <c r="C962" s="6" t="s">
        <v>295</v>
      </c>
      <c r="D962" s="6" t="s">
        <v>2520</v>
      </c>
      <c r="E962" s="6" t="s">
        <v>2299</v>
      </c>
      <c r="F962" s="6" t="s">
        <v>18</v>
      </c>
      <c r="G962" s="7">
        <v>0.06</v>
      </c>
      <c r="H962" s="6" t="s">
        <v>1711</v>
      </c>
      <c r="I962" s="6" t="s">
        <v>20</v>
      </c>
      <c r="J962" s="6">
        <v>2022.0</v>
      </c>
      <c r="K962" s="10">
        <v>46084.0</v>
      </c>
      <c r="L962" s="6">
        <v>1.0</v>
      </c>
      <c r="M962" s="8">
        <f t="shared" si="3"/>
        <v>0.06</v>
      </c>
      <c r="P962" s="9"/>
    </row>
    <row r="963">
      <c r="A963" s="6" t="s">
        <v>2521</v>
      </c>
      <c r="B963" s="6" t="s">
        <v>2486</v>
      </c>
      <c r="C963" s="6" t="s">
        <v>295</v>
      </c>
      <c r="D963" s="6" t="s">
        <v>2522</v>
      </c>
      <c r="E963" s="6" t="s">
        <v>1954</v>
      </c>
      <c r="F963" s="6" t="s">
        <v>18</v>
      </c>
      <c r="G963" s="7">
        <v>0.05</v>
      </c>
      <c r="H963" s="6" t="s">
        <v>2202</v>
      </c>
      <c r="I963" s="6" t="s">
        <v>20</v>
      </c>
      <c r="J963" s="6">
        <v>2014.0</v>
      </c>
      <c r="K963" s="10">
        <v>46055.0</v>
      </c>
      <c r="L963" s="6">
        <v>1.0</v>
      </c>
      <c r="M963" s="8">
        <f t="shared" si="3"/>
        <v>0.05</v>
      </c>
      <c r="P963" s="9"/>
    </row>
    <row r="964">
      <c r="A964" s="6" t="s">
        <v>2523</v>
      </c>
      <c r="B964" s="6" t="s">
        <v>2524</v>
      </c>
      <c r="C964" s="6" t="s">
        <v>295</v>
      </c>
      <c r="D964" s="6" t="s">
        <v>2525</v>
      </c>
      <c r="E964" s="6" t="s">
        <v>780</v>
      </c>
      <c r="F964" s="6" t="s">
        <v>18</v>
      </c>
      <c r="G964" s="7">
        <v>0.17</v>
      </c>
      <c r="H964" s="6" t="s">
        <v>1711</v>
      </c>
      <c r="I964" s="6" t="s">
        <v>20</v>
      </c>
      <c r="J964" s="6">
        <v>2022.0</v>
      </c>
      <c r="K964" s="10">
        <v>46023.0</v>
      </c>
      <c r="L964" s="6">
        <v>1.0</v>
      </c>
      <c r="M964" s="8">
        <f t="shared" si="3"/>
        <v>0.17</v>
      </c>
      <c r="P964" s="9"/>
    </row>
    <row r="965">
      <c r="A965" s="6" t="s">
        <v>2526</v>
      </c>
      <c r="B965" s="6" t="s">
        <v>2527</v>
      </c>
      <c r="C965" s="6" t="s">
        <v>295</v>
      </c>
      <c r="D965" s="6" t="s">
        <v>2528</v>
      </c>
      <c r="E965" s="6" t="s">
        <v>2295</v>
      </c>
      <c r="F965" s="6" t="s">
        <v>18</v>
      </c>
      <c r="G965" s="7">
        <v>0.04</v>
      </c>
      <c r="H965" s="6" t="s">
        <v>2172</v>
      </c>
      <c r="I965" s="6" t="s">
        <v>20</v>
      </c>
      <c r="J965" s="6">
        <v>2021.0</v>
      </c>
      <c r="K965" s="10">
        <v>46056.0</v>
      </c>
      <c r="L965" s="6">
        <v>3.0</v>
      </c>
      <c r="M965" s="8">
        <f t="shared" si="3"/>
        <v>0.12</v>
      </c>
      <c r="P965" s="9"/>
    </row>
    <row r="966">
      <c r="A966" s="6" t="s">
        <v>2529</v>
      </c>
      <c r="B966" s="6" t="s">
        <v>2272</v>
      </c>
      <c r="C966" s="6" t="s">
        <v>295</v>
      </c>
      <c r="D966" s="6" t="s">
        <v>2530</v>
      </c>
      <c r="E966" s="6" t="s">
        <v>2299</v>
      </c>
      <c r="F966" s="6" t="s">
        <v>18</v>
      </c>
      <c r="G966" s="7">
        <v>0.08</v>
      </c>
      <c r="H966" s="6" t="s">
        <v>1625</v>
      </c>
      <c r="I966" s="6" t="s">
        <v>20</v>
      </c>
      <c r="J966" s="6">
        <v>2021.0</v>
      </c>
      <c r="K966" s="10">
        <v>46114.0</v>
      </c>
      <c r="L966" s="6">
        <v>1.0</v>
      </c>
      <c r="M966" s="8">
        <f t="shared" si="3"/>
        <v>0.08</v>
      </c>
      <c r="P966" s="9"/>
    </row>
    <row r="967">
      <c r="A967" s="6" t="s">
        <v>2531</v>
      </c>
      <c r="B967" s="6" t="s">
        <v>2532</v>
      </c>
      <c r="C967" s="6" t="s">
        <v>295</v>
      </c>
      <c r="E967" s="6" t="s">
        <v>2510</v>
      </c>
      <c r="F967" s="6" t="s">
        <v>18</v>
      </c>
      <c r="G967" s="7">
        <v>0.03</v>
      </c>
      <c r="H967" s="6" t="s">
        <v>1987</v>
      </c>
      <c r="I967" s="6" t="s">
        <v>20</v>
      </c>
      <c r="J967" s="6">
        <v>2019.0</v>
      </c>
      <c r="K967" s="10">
        <v>46210.0</v>
      </c>
      <c r="L967" s="6">
        <v>4.0</v>
      </c>
      <c r="M967" s="8">
        <f t="shared" si="3"/>
        <v>0.12</v>
      </c>
      <c r="P967" s="9"/>
    </row>
    <row r="968">
      <c r="A968" s="6" t="s">
        <v>2533</v>
      </c>
      <c r="B968" s="6" t="s">
        <v>2534</v>
      </c>
      <c r="C968" s="6" t="s">
        <v>295</v>
      </c>
      <c r="D968" s="6" t="s">
        <v>2535</v>
      </c>
      <c r="E968" s="6" t="s">
        <v>1954</v>
      </c>
      <c r="F968" s="6" t="s">
        <v>18</v>
      </c>
      <c r="G968" s="7">
        <v>0.06</v>
      </c>
      <c r="H968" s="6" t="s">
        <v>2536</v>
      </c>
      <c r="I968" s="6" t="s">
        <v>20</v>
      </c>
      <c r="J968" s="6">
        <v>2010.0</v>
      </c>
      <c r="K968" s="10">
        <v>46023.0</v>
      </c>
      <c r="L968" s="6">
        <v>4.0</v>
      </c>
      <c r="M968" s="8">
        <f t="shared" si="3"/>
        <v>0.24</v>
      </c>
      <c r="P968" s="9"/>
    </row>
    <row r="969">
      <c r="A969" s="6" t="s">
        <v>2537</v>
      </c>
      <c r="B969" s="6" t="s">
        <v>2058</v>
      </c>
      <c r="C969" s="6" t="s">
        <v>295</v>
      </c>
      <c r="D969" s="6" t="s">
        <v>2538</v>
      </c>
      <c r="E969" s="6" t="s">
        <v>1954</v>
      </c>
      <c r="F969" s="6" t="s">
        <v>18</v>
      </c>
      <c r="G969" s="7">
        <v>0.03</v>
      </c>
      <c r="H969" s="6" t="s">
        <v>2536</v>
      </c>
      <c r="I969" s="6" t="s">
        <v>20</v>
      </c>
      <c r="J969" s="6">
        <v>2010.0</v>
      </c>
      <c r="K969" s="6" t="s">
        <v>1425</v>
      </c>
      <c r="L969" s="6">
        <v>8.0</v>
      </c>
      <c r="M969" s="8">
        <f t="shared" si="3"/>
        <v>0.24</v>
      </c>
      <c r="P969" s="9"/>
    </row>
    <row r="970">
      <c r="A970" s="6" t="s">
        <v>2539</v>
      </c>
      <c r="B970" s="6" t="s">
        <v>378</v>
      </c>
      <c r="C970" s="6" t="s">
        <v>295</v>
      </c>
      <c r="D970" s="6" t="s">
        <v>2540</v>
      </c>
      <c r="E970" s="6" t="s">
        <v>780</v>
      </c>
      <c r="F970" s="6" t="s">
        <v>18</v>
      </c>
      <c r="G970" s="7">
        <v>0.04</v>
      </c>
      <c r="H970" s="6" t="s">
        <v>2541</v>
      </c>
      <c r="I970" s="6" t="s">
        <v>20</v>
      </c>
      <c r="J970" s="6">
        <v>2017.0</v>
      </c>
      <c r="K970" s="6" t="s">
        <v>1425</v>
      </c>
      <c r="L970" s="6">
        <v>2.0</v>
      </c>
      <c r="M970" s="8">
        <f t="shared" si="3"/>
        <v>0.08</v>
      </c>
      <c r="P970" s="9"/>
    </row>
    <row r="971">
      <c r="A971" s="6" t="s">
        <v>2542</v>
      </c>
      <c r="B971" s="6" t="s">
        <v>2316</v>
      </c>
      <c r="C971" s="6" t="s">
        <v>1897</v>
      </c>
      <c r="D971" s="6" t="s">
        <v>2543</v>
      </c>
      <c r="E971" s="6" t="s">
        <v>780</v>
      </c>
      <c r="F971" s="6" t="s">
        <v>18</v>
      </c>
      <c r="G971" s="7">
        <v>0.06</v>
      </c>
      <c r="H971" s="6" t="s">
        <v>2536</v>
      </c>
      <c r="I971" s="6" t="s">
        <v>20</v>
      </c>
      <c r="J971" s="6">
        <v>2002.0</v>
      </c>
      <c r="K971" s="10">
        <v>46023.0</v>
      </c>
      <c r="L971" s="6">
        <v>1.0</v>
      </c>
      <c r="M971" s="8">
        <f t="shared" si="3"/>
        <v>0.06</v>
      </c>
      <c r="P971" s="9"/>
    </row>
    <row r="972">
      <c r="A972" s="6" t="s">
        <v>2544</v>
      </c>
      <c r="B972" s="6" t="s">
        <v>2545</v>
      </c>
      <c r="C972" s="6" t="s">
        <v>295</v>
      </c>
      <c r="E972" s="6" t="s">
        <v>2546</v>
      </c>
      <c r="F972" s="6" t="s">
        <v>18</v>
      </c>
      <c r="G972" s="7">
        <v>0.03</v>
      </c>
      <c r="H972" s="6" t="s">
        <v>164</v>
      </c>
      <c r="I972" s="6" t="s">
        <v>20</v>
      </c>
      <c r="J972" s="6">
        <v>2014.0</v>
      </c>
      <c r="K972" s="10">
        <v>46056.0</v>
      </c>
      <c r="L972" s="6">
        <v>1.0</v>
      </c>
      <c r="M972" s="8">
        <f t="shared" si="3"/>
        <v>0.03</v>
      </c>
      <c r="P972" s="9"/>
    </row>
    <row r="973">
      <c r="A973" s="6" t="s">
        <v>2547</v>
      </c>
      <c r="B973" s="6" t="s">
        <v>2548</v>
      </c>
      <c r="C973" s="6" t="s">
        <v>295</v>
      </c>
      <c r="D973" s="6" t="s">
        <v>2549</v>
      </c>
      <c r="E973" s="6" t="s">
        <v>780</v>
      </c>
      <c r="F973" s="6" t="s">
        <v>18</v>
      </c>
      <c r="G973" s="7">
        <v>0.04</v>
      </c>
      <c r="H973" s="6" t="s">
        <v>2550</v>
      </c>
      <c r="I973" s="6" t="s">
        <v>20</v>
      </c>
      <c r="J973" s="6">
        <v>2020.0</v>
      </c>
      <c r="K973" s="10">
        <v>46023.0</v>
      </c>
      <c r="L973" s="6">
        <v>1.0</v>
      </c>
      <c r="M973" s="8">
        <f t="shared" si="3"/>
        <v>0.04</v>
      </c>
      <c r="P973" s="9"/>
    </row>
    <row r="974">
      <c r="A974" s="6" t="s">
        <v>2551</v>
      </c>
      <c r="B974" s="6" t="s">
        <v>2545</v>
      </c>
      <c r="C974" s="6" t="s">
        <v>295</v>
      </c>
      <c r="E974" s="6" t="s">
        <v>2295</v>
      </c>
      <c r="F974" s="6" t="s">
        <v>18</v>
      </c>
      <c r="G974" s="7">
        <v>0.03</v>
      </c>
      <c r="H974" s="6" t="s">
        <v>2552</v>
      </c>
      <c r="I974" s="6" t="s">
        <v>20</v>
      </c>
      <c r="J974" s="6">
        <v>2018.0</v>
      </c>
      <c r="K974" s="10">
        <v>46084.0</v>
      </c>
      <c r="L974" s="6">
        <v>3.0</v>
      </c>
      <c r="M974" s="8">
        <f t="shared" si="3"/>
        <v>0.09</v>
      </c>
      <c r="P974" s="9"/>
    </row>
    <row r="975">
      <c r="A975" s="6" t="s">
        <v>2551</v>
      </c>
      <c r="B975" s="6" t="s">
        <v>2545</v>
      </c>
      <c r="C975" s="6" t="s">
        <v>295</v>
      </c>
      <c r="E975" s="6" t="s">
        <v>2295</v>
      </c>
      <c r="F975" s="6" t="s">
        <v>18</v>
      </c>
      <c r="G975" s="7">
        <v>0.03</v>
      </c>
      <c r="H975" s="6" t="s">
        <v>1987</v>
      </c>
      <c r="I975" s="6" t="s">
        <v>20</v>
      </c>
      <c r="J975" s="6">
        <v>2019.0</v>
      </c>
      <c r="K975" s="10">
        <v>46084.0</v>
      </c>
      <c r="L975" s="6">
        <v>1.0</v>
      </c>
      <c r="M975" s="8">
        <f t="shared" si="3"/>
        <v>0.03</v>
      </c>
      <c r="P975" s="9"/>
    </row>
    <row r="976">
      <c r="A976" s="6" t="s">
        <v>2553</v>
      </c>
      <c r="B976" s="6" t="s">
        <v>2554</v>
      </c>
      <c r="C976" s="6" t="s">
        <v>1897</v>
      </c>
      <c r="D976" s="6" t="s">
        <v>2555</v>
      </c>
      <c r="E976" s="6" t="s">
        <v>2556</v>
      </c>
      <c r="F976" s="6" t="s">
        <v>18</v>
      </c>
      <c r="G976" s="7">
        <v>0.17</v>
      </c>
      <c r="H976" s="6" t="s">
        <v>2557</v>
      </c>
      <c r="I976" s="6" t="s">
        <v>20</v>
      </c>
      <c r="J976" s="6">
        <v>2017.0</v>
      </c>
      <c r="K976" s="10">
        <v>46084.0</v>
      </c>
      <c r="L976" s="6">
        <v>1.0</v>
      </c>
      <c r="M976" s="8">
        <f t="shared" si="3"/>
        <v>0.17</v>
      </c>
      <c r="P976" s="9"/>
    </row>
    <row r="977">
      <c r="A977" s="6" t="s">
        <v>2558</v>
      </c>
      <c r="B977" s="6" t="s">
        <v>2534</v>
      </c>
      <c r="C977" s="6" t="s">
        <v>1949</v>
      </c>
      <c r="D977" s="6" t="s">
        <v>2559</v>
      </c>
      <c r="E977" s="6" t="s">
        <v>2295</v>
      </c>
      <c r="F977" s="6" t="s">
        <v>18</v>
      </c>
      <c r="G977" s="7">
        <v>0.08</v>
      </c>
      <c r="H977" s="6" t="s">
        <v>1644</v>
      </c>
      <c r="I977" s="6" t="s">
        <v>20</v>
      </c>
      <c r="J977" s="6">
        <v>2018.0</v>
      </c>
      <c r="K977" s="10">
        <v>46055.0</v>
      </c>
      <c r="L977" s="6">
        <v>1.0</v>
      </c>
      <c r="M977" s="8">
        <f t="shared" si="3"/>
        <v>0.08</v>
      </c>
      <c r="P977" s="9"/>
    </row>
    <row r="978">
      <c r="A978" s="6" t="s">
        <v>2560</v>
      </c>
      <c r="B978" s="6" t="s">
        <v>2534</v>
      </c>
      <c r="C978" s="6" t="s">
        <v>295</v>
      </c>
      <c r="D978" s="6" t="s">
        <v>2561</v>
      </c>
      <c r="E978" s="6" t="s">
        <v>2295</v>
      </c>
      <c r="F978" s="6" t="s">
        <v>18</v>
      </c>
      <c r="G978" s="7">
        <v>0.04</v>
      </c>
      <c r="H978" s="6" t="s">
        <v>1744</v>
      </c>
      <c r="I978" s="6" t="s">
        <v>20</v>
      </c>
      <c r="J978" s="6">
        <v>2000.0</v>
      </c>
      <c r="K978" s="10">
        <v>46055.0</v>
      </c>
      <c r="L978" s="6">
        <v>1.0</v>
      </c>
      <c r="M978" s="8">
        <f t="shared" si="3"/>
        <v>0.04</v>
      </c>
      <c r="P978" s="9"/>
    </row>
    <row r="979">
      <c r="A979" s="6" t="s">
        <v>2562</v>
      </c>
      <c r="B979" s="6" t="s">
        <v>2563</v>
      </c>
      <c r="C979" s="6" t="s">
        <v>295</v>
      </c>
      <c r="D979" s="6" t="s">
        <v>2564</v>
      </c>
      <c r="E979" s="6" t="s">
        <v>2299</v>
      </c>
      <c r="F979" s="6" t="s">
        <v>18</v>
      </c>
      <c r="G979" s="7">
        <v>0.05</v>
      </c>
      <c r="H979" s="6" t="s">
        <v>1956</v>
      </c>
      <c r="I979" s="6" t="s">
        <v>20</v>
      </c>
      <c r="J979" s="6">
        <v>2021.0</v>
      </c>
      <c r="K979" s="10">
        <v>46084.0</v>
      </c>
      <c r="L979" s="6">
        <v>1.0</v>
      </c>
      <c r="M979" s="8">
        <f t="shared" si="3"/>
        <v>0.05</v>
      </c>
      <c r="P979" s="9"/>
    </row>
    <row r="980">
      <c r="A980" s="6" t="s">
        <v>2565</v>
      </c>
      <c r="B980" s="6" t="s">
        <v>2566</v>
      </c>
      <c r="C980" s="6" t="s">
        <v>1949</v>
      </c>
      <c r="D980" s="6" t="s">
        <v>2567</v>
      </c>
      <c r="E980" s="6" t="s">
        <v>2299</v>
      </c>
      <c r="F980" s="6" t="s">
        <v>18</v>
      </c>
      <c r="G980" s="7">
        <v>0.06</v>
      </c>
      <c r="H980" s="6" t="s">
        <v>2568</v>
      </c>
      <c r="I980" s="6" t="s">
        <v>20</v>
      </c>
      <c r="J980" s="6">
        <v>2012.0</v>
      </c>
      <c r="K980" s="10">
        <v>46084.0</v>
      </c>
      <c r="L980" s="6">
        <v>1.0</v>
      </c>
      <c r="M980" s="8">
        <f t="shared" si="3"/>
        <v>0.06</v>
      </c>
      <c r="P980" s="9"/>
    </row>
    <row r="981">
      <c r="A981" s="6" t="s">
        <v>2569</v>
      </c>
      <c r="B981" s="6" t="s">
        <v>2301</v>
      </c>
      <c r="C981" s="6" t="s">
        <v>295</v>
      </c>
      <c r="D981" s="6" t="s">
        <v>2570</v>
      </c>
      <c r="E981" s="6" t="s">
        <v>1954</v>
      </c>
      <c r="F981" s="6" t="s">
        <v>18</v>
      </c>
      <c r="G981" s="7">
        <v>0.06</v>
      </c>
      <c r="H981" s="6" t="s">
        <v>1685</v>
      </c>
      <c r="I981" s="6" t="s">
        <v>20</v>
      </c>
      <c r="J981" s="6">
        <v>2021.0</v>
      </c>
      <c r="K981" s="10">
        <v>46055.0</v>
      </c>
      <c r="L981" s="6">
        <v>4.0</v>
      </c>
      <c r="M981" s="8">
        <f t="shared" si="3"/>
        <v>0.24</v>
      </c>
      <c r="P981" s="9"/>
    </row>
    <row r="982">
      <c r="A982" s="6" t="s">
        <v>2571</v>
      </c>
      <c r="B982" s="6" t="s">
        <v>2572</v>
      </c>
      <c r="C982" s="6" t="s">
        <v>1667</v>
      </c>
      <c r="D982" s="6" t="s">
        <v>2573</v>
      </c>
      <c r="E982" s="6" t="s">
        <v>1954</v>
      </c>
      <c r="F982" s="6" t="s">
        <v>18</v>
      </c>
      <c r="G982" s="7">
        <v>0.09</v>
      </c>
      <c r="H982" s="6" t="s">
        <v>2574</v>
      </c>
      <c r="I982" s="6" t="s">
        <v>20</v>
      </c>
      <c r="J982" s="6">
        <v>2004.0</v>
      </c>
      <c r="K982" s="10">
        <v>46054.0</v>
      </c>
      <c r="L982" s="6">
        <v>2.0</v>
      </c>
      <c r="M982" s="8">
        <f t="shared" si="3"/>
        <v>0.18</v>
      </c>
      <c r="P982" s="9"/>
    </row>
    <row r="983">
      <c r="A983" s="6" t="s">
        <v>2575</v>
      </c>
      <c r="B983" s="6" t="s">
        <v>2576</v>
      </c>
      <c r="C983" s="6" t="s">
        <v>1949</v>
      </c>
      <c r="D983" s="6" t="s">
        <v>2577</v>
      </c>
      <c r="E983" s="6" t="s">
        <v>780</v>
      </c>
      <c r="F983" s="6" t="s">
        <v>18</v>
      </c>
      <c r="G983" s="7">
        <v>0.05</v>
      </c>
      <c r="H983" s="6" t="s">
        <v>2578</v>
      </c>
      <c r="I983" s="6" t="s">
        <v>20</v>
      </c>
      <c r="J983" s="6">
        <v>2020.0</v>
      </c>
      <c r="K983" s="10">
        <v>46054.0</v>
      </c>
      <c r="L983" s="6">
        <v>4.0</v>
      </c>
      <c r="M983" s="8">
        <f t="shared" si="3"/>
        <v>0.2</v>
      </c>
      <c r="P983" s="9"/>
    </row>
    <row r="984">
      <c r="A984" s="6" t="s">
        <v>2579</v>
      </c>
      <c r="B984" s="6" t="s">
        <v>2580</v>
      </c>
      <c r="C984" s="6" t="s">
        <v>295</v>
      </c>
      <c r="D984" s="6" t="s">
        <v>2581</v>
      </c>
      <c r="E984" s="6" t="s">
        <v>2295</v>
      </c>
      <c r="F984" s="6" t="s">
        <v>18</v>
      </c>
      <c r="G984" s="7">
        <v>0.06</v>
      </c>
      <c r="H984" s="6" t="s">
        <v>1634</v>
      </c>
      <c r="I984" s="6" t="s">
        <v>20</v>
      </c>
      <c r="J984" s="6">
        <v>2005.0</v>
      </c>
      <c r="K984" s="10">
        <v>46023.0</v>
      </c>
      <c r="L984" s="6">
        <v>1.0</v>
      </c>
      <c r="M984" s="8">
        <f t="shared" si="3"/>
        <v>0.06</v>
      </c>
      <c r="P984" s="9"/>
    </row>
    <row r="985">
      <c r="A985" s="6" t="s">
        <v>2582</v>
      </c>
      <c r="B985" s="6" t="s">
        <v>2534</v>
      </c>
      <c r="C985" s="6" t="s">
        <v>295</v>
      </c>
      <c r="D985" s="6" t="s">
        <v>2583</v>
      </c>
      <c r="E985" s="6" t="s">
        <v>2295</v>
      </c>
      <c r="F985" s="6" t="s">
        <v>18</v>
      </c>
      <c r="G985" s="7">
        <v>2.5</v>
      </c>
      <c r="H985" s="6" t="s">
        <v>2584</v>
      </c>
      <c r="I985" s="6" t="s">
        <v>20</v>
      </c>
      <c r="J985" s="6">
        <v>2014.0</v>
      </c>
      <c r="K985" s="10">
        <v>46023.0</v>
      </c>
      <c r="L985" s="6">
        <v>1.0</v>
      </c>
      <c r="M985" s="8">
        <f t="shared" si="3"/>
        <v>2.5</v>
      </c>
      <c r="P985" s="9"/>
    </row>
    <row r="986">
      <c r="A986" s="6" t="s">
        <v>2585</v>
      </c>
      <c r="B986" s="6" t="s">
        <v>2586</v>
      </c>
      <c r="C986" s="6" t="s">
        <v>1667</v>
      </c>
      <c r="D986" s="6" t="s">
        <v>2587</v>
      </c>
      <c r="E986" s="6" t="s">
        <v>1954</v>
      </c>
      <c r="F986" s="6" t="s">
        <v>18</v>
      </c>
      <c r="G986" s="7">
        <v>0.14</v>
      </c>
      <c r="H986" s="6" t="s">
        <v>2219</v>
      </c>
      <c r="I986" s="6" t="s">
        <v>20</v>
      </c>
      <c r="J986" s="6">
        <v>2024.0</v>
      </c>
      <c r="K986" s="10">
        <v>46055.0</v>
      </c>
      <c r="L986" s="6">
        <v>1.0</v>
      </c>
      <c r="M986" s="8">
        <f t="shared" si="3"/>
        <v>0.14</v>
      </c>
      <c r="P986" s="9"/>
    </row>
    <row r="987">
      <c r="A987" s="6" t="s">
        <v>2588</v>
      </c>
      <c r="B987" s="6" t="s">
        <v>2589</v>
      </c>
      <c r="C987" s="6" t="s">
        <v>1949</v>
      </c>
      <c r="D987" s="6" t="s">
        <v>2590</v>
      </c>
      <c r="E987" s="6" t="s">
        <v>2299</v>
      </c>
      <c r="F987" s="6" t="s">
        <v>18</v>
      </c>
      <c r="G987" s="7">
        <v>0.04</v>
      </c>
      <c r="H987" s="6" t="s">
        <v>1956</v>
      </c>
      <c r="I987" s="6" t="s">
        <v>20</v>
      </c>
      <c r="J987" s="6">
        <v>2021.0</v>
      </c>
      <c r="K987" s="10">
        <v>46059.0</v>
      </c>
      <c r="L987" s="6">
        <v>1.0</v>
      </c>
      <c r="M987" s="8">
        <f t="shared" si="3"/>
        <v>0.04</v>
      </c>
      <c r="P987" s="9"/>
    </row>
    <row r="988">
      <c r="A988" s="6" t="s">
        <v>2591</v>
      </c>
      <c r="B988" s="6" t="s">
        <v>2592</v>
      </c>
      <c r="C988" s="6" t="s">
        <v>1667</v>
      </c>
      <c r="D988" s="6" t="s">
        <v>2593</v>
      </c>
      <c r="E988" s="6" t="s">
        <v>2594</v>
      </c>
      <c r="F988" s="6" t="s">
        <v>2595</v>
      </c>
      <c r="G988" s="7">
        <v>0.1</v>
      </c>
      <c r="H988" s="7" t="s">
        <v>1631</v>
      </c>
      <c r="I988" s="6" t="s">
        <v>20</v>
      </c>
      <c r="J988" s="6">
        <v>2024.0</v>
      </c>
      <c r="K988" s="10">
        <v>46056.0</v>
      </c>
      <c r="L988" s="6">
        <v>1.0</v>
      </c>
      <c r="M988" s="8">
        <f t="shared" si="3"/>
        <v>0.1</v>
      </c>
      <c r="P988" s="9"/>
    </row>
    <row r="989">
      <c r="A989" s="6" t="s">
        <v>2596</v>
      </c>
      <c r="B989" s="6" t="s">
        <v>2301</v>
      </c>
      <c r="C989" s="6" t="s">
        <v>1949</v>
      </c>
      <c r="D989" s="6" t="s">
        <v>2597</v>
      </c>
      <c r="E989" s="6" t="s">
        <v>2299</v>
      </c>
      <c r="F989" s="6" t="s">
        <v>18</v>
      </c>
      <c r="G989" s="7">
        <v>0.03</v>
      </c>
      <c r="H989" s="6" t="s">
        <v>2598</v>
      </c>
      <c r="I989" s="6" t="s">
        <v>20</v>
      </c>
      <c r="J989" s="6">
        <v>2017.0</v>
      </c>
      <c r="K989" s="10">
        <v>46056.0</v>
      </c>
      <c r="L989" s="6">
        <v>1.0</v>
      </c>
      <c r="M989" s="8">
        <f t="shared" si="3"/>
        <v>0.03</v>
      </c>
      <c r="P989" s="9"/>
    </row>
    <row r="990">
      <c r="A990" s="6" t="s">
        <v>2599</v>
      </c>
      <c r="B990" s="6" t="s">
        <v>2600</v>
      </c>
      <c r="C990" s="6" t="s">
        <v>1667</v>
      </c>
      <c r="D990" s="6" t="s">
        <v>2601</v>
      </c>
      <c r="E990" s="6" t="s">
        <v>780</v>
      </c>
      <c r="F990" s="6" t="s">
        <v>18</v>
      </c>
      <c r="G990" s="7">
        <v>0.1</v>
      </c>
      <c r="H990" s="7" t="s">
        <v>2247</v>
      </c>
      <c r="I990" s="6" t="s">
        <v>20</v>
      </c>
      <c r="J990" s="6">
        <v>2017.0</v>
      </c>
      <c r="K990" s="6" t="s">
        <v>89</v>
      </c>
      <c r="L990" s="6">
        <v>1.0</v>
      </c>
      <c r="M990" s="8">
        <f t="shared" si="3"/>
        <v>0.1</v>
      </c>
      <c r="P990" s="9"/>
    </row>
    <row r="991">
      <c r="A991" s="6" t="s">
        <v>2602</v>
      </c>
      <c r="B991" s="6" t="s">
        <v>1833</v>
      </c>
      <c r="C991" s="6" t="s">
        <v>1667</v>
      </c>
      <c r="D991" s="6" t="s">
        <v>2603</v>
      </c>
      <c r="E991" s="6" t="s">
        <v>780</v>
      </c>
      <c r="F991" s="6" t="s">
        <v>18</v>
      </c>
      <c r="G991" s="7">
        <v>0.23</v>
      </c>
      <c r="H991" s="7" t="s">
        <v>1984</v>
      </c>
      <c r="I991" s="6" t="s">
        <v>31</v>
      </c>
      <c r="J991" s="6">
        <v>2015.0</v>
      </c>
      <c r="K991" s="10">
        <v>46023.0</v>
      </c>
      <c r="L991" s="6">
        <v>1.0</v>
      </c>
      <c r="M991" s="8">
        <f t="shared" si="3"/>
        <v>0.23</v>
      </c>
      <c r="P991" s="9"/>
    </row>
    <row r="992">
      <c r="A992" s="6" t="s">
        <v>2604</v>
      </c>
      <c r="B992" s="6" t="s">
        <v>2605</v>
      </c>
      <c r="C992" s="6" t="s">
        <v>295</v>
      </c>
      <c r="D992" s="6" t="s">
        <v>2606</v>
      </c>
      <c r="E992" s="6" t="s">
        <v>2295</v>
      </c>
      <c r="F992" s="6" t="s">
        <v>18</v>
      </c>
      <c r="G992" s="7">
        <v>0.04</v>
      </c>
      <c r="H992" s="6" t="s">
        <v>2186</v>
      </c>
      <c r="I992" s="6" t="s">
        <v>20</v>
      </c>
      <c r="J992" s="6">
        <v>2022.0</v>
      </c>
      <c r="K992" s="10">
        <v>46083.0</v>
      </c>
      <c r="L992" s="6">
        <v>3.0</v>
      </c>
      <c r="M992" s="8">
        <f t="shared" si="3"/>
        <v>0.12</v>
      </c>
      <c r="P992" s="9"/>
    </row>
    <row r="993">
      <c r="A993" s="6" t="s">
        <v>2607</v>
      </c>
      <c r="B993" s="6" t="s">
        <v>2491</v>
      </c>
      <c r="C993" s="6" t="s">
        <v>1897</v>
      </c>
      <c r="D993" s="6" t="s">
        <v>2608</v>
      </c>
      <c r="E993" s="6" t="s">
        <v>2609</v>
      </c>
      <c r="F993" s="6" t="s">
        <v>18</v>
      </c>
      <c r="G993" s="7">
        <v>0.14</v>
      </c>
      <c r="H993" s="6" t="s">
        <v>2006</v>
      </c>
      <c r="I993" s="6" t="s">
        <v>20</v>
      </c>
      <c r="J993" s="6">
        <v>2013.0</v>
      </c>
      <c r="K993" s="10">
        <v>46274.0</v>
      </c>
      <c r="L993" s="6">
        <v>1.0</v>
      </c>
      <c r="M993" s="8">
        <f t="shared" si="3"/>
        <v>0.14</v>
      </c>
      <c r="P993" s="9"/>
    </row>
    <row r="994">
      <c r="A994" s="6" t="s">
        <v>2610</v>
      </c>
      <c r="B994" s="6" t="s">
        <v>2611</v>
      </c>
      <c r="C994" s="6" t="s">
        <v>1667</v>
      </c>
      <c r="D994" s="6" t="s">
        <v>2612</v>
      </c>
      <c r="E994" s="6" t="s">
        <v>1954</v>
      </c>
      <c r="F994" s="6" t="s">
        <v>18</v>
      </c>
      <c r="G994" s="7">
        <v>0.12</v>
      </c>
      <c r="H994" s="7" t="s">
        <v>2613</v>
      </c>
      <c r="I994" s="6" t="s">
        <v>20</v>
      </c>
      <c r="J994" s="6">
        <v>2026.0</v>
      </c>
      <c r="K994" s="10">
        <v>46025.0</v>
      </c>
      <c r="L994" s="6">
        <v>4.0</v>
      </c>
      <c r="M994" s="8">
        <f t="shared" si="3"/>
        <v>0.48</v>
      </c>
      <c r="P994" s="9"/>
    </row>
    <row r="995">
      <c r="A995" s="6" t="s">
        <v>2614</v>
      </c>
      <c r="B995" s="6" t="s">
        <v>2615</v>
      </c>
      <c r="C995" s="6" t="s">
        <v>1897</v>
      </c>
      <c r="D995" s="6" t="s">
        <v>2616</v>
      </c>
      <c r="E995" s="6" t="s">
        <v>2292</v>
      </c>
      <c r="F995" s="6" t="s">
        <v>18</v>
      </c>
      <c r="G995" s="7">
        <v>0.38</v>
      </c>
      <c r="H995" s="7" t="s">
        <v>164</v>
      </c>
      <c r="I995" s="6" t="s">
        <v>20</v>
      </c>
      <c r="J995" s="6">
        <v>2014.0</v>
      </c>
      <c r="K995" s="6" t="s">
        <v>1256</v>
      </c>
      <c r="L995" s="6">
        <v>1.0</v>
      </c>
      <c r="M995" s="8">
        <f t="shared" si="3"/>
        <v>0.38</v>
      </c>
      <c r="P995" s="9"/>
    </row>
    <row r="996">
      <c r="A996" s="6" t="s">
        <v>2617</v>
      </c>
      <c r="B996" s="6" t="s">
        <v>2301</v>
      </c>
      <c r="C996" s="6" t="s">
        <v>295</v>
      </c>
      <c r="D996" s="6" t="s">
        <v>2618</v>
      </c>
      <c r="E996" s="6" t="s">
        <v>1954</v>
      </c>
      <c r="F996" s="6" t="s">
        <v>18</v>
      </c>
      <c r="G996" s="7">
        <v>0.14</v>
      </c>
      <c r="H996" s="7" t="s">
        <v>2619</v>
      </c>
      <c r="I996" s="6" t="s">
        <v>20</v>
      </c>
      <c r="J996" s="6">
        <v>2019.0</v>
      </c>
      <c r="K996" s="10">
        <v>46023.0</v>
      </c>
      <c r="L996" s="6">
        <v>1.0</v>
      </c>
      <c r="M996" s="8">
        <f t="shared" si="3"/>
        <v>0.14</v>
      </c>
      <c r="P996" s="9"/>
    </row>
    <row r="997">
      <c r="A997" s="6" t="s">
        <v>2620</v>
      </c>
      <c r="B997" s="6" t="s">
        <v>2621</v>
      </c>
      <c r="C997" s="6" t="s">
        <v>295</v>
      </c>
      <c r="D997" s="6" t="s">
        <v>2622</v>
      </c>
      <c r="E997" s="6" t="s">
        <v>2299</v>
      </c>
      <c r="F997" s="6" t="s">
        <v>18</v>
      </c>
      <c r="G997" s="7">
        <v>0.06</v>
      </c>
      <c r="H997" s="7" t="s">
        <v>1711</v>
      </c>
      <c r="I997" s="6" t="s">
        <v>20</v>
      </c>
      <c r="J997" s="6">
        <v>2022.0</v>
      </c>
      <c r="K997" s="10">
        <v>46085.0</v>
      </c>
      <c r="L997" s="6">
        <v>1.0</v>
      </c>
      <c r="M997" s="8">
        <f t="shared" si="3"/>
        <v>0.06</v>
      </c>
      <c r="P997" s="9"/>
    </row>
    <row r="998">
      <c r="A998" s="6" t="s">
        <v>2623</v>
      </c>
      <c r="B998" s="6" t="s">
        <v>2301</v>
      </c>
      <c r="C998" s="6" t="s">
        <v>295</v>
      </c>
      <c r="D998" s="6" t="s">
        <v>2624</v>
      </c>
      <c r="E998" s="6" t="s">
        <v>2295</v>
      </c>
      <c r="F998" s="6" t="s">
        <v>18</v>
      </c>
      <c r="G998" s="7">
        <v>0.34</v>
      </c>
      <c r="H998" s="7" t="s">
        <v>2552</v>
      </c>
      <c r="I998" s="6" t="s">
        <v>31</v>
      </c>
      <c r="J998" s="6">
        <v>2018.0</v>
      </c>
      <c r="K998" s="10">
        <v>46023.0</v>
      </c>
      <c r="L998" s="6">
        <v>4.0</v>
      </c>
      <c r="M998" s="8">
        <f t="shared" si="3"/>
        <v>1.36</v>
      </c>
      <c r="P998" s="9"/>
    </row>
    <row r="999">
      <c r="A999" s="6" t="s">
        <v>2625</v>
      </c>
      <c r="B999" s="6" t="s">
        <v>2626</v>
      </c>
      <c r="C999" s="6" t="s">
        <v>1667</v>
      </c>
      <c r="D999" s="6" t="s">
        <v>2627</v>
      </c>
      <c r="E999" s="6" t="s">
        <v>2299</v>
      </c>
      <c r="F999" s="6" t="s">
        <v>18</v>
      </c>
      <c r="G999" s="7">
        <v>0.1</v>
      </c>
      <c r="H999" s="7" t="s">
        <v>1631</v>
      </c>
      <c r="I999" s="6" t="s">
        <v>20</v>
      </c>
      <c r="J999" s="6">
        <v>2024.0</v>
      </c>
      <c r="K999" s="10">
        <v>46116.0</v>
      </c>
      <c r="L999" s="6">
        <v>1.0</v>
      </c>
      <c r="M999" s="8">
        <f t="shared" si="3"/>
        <v>0.1</v>
      </c>
      <c r="P999" s="9"/>
    </row>
    <row r="1000">
      <c r="A1000" s="6" t="s">
        <v>2628</v>
      </c>
      <c r="B1000" s="6" t="s">
        <v>2629</v>
      </c>
      <c r="C1000" s="6" t="s">
        <v>1628</v>
      </c>
      <c r="D1000" s="6" t="s">
        <v>2630</v>
      </c>
      <c r="E1000" s="6" t="s">
        <v>2299</v>
      </c>
      <c r="F1000" s="6" t="s">
        <v>18</v>
      </c>
      <c r="G1000" s="7">
        <v>0.74</v>
      </c>
      <c r="H1000" s="7" t="s">
        <v>2631</v>
      </c>
      <c r="I1000" s="6" t="s">
        <v>20</v>
      </c>
      <c r="J1000" s="6">
        <v>2006.0</v>
      </c>
      <c r="K1000" s="10">
        <v>46055.0</v>
      </c>
      <c r="L1000" s="6">
        <v>1.0</v>
      </c>
      <c r="M1000" s="8">
        <f t="shared" si="3"/>
        <v>0.74</v>
      </c>
      <c r="P1000" s="9"/>
    </row>
    <row r="1001">
      <c r="A1001" s="6" t="s">
        <v>2632</v>
      </c>
      <c r="B1001" s="6" t="s">
        <v>2633</v>
      </c>
      <c r="C1001" s="6" t="s">
        <v>1628</v>
      </c>
      <c r="D1001" s="6" t="s">
        <v>2634</v>
      </c>
      <c r="E1001" s="6" t="s">
        <v>1954</v>
      </c>
      <c r="F1001" s="6" t="s">
        <v>18</v>
      </c>
      <c r="G1001" s="7">
        <v>0.03</v>
      </c>
      <c r="H1001" s="7" t="s">
        <v>2574</v>
      </c>
      <c r="I1001" s="6" t="s">
        <v>20</v>
      </c>
      <c r="J1001" s="6">
        <v>2004.0</v>
      </c>
      <c r="K1001" s="10">
        <v>46024.0</v>
      </c>
      <c r="L1001" s="6">
        <v>1.0</v>
      </c>
      <c r="M1001" s="8">
        <f t="shared" si="3"/>
        <v>0.03</v>
      </c>
      <c r="P1001" s="9"/>
    </row>
    <row r="1002">
      <c r="A1002" s="6" t="s">
        <v>2635</v>
      </c>
      <c r="B1002" s="6" t="s">
        <v>2566</v>
      </c>
      <c r="C1002" s="6" t="s">
        <v>1897</v>
      </c>
      <c r="D1002" s="6" t="s">
        <v>2636</v>
      </c>
      <c r="E1002" s="6" t="s">
        <v>780</v>
      </c>
      <c r="F1002" s="6" t="s">
        <v>18</v>
      </c>
      <c r="G1002" s="7">
        <v>0.43</v>
      </c>
      <c r="H1002" s="7" t="s">
        <v>2172</v>
      </c>
      <c r="I1002" s="6" t="s">
        <v>20</v>
      </c>
      <c r="J1002" s="6">
        <v>2021.0</v>
      </c>
      <c r="K1002" s="10">
        <v>46024.0</v>
      </c>
      <c r="L1002" s="6">
        <v>1.0</v>
      </c>
      <c r="M1002" s="8">
        <f t="shared" si="3"/>
        <v>0.43</v>
      </c>
      <c r="P1002" s="9"/>
    </row>
    <row r="1003">
      <c r="A1003" s="6" t="s">
        <v>2637</v>
      </c>
      <c r="B1003" s="6" t="s">
        <v>2469</v>
      </c>
      <c r="C1003" s="6" t="s">
        <v>295</v>
      </c>
      <c r="D1003" s="6" t="s">
        <v>2638</v>
      </c>
      <c r="E1003" s="6" t="s">
        <v>2295</v>
      </c>
      <c r="F1003" s="6" t="s">
        <v>18</v>
      </c>
      <c r="G1003" s="7">
        <v>0.08</v>
      </c>
      <c r="H1003" s="7" t="s">
        <v>1990</v>
      </c>
      <c r="I1003" s="6" t="s">
        <v>20</v>
      </c>
      <c r="J1003" s="6">
        <v>2011.0</v>
      </c>
      <c r="K1003" s="10">
        <v>46083.0</v>
      </c>
      <c r="L1003" s="6">
        <v>1.0</v>
      </c>
      <c r="M1003" s="8">
        <f t="shared" si="3"/>
        <v>0.08</v>
      </c>
      <c r="P1003" s="9"/>
    </row>
    <row r="1004">
      <c r="A1004" s="6" t="s">
        <v>2639</v>
      </c>
      <c r="B1004" s="6" t="s">
        <v>2640</v>
      </c>
      <c r="C1004" s="6" t="s">
        <v>1667</v>
      </c>
      <c r="D1004" s="6" t="s">
        <v>1884</v>
      </c>
      <c r="E1004" s="6" t="s">
        <v>2556</v>
      </c>
      <c r="F1004" s="6" t="s">
        <v>18</v>
      </c>
      <c r="G1004" s="7">
        <v>0.05</v>
      </c>
      <c r="H1004" s="7" t="s">
        <v>2641</v>
      </c>
      <c r="I1004" s="6" t="s">
        <v>20</v>
      </c>
      <c r="J1004" s="6">
        <v>2013.0</v>
      </c>
      <c r="K1004" s="10">
        <v>46116.0</v>
      </c>
      <c r="L1004" s="6">
        <v>1.0</v>
      </c>
      <c r="M1004" s="8">
        <f t="shared" si="3"/>
        <v>0.05</v>
      </c>
      <c r="P1004" s="9"/>
    </row>
    <row r="1005">
      <c r="A1005" s="6" t="s">
        <v>2642</v>
      </c>
      <c r="B1005" s="6" t="s">
        <v>2643</v>
      </c>
      <c r="C1005" s="6" t="s">
        <v>295</v>
      </c>
      <c r="D1005" s="6" t="s">
        <v>2644</v>
      </c>
      <c r="E1005" s="6" t="s">
        <v>780</v>
      </c>
      <c r="F1005" s="6" t="s">
        <v>18</v>
      </c>
      <c r="G1005" s="7">
        <v>0.25</v>
      </c>
      <c r="H1005" s="7" t="s">
        <v>1641</v>
      </c>
      <c r="I1005" s="6" t="s">
        <v>20</v>
      </c>
      <c r="J1005" s="6">
        <v>2019.0</v>
      </c>
      <c r="K1005" s="6" t="s">
        <v>89</v>
      </c>
      <c r="L1005" s="6">
        <v>1.0</v>
      </c>
      <c r="M1005" s="8">
        <f t="shared" si="3"/>
        <v>0.25</v>
      </c>
      <c r="P1005" s="9"/>
    </row>
    <row r="1006">
      <c r="A1006" s="6" t="s">
        <v>2645</v>
      </c>
      <c r="B1006" s="6" t="s">
        <v>2491</v>
      </c>
      <c r="C1006" s="6" t="s">
        <v>295</v>
      </c>
      <c r="D1006" s="6" t="s">
        <v>2646</v>
      </c>
      <c r="E1006" s="6" t="s">
        <v>2299</v>
      </c>
      <c r="F1006" s="6" t="s">
        <v>18</v>
      </c>
      <c r="G1006" s="7">
        <v>0.06</v>
      </c>
      <c r="H1006" s="6" t="s">
        <v>1956</v>
      </c>
      <c r="I1006" s="6" t="s">
        <v>20</v>
      </c>
      <c r="J1006" s="6">
        <v>2021.0</v>
      </c>
      <c r="K1006" s="10">
        <v>46084.0</v>
      </c>
      <c r="L1006" s="6">
        <v>1.0</v>
      </c>
      <c r="M1006" s="8">
        <f t="shared" si="3"/>
        <v>0.06</v>
      </c>
      <c r="P1006" s="9"/>
    </row>
    <row r="1007">
      <c r="A1007" s="6" t="s">
        <v>2647</v>
      </c>
      <c r="B1007" s="6" t="s">
        <v>2648</v>
      </c>
      <c r="C1007" s="6" t="s">
        <v>1949</v>
      </c>
      <c r="D1007" s="6" t="s">
        <v>2649</v>
      </c>
      <c r="E1007" s="6" t="s">
        <v>2299</v>
      </c>
      <c r="F1007" s="6" t="s">
        <v>18</v>
      </c>
      <c r="G1007" s="7">
        <v>0.09</v>
      </c>
      <c r="H1007" s="6" t="s">
        <v>2650</v>
      </c>
      <c r="I1007" s="6" t="s">
        <v>20</v>
      </c>
      <c r="J1007" s="6">
        <v>2021.0</v>
      </c>
      <c r="K1007" s="6" t="s">
        <v>564</v>
      </c>
      <c r="L1007" s="6">
        <v>2.0</v>
      </c>
      <c r="M1007" s="8">
        <f t="shared" si="3"/>
        <v>0.18</v>
      </c>
      <c r="P1007" s="9"/>
    </row>
    <row r="1008">
      <c r="A1008" s="6" t="s">
        <v>2651</v>
      </c>
      <c r="B1008" s="6" t="s">
        <v>2652</v>
      </c>
      <c r="C1008" s="6" t="s">
        <v>2653</v>
      </c>
      <c r="D1008" s="6" t="s">
        <v>2654</v>
      </c>
      <c r="E1008" s="6" t="s">
        <v>2488</v>
      </c>
      <c r="F1008" s="6" t="s">
        <v>18</v>
      </c>
      <c r="G1008" s="7">
        <v>4.9</v>
      </c>
      <c r="H1008" s="6" t="s">
        <v>2186</v>
      </c>
      <c r="I1008" s="6" t="s">
        <v>20</v>
      </c>
      <c r="J1008" s="6">
        <v>2022.0</v>
      </c>
      <c r="K1008" s="10">
        <v>46116.0</v>
      </c>
      <c r="L1008" s="6">
        <v>1.0</v>
      </c>
      <c r="M1008" s="8">
        <f t="shared" si="3"/>
        <v>4.9</v>
      </c>
      <c r="P1008" s="9"/>
    </row>
    <row r="1009">
      <c r="A1009" s="6" t="s">
        <v>2655</v>
      </c>
      <c r="B1009" s="6" t="s">
        <v>2656</v>
      </c>
      <c r="C1009" s="6" t="s">
        <v>295</v>
      </c>
      <c r="D1009" s="6" t="s">
        <v>2657</v>
      </c>
      <c r="E1009" s="6" t="s">
        <v>2295</v>
      </c>
      <c r="F1009" s="6" t="s">
        <v>18</v>
      </c>
      <c r="G1009" s="7">
        <v>0.06</v>
      </c>
      <c r="H1009" s="6" t="s">
        <v>2619</v>
      </c>
      <c r="I1009" s="6" t="s">
        <v>20</v>
      </c>
      <c r="J1009" s="6">
        <v>2019.0</v>
      </c>
      <c r="K1009" s="10">
        <v>46083.0</v>
      </c>
      <c r="L1009" s="6">
        <v>4.0</v>
      </c>
      <c r="M1009" s="8">
        <f t="shared" si="3"/>
        <v>0.24</v>
      </c>
      <c r="P1009" s="9"/>
    </row>
    <row r="1010">
      <c r="A1010" s="6" t="s">
        <v>2658</v>
      </c>
      <c r="B1010" s="6" t="s">
        <v>2659</v>
      </c>
      <c r="C1010" s="6" t="s">
        <v>295</v>
      </c>
      <c r="D1010" s="6" t="s">
        <v>2660</v>
      </c>
      <c r="E1010" s="6" t="s">
        <v>1954</v>
      </c>
      <c r="F1010" s="6" t="s">
        <v>18</v>
      </c>
      <c r="G1010" s="7">
        <v>0.06</v>
      </c>
      <c r="H1010" s="6" t="s">
        <v>2238</v>
      </c>
      <c r="I1010" s="6" t="s">
        <v>20</v>
      </c>
      <c r="J1010" s="6">
        <v>2024.0</v>
      </c>
      <c r="K1010" s="10">
        <v>46023.0</v>
      </c>
      <c r="L1010" s="6">
        <v>1.0</v>
      </c>
      <c r="M1010" s="8">
        <f t="shared" si="3"/>
        <v>0.06</v>
      </c>
      <c r="P1010" s="9"/>
    </row>
    <row r="1011">
      <c r="A1011" s="6" t="s">
        <v>2661</v>
      </c>
      <c r="B1011" s="6" t="s">
        <v>2662</v>
      </c>
      <c r="C1011" s="6" t="s">
        <v>1949</v>
      </c>
      <c r="D1011" s="6" t="s">
        <v>2663</v>
      </c>
      <c r="E1011" s="6" t="s">
        <v>2664</v>
      </c>
      <c r="F1011" s="6" t="s">
        <v>18</v>
      </c>
      <c r="G1011" s="7">
        <v>0.59</v>
      </c>
      <c r="H1011" s="6" t="s">
        <v>1708</v>
      </c>
      <c r="I1011" s="6" t="s">
        <v>20</v>
      </c>
      <c r="J1011" s="6">
        <v>2019.0</v>
      </c>
      <c r="K1011" s="6" t="s">
        <v>345</v>
      </c>
      <c r="L1011" s="6">
        <v>1.0</v>
      </c>
      <c r="M1011" s="8">
        <f t="shared" si="3"/>
        <v>0.59</v>
      </c>
      <c r="P1011" s="9"/>
    </row>
    <row r="1012">
      <c r="A1012" s="6" t="s">
        <v>2665</v>
      </c>
      <c r="B1012" s="6" t="s">
        <v>2666</v>
      </c>
      <c r="C1012" s="6" t="s">
        <v>295</v>
      </c>
      <c r="D1012" s="6" t="s">
        <v>2667</v>
      </c>
      <c r="E1012" s="6" t="s">
        <v>780</v>
      </c>
      <c r="F1012" s="6" t="s">
        <v>18</v>
      </c>
      <c r="G1012" s="7">
        <v>1.47</v>
      </c>
      <c r="H1012" s="6" t="s">
        <v>2574</v>
      </c>
      <c r="I1012" s="6" t="s">
        <v>20</v>
      </c>
      <c r="J1012" s="6">
        <v>2004.0</v>
      </c>
      <c r="K1012" s="10">
        <v>46023.0</v>
      </c>
      <c r="L1012" s="6">
        <v>1.0</v>
      </c>
      <c r="M1012" s="8">
        <f t="shared" si="3"/>
        <v>1.47</v>
      </c>
      <c r="P1012" s="9"/>
    </row>
    <row r="1013">
      <c r="A1013" s="6" t="s">
        <v>2668</v>
      </c>
      <c r="B1013" s="6" t="s">
        <v>2669</v>
      </c>
      <c r="C1013" s="6" t="s">
        <v>2653</v>
      </c>
      <c r="D1013" s="6" t="s">
        <v>2670</v>
      </c>
      <c r="E1013" s="6" t="s">
        <v>2295</v>
      </c>
      <c r="F1013" s="6" t="s">
        <v>18</v>
      </c>
      <c r="G1013" s="7">
        <v>0.43</v>
      </c>
      <c r="H1013" s="6" t="s">
        <v>1676</v>
      </c>
      <c r="I1013" s="6" t="s">
        <v>20</v>
      </c>
      <c r="J1013" s="6">
        <v>2008.0</v>
      </c>
      <c r="K1013" s="10">
        <v>46055.0</v>
      </c>
      <c r="L1013" s="6">
        <v>1.0</v>
      </c>
      <c r="M1013" s="8">
        <f t="shared" si="3"/>
        <v>0.43</v>
      </c>
      <c r="P1013" s="9"/>
    </row>
    <row r="1014">
      <c r="A1014" s="6" t="s">
        <v>2671</v>
      </c>
      <c r="B1014" s="6" t="s">
        <v>2672</v>
      </c>
      <c r="C1014" s="6" t="s">
        <v>295</v>
      </c>
      <c r="D1014" s="6" t="s">
        <v>2673</v>
      </c>
      <c r="E1014" s="6" t="s">
        <v>1954</v>
      </c>
      <c r="F1014" s="6" t="s">
        <v>18</v>
      </c>
      <c r="G1014" s="7">
        <v>0.03</v>
      </c>
      <c r="H1014" s="6" t="s">
        <v>2557</v>
      </c>
      <c r="I1014" s="6" t="s">
        <v>20</v>
      </c>
      <c r="J1014" s="6">
        <v>2017.0</v>
      </c>
      <c r="K1014" s="10">
        <v>46055.0</v>
      </c>
      <c r="L1014" s="6">
        <v>1.0</v>
      </c>
      <c r="M1014" s="8">
        <f t="shared" si="3"/>
        <v>0.03</v>
      </c>
      <c r="P1014" s="9"/>
    </row>
    <row r="1015">
      <c r="A1015" s="6" t="s">
        <v>2674</v>
      </c>
      <c r="B1015" s="6" t="s">
        <v>2669</v>
      </c>
      <c r="C1015" s="6" t="s">
        <v>295</v>
      </c>
      <c r="D1015" s="6" t="s">
        <v>2675</v>
      </c>
      <c r="E1015" s="6" t="s">
        <v>1954</v>
      </c>
      <c r="F1015" s="6" t="s">
        <v>18</v>
      </c>
      <c r="G1015" s="7">
        <v>1.95</v>
      </c>
      <c r="H1015" s="6" t="s">
        <v>1979</v>
      </c>
      <c r="I1015" s="6" t="s">
        <v>31</v>
      </c>
      <c r="J1015" s="6">
        <v>2022.0</v>
      </c>
      <c r="K1015" s="10">
        <v>46023.0</v>
      </c>
      <c r="L1015" s="6">
        <v>2.0</v>
      </c>
      <c r="M1015" s="8">
        <f t="shared" si="3"/>
        <v>3.9</v>
      </c>
      <c r="P1015" s="9"/>
    </row>
    <row r="1016">
      <c r="A1016" s="6" t="s">
        <v>2674</v>
      </c>
      <c r="B1016" s="6" t="s">
        <v>2669</v>
      </c>
      <c r="C1016" s="6" t="s">
        <v>295</v>
      </c>
      <c r="D1016" s="6" t="s">
        <v>2675</v>
      </c>
      <c r="E1016" s="6" t="s">
        <v>1954</v>
      </c>
      <c r="F1016" s="6" t="s">
        <v>18</v>
      </c>
      <c r="G1016" s="7">
        <v>0.2</v>
      </c>
      <c r="H1016" s="6" t="s">
        <v>1979</v>
      </c>
      <c r="I1016" s="6" t="s">
        <v>20</v>
      </c>
      <c r="J1016" s="6">
        <v>2022.0</v>
      </c>
      <c r="K1016" s="10">
        <v>46023.0</v>
      </c>
      <c r="L1016" s="6">
        <v>1.0</v>
      </c>
      <c r="M1016" s="8">
        <f t="shared" si="3"/>
        <v>0.2</v>
      </c>
      <c r="P1016" s="9"/>
    </row>
    <row r="1017">
      <c r="A1017" s="6" t="s">
        <v>2676</v>
      </c>
      <c r="B1017" s="6" t="s">
        <v>378</v>
      </c>
      <c r="C1017" s="6" t="s">
        <v>295</v>
      </c>
      <c r="D1017" s="6" t="s">
        <v>2677</v>
      </c>
      <c r="E1017" s="6" t="s">
        <v>1954</v>
      </c>
      <c r="F1017" s="6" t="s">
        <v>18</v>
      </c>
      <c r="G1017" s="7">
        <v>0.08</v>
      </c>
      <c r="H1017" s="6" t="s">
        <v>2172</v>
      </c>
      <c r="I1017" s="6" t="s">
        <v>20</v>
      </c>
      <c r="J1017" s="6">
        <v>2021.0</v>
      </c>
      <c r="L1017" s="6">
        <v>3.0</v>
      </c>
      <c r="M1017" s="8">
        <f t="shared" si="3"/>
        <v>0.24</v>
      </c>
      <c r="P1017" s="9"/>
    </row>
    <row r="1018">
      <c r="A1018" s="6" t="s">
        <v>2678</v>
      </c>
      <c r="B1018" s="6" t="s">
        <v>378</v>
      </c>
      <c r="C1018" s="6" t="s">
        <v>295</v>
      </c>
      <c r="D1018" s="6" t="s">
        <v>2679</v>
      </c>
      <c r="E1018" s="6" t="s">
        <v>1954</v>
      </c>
      <c r="F1018" s="6" t="s">
        <v>18</v>
      </c>
      <c r="G1018" s="7">
        <v>0.03</v>
      </c>
      <c r="H1018" s="6" t="s">
        <v>2467</v>
      </c>
      <c r="I1018" s="6" t="s">
        <v>20</v>
      </c>
      <c r="J1018" s="6">
        <v>2017.0</v>
      </c>
      <c r="L1018" s="6">
        <v>4.0</v>
      </c>
      <c r="M1018" s="8">
        <f t="shared" si="3"/>
        <v>0.12</v>
      </c>
      <c r="P1018" s="9"/>
    </row>
    <row r="1019">
      <c r="A1019" s="6" t="s">
        <v>2680</v>
      </c>
      <c r="B1019" s="6" t="s">
        <v>378</v>
      </c>
      <c r="C1019" s="6" t="s">
        <v>295</v>
      </c>
      <c r="D1019" s="6" t="s">
        <v>2681</v>
      </c>
      <c r="E1019" s="6" t="s">
        <v>2295</v>
      </c>
      <c r="F1019" s="6" t="s">
        <v>18</v>
      </c>
      <c r="G1019" s="7">
        <v>0.03</v>
      </c>
      <c r="H1019" s="6" t="s">
        <v>1987</v>
      </c>
      <c r="I1019" s="6" t="s">
        <v>20</v>
      </c>
      <c r="J1019" s="6">
        <v>2019.0</v>
      </c>
      <c r="L1019" s="6">
        <v>5.0</v>
      </c>
      <c r="M1019" s="8">
        <f t="shared" si="3"/>
        <v>0.15</v>
      </c>
      <c r="P1019" s="9"/>
    </row>
    <row r="1020">
      <c r="A1020" s="6" t="s">
        <v>2682</v>
      </c>
      <c r="B1020" s="6" t="s">
        <v>294</v>
      </c>
      <c r="C1020" s="6" t="s">
        <v>295</v>
      </c>
      <c r="D1020" s="6" t="s">
        <v>2683</v>
      </c>
      <c r="F1020" s="6" t="s">
        <v>80</v>
      </c>
      <c r="G1020" s="7">
        <v>0.61</v>
      </c>
      <c r="H1020" s="6" t="s">
        <v>2186</v>
      </c>
      <c r="I1020" s="6" t="s">
        <v>20</v>
      </c>
      <c r="J1020" s="6">
        <v>2022.0</v>
      </c>
      <c r="L1020" s="6">
        <v>2.0</v>
      </c>
      <c r="M1020" s="8">
        <f t="shared" si="3"/>
        <v>1.22</v>
      </c>
      <c r="P1020" s="9"/>
    </row>
    <row r="1021">
      <c r="A1021" s="6" t="s">
        <v>2684</v>
      </c>
      <c r="B1021" s="6" t="s">
        <v>1944</v>
      </c>
      <c r="C1021" s="6" t="s">
        <v>295</v>
      </c>
      <c r="D1021" s="6" t="s">
        <v>2685</v>
      </c>
      <c r="E1021" s="6" t="s">
        <v>2295</v>
      </c>
      <c r="F1021" s="6" t="s">
        <v>18</v>
      </c>
      <c r="G1021" s="7">
        <v>0.06</v>
      </c>
      <c r="H1021" s="6" t="s">
        <v>1714</v>
      </c>
      <c r="I1021" s="6" t="s">
        <v>20</v>
      </c>
      <c r="J1021" s="6">
        <v>2020.0</v>
      </c>
      <c r="L1021" s="6">
        <v>4.0</v>
      </c>
      <c r="M1021" s="8">
        <f t="shared" si="3"/>
        <v>0.24</v>
      </c>
      <c r="P1021" s="9"/>
    </row>
    <row r="1022">
      <c r="A1022" s="6" t="s">
        <v>2686</v>
      </c>
      <c r="B1022" s="6" t="s">
        <v>2014</v>
      </c>
      <c r="C1022" s="6" t="s">
        <v>295</v>
      </c>
      <c r="D1022" s="6" t="s">
        <v>2687</v>
      </c>
      <c r="E1022" s="6" t="s">
        <v>780</v>
      </c>
      <c r="F1022" s="6" t="s">
        <v>18</v>
      </c>
      <c r="G1022" s="7">
        <v>0.6</v>
      </c>
      <c r="H1022" s="6" t="s">
        <v>2688</v>
      </c>
      <c r="I1022" s="6" t="s">
        <v>20</v>
      </c>
      <c r="J1022" s="6">
        <v>2010.0</v>
      </c>
      <c r="L1022" s="6">
        <v>2.0</v>
      </c>
      <c r="M1022" s="8">
        <f t="shared" si="3"/>
        <v>1.2</v>
      </c>
      <c r="P1022" s="9"/>
    </row>
    <row r="1023">
      <c r="A1023" s="6" t="s">
        <v>2689</v>
      </c>
      <c r="B1023" s="6" t="s">
        <v>2014</v>
      </c>
      <c r="C1023" s="6" t="s">
        <v>295</v>
      </c>
      <c r="D1023" s="6" t="s">
        <v>2690</v>
      </c>
      <c r="E1023" s="6" t="s">
        <v>2299</v>
      </c>
      <c r="F1023" s="6" t="s">
        <v>18</v>
      </c>
      <c r="G1023" s="7">
        <v>0.05</v>
      </c>
      <c r="H1023" s="6" t="s">
        <v>1708</v>
      </c>
      <c r="I1023" s="6" t="s">
        <v>20</v>
      </c>
      <c r="J1023" s="6">
        <v>2019.0</v>
      </c>
      <c r="L1023" s="6">
        <v>4.0</v>
      </c>
      <c r="M1023" s="8">
        <f t="shared" si="3"/>
        <v>0.2</v>
      </c>
      <c r="P1023" s="9"/>
    </row>
    <row r="1024">
      <c r="A1024" s="6" t="s">
        <v>2691</v>
      </c>
      <c r="B1024" s="6" t="s">
        <v>1944</v>
      </c>
      <c r="C1024" s="6" t="s">
        <v>2653</v>
      </c>
      <c r="D1024" s="6" t="s">
        <v>2692</v>
      </c>
      <c r="E1024" s="6" t="s">
        <v>2292</v>
      </c>
      <c r="F1024" s="6" t="s">
        <v>18</v>
      </c>
      <c r="G1024" s="7">
        <v>1.0</v>
      </c>
      <c r="H1024" s="6" t="s">
        <v>2172</v>
      </c>
      <c r="I1024" s="6" t="s">
        <v>20</v>
      </c>
      <c r="J1024" s="6">
        <v>2021.0</v>
      </c>
      <c r="L1024" s="6">
        <v>1.0</v>
      </c>
      <c r="M1024" s="8">
        <f t="shared" si="3"/>
        <v>1</v>
      </c>
      <c r="P1024" s="9"/>
    </row>
    <row r="1025">
      <c r="A1025" s="6" t="s">
        <v>2693</v>
      </c>
      <c r="B1025" s="6" t="s">
        <v>2014</v>
      </c>
      <c r="C1025" s="6" t="s">
        <v>295</v>
      </c>
      <c r="D1025" s="6" t="s">
        <v>2694</v>
      </c>
      <c r="E1025" s="6" t="s">
        <v>2695</v>
      </c>
      <c r="F1025" s="6" t="s">
        <v>2696</v>
      </c>
      <c r="G1025" s="7">
        <v>2.16</v>
      </c>
      <c r="H1025" s="6" t="s">
        <v>1676</v>
      </c>
      <c r="I1025" s="6" t="s">
        <v>20</v>
      </c>
      <c r="J1025" s="6">
        <v>2008.0</v>
      </c>
      <c r="L1025" s="6">
        <v>1.0</v>
      </c>
      <c r="M1025" s="8">
        <f t="shared" si="3"/>
        <v>2.16</v>
      </c>
      <c r="P1025" s="9"/>
    </row>
    <row r="1026">
      <c r="A1026" s="6" t="s">
        <v>2697</v>
      </c>
      <c r="B1026" s="6" t="s">
        <v>1944</v>
      </c>
      <c r="C1026" s="6" t="s">
        <v>1949</v>
      </c>
      <c r="D1026" s="6" t="s">
        <v>2698</v>
      </c>
      <c r="E1026" s="6" t="s">
        <v>2488</v>
      </c>
      <c r="F1026" s="6" t="s">
        <v>18</v>
      </c>
      <c r="G1026" s="7">
        <v>3.8</v>
      </c>
      <c r="H1026" s="6" t="s">
        <v>2699</v>
      </c>
      <c r="I1026" s="6" t="s">
        <v>20</v>
      </c>
      <c r="J1026" s="6">
        <v>2010.0</v>
      </c>
      <c r="L1026" s="6">
        <v>1.0</v>
      </c>
      <c r="M1026" s="8">
        <f t="shared" si="3"/>
        <v>3.8</v>
      </c>
      <c r="P1026" s="9"/>
    </row>
    <row r="1027">
      <c r="A1027" s="6" t="s">
        <v>2700</v>
      </c>
      <c r="B1027" s="6" t="s">
        <v>2424</v>
      </c>
      <c r="C1027" s="6" t="s">
        <v>1949</v>
      </c>
      <c r="D1027" s="6" t="s">
        <v>2701</v>
      </c>
      <c r="E1027" s="6" t="s">
        <v>1954</v>
      </c>
      <c r="F1027" s="6" t="s">
        <v>18</v>
      </c>
      <c r="G1027" s="7">
        <v>0.59</v>
      </c>
      <c r="H1027" s="6" t="s">
        <v>1664</v>
      </c>
      <c r="I1027" s="6" t="s">
        <v>20</v>
      </c>
      <c r="J1027" s="6">
        <v>2018.0</v>
      </c>
      <c r="L1027" s="6">
        <v>1.0</v>
      </c>
      <c r="M1027" s="8">
        <f t="shared" si="3"/>
        <v>0.59</v>
      </c>
      <c r="P1027" s="9"/>
    </row>
    <row r="1028">
      <c r="A1028" s="6" t="s">
        <v>2702</v>
      </c>
      <c r="B1028" s="6" t="s">
        <v>2058</v>
      </c>
      <c r="C1028" s="6" t="s">
        <v>295</v>
      </c>
      <c r="D1028" s="6" t="s">
        <v>2703</v>
      </c>
      <c r="E1028" s="6" t="s">
        <v>1954</v>
      </c>
      <c r="F1028" s="6" t="s">
        <v>18</v>
      </c>
      <c r="G1028" s="7">
        <v>0.07</v>
      </c>
      <c r="H1028" s="6" t="s">
        <v>2704</v>
      </c>
      <c r="I1028" s="6" t="s">
        <v>20</v>
      </c>
      <c r="J1028" s="6">
        <v>2026.0</v>
      </c>
      <c r="L1028" s="6">
        <v>3.0</v>
      </c>
      <c r="M1028" s="8">
        <f t="shared" si="3"/>
        <v>0.21</v>
      </c>
      <c r="P1028" s="9"/>
    </row>
    <row r="1029">
      <c r="A1029" s="6" t="s">
        <v>2705</v>
      </c>
      <c r="B1029" s="6" t="s">
        <v>2058</v>
      </c>
      <c r="C1029" s="6" t="s">
        <v>295</v>
      </c>
      <c r="D1029" s="6" t="s">
        <v>2706</v>
      </c>
      <c r="E1029" s="6" t="s">
        <v>1954</v>
      </c>
      <c r="F1029" s="6" t="s">
        <v>18</v>
      </c>
      <c r="G1029" s="7">
        <v>0.2</v>
      </c>
      <c r="H1029" s="6" t="s">
        <v>1638</v>
      </c>
      <c r="I1029" s="6" t="s">
        <v>20</v>
      </c>
      <c r="J1029" s="6">
        <v>2024.0</v>
      </c>
      <c r="L1029" s="6">
        <v>4.0</v>
      </c>
      <c r="M1029" s="8">
        <f t="shared" si="3"/>
        <v>0.8</v>
      </c>
      <c r="P1029" s="9"/>
    </row>
    <row r="1030">
      <c r="A1030" s="6" t="s">
        <v>2707</v>
      </c>
      <c r="B1030" s="6" t="s">
        <v>2058</v>
      </c>
      <c r="C1030" s="6" t="s">
        <v>295</v>
      </c>
      <c r="D1030" s="6" t="s">
        <v>2708</v>
      </c>
      <c r="E1030" s="6" t="s">
        <v>780</v>
      </c>
      <c r="F1030" s="6" t="s">
        <v>18</v>
      </c>
      <c r="G1030" s="7">
        <v>0.03</v>
      </c>
      <c r="H1030" s="6" t="s">
        <v>1704</v>
      </c>
      <c r="I1030" s="6" t="s">
        <v>20</v>
      </c>
      <c r="J1030" s="6">
        <v>2016.0</v>
      </c>
      <c r="L1030" s="6">
        <v>4.0</v>
      </c>
      <c r="M1030" s="8">
        <f t="shared" si="3"/>
        <v>0.12</v>
      </c>
      <c r="P1030" s="9"/>
    </row>
    <row r="1031">
      <c r="A1031" s="6" t="s">
        <v>2709</v>
      </c>
      <c r="B1031" s="6" t="s">
        <v>2058</v>
      </c>
      <c r="C1031" s="6" t="s">
        <v>1949</v>
      </c>
      <c r="D1031" s="6" t="s">
        <v>2710</v>
      </c>
      <c r="E1031" s="6" t="s">
        <v>1954</v>
      </c>
      <c r="F1031" s="6" t="s">
        <v>18</v>
      </c>
      <c r="G1031" s="7">
        <v>0.37</v>
      </c>
      <c r="H1031" s="6" t="s">
        <v>1984</v>
      </c>
      <c r="I1031" s="6" t="s">
        <v>20</v>
      </c>
      <c r="J1031" s="6">
        <v>2015.0</v>
      </c>
      <c r="L1031" s="6">
        <v>1.0</v>
      </c>
      <c r="M1031" s="8">
        <f t="shared" si="3"/>
        <v>0.37</v>
      </c>
      <c r="P1031" s="9"/>
    </row>
    <row r="1032">
      <c r="A1032" s="6" t="s">
        <v>2711</v>
      </c>
      <c r="B1032" s="6" t="s">
        <v>294</v>
      </c>
      <c r="C1032" s="6" t="s">
        <v>295</v>
      </c>
      <c r="D1032" s="6" t="s">
        <v>2712</v>
      </c>
      <c r="F1032" s="6" t="s">
        <v>80</v>
      </c>
      <c r="G1032" s="7">
        <v>1.09</v>
      </c>
      <c r="H1032" s="6" t="s">
        <v>2186</v>
      </c>
      <c r="I1032" s="6" t="s">
        <v>20</v>
      </c>
      <c r="J1032" s="6">
        <v>2022.0</v>
      </c>
      <c r="L1032" s="6">
        <v>2.0</v>
      </c>
      <c r="M1032" s="8">
        <f t="shared" si="3"/>
        <v>2.18</v>
      </c>
      <c r="P1032" s="9"/>
    </row>
    <row r="1033">
      <c r="A1033" s="6" t="s">
        <v>2713</v>
      </c>
      <c r="B1033" s="6" t="s">
        <v>378</v>
      </c>
      <c r="C1033" s="6" t="s">
        <v>295</v>
      </c>
      <c r="D1033" s="6" t="s">
        <v>2714</v>
      </c>
      <c r="E1033" s="6" t="s">
        <v>1954</v>
      </c>
      <c r="F1033" s="6" t="s">
        <v>18</v>
      </c>
      <c r="G1033" s="7">
        <v>1.81</v>
      </c>
      <c r="H1033" s="6" t="s">
        <v>1979</v>
      </c>
      <c r="I1033" s="6" t="s">
        <v>20</v>
      </c>
      <c r="J1033" s="6">
        <v>2022.0</v>
      </c>
      <c r="L1033" s="6">
        <v>1.0</v>
      </c>
      <c r="M1033" s="8">
        <f t="shared" si="3"/>
        <v>1.81</v>
      </c>
      <c r="P1033" s="9"/>
    </row>
    <row r="1034">
      <c r="A1034" s="6" t="s">
        <v>2715</v>
      </c>
      <c r="B1034" s="6" t="s">
        <v>2058</v>
      </c>
      <c r="C1034" s="6" t="s">
        <v>2653</v>
      </c>
      <c r="D1034" s="6" t="s">
        <v>2716</v>
      </c>
      <c r="E1034" s="6" t="s">
        <v>2292</v>
      </c>
      <c r="F1034" s="6" t="s">
        <v>18</v>
      </c>
      <c r="G1034" s="7">
        <v>0.5</v>
      </c>
      <c r="H1034" s="6" t="s">
        <v>2536</v>
      </c>
      <c r="I1034" s="6" t="s">
        <v>20</v>
      </c>
      <c r="J1034" s="6">
        <v>2010.0</v>
      </c>
      <c r="L1034" s="6">
        <v>1.0</v>
      </c>
      <c r="M1034" s="8">
        <f t="shared" si="3"/>
        <v>0.5</v>
      </c>
      <c r="P1034" s="9"/>
    </row>
    <row r="1035">
      <c r="A1035" s="6" t="s">
        <v>2717</v>
      </c>
      <c r="B1035" s="6" t="s">
        <v>294</v>
      </c>
      <c r="C1035" s="6" t="s">
        <v>295</v>
      </c>
      <c r="D1035" s="6" t="s">
        <v>2718</v>
      </c>
      <c r="F1035" s="6" t="s">
        <v>80</v>
      </c>
      <c r="G1035" s="7">
        <v>0.49</v>
      </c>
      <c r="H1035" s="6" t="s">
        <v>1984</v>
      </c>
      <c r="I1035" s="6" t="s">
        <v>20</v>
      </c>
      <c r="J1035" s="6">
        <v>2015.0</v>
      </c>
      <c r="L1035" s="6">
        <v>1.0</v>
      </c>
      <c r="M1035" s="8">
        <f t="shared" si="3"/>
        <v>0.49</v>
      </c>
      <c r="P1035" s="9"/>
    </row>
    <row r="1036">
      <c r="A1036" s="6" t="s">
        <v>2719</v>
      </c>
      <c r="B1036" s="6" t="s">
        <v>294</v>
      </c>
      <c r="C1036" s="6" t="s">
        <v>1949</v>
      </c>
      <c r="D1036" s="6" t="s">
        <v>2720</v>
      </c>
      <c r="F1036" s="6" t="s">
        <v>80</v>
      </c>
      <c r="G1036" s="7">
        <v>1.15</v>
      </c>
      <c r="H1036" s="6" t="s">
        <v>2721</v>
      </c>
      <c r="I1036" s="6" t="s">
        <v>20</v>
      </c>
      <c r="J1036" s="6">
        <v>2022.0</v>
      </c>
      <c r="L1036" s="6">
        <v>2.0</v>
      </c>
      <c r="M1036" s="8">
        <f t="shared" si="3"/>
        <v>2.3</v>
      </c>
      <c r="P1036" s="9"/>
    </row>
    <row r="1037">
      <c r="A1037" s="6" t="s">
        <v>2722</v>
      </c>
      <c r="B1037" s="6" t="s">
        <v>294</v>
      </c>
      <c r="C1037" s="6" t="s">
        <v>295</v>
      </c>
      <c r="D1037" s="6" t="s">
        <v>2723</v>
      </c>
      <c r="F1037" s="6" t="s">
        <v>80</v>
      </c>
      <c r="G1037" s="7">
        <v>4.9</v>
      </c>
      <c r="H1037" s="6" t="s">
        <v>1956</v>
      </c>
      <c r="I1037" s="6" t="s">
        <v>31</v>
      </c>
      <c r="J1037" s="6">
        <v>2021.0</v>
      </c>
      <c r="L1037" s="6">
        <v>1.0</v>
      </c>
      <c r="M1037" s="8">
        <f t="shared" si="3"/>
        <v>4.9</v>
      </c>
      <c r="P1037" s="9"/>
    </row>
    <row r="1038">
      <c r="A1038" s="6" t="s">
        <v>2724</v>
      </c>
      <c r="B1038" s="6" t="s">
        <v>294</v>
      </c>
      <c r="C1038" s="6" t="s">
        <v>295</v>
      </c>
      <c r="D1038" s="6" t="s">
        <v>2725</v>
      </c>
      <c r="F1038" s="6" t="s">
        <v>80</v>
      </c>
      <c r="G1038" s="7">
        <v>0.12</v>
      </c>
      <c r="H1038" s="6" t="s">
        <v>1711</v>
      </c>
      <c r="I1038" s="6" t="s">
        <v>20</v>
      </c>
      <c r="J1038" s="6">
        <v>2022.0</v>
      </c>
      <c r="L1038" s="6">
        <v>3.0</v>
      </c>
      <c r="M1038" s="8">
        <f t="shared" si="3"/>
        <v>0.36</v>
      </c>
      <c r="P1038" s="9"/>
    </row>
    <row r="1039">
      <c r="A1039" s="6" t="s">
        <v>2726</v>
      </c>
      <c r="B1039" s="6" t="s">
        <v>294</v>
      </c>
      <c r="C1039" s="6" t="s">
        <v>1949</v>
      </c>
      <c r="D1039" s="6" t="s">
        <v>2727</v>
      </c>
      <c r="F1039" s="6" t="s">
        <v>80</v>
      </c>
      <c r="G1039" s="7">
        <v>0.3</v>
      </c>
      <c r="H1039" s="6" t="s">
        <v>2728</v>
      </c>
      <c r="I1039" s="6" t="s">
        <v>20</v>
      </c>
      <c r="J1039" s="6">
        <v>2011.0</v>
      </c>
      <c r="L1039" s="6">
        <v>4.0</v>
      </c>
      <c r="M1039" s="8">
        <f t="shared" si="3"/>
        <v>1.2</v>
      </c>
      <c r="P1039" s="9"/>
    </row>
    <row r="1040">
      <c r="A1040" s="6" t="s">
        <v>2729</v>
      </c>
      <c r="B1040" s="6" t="s">
        <v>294</v>
      </c>
      <c r="C1040" s="6" t="s">
        <v>1949</v>
      </c>
      <c r="D1040" s="6" t="s">
        <v>2730</v>
      </c>
      <c r="F1040" s="6" t="s">
        <v>80</v>
      </c>
      <c r="G1040" s="7">
        <v>0.25</v>
      </c>
      <c r="H1040" s="6" t="s">
        <v>2728</v>
      </c>
      <c r="I1040" s="6" t="s">
        <v>20</v>
      </c>
      <c r="J1040" s="6">
        <v>2011.0</v>
      </c>
      <c r="L1040" s="6">
        <v>4.0</v>
      </c>
      <c r="M1040" s="8">
        <f t="shared" si="3"/>
        <v>1</v>
      </c>
      <c r="P1040" s="9"/>
    </row>
    <row r="1041">
      <c r="A1041" s="6" t="s">
        <v>2722</v>
      </c>
      <c r="B1041" s="6" t="s">
        <v>294</v>
      </c>
      <c r="C1041" s="6" t="s">
        <v>295</v>
      </c>
      <c r="D1041" s="6" t="s">
        <v>2731</v>
      </c>
      <c r="F1041" s="6" t="s">
        <v>80</v>
      </c>
      <c r="G1041" s="7">
        <v>0.06</v>
      </c>
      <c r="H1041" s="6" t="s">
        <v>235</v>
      </c>
      <c r="I1041" s="6" t="s">
        <v>20</v>
      </c>
      <c r="J1041" s="6">
        <v>2019.0</v>
      </c>
      <c r="L1041" s="6">
        <v>4.0</v>
      </c>
      <c r="M1041" s="8">
        <f t="shared" si="3"/>
        <v>0.24</v>
      </c>
      <c r="P1041" s="9"/>
    </row>
    <row r="1042">
      <c r="A1042" s="6" t="s">
        <v>2732</v>
      </c>
      <c r="B1042" s="6" t="s">
        <v>294</v>
      </c>
      <c r="C1042" s="6" t="s">
        <v>295</v>
      </c>
      <c r="D1042" s="6" t="s">
        <v>2733</v>
      </c>
      <c r="F1042" s="6" t="s">
        <v>80</v>
      </c>
      <c r="G1042" s="7">
        <v>0.1</v>
      </c>
      <c r="H1042" s="6" t="s">
        <v>235</v>
      </c>
      <c r="I1042" s="6" t="s">
        <v>20</v>
      </c>
      <c r="J1042" s="6">
        <v>2019.0</v>
      </c>
      <c r="L1042" s="6">
        <v>2.0</v>
      </c>
      <c r="M1042" s="8">
        <f t="shared" si="3"/>
        <v>0.2</v>
      </c>
      <c r="P1042" s="9"/>
    </row>
    <row r="1043">
      <c r="A1043" s="6" t="s">
        <v>2732</v>
      </c>
      <c r="B1043" s="6" t="s">
        <v>294</v>
      </c>
      <c r="C1043" s="6" t="s">
        <v>295</v>
      </c>
      <c r="D1043" s="6" t="s">
        <v>2733</v>
      </c>
      <c r="F1043" s="6" t="s">
        <v>80</v>
      </c>
      <c r="G1043" s="7">
        <v>0.15</v>
      </c>
      <c r="H1043" s="6" t="s">
        <v>235</v>
      </c>
      <c r="I1043" s="6" t="s">
        <v>20</v>
      </c>
      <c r="J1043" s="6">
        <v>2019.0</v>
      </c>
      <c r="L1043" s="6">
        <v>2.0</v>
      </c>
      <c r="M1043" s="8">
        <f t="shared" si="3"/>
        <v>0.3</v>
      </c>
      <c r="P1043" s="9"/>
    </row>
    <row r="1044">
      <c r="A1044" s="6" t="s">
        <v>2734</v>
      </c>
      <c r="B1044" s="6" t="s">
        <v>294</v>
      </c>
      <c r="C1044" s="6" t="s">
        <v>295</v>
      </c>
      <c r="D1044" s="6" t="s">
        <v>2733</v>
      </c>
      <c r="F1044" s="6" t="s">
        <v>80</v>
      </c>
      <c r="G1044" s="7">
        <v>0.09</v>
      </c>
      <c r="H1044" s="6" t="s">
        <v>235</v>
      </c>
      <c r="I1044" s="6" t="s">
        <v>20</v>
      </c>
      <c r="J1044" s="6">
        <v>2019.0</v>
      </c>
      <c r="L1044" s="6">
        <v>3.0</v>
      </c>
      <c r="M1044" s="8">
        <f t="shared" si="3"/>
        <v>0.27</v>
      </c>
      <c r="P1044" s="9"/>
    </row>
    <row r="1045">
      <c r="A1045" s="6" t="s">
        <v>2735</v>
      </c>
      <c r="B1045" s="6" t="s">
        <v>2736</v>
      </c>
      <c r="C1045" s="6" t="s">
        <v>295</v>
      </c>
      <c r="D1045" s="6" t="s">
        <v>2737</v>
      </c>
      <c r="F1045" s="6" t="s">
        <v>80</v>
      </c>
      <c r="G1045" s="7">
        <v>0.1</v>
      </c>
      <c r="H1045" s="6" t="s">
        <v>1641</v>
      </c>
      <c r="I1045" s="6" t="s">
        <v>20</v>
      </c>
      <c r="J1045" s="6">
        <v>2019.0</v>
      </c>
      <c r="L1045" s="6">
        <v>3.0</v>
      </c>
      <c r="M1045" s="8">
        <f t="shared" si="3"/>
        <v>0.3</v>
      </c>
      <c r="P1045" s="9"/>
    </row>
    <row r="1046">
      <c r="A1046" s="6" t="s">
        <v>2722</v>
      </c>
      <c r="B1046" s="6" t="s">
        <v>294</v>
      </c>
      <c r="C1046" s="6" t="s">
        <v>295</v>
      </c>
      <c r="D1046" s="6" t="s">
        <v>2738</v>
      </c>
      <c r="F1046" s="6" t="s">
        <v>80</v>
      </c>
      <c r="G1046" s="7">
        <v>0.17</v>
      </c>
      <c r="H1046" s="6" t="s">
        <v>2739</v>
      </c>
      <c r="I1046" s="6" t="s">
        <v>20</v>
      </c>
      <c r="J1046" s="6">
        <v>2015.0</v>
      </c>
      <c r="L1046" s="6">
        <v>4.0</v>
      </c>
      <c r="M1046" s="8">
        <f t="shared" si="3"/>
        <v>0.68</v>
      </c>
      <c r="P1046" s="9"/>
    </row>
    <row r="1047">
      <c r="A1047" s="6" t="s">
        <v>2722</v>
      </c>
      <c r="B1047" s="6" t="s">
        <v>294</v>
      </c>
      <c r="C1047" s="6" t="s">
        <v>295</v>
      </c>
      <c r="D1047" s="6" t="s">
        <v>2740</v>
      </c>
      <c r="F1047" s="6" t="s">
        <v>80</v>
      </c>
      <c r="G1047" s="7">
        <v>0.48</v>
      </c>
      <c r="H1047" s="6" t="s">
        <v>2511</v>
      </c>
      <c r="I1047" s="6" t="s">
        <v>20</v>
      </c>
      <c r="J1047" s="6">
        <v>2018.0</v>
      </c>
      <c r="L1047" s="6">
        <v>4.0</v>
      </c>
      <c r="M1047" s="8">
        <f t="shared" si="3"/>
        <v>1.92</v>
      </c>
      <c r="P1047" s="9"/>
    </row>
    <row r="1048">
      <c r="A1048" s="6" t="s">
        <v>2741</v>
      </c>
      <c r="B1048" s="6" t="s">
        <v>294</v>
      </c>
      <c r="C1048" s="6" t="s">
        <v>1949</v>
      </c>
      <c r="D1048" s="6" t="s">
        <v>2742</v>
      </c>
      <c r="F1048" s="6" t="s">
        <v>80</v>
      </c>
      <c r="G1048" s="7">
        <v>0.5</v>
      </c>
      <c r="H1048" s="6" t="s">
        <v>2175</v>
      </c>
      <c r="I1048" s="6" t="s">
        <v>31</v>
      </c>
      <c r="J1048" s="6">
        <v>2018.0</v>
      </c>
      <c r="L1048" s="6">
        <v>1.0</v>
      </c>
      <c r="M1048" s="8">
        <f t="shared" si="3"/>
        <v>0.5</v>
      </c>
      <c r="P1048" s="9"/>
    </row>
    <row r="1049">
      <c r="A1049" s="6" t="s">
        <v>2743</v>
      </c>
      <c r="B1049" s="6" t="s">
        <v>2744</v>
      </c>
      <c r="C1049" s="6" t="s">
        <v>1897</v>
      </c>
      <c r="D1049" s="6" t="s">
        <v>2745</v>
      </c>
      <c r="E1049" s="6" t="s">
        <v>2292</v>
      </c>
      <c r="F1049" s="6" t="s">
        <v>18</v>
      </c>
      <c r="G1049" s="7">
        <v>1.99</v>
      </c>
      <c r="H1049" s="6" t="s">
        <v>2746</v>
      </c>
      <c r="I1049" s="6" t="s">
        <v>20</v>
      </c>
      <c r="J1049" s="6">
        <v>2009.0</v>
      </c>
      <c r="K1049" s="10">
        <v>46055.0</v>
      </c>
      <c r="L1049" s="6">
        <v>3.0</v>
      </c>
      <c r="M1049" s="8">
        <f t="shared" si="3"/>
        <v>5.97</v>
      </c>
      <c r="P1049" s="9"/>
    </row>
    <row r="1050">
      <c r="A1050" s="6" t="s">
        <v>2747</v>
      </c>
      <c r="B1050" s="6" t="s">
        <v>2748</v>
      </c>
      <c r="C1050" s="6" t="s">
        <v>295</v>
      </c>
      <c r="D1050" s="6" t="s">
        <v>2749</v>
      </c>
      <c r="E1050" s="6" t="s">
        <v>2342</v>
      </c>
      <c r="F1050" s="6" t="s">
        <v>80</v>
      </c>
      <c r="G1050" s="7">
        <v>0.06</v>
      </c>
      <c r="H1050" s="6" t="s">
        <v>1984</v>
      </c>
      <c r="I1050" s="6" t="s">
        <v>20</v>
      </c>
      <c r="J1050" s="6">
        <v>2015.0</v>
      </c>
      <c r="K1050" s="10">
        <v>46113.0</v>
      </c>
      <c r="L1050" s="6">
        <v>4.0</v>
      </c>
      <c r="M1050" s="8">
        <f t="shared" si="3"/>
        <v>0.24</v>
      </c>
      <c r="P1050" s="9"/>
    </row>
    <row r="1051">
      <c r="A1051" s="6" t="s">
        <v>2750</v>
      </c>
      <c r="B1051" s="6" t="s">
        <v>2382</v>
      </c>
      <c r="C1051" s="6" t="s">
        <v>1949</v>
      </c>
      <c r="D1051" s="6" t="s">
        <v>2751</v>
      </c>
      <c r="E1051" s="6" t="s">
        <v>2342</v>
      </c>
      <c r="F1051" s="6" t="s">
        <v>170</v>
      </c>
      <c r="G1051" s="7">
        <v>1.16</v>
      </c>
      <c r="H1051" s="6" t="s">
        <v>2375</v>
      </c>
      <c r="I1051" s="6" t="s">
        <v>20</v>
      </c>
      <c r="J1051" s="6">
        <v>2021.0</v>
      </c>
      <c r="K1051" s="10">
        <v>46055.0</v>
      </c>
      <c r="L1051" s="6">
        <v>4.0</v>
      </c>
      <c r="M1051" s="8">
        <f t="shared" si="3"/>
        <v>4.64</v>
      </c>
      <c r="P1051" s="9"/>
    </row>
    <row r="1052">
      <c r="A1052" s="6" t="s">
        <v>2752</v>
      </c>
      <c r="B1052" s="6" t="s">
        <v>378</v>
      </c>
      <c r="C1052" s="6" t="s">
        <v>295</v>
      </c>
      <c r="D1052" s="6" t="s">
        <v>2753</v>
      </c>
      <c r="E1052" s="6" t="s">
        <v>2754</v>
      </c>
      <c r="F1052" s="6" t="s">
        <v>170</v>
      </c>
      <c r="G1052" s="7">
        <v>0.2</v>
      </c>
      <c r="H1052" s="6" t="s">
        <v>2541</v>
      </c>
      <c r="I1052" s="6" t="s">
        <v>20</v>
      </c>
      <c r="J1052" s="6">
        <v>2017.0</v>
      </c>
      <c r="L1052" s="6">
        <v>4.0</v>
      </c>
      <c r="M1052" s="8">
        <f t="shared" si="3"/>
        <v>0.8</v>
      </c>
      <c r="P1052" s="9"/>
    </row>
    <row r="1053">
      <c r="A1053" s="6" t="s">
        <v>2755</v>
      </c>
      <c r="B1053" s="6" t="s">
        <v>1952</v>
      </c>
      <c r="C1053" s="6" t="s">
        <v>1949</v>
      </c>
      <c r="D1053" s="6" t="s">
        <v>2756</v>
      </c>
      <c r="E1053" s="6" t="s">
        <v>2757</v>
      </c>
      <c r="F1053" s="6" t="s">
        <v>170</v>
      </c>
      <c r="G1053" s="7">
        <v>0.38</v>
      </c>
      <c r="H1053" s="6" t="s">
        <v>1689</v>
      </c>
      <c r="I1053" s="6" t="s">
        <v>31</v>
      </c>
      <c r="J1053" s="6">
        <v>2020.0</v>
      </c>
      <c r="L1053" s="6">
        <v>1.0</v>
      </c>
      <c r="M1053" s="8">
        <f t="shared" si="3"/>
        <v>0.38</v>
      </c>
      <c r="P1053" s="9"/>
    </row>
    <row r="1054">
      <c r="A1054" s="6" t="s">
        <v>2758</v>
      </c>
      <c r="B1054" s="6" t="s">
        <v>2759</v>
      </c>
      <c r="C1054" s="6" t="s">
        <v>1897</v>
      </c>
      <c r="D1054" s="6" t="s">
        <v>2760</v>
      </c>
      <c r="E1054" s="6" t="s">
        <v>2761</v>
      </c>
      <c r="F1054" s="6" t="s">
        <v>170</v>
      </c>
      <c r="G1054" s="7">
        <v>0.55</v>
      </c>
      <c r="H1054" s="6" t="s">
        <v>2190</v>
      </c>
      <c r="I1054" s="6" t="s">
        <v>20</v>
      </c>
      <c r="J1054" s="6">
        <v>2016.0</v>
      </c>
      <c r="K1054" s="10">
        <v>46115.0</v>
      </c>
      <c r="L1054" s="6">
        <v>1.0</v>
      </c>
      <c r="M1054" s="8">
        <f t="shared" si="3"/>
        <v>0.55</v>
      </c>
      <c r="P1054" s="9"/>
    </row>
    <row r="1055">
      <c r="A1055" s="6" t="s">
        <v>2762</v>
      </c>
      <c r="B1055" s="6" t="s">
        <v>2058</v>
      </c>
      <c r="C1055" s="6" t="s">
        <v>1949</v>
      </c>
      <c r="D1055" s="6" t="s">
        <v>2763</v>
      </c>
      <c r="E1055" s="6" t="s">
        <v>2342</v>
      </c>
      <c r="F1055" s="6" t="s">
        <v>170</v>
      </c>
      <c r="G1055" s="7">
        <v>0.71</v>
      </c>
      <c r="H1055" s="6" t="s">
        <v>2175</v>
      </c>
      <c r="I1055" s="6" t="s">
        <v>20</v>
      </c>
      <c r="J1055" s="6">
        <v>2018.0</v>
      </c>
      <c r="L1055" s="6">
        <v>1.0</v>
      </c>
      <c r="M1055" s="8">
        <f t="shared" si="3"/>
        <v>0.71</v>
      </c>
      <c r="P1055" s="9"/>
    </row>
    <row r="1056">
      <c r="A1056" s="6" t="s">
        <v>2764</v>
      </c>
      <c r="B1056" s="6" t="s">
        <v>2765</v>
      </c>
      <c r="C1056" s="6" t="s">
        <v>1897</v>
      </c>
      <c r="D1056" s="6" t="s">
        <v>2766</v>
      </c>
      <c r="E1056" s="6" t="s">
        <v>2754</v>
      </c>
      <c r="F1056" s="6" t="s">
        <v>170</v>
      </c>
      <c r="G1056" s="7">
        <v>1.79</v>
      </c>
      <c r="H1056" s="6" t="s">
        <v>2746</v>
      </c>
      <c r="I1056" s="6" t="s">
        <v>20</v>
      </c>
      <c r="J1056" s="6">
        <v>2009.0</v>
      </c>
      <c r="K1056" s="10">
        <v>46084.0</v>
      </c>
      <c r="L1056" s="6">
        <v>3.0</v>
      </c>
      <c r="M1056" s="8">
        <f t="shared" si="3"/>
        <v>5.37</v>
      </c>
      <c r="P1056" s="9"/>
    </row>
    <row r="1057">
      <c r="A1057" s="6" t="s">
        <v>2767</v>
      </c>
      <c r="B1057" s="6" t="s">
        <v>378</v>
      </c>
      <c r="C1057" s="6" t="s">
        <v>295</v>
      </c>
      <c r="D1057" s="6" t="s">
        <v>2768</v>
      </c>
      <c r="E1057" s="6" t="s">
        <v>930</v>
      </c>
      <c r="F1057" s="6" t="s">
        <v>170</v>
      </c>
      <c r="G1057" s="7">
        <v>0.2</v>
      </c>
      <c r="H1057" s="6" t="s">
        <v>2769</v>
      </c>
      <c r="I1057" s="6" t="s">
        <v>20</v>
      </c>
      <c r="J1057" s="6">
        <v>2015.0</v>
      </c>
      <c r="L1057" s="6">
        <v>4.0</v>
      </c>
      <c r="M1057" s="8">
        <f t="shared" si="3"/>
        <v>0.8</v>
      </c>
      <c r="P1057" s="9"/>
    </row>
    <row r="1058">
      <c r="A1058" s="6" t="s">
        <v>2770</v>
      </c>
      <c r="B1058" s="6" t="s">
        <v>2058</v>
      </c>
      <c r="C1058" s="6" t="s">
        <v>295</v>
      </c>
      <c r="D1058" s="6" t="s">
        <v>2771</v>
      </c>
      <c r="E1058" s="6" t="s">
        <v>930</v>
      </c>
      <c r="F1058" s="6" t="s">
        <v>170</v>
      </c>
      <c r="G1058" s="7">
        <v>0.1</v>
      </c>
      <c r="H1058" s="6" t="s">
        <v>1664</v>
      </c>
      <c r="I1058" s="6" t="s">
        <v>20</v>
      </c>
      <c r="J1058" s="6">
        <v>2018.0</v>
      </c>
      <c r="L1058" s="6">
        <v>4.0</v>
      </c>
      <c r="M1058" s="8">
        <f t="shared" si="3"/>
        <v>0.4</v>
      </c>
      <c r="P1058" s="9"/>
    </row>
    <row r="1059">
      <c r="A1059" s="6" t="s">
        <v>2772</v>
      </c>
      <c r="B1059" s="6" t="s">
        <v>2058</v>
      </c>
      <c r="C1059" s="6" t="s">
        <v>295</v>
      </c>
      <c r="D1059" s="6" t="s">
        <v>2773</v>
      </c>
      <c r="E1059" s="6" t="s">
        <v>930</v>
      </c>
      <c r="F1059" s="6" t="s">
        <v>170</v>
      </c>
      <c r="G1059" s="7">
        <v>0.05</v>
      </c>
      <c r="H1059" s="6" t="s">
        <v>2467</v>
      </c>
      <c r="I1059" s="6" t="s">
        <v>20</v>
      </c>
      <c r="J1059" s="6">
        <v>2017.0</v>
      </c>
      <c r="L1059" s="6">
        <v>4.0</v>
      </c>
      <c r="M1059" s="8">
        <f t="shared" si="3"/>
        <v>0.2</v>
      </c>
      <c r="P1059" s="9"/>
    </row>
    <row r="1060">
      <c r="A1060" s="6" t="s">
        <v>2774</v>
      </c>
      <c r="B1060" s="6" t="s">
        <v>2058</v>
      </c>
      <c r="C1060" s="6" t="s">
        <v>295</v>
      </c>
      <c r="D1060" s="6" t="s">
        <v>2775</v>
      </c>
      <c r="E1060" s="6" t="s">
        <v>2342</v>
      </c>
      <c r="F1060" s="6" t="s">
        <v>170</v>
      </c>
      <c r="G1060" s="7">
        <v>0.03</v>
      </c>
      <c r="H1060" s="6" t="s">
        <v>2552</v>
      </c>
      <c r="I1060" s="6" t="s">
        <v>20</v>
      </c>
      <c r="J1060" s="6">
        <v>2018.0</v>
      </c>
      <c r="L1060" s="6">
        <v>3.0</v>
      </c>
      <c r="M1060" s="8">
        <f t="shared" si="3"/>
        <v>0.09</v>
      </c>
      <c r="P1060" s="9"/>
    </row>
    <row r="1061">
      <c r="A1061" s="6" t="s">
        <v>2774</v>
      </c>
      <c r="B1061" s="6" t="s">
        <v>2058</v>
      </c>
      <c r="C1061" s="6" t="s">
        <v>295</v>
      </c>
      <c r="D1061" s="6" t="s">
        <v>2775</v>
      </c>
      <c r="E1061" s="6" t="s">
        <v>2342</v>
      </c>
      <c r="F1061" s="6" t="s">
        <v>170</v>
      </c>
      <c r="G1061" s="7">
        <v>0.33</v>
      </c>
      <c r="H1061" s="6" t="s">
        <v>2552</v>
      </c>
      <c r="I1061" s="6" t="s">
        <v>31</v>
      </c>
      <c r="J1061" s="6">
        <v>2018.0</v>
      </c>
      <c r="L1061" s="6">
        <v>1.0</v>
      </c>
      <c r="M1061" s="8">
        <f t="shared" si="3"/>
        <v>0.33</v>
      </c>
      <c r="P1061" s="9"/>
    </row>
    <row r="1062">
      <c r="A1062" s="6" t="s">
        <v>2774</v>
      </c>
      <c r="B1062" s="6" t="s">
        <v>2058</v>
      </c>
      <c r="C1062" s="6" t="s">
        <v>295</v>
      </c>
      <c r="D1062" s="6" t="s">
        <v>2775</v>
      </c>
      <c r="E1062" s="6" t="s">
        <v>2342</v>
      </c>
      <c r="F1062" s="6" t="s">
        <v>170</v>
      </c>
      <c r="G1062" s="7">
        <v>0.05</v>
      </c>
      <c r="H1062" s="6" t="s">
        <v>2776</v>
      </c>
      <c r="I1062" s="6" t="s">
        <v>20</v>
      </c>
      <c r="J1062" s="6">
        <v>2020.0</v>
      </c>
      <c r="L1062" s="6">
        <v>1.0</v>
      </c>
      <c r="M1062" s="8">
        <f t="shared" si="3"/>
        <v>0.05</v>
      </c>
      <c r="P1062" s="9"/>
    </row>
    <row r="1063">
      <c r="A1063" s="6" t="s">
        <v>2777</v>
      </c>
      <c r="B1063" s="6" t="s">
        <v>2382</v>
      </c>
      <c r="C1063" s="6" t="s">
        <v>1897</v>
      </c>
      <c r="D1063" s="6" t="s">
        <v>2778</v>
      </c>
      <c r="E1063" s="6" t="s">
        <v>2779</v>
      </c>
      <c r="F1063" s="6" t="s">
        <v>170</v>
      </c>
      <c r="G1063" s="7">
        <v>0.98</v>
      </c>
      <c r="H1063" s="6" t="s">
        <v>1995</v>
      </c>
      <c r="I1063" s="6" t="s">
        <v>31</v>
      </c>
      <c r="J1063" s="6">
        <v>2016.0</v>
      </c>
      <c r="K1063" s="10">
        <v>46116.0</v>
      </c>
      <c r="L1063" s="6">
        <v>1.0</v>
      </c>
      <c r="M1063" s="8">
        <f t="shared" si="3"/>
        <v>0.98</v>
      </c>
      <c r="P1063" s="9"/>
    </row>
    <row r="1064">
      <c r="A1064" s="6" t="s">
        <v>2780</v>
      </c>
      <c r="B1064" s="6" t="s">
        <v>2566</v>
      </c>
      <c r="C1064" s="6" t="s">
        <v>1897</v>
      </c>
      <c r="D1064" s="6" t="s">
        <v>2781</v>
      </c>
      <c r="E1064" s="6" t="s">
        <v>2358</v>
      </c>
      <c r="F1064" s="6" t="s">
        <v>170</v>
      </c>
      <c r="G1064" s="7">
        <v>0.65</v>
      </c>
      <c r="H1064" s="6" t="s">
        <v>2190</v>
      </c>
      <c r="I1064" s="6" t="s">
        <v>31</v>
      </c>
      <c r="J1064" s="6">
        <v>2016.0</v>
      </c>
      <c r="K1064" s="10">
        <v>46147.0</v>
      </c>
      <c r="L1064" s="6">
        <v>1.0</v>
      </c>
      <c r="M1064" s="8">
        <f t="shared" si="3"/>
        <v>0.65</v>
      </c>
      <c r="P1064" s="9"/>
    </row>
    <row r="1065">
      <c r="A1065" s="6" t="s">
        <v>2782</v>
      </c>
      <c r="B1065" s="6" t="s">
        <v>2783</v>
      </c>
      <c r="C1065" s="6" t="s">
        <v>1897</v>
      </c>
      <c r="D1065" s="6" t="s">
        <v>2784</v>
      </c>
      <c r="E1065" s="6" t="s">
        <v>2365</v>
      </c>
      <c r="F1065" s="6" t="s">
        <v>170</v>
      </c>
      <c r="G1065" s="7">
        <v>1.66</v>
      </c>
      <c r="H1065" s="6" t="s">
        <v>2631</v>
      </c>
      <c r="I1065" s="6" t="s">
        <v>20</v>
      </c>
      <c r="J1065" s="6">
        <v>2006.0</v>
      </c>
      <c r="K1065" s="10">
        <v>46056.0</v>
      </c>
      <c r="L1065" s="6">
        <v>1.0</v>
      </c>
      <c r="M1065" s="8">
        <f t="shared" si="3"/>
        <v>1.66</v>
      </c>
      <c r="P1065" s="9"/>
    </row>
    <row r="1066">
      <c r="A1066" s="6" t="s">
        <v>2764</v>
      </c>
      <c r="B1066" s="6" t="s">
        <v>2765</v>
      </c>
      <c r="C1066" s="6" t="s">
        <v>1897</v>
      </c>
      <c r="D1066" s="6" t="s">
        <v>2766</v>
      </c>
      <c r="E1066" s="6" t="s">
        <v>2754</v>
      </c>
      <c r="F1066" s="6" t="s">
        <v>170</v>
      </c>
      <c r="G1066" s="7">
        <v>1.79</v>
      </c>
      <c r="H1066" s="6" t="s">
        <v>2746</v>
      </c>
      <c r="I1066" s="6" t="s">
        <v>20</v>
      </c>
      <c r="J1066" s="6">
        <v>2009.0</v>
      </c>
      <c r="K1066" s="10">
        <v>46084.0</v>
      </c>
      <c r="L1066" s="6">
        <v>1.0</v>
      </c>
      <c r="M1066" s="8">
        <f t="shared" si="3"/>
        <v>1.79</v>
      </c>
      <c r="P1066" s="9"/>
    </row>
    <row r="1067">
      <c r="A1067" s="6" t="s">
        <v>2785</v>
      </c>
      <c r="B1067" s="6" t="s">
        <v>2786</v>
      </c>
      <c r="C1067" s="6" t="s">
        <v>1897</v>
      </c>
      <c r="D1067" s="6" t="s">
        <v>2787</v>
      </c>
      <c r="E1067" s="6" t="s">
        <v>2779</v>
      </c>
      <c r="F1067" s="6" t="s">
        <v>170</v>
      </c>
      <c r="G1067" s="7">
        <v>1.5</v>
      </c>
      <c r="H1067" s="6" t="s">
        <v>2788</v>
      </c>
      <c r="I1067" s="6" t="s">
        <v>20</v>
      </c>
      <c r="J1067" s="6">
        <v>2009.0</v>
      </c>
      <c r="K1067" s="10">
        <v>46116.0</v>
      </c>
      <c r="L1067" s="6">
        <v>2.0</v>
      </c>
      <c r="M1067" s="8">
        <f t="shared" si="3"/>
        <v>3</v>
      </c>
      <c r="P1067" s="9"/>
    </row>
    <row r="1068">
      <c r="A1068" s="6" t="s">
        <v>2789</v>
      </c>
      <c r="B1068" s="6" t="s">
        <v>2382</v>
      </c>
      <c r="C1068" s="6" t="s">
        <v>1897</v>
      </c>
      <c r="D1068" s="6" t="s">
        <v>2790</v>
      </c>
      <c r="E1068" s="6" t="s">
        <v>2779</v>
      </c>
      <c r="F1068" s="6" t="s">
        <v>170</v>
      </c>
      <c r="G1068" s="7">
        <v>0.98</v>
      </c>
      <c r="H1068" s="6" t="s">
        <v>1664</v>
      </c>
      <c r="I1068" s="6" t="s">
        <v>20</v>
      </c>
      <c r="J1068" s="6">
        <v>2018.0</v>
      </c>
      <c r="K1068" s="10">
        <v>46055.0</v>
      </c>
      <c r="L1068" s="6">
        <v>1.0</v>
      </c>
      <c r="M1068" s="8">
        <f t="shared" si="3"/>
        <v>0.98</v>
      </c>
      <c r="P1068" s="9"/>
    </row>
    <row r="1069">
      <c r="A1069" s="6" t="s">
        <v>2791</v>
      </c>
      <c r="B1069" s="6" t="s">
        <v>2382</v>
      </c>
      <c r="C1069" s="6" t="s">
        <v>1949</v>
      </c>
      <c r="D1069" s="6" t="s">
        <v>2792</v>
      </c>
      <c r="E1069" s="6" t="s">
        <v>2365</v>
      </c>
      <c r="F1069" s="6" t="s">
        <v>170</v>
      </c>
      <c r="G1069" s="7">
        <v>0.45</v>
      </c>
      <c r="H1069" s="6" t="s">
        <v>2793</v>
      </c>
      <c r="I1069" s="6" t="s">
        <v>20</v>
      </c>
      <c r="J1069" s="6">
        <v>2019.0</v>
      </c>
      <c r="K1069" s="10">
        <v>46055.0</v>
      </c>
      <c r="L1069" s="6">
        <v>1.0</v>
      </c>
      <c r="M1069" s="8">
        <f t="shared" si="3"/>
        <v>0.45</v>
      </c>
      <c r="P1069" s="9"/>
    </row>
    <row r="1070">
      <c r="A1070" s="6" t="s">
        <v>2794</v>
      </c>
      <c r="B1070" s="6" t="s">
        <v>2795</v>
      </c>
      <c r="C1070" s="6" t="s">
        <v>1628</v>
      </c>
      <c r="D1070" s="6" t="s">
        <v>2796</v>
      </c>
      <c r="E1070" s="6" t="s">
        <v>380</v>
      </c>
      <c r="F1070" s="6" t="s">
        <v>88</v>
      </c>
      <c r="G1070" s="7">
        <v>0.07</v>
      </c>
      <c r="H1070" s="6" t="s">
        <v>2797</v>
      </c>
      <c r="I1070" s="6" t="s">
        <v>20</v>
      </c>
      <c r="J1070" s="6">
        <v>2026.0</v>
      </c>
      <c r="K1070" s="10">
        <v>46024.0</v>
      </c>
      <c r="L1070" s="6">
        <v>1.0</v>
      </c>
      <c r="M1070" s="8">
        <f t="shared" si="3"/>
        <v>0.07</v>
      </c>
      <c r="P1070" s="9"/>
    </row>
    <row r="1071">
      <c r="A1071" s="6" t="s">
        <v>2794</v>
      </c>
      <c r="B1071" s="6" t="s">
        <v>2795</v>
      </c>
      <c r="C1071" s="6" t="s">
        <v>1628</v>
      </c>
      <c r="D1071" s="6" t="s">
        <v>2796</v>
      </c>
      <c r="E1071" s="6" t="s">
        <v>380</v>
      </c>
      <c r="F1071" s="6" t="s">
        <v>88</v>
      </c>
      <c r="G1071" s="7">
        <v>0.5</v>
      </c>
      <c r="H1071" s="6" t="s">
        <v>2797</v>
      </c>
      <c r="I1071" s="6" t="s">
        <v>31</v>
      </c>
      <c r="J1071" s="6">
        <v>2026.0</v>
      </c>
      <c r="K1071" s="10">
        <v>46024.0</v>
      </c>
      <c r="L1071" s="6">
        <v>1.0</v>
      </c>
      <c r="M1071" s="8">
        <f t="shared" si="3"/>
        <v>0.5</v>
      </c>
      <c r="P1071" s="9"/>
    </row>
    <row r="1072">
      <c r="A1072" s="6" t="s">
        <v>2798</v>
      </c>
      <c r="B1072" s="6" t="s">
        <v>610</v>
      </c>
      <c r="C1072" s="6" t="s">
        <v>1628</v>
      </c>
      <c r="D1072" s="6" t="s">
        <v>2799</v>
      </c>
      <c r="E1072" s="6" t="s">
        <v>2342</v>
      </c>
      <c r="F1072" s="6" t="s">
        <v>170</v>
      </c>
      <c r="G1072" s="7">
        <v>0.34</v>
      </c>
      <c r="H1072" s="6" t="s">
        <v>2797</v>
      </c>
      <c r="I1072" s="6" t="s">
        <v>20</v>
      </c>
      <c r="J1072" s="6">
        <v>2026.0</v>
      </c>
      <c r="L1072" s="6">
        <v>2.0</v>
      </c>
      <c r="M1072" s="8">
        <f t="shared" si="3"/>
        <v>0.68</v>
      </c>
      <c r="P1072" s="9"/>
    </row>
    <row r="1073">
      <c r="A1073" s="6" t="s">
        <v>2800</v>
      </c>
      <c r="B1073" s="6" t="s">
        <v>675</v>
      </c>
      <c r="C1073" s="6" t="s">
        <v>1628</v>
      </c>
      <c r="D1073" s="6" t="s">
        <v>2801</v>
      </c>
      <c r="E1073" s="6" t="s">
        <v>1743</v>
      </c>
      <c r="F1073" s="6" t="s">
        <v>152</v>
      </c>
      <c r="G1073" s="7">
        <v>0.4</v>
      </c>
      <c r="H1073" s="6" t="s">
        <v>2797</v>
      </c>
      <c r="I1073" s="6" t="s">
        <v>31</v>
      </c>
      <c r="J1073" s="6">
        <v>2026.0</v>
      </c>
      <c r="L1073" s="6">
        <v>1.0</v>
      </c>
      <c r="M1073" s="8">
        <f t="shared" si="3"/>
        <v>0.4</v>
      </c>
      <c r="P1073" s="9"/>
    </row>
    <row r="1074">
      <c r="A1074" s="6" t="s">
        <v>2802</v>
      </c>
      <c r="B1074" s="6" t="s">
        <v>2803</v>
      </c>
      <c r="C1074" s="6" t="s">
        <v>1611</v>
      </c>
      <c r="D1074" s="6" t="s">
        <v>2804</v>
      </c>
      <c r="E1074" s="6" t="s">
        <v>2365</v>
      </c>
      <c r="F1074" s="6" t="s">
        <v>170</v>
      </c>
      <c r="G1074" s="7">
        <v>0.49</v>
      </c>
      <c r="H1074" s="6" t="s">
        <v>2797</v>
      </c>
      <c r="I1074" s="6" t="s">
        <v>20</v>
      </c>
      <c r="J1074" s="6">
        <v>2026.0</v>
      </c>
      <c r="K1074" s="10">
        <v>46088.0</v>
      </c>
      <c r="L1074" s="6">
        <v>1.0</v>
      </c>
      <c r="M1074" s="8">
        <f t="shared" si="3"/>
        <v>0.49</v>
      </c>
      <c r="P1074" s="9"/>
    </row>
    <row r="1075">
      <c r="A1075" s="6" t="s">
        <v>2805</v>
      </c>
      <c r="B1075" s="6" t="s">
        <v>610</v>
      </c>
      <c r="C1075" s="6" t="s">
        <v>1667</v>
      </c>
      <c r="D1075" s="6" t="s">
        <v>2806</v>
      </c>
      <c r="E1075" s="6" t="s">
        <v>2350</v>
      </c>
      <c r="F1075" s="6" t="s">
        <v>170</v>
      </c>
      <c r="G1075" s="7">
        <v>0.05</v>
      </c>
      <c r="H1075" s="6" t="s">
        <v>2797</v>
      </c>
      <c r="I1075" s="6" t="s">
        <v>20</v>
      </c>
      <c r="J1075" s="6">
        <v>2026.0</v>
      </c>
      <c r="L1075" s="6">
        <v>4.0</v>
      </c>
      <c r="M1075" s="8">
        <f t="shared" si="3"/>
        <v>0.2</v>
      </c>
      <c r="P1075" s="9"/>
    </row>
    <row r="1076">
      <c r="A1076" s="6" t="s">
        <v>2807</v>
      </c>
      <c r="B1076" s="6" t="s">
        <v>2795</v>
      </c>
      <c r="C1076" s="6" t="s">
        <v>1611</v>
      </c>
      <c r="D1076" s="6" t="s">
        <v>2808</v>
      </c>
      <c r="E1076" s="6" t="s">
        <v>2809</v>
      </c>
      <c r="F1076" s="6" t="s">
        <v>88</v>
      </c>
      <c r="G1076" s="7">
        <v>0.5</v>
      </c>
      <c r="H1076" s="6" t="s">
        <v>2797</v>
      </c>
      <c r="I1076" s="6" t="s">
        <v>20</v>
      </c>
      <c r="J1076" s="6">
        <v>2026.0</v>
      </c>
      <c r="K1076" s="10">
        <v>46084.0</v>
      </c>
      <c r="L1076" s="6">
        <v>1.0</v>
      </c>
      <c r="M1076" s="8">
        <f t="shared" si="3"/>
        <v>0.5</v>
      </c>
      <c r="P1076" s="9"/>
    </row>
    <row r="1077">
      <c r="A1077" s="6" t="s">
        <v>2810</v>
      </c>
      <c r="B1077" s="6" t="s">
        <v>2811</v>
      </c>
      <c r="C1077" s="6" t="s">
        <v>1628</v>
      </c>
      <c r="D1077" s="6" t="s">
        <v>2812</v>
      </c>
      <c r="E1077" s="6" t="s">
        <v>380</v>
      </c>
      <c r="F1077" s="6" t="s">
        <v>88</v>
      </c>
      <c r="G1077" s="7">
        <v>0.06</v>
      </c>
      <c r="H1077" s="6" t="s">
        <v>2797</v>
      </c>
      <c r="I1077" s="6" t="s">
        <v>20</v>
      </c>
      <c r="J1077" s="6">
        <v>2026.0</v>
      </c>
      <c r="K1077" s="10">
        <v>46054.0</v>
      </c>
      <c r="L1077" s="6">
        <v>1.0</v>
      </c>
      <c r="M1077" s="8">
        <f t="shared" si="3"/>
        <v>0.06</v>
      </c>
      <c r="P1077" s="9"/>
    </row>
    <row r="1078">
      <c r="A1078" s="6" t="s">
        <v>2810</v>
      </c>
      <c r="B1078" s="6" t="s">
        <v>2811</v>
      </c>
      <c r="C1078" s="6" t="s">
        <v>1628</v>
      </c>
      <c r="D1078" s="6" t="s">
        <v>2812</v>
      </c>
      <c r="E1078" s="6" t="s">
        <v>380</v>
      </c>
      <c r="F1078" s="6" t="s">
        <v>88</v>
      </c>
      <c r="G1078" s="7">
        <v>0.27</v>
      </c>
      <c r="H1078" s="6" t="s">
        <v>2797</v>
      </c>
      <c r="I1078" s="6" t="s">
        <v>31</v>
      </c>
      <c r="J1078" s="6">
        <v>2026.0</v>
      </c>
      <c r="K1078" s="10">
        <v>46054.0</v>
      </c>
      <c r="L1078" s="6">
        <v>1.0</v>
      </c>
      <c r="M1078" s="8">
        <f t="shared" si="3"/>
        <v>0.27</v>
      </c>
      <c r="P1078" s="9"/>
    </row>
    <row r="1079">
      <c r="A1079" s="6" t="s">
        <v>2813</v>
      </c>
      <c r="B1079" s="6" t="s">
        <v>2814</v>
      </c>
      <c r="C1079" s="6" t="s">
        <v>1628</v>
      </c>
      <c r="D1079" s="6" t="s">
        <v>2815</v>
      </c>
      <c r="E1079" s="6" t="s">
        <v>2295</v>
      </c>
      <c r="F1079" s="6" t="s">
        <v>18</v>
      </c>
      <c r="G1079" s="7">
        <v>0.48</v>
      </c>
      <c r="H1079" s="6" t="s">
        <v>2797</v>
      </c>
      <c r="I1079" s="6" t="s">
        <v>20</v>
      </c>
      <c r="J1079" s="6">
        <v>2026.0</v>
      </c>
      <c r="K1079" s="10">
        <v>46054.0</v>
      </c>
      <c r="L1079" s="6">
        <v>2.0</v>
      </c>
      <c r="M1079" s="8">
        <f t="shared" si="3"/>
        <v>0.96</v>
      </c>
      <c r="P1079" s="9"/>
    </row>
    <row r="1080">
      <c r="A1080" s="6" t="s">
        <v>2816</v>
      </c>
      <c r="B1080" s="6" t="s">
        <v>2817</v>
      </c>
      <c r="C1080" s="6" t="s">
        <v>2818</v>
      </c>
      <c r="D1080" s="6" t="s">
        <v>2819</v>
      </c>
      <c r="E1080" s="6" t="s">
        <v>780</v>
      </c>
      <c r="F1080" s="6" t="s">
        <v>18</v>
      </c>
      <c r="G1080" s="7">
        <v>0.5</v>
      </c>
      <c r="H1080" s="6" t="s">
        <v>2820</v>
      </c>
      <c r="I1080" s="6" t="s">
        <v>31</v>
      </c>
      <c r="J1080" s="6">
        <v>2026.0</v>
      </c>
      <c r="K1080" s="10">
        <v>46023.0</v>
      </c>
      <c r="L1080" s="6">
        <v>1.0</v>
      </c>
      <c r="M1080" s="8">
        <f t="shared" si="3"/>
        <v>0.5</v>
      </c>
      <c r="P1080" s="9"/>
    </row>
    <row r="1081">
      <c r="A1081" s="6" t="s">
        <v>2821</v>
      </c>
      <c r="B1081" s="6" t="s">
        <v>2822</v>
      </c>
      <c r="C1081" s="6" t="s">
        <v>1667</v>
      </c>
      <c r="D1081" s="6" t="s">
        <v>2823</v>
      </c>
      <c r="E1081" s="6" t="s">
        <v>2295</v>
      </c>
      <c r="F1081" s="6" t="s">
        <v>18</v>
      </c>
      <c r="G1081" s="7">
        <v>0.08</v>
      </c>
      <c r="H1081" s="6" t="s">
        <v>2797</v>
      </c>
      <c r="I1081" s="6" t="s">
        <v>20</v>
      </c>
      <c r="J1081" s="6">
        <v>2026.0</v>
      </c>
      <c r="L1081" s="6">
        <v>2.0</v>
      </c>
      <c r="M1081" s="8">
        <f t="shared" si="3"/>
        <v>0.16</v>
      </c>
      <c r="P1081" s="9"/>
    </row>
    <row r="1082">
      <c r="A1082" s="6" t="s">
        <v>2821</v>
      </c>
      <c r="B1082" s="6" t="s">
        <v>2822</v>
      </c>
      <c r="C1082" s="6" t="s">
        <v>1667</v>
      </c>
      <c r="D1082" s="6" t="s">
        <v>2823</v>
      </c>
      <c r="E1082" s="6" t="s">
        <v>2295</v>
      </c>
      <c r="F1082" s="6" t="s">
        <v>18</v>
      </c>
      <c r="G1082" s="7">
        <v>0.35</v>
      </c>
      <c r="H1082" s="6" t="s">
        <v>2797</v>
      </c>
      <c r="I1082" s="6" t="s">
        <v>31</v>
      </c>
      <c r="J1082" s="6">
        <v>2026.0</v>
      </c>
      <c r="L1082" s="6">
        <v>1.0</v>
      </c>
      <c r="M1082" s="8">
        <f t="shared" si="3"/>
        <v>0.35</v>
      </c>
      <c r="P1082" s="9"/>
    </row>
    <row r="1083">
      <c r="A1083" s="6" t="s">
        <v>2824</v>
      </c>
      <c r="B1083" s="6" t="s">
        <v>2825</v>
      </c>
      <c r="C1083" s="6" t="s">
        <v>1667</v>
      </c>
      <c r="D1083" s="6" t="s">
        <v>2826</v>
      </c>
      <c r="E1083" s="6" t="s">
        <v>1853</v>
      </c>
      <c r="F1083" s="6" t="s">
        <v>277</v>
      </c>
      <c r="G1083" s="7">
        <v>0.09</v>
      </c>
      <c r="H1083" s="6" t="s">
        <v>2797</v>
      </c>
      <c r="I1083" s="6" t="s">
        <v>20</v>
      </c>
      <c r="J1083" s="6">
        <v>2026.0</v>
      </c>
      <c r="K1083" s="10">
        <v>46084.0</v>
      </c>
      <c r="L1083" s="6">
        <v>1.0</v>
      </c>
      <c r="M1083" s="8">
        <f t="shared" si="3"/>
        <v>0.09</v>
      </c>
      <c r="P1083" s="9"/>
    </row>
    <row r="1084">
      <c r="A1084" s="6" t="s">
        <v>2824</v>
      </c>
      <c r="B1084" s="6" t="s">
        <v>2825</v>
      </c>
      <c r="C1084" s="6" t="s">
        <v>1667</v>
      </c>
      <c r="D1084" s="6" t="s">
        <v>2826</v>
      </c>
      <c r="E1084" s="6" t="s">
        <v>1853</v>
      </c>
      <c r="F1084" s="6" t="s">
        <v>277</v>
      </c>
      <c r="G1084" s="7">
        <v>0.14</v>
      </c>
      <c r="H1084" s="6" t="s">
        <v>2797</v>
      </c>
      <c r="I1084" s="6" t="s">
        <v>31</v>
      </c>
      <c r="J1084" s="6">
        <v>2026.0</v>
      </c>
      <c r="K1084" s="10">
        <v>46084.0</v>
      </c>
      <c r="L1084" s="6">
        <v>2.0</v>
      </c>
      <c r="M1084" s="8">
        <f t="shared" si="3"/>
        <v>0.28</v>
      </c>
      <c r="P1084" s="9"/>
    </row>
    <row r="1085">
      <c r="A1085" s="6" t="s">
        <v>2827</v>
      </c>
      <c r="B1085" s="6" t="s">
        <v>2828</v>
      </c>
      <c r="C1085" s="6" t="s">
        <v>1667</v>
      </c>
      <c r="D1085" s="6" t="s">
        <v>2829</v>
      </c>
      <c r="E1085" s="6" t="s">
        <v>2287</v>
      </c>
      <c r="F1085" s="6" t="s">
        <v>277</v>
      </c>
      <c r="G1085" s="7">
        <v>0.05</v>
      </c>
      <c r="H1085" s="6" t="s">
        <v>2797</v>
      </c>
      <c r="I1085" s="6" t="s">
        <v>20</v>
      </c>
      <c r="J1085" s="6">
        <v>2026.0</v>
      </c>
      <c r="K1085" s="10">
        <v>46206.0</v>
      </c>
      <c r="L1085" s="6">
        <v>3.0</v>
      </c>
      <c r="M1085" s="8">
        <f t="shared" si="3"/>
        <v>0.15</v>
      </c>
      <c r="P1085" s="9"/>
    </row>
    <row r="1086">
      <c r="A1086" s="6" t="s">
        <v>2830</v>
      </c>
      <c r="B1086" s="6" t="s">
        <v>2831</v>
      </c>
      <c r="C1086" s="6" t="s">
        <v>1611</v>
      </c>
      <c r="D1086" s="6" t="s">
        <v>2832</v>
      </c>
      <c r="E1086" s="6" t="s">
        <v>1853</v>
      </c>
      <c r="F1086" s="6" t="s">
        <v>277</v>
      </c>
      <c r="G1086" s="7">
        <v>0.7</v>
      </c>
      <c r="H1086" s="6" t="s">
        <v>2797</v>
      </c>
      <c r="I1086" s="6" t="s">
        <v>20</v>
      </c>
      <c r="J1086" s="6">
        <v>2026.0</v>
      </c>
      <c r="K1086" s="10">
        <v>46147.0</v>
      </c>
      <c r="L1086" s="6">
        <v>1.0</v>
      </c>
      <c r="M1086" s="8">
        <f t="shared" si="3"/>
        <v>0.7</v>
      </c>
      <c r="P1086" s="9"/>
    </row>
    <row r="1087">
      <c r="A1087" s="6" t="s">
        <v>2833</v>
      </c>
      <c r="B1087" s="6" t="s">
        <v>2834</v>
      </c>
      <c r="C1087" s="6" t="s">
        <v>295</v>
      </c>
      <c r="D1087" s="6" t="s">
        <v>2835</v>
      </c>
      <c r="E1087" s="6" t="s">
        <v>1853</v>
      </c>
      <c r="F1087" s="6" t="s">
        <v>277</v>
      </c>
      <c r="G1087" s="7">
        <v>1.0</v>
      </c>
      <c r="H1087" s="6" t="s">
        <v>1711</v>
      </c>
      <c r="I1087" s="6" t="s">
        <v>20</v>
      </c>
      <c r="J1087" s="6">
        <v>2022.0</v>
      </c>
      <c r="K1087" s="10">
        <v>46056.0</v>
      </c>
      <c r="L1087" s="6">
        <v>1.0</v>
      </c>
      <c r="M1087" s="8">
        <f t="shared" si="3"/>
        <v>1</v>
      </c>
      <c r="P1087" s="9"/>
    </row>
    <row r="1088">
      <c r="A1088" s="6" t="s">
        <v>2836</v>
      </c>
      <c r="B1088" s="6" t="s">
        <v>2837</v>
      </c>
      <c r="C1088" s="6" t="s">
        <v>2138</v>
      </c>
      <c r="D1088" s="6" t="s">
        <v>2838</v>
      </c>
      <c r="E1088" s="6" t="s">
        <v>2839</v>
      </c>
      <c r="F1088" s="6" t="s">
        <v>277</v>
      </c>
      <c r="G1088" s="7">
        <v>1.31</v>
      </c>
      <c r="H1088" s="6" t="s">
        <v>1990</v>
      </c>
      <c r="I1088" s="6" t="s">
        <v>31</v>
      </c>
      <c r="J1088" s="6">
        <v>2011.0</v>
      </c>
      <c r="K1088" s="10">
        <v>46055.0</v>
      </c>
      <c r="L1088" s="6">
        <v>1.0</v>
      </c>
      <c r="M1088" s="8">
        <f t="shared" si="3"/>
        <v>1.31</v>
      </c>
      <c r="P1088" s="9"/>
    </row>
    <row r="1089">
      <c r="A1089" s="6" t="s">
        <v>2840</v>
      </c>
      <c r="B1089" s="6" t="s">
        <v>2837</v>
      </c>
      <c r="C1089" s="6" t="s">
        <v>2841</v>
      </c>
      <c r="D1089" s="6" t="s">
        <v>2842</v>
      </c>
      <c r="E1089" s="6" t="s">
        <v>1853</v>
      </c>
      <c r="F1089" s="6" t="s">
        <v>277</v>
      </c>
      <c r="G1089" s="7">
        <v>0.03</v>
      </c>
      <c r="H1089" s="6" t="s">
        <v>1987</v>
      </c>
      <c r="I1089" s="6" t="s">
        <v>20</v>
      </c>
      <c r="J1089" s="6">
        <v>2019.0</v>
      </c>
      <c r="K1089" s="10">
        <v>46055.0</v>
      </c>
      <c r="L1089" s="6">
        <v>4.0</v>
      </c>
      <c r="M1089" s="8">
        <f t="shared" si="3"/>
        <v>0.12</v>
      </c>
      <c r="P1089" s="9"/>
    </row>
    <row r="1090">
      <c r="A1090" s="6" t="s">
        <v>2840</v>
      </c>
      <c r="B1090" s="6" t="s">
        <v>2837</v>
      </c>
      <c r="C1090" s="6" t="s">
        <v>2841</v>
      </c>
      <c r="D1090" s="6" t="s">
        <v>2842</v>
      </c>
      <c r="E1090" s="6" t="s">
        <v>1853</v>
      </c>
      <c r="F1090" s="6" t="s">
        <v>277</v>
      </c>
      <c r="G1090" s="7">
        <v>0.08</v>
      </c>
      <c r="H1090" s="6" t="s">
        <v>2843</v>
      </c>
      <c r="I1090" s="6" t="s">
        <v>20</v>
      </c>
      <c r="J1090" s="6">
        <v>2014.0</v>
      </c>
      <c r="K1090" s="10">
        <v>46055.0</v>
      </c>
      <c r="L1090" s="6">
        <v>1.0</v>
      </c>
      <c r="M1090" s="8">
        <f t="shared" si="3"/>
        <v>0.08</v>
      </c>
      <c r="P1090" s="9"/>
    </row>
    <row r="1091">
      <c r="A1091" s="6" t="s">
        <v>2844</v>
      </c>
      <c r="B1091" s="6" t="s">
        <v>2845</v>
      </c>
      <c r="C1091" s="6" t="s">
        <v>2138</v>
      </c>
      <c r="D1091" s="6" t="s">
        <v>2846</v>
      </c>
      <c r="E1091" s="6" t="s">
        <v>2280</v>
      </c>
      <c r="F1091" s="6" t="s">
        <v>277</v>
      </c>
      <c r="G1091" s="7">
        <v>0.05</v>
      </c>
      <c r="H1091" s="6" t="s">
        <v>2769</v>
      </c>
      <c r="I1091" s="6" t="s">
        <v>20</v>
      </c>
      <c r="J1091" s="6">
        <v>2015.0</v>
      </c>
      <c r="L1091" s="6">
        <v>3.0</v>
      </c>
      <c r="M1091" s="8">
        <f t="shared" si="3"/>
        <v>0.15</v>
      </c>
      <c r="P1091" s="9"/>
    </row>
    <row r="1092">
      <c r="A1092" s="6" t="s">
        <v>2847</v>
      </c>
      <c r="B1092" s="6" t="s">
        <v>2848</v>
      </c>
      <c r="C1092" s="6" t="s">
        <v>2138</v>
      </c>
      <c r="D1092" s="6" t="s">
        <v>2849</v>
      </c>
      <c r="E1092" s="6" t="s">
        <v>629</v>
      </c>
      <c r="F1092" s="6" t="s">
        <v>277</v>
      </c>
      <c r="G1092" s="7">
        <v>0.49</v>
      </c>
      <c r="H1092" s="6" t="s">
        <v>2372</v>
      </c>
      <c r="I1092" s="6" t="s">
        <v>20</v>
      </c>
      <c r="J1092" s="6">
        <v>2010.0</v>
      </c>
      <c r="K1092" s="10">
        <v>46023.0</v>
      </c>
      <c r="L1092" s="6">
        <v>1.0</v>
      </c>
      <c r="M1092" s="8">
        <f t="shared" si="3"/>
        <v>0.49</v>
      </c>
      <c r="P1092" s="9"/>
    </row>
    <row r="1093">
      <c r="A1093" s="6" t="s">
        <v>2850</v>
      </c>
      <c r="B1093" s="6" t="s">
        <v>2851</v>
      </c>
      <c r="C1093" s="6" t="s">
        <v>1611</v>
      </c>
      <c r="D1093" s="6" t="s">
        <v>2852</v>
      </c>
      <c r="E1093" s="6" t="s">
        <v>2839</v>
      </c>
      <c r="F1093" s="6" t="s">
        <v>277</v>
      </c>
      <c r="G1093" s="7">
        <v>0.71</v>
      </c>
      <c r="H1093" s="6" t="s">
        <v>2853</v>
      </c>
      <c r="I1093" s="6" t="s">
        <v>20</v>
      </c>
      <c r="J1093" s="6">
        <v>2025.0</v>
      </c>
      <c r="K1093" s="10">
        <v>46083.0</v>
      </c>
      <c r="L1093" s="6">
        <v>1.0</v>
      </c>
      <c r="M1093" s="8">
        <f t="shared" si="3"/>
        <v>0.71</v>
      </c>
      <c r="P1093" s="9"/>
    </row>
    <row r="1094">
      <c r="A1094" s="6" t="s">
        <v>2854</v>
      </c>
      <c r="B1094" s="6" t="s">
        <v>2845</v>
      </c>
      <c r="C1094" s="6" t="s">
        <v>2855</v>
      </c>
      <c r="D1094" s="6" t="s">
        <v>2856</v>
      </c>
      <c r="E1094" s="6" t="s">
        <v>1856</v>
      </c>
      <c r="F1094" s="6" t="s">
        <v>277</v>
      </c>
      <c r="G1094" s="7">
        <v>0.37</v>
      </c>
      <c r="H1094" s="6" t="s">
        <v>2557</v>
      </c>
      <c r="I1094" s="6" t="s">
        <v>20</v>
      </c>
      <c r="J1094" s="6">
        <v>2017.0</v>
      </c>
      <c r="L1094" s="6">
        <v>1.0</v>
      </c>
      <c r="M1094" s="8">
        <f t="shared" si="3"/>
        <v>0.37</v>
      </c>
      <c r="P1094" s="9"/>
    </row>
    <row r="1095">
      <c r="A1095" s="6" t="s">
        <v>2857</v>
      </c>
      <c r="B1095" s="6" t="s">
        <v>2845</v>
      </c>
      <c r="C1095" s="6" t="s">
        <v>2138</v>
      </c>
      <c r="D1095" s="6" t="s">
        <v>2858</v>
      </c>
      <c r="E1095" s="6" t="s">
        <v>2287</v>
      </c>
      <c r="F1095" s="6" t="s">
        <v>277</v>
      </c>
      <c r="G1095" s="7">
        <v>0.05</v>
      </c>
      <c r="H1095" s="6" t="s">
        <v>2006</v>
      </c>
      <c r="I1095" s="6" t="s">
        <v>20</v>
      </c>
      <c r="J1095" s="6">
        <v>2013.0</v>
      </c>
      <c r="L1095" s="6">
        <v>4.0</v>
      </c>
      <c r="M1095" s="8">
        <f t="shared" si="3"/>
        <v>0.2</v>
      </c>
      <c r="P1095" s="9"/>
    </row>
    <row r="1096">
      <c r="A1096" s="6" t="s">
        <v>2859</v>
      </c>
      <c r="B1096" s="6" t="s">
        <v>2860</v>
      </c>
      <c r="C1096" s="6" t="s">
        <v>1667</v>
      </c>
      <c r="D1096" s="6" t="s">
        <v>2861</v>
      </c>
      <c r="E1096" s="6" t="s">
        <v>2839</v>
      </c>
      <c r="F1096" s="6" t="s">
        <v>277</v>
      </c>
      <c r="G1096" s="7">
        <v>0.46</v>
      </c>
      <c r="H1096" s="6" t="s">
        <v>2156</v>
      </c>
      <c r="I1096" s="6" t="s">
        <v>1791</v>
      </c>
      <c r="J1096" s="6">
        <v>2014.0</v>
      </c>
      <c r="K1096" s="10">
        <v>46024.0</v>
      </c>
      <c r="L1096" s="6">
        <v>4.0</v>
      </c>
      <c r="M1096" s="8">
        <f t="shared" si="3"/>
        <v>1.84</v>
      </c>
      <c r="P1096" s="9"/>
    </row>
    <row r="1097">
      <c r="A1097" s="6" t="s">
        <v>2862</v>
      </c>
      <c r="B1097" s="6" t="s">
        <v>2863</v>
      </c>
      <c r="C1097" s="6" t="s">
        <v>2855</v>
      </c>
      <c r="D1097" s="6" t="s">
        <v>2864</v>
      </c>
      <c r="E1097" s="6" t="s">
        <v>1856</v>
      </c>
      <c r="F1097" s="6" t="s">
        <v>277</v>
      </c>
      <c r="G1097" s="7">
        <v>0.35</v>
      </c>
      <c r="H1097" s="6" t="s">
        <v>1641</v>
      </c>
      <c r="I1097" s="6" t="s">
        <v>20</v>
      </c>
      <c r="J1097" s="6">
        <v>2019.0</v>
      </c>
      <c r="K1097" s="10">
        <v>46056.0</v>
      </c>
      <c r="L1097" s="6">
        <v>2.0</v>
      </c>
      <c r="M1097" s="8">
        <f t="shared" si="3"/>
        <v>0.7</v>
      </c>
      <c r="P1097" s="9"/>
    </row>
    <row r="1098">
      <c r="A1098" s="6" t="s">
        <v>2865</v>
      </c>
      <c r="B1098" s="6" t="s">
        <v>610</v>
      </c>
      <c r="C1098" s="6" t="s">
        <v>1667</v>
      </c>
      <c r="D1098" s="6" t="s">
        <v>2866</v>
      </c>
      <c r="E1098" s="6" t="s">
        <v>629</v>
      </c>
      <c r="F1098" s="6" t="s">
        <v>277</v>
      </c>
      <c r="G1098" s="7">
        <v>0.1</v>
      </c>
      <c r="H1098" s="6" t="s">
        <v>2175</v>
      </c>
      <c r="I1098" s="6" t="s">
        <v>1791</v>
      </c>
      <c r="J1098" s="6">
        <v>2018.0</v>
      </c>
      <c r="L1098" s="6">
        <v>4.0</v>
      </c>
      <c r="M1098" s="8">
        <f t="shared" si="3"/>
        <v>0.4</v>
      </c>
      <c r="P1098" s="9"/>
    </row>
    <row r="1099">
      <c r="A1099" s="6" t="s">
        <v>2867</v>
      </c>
      <c r="B1099" s="6" t="s">
        <v>2863</v>
      </c>
      <c r="C1099" s="6" t="s">
        <v>2138</v>
      </c>
      <c r="D1099" s="6" t="s">
        <v>2868</v>
      </c>
      <c r="E1099" s="6" t="s">
        <v>1853</v>
      </c>
      <c r="F1099" s="6" t="s">
        <v>277</v>
      </c>
      <c r="G1099" s="7">
        <v>0.06</v>
      </c>
      <c r="H1099" s="6" t="s">
        <v>2463</v>
      </c>
      <c r="I1099" s="6" t="s">
        <v>20</v>
      </c>
      <c r="J1099" s="6">
        <v>2008.0</v>
      </c>
      <c r="K1099" s="10">
        <v>46023.0</v>
      </c>
      <c r="L1099" s="6">
        <v>2.0</v>
      </c>
      <c r="M1099" s="8">
        <f t="shared" si="3"/>
        <v>0.12</v>
      </c>
      <c r="P1099" s="9"/>
    </row>
    <row r="1100">
      <c r="A1100" s="6" t="s">
        <v>2869</v>
      </c>
      <c r="B1100" s="6" t="s">
        <v>2870</v>
      </c>
      <c r="C1100" s="6" t="s">
        <v>1628</v>
      </c>
      <c r="D1100" s="6" t="s">
        <v>2871</v>
      </c>
      <c r="E1100" s="6" t="s">
        <v>2287</v>
      </c>
      <c r="F1100" s="6" t="s">
        <v>277</v>
      </c>
      <c r="G1100" s="7">
        <v>0.04</v>
      </c>
      <c r="H1100" s="6" t="s">
        <v>2797</v>
      </c>
      <c r="I1100" s="6" t="s">
        <v>20</v>
      </c>
      <c r="J1100" s="6">
        <v>2026.0</v>
      </c>
      <c r="K1100" s="10">
        <v>46145.0</v>
      </c>
      <c r="L1100" s="6">
        <v>1.0</v>
      </c>
      <c r="M1100" s="8">
        <f t="shared" si="3"/>
        <v>0.04</v>
      </c>
      <c r="P1100" s="9"/>
    </row>
    <row r="1101">
      <c r="A1101" s="6" t="s">
        <v>2872</v>
      </c>
      <c r="B1101" s="6" t="s">
        <v>2873</v>
      </c>
      <c r="C1101" s="6" t="s">
        <v>1628</v>
      </c>
      <c r="D1101" s="6" t="s">
        <v>2874</v>
      </c>
      <c r="E1101" s="6" t="s">
        <v>1856</v>
      </c>
      <c r="F1101" s="6" t="s">
        <v>277</v>
      </c>
      <c r="G1101" s="7">
        <v>0.07</v>
      </c>
      <c r="H1101" s="6" t="s">
        <v>2797</v>
      </c>
      <c r="I1101" s="6" t="s">
        <v>20</v>
      </c>
      <c r="J1101" s="6">
        <v>2026.0</v>
      </c>
      <c r="K1101" s="10">
        <v>46057.0</v>
      </c>
      <c r="L1101" s="6">
        <v>1.0</v>
      </c>
      <c r="M1101" s="8">
        <f t="shared" si="3"/>
        <v>0.07</v>
      </c>
      <c r="P1101" s="9"/>
    </row>
    <row r="1102">
      <c r="A1102" s="6" t="s">
        <v>2875</v>
      </c>
      <c r="B1102" s="6" t="s">
        <v>385</v>
      </c>
      <c r="C1102" s="6" t="s">
        <v>1628</v>
      </c>
      <c r="D1102" s="6" t="s">
        <v>2876</v>
      </c>
      <c r="E1102" s="6" t="s">
        <v>1853</v>
      </c>
      <c r="F1102" s="6" t="s">
        <v>277</v>
      </c>
      <c r="G1102" s="7">
        <v>0.08</v>
      </c>
      <c r="H1102" s="6" t="s">
        <v>2797</v>
      </c>
      <c r="I1102" s="6" t="s">
        <v>20</v>
      </c>
      <c r="J1102" s="6">
        <v>2026.0</v>
      </c>
      <c r="L1102" s="6">
        <v>1.0</v>
      </c>
      <c r="M1102" s="8">
        <f t="shared" si="3"/>
        <v>0.08</v>
      </c>
      <c r="P1102" s="9"/>
    </row>
    <row r="1103">
      <c r="A1103" s="6" t="s">
        <v>2877</v>
      </c>
      <c r="B1103" s="6" t="s">
        <v>2878</v>
      </c>
      <c r="C1103" s="6" t="s">
        <v>1667</v>
      </c>
      <c r="D1103" s="6" t="s">
        <v>2879</v>
      </c>
      <c r="E1103" s="6" t="s">
        <v>1856</v>
      </c>
      <c r="F1103" s="6" t="s">
        <v>277</v>
      </c>
      <c r="G1103" s="7">
        <v>0.1</v>
      </c>
      <c r="H1103" s="6" t="s">
        <v>2797</v>
      </c>
      <c r="I1103" s="6" t="s">
        <v>20</v>
      </c>
      <c r="J1103" s="6">
        <v>2026.0</v>
      </c>
      <c r="K1103" s="10">
        <v>46116.0</v>
      </c>
      <c r="L1103" s="6">
        <v>1.0</v>
      </c>
      <c r="M1103" s="8">
        <f t="shared" si="3"/>
        <v>0.1</v>
      </c>
      <c r="P1103" s="9"/>
    </row>
    <row r="1104">
      <c r="A1104" s="6" t="s">
        <v>2880</v>
      </c>
      <c r="B1104" s="6" t="s">
        <v>2831</v>
      </c>
      <c r="C1104" s="6" t="s">
        <v>1628</v>
      </c>
      <c r="D1104" s="6" t="s">
        <v>2881</v>
      </c>
      <c r="E1104" s="6" t="s">
        <v>1853</v>
      </c>
      <c r="F1104" s="6" t="s">
        <v>277</v>
      </c>
      <c r="G1104" s="7">
        <v>0.15</v>
      </c>
      <c r="H1104" s="6" t="s">
        <v>2797</v>
      </c>
      <c r="I1104" s="6" t="s">
        <v>20</v>
      </c>
      <c r="J1104" s="6">
        <v>2026.0</v>
      </c>
      <c r="K1104" s="10">
        <v>46179.0</v>
      </c>
      <c r="L1104" s="6">
        <v>1.0</v>
      </c>
      <c r="M1104" s="8">
        <f t="shared" si="3"/>
        <v>0.15</v>
      </c>
      <c r="P1104" s="9"/>
    </row>
    <row r="1105">
      <c r="A1105" s="6" t="s">
        <v>2882</v>
      </c>
      <c r="B1105" s="6" t="s">
        <v>2814</v>
      </c>
      <c r="C1105" s="6" t="s">
        <v>1628</v>
      </c>
      <c r="D1105" s="6" t="s">
        <v>2883</v>
      </c>
      <c r="E1105" s="6" t="s">
        <v>1853</v>
      </c>
      <c r="F1105" s="6" t="s">
        <v>277</v>
      </c>
      <c r="G1105" s="7">
        <v>0.12</v>
      </c>
      <c r="H1105" s="6" t="s">
        <v>2797</v>
      </c>
      <c r="I1105" s="6" t="s">
        <v>20</v>
      </c>
      <c r="J1105" s="6">
        <v>2026.0</v>
      </c>
      <c r="K1105" s="10">
        <v>46055.0</v>
      </c>
      <c r="L1105" s="6">
        <v>1.0</v>
      </c>
      <c r="M1105" s="8">
        <f t="shared" si="3"/>
        <v>0.12</v>
      </c>
      <c r="P1105" s="9"/>
    </row>
    <row r="1106">
      <c r="A1106" s="6" t="s">
        <v>2884</v>
      </c>
      <c r="B1106" s="6" t="s">
        <v>2828</v>
      </c>
      <c r="C1106" s="6" t="s">
        <v>1628</v>
      </c>
      <c r="D1106" s="6" t="s">
        <v>2885</v>
      </c>
      <c r="E1106" s="6" t="s">
        <v>1856</v>
      </c>
      <c r="F1106" s="6" t="s">
        <v>277</v>
      </c>
      <c r="G1106" s="7">
        <v>0.06</v>
      </c>
      <c r="H1106" s="6" t="s">
        <v>2797</v>
      </c>
      <c r="I1106" s="6" t="s">
        <v>20</v>
      </c>
      <c r="J1106" s="6">
        <v>2026.0</v>
      </c>
      <c r="K1106" s="10">
        <v>46115.0</v>
      </c>
      <c r="L1106" s="6">
        <v>1.0</v>
      </c>
      <c r="M1106" s="8">
        <f t="shared" si="3"/>
        <v>0.06</v>
      </c>
      <c r="P1106" s="9"/>
    </row>
    <row r="1107">
      <c r="A1107" s="6" t="s">
        <v>2886</v>
      </c>
      <c r="B1107" s="6" t="s">
        <v>2611</v>
      </c>
      <c r="C1107" s="6" t="s">
        <v>1667</v>
      </c>
      <c r="D1107" s="6" t="s">
        <v>2887</v>
      </c>
      <c r="E1107" s="6" t="s">
        <v>2280</v>
      </c>
      <c r="F1107" s="6" t="s">
        <v>277</v>
      </c>
      <c r="G1107" s="7">
        <v>0.1</v>
      </c>
      <c r="H1107" s="6" t="s">
        <v>2797</v>
      </c>
      <c r="I1107" s="6" t="s">
        <v>20</v>
      </c>
      <c r="J1107" s="6">
        <v>2026.0</v>
      </c>
      <c r="K1107" s="10">
        <v>46055.0</v>
      </c>
      <c r="L1107" s="6">
        <v>1.0</v>
      </c>
      <c r="M1107" s="8">
        <f t="shared" si="3"/>
        <v>0.1</v>
      </c>
      <c r="P1107" s="9"/>
    </row>
    <row r="1108">
      <c r="A1108" s="6" t="s">
        <v>2888</v>
      </c>
      <c r="B1108" s="6" t="s">
        <v>610</v>
      </c>
      <c r="C1108" s="6" t="s">
        <v>1628</v>
      </c>
      <c r="D1108" s="6" t="s">
        <v>2889</v>
      </c>
      <c r="E1108" s="6" t="s">
        <v>2280</v>
      </c>
      <c r="F1108" s="6" t="s">
        <v>277</v>
      </c>
      <c r="G1108" s="7">
        <v>0.05</v>
      </c>
      <c r="H1108" s="6" t="s">
        <v>2797</v>
      </c>
      <c r="I1108" s="6" t="s">
        <v>20</v>
      </c>
      <c r="J1108" s="6">
        <v>2026.0</v>
      </c>
      <c r="L1108" s="6">
        <v>1.0</v>
      </c>
      <c r="M1108" s="8">
        <f t="shared" si="3"/>
        <v>0.05</v>
      </c>
      <c r="P1108" s="9"/>
    </row>
    <row r="1109">
      <c r="A1109" s="6" t="s">
        <v>2890</v>
      </c>
      <c r="B1109" s="6" t="s">
        <v>675</v>
      </c>
      <c r="C1109" s="6" t="s">
        <v>1667</v>
      </c>
      <c r="D1109" s="6" t="s">
        <v>2891</v>
      </c>
      <c r="E1109" s="6" t="s">
        <v>2280</v>
      </c>
      <c r="F1109" s="6" t="s">
        <v>277</v>
      </c>
      <c r="G1109" s="7">
        <v>0.1</v>
      </c>
      <c r="H1109" s="6" t="s">
        <v>2797</v>
      </c>
      <c r="I1109" s="6" t="s">
        <v>20</v>
      </c>
      <c r="J1109" s="6">
        <v>2026.0</v>
      </c>
      <c r="L1109" s="6">
        <v>3.0</v>
      </c>
      <c r="M1109" s="8">
        <f t="shared" si="3"/>
        <v>0.3</v>
      </c>
      <c r="P1109" s="9"/>
    </row>
    <row r="1110">
      <c r="A1110" s="6" t="s">
        <v>2892</v>
      </c>
      <c r="B1110" s="6" t="s">
        <v>385</v>
      </c>
      <c r="C1110" s="6" t="s">
        <v>1667</v>
      </c>
      <c r="D1110" s="6" t="s">
        <v>2893</v>
      </c>
      <c r="E1110" s="6" t="s">
        <v>2280</v>
      </c>
      <c r="F1110" s="6" t="s">
        <v>277</v>
      </c>
      <c r="G1110" s="7">
        <v>0.1</v>
      </c>
      <c r="H1110" s="6" t="s">
        <v>2797</v>
      </c>
      <c r="I1110" s="6" t="s">
        <v>20</v>
      </c>
      <c r="J1110" s="6">
        <v>2026.0</v>
      </c>
      <c r="L1110" s="6">
        <v>1.0</v>
      </c>
      <c r="M1110" s="8">
        <f t="shared" si="3"/>
        <v>0.1</v>
      </c>
      <c r="P1110" s="9"/>
    </row>
    <row r="1111">
      <c r="A1111" s="6" t="s">
        <v>2894</v>
      </c>
      <c r="B1111" s="6" t="s">
        <v>2895</v>
      </c>
      <c r="C1111" s="6" t="s">
        <v>1667</v>
      </c>
      <c r="D1111" s="6" t="s">
        <v>2896</v>
      </c>
      <c r="E1111" s="6" t="s">
        <v>1853</v>
      </c>
      <c r="F1111" s="6" t="s">
        <v>277</v>
      </c>
      <c r="G1111" s="7">
        <v>0.05</v>
      </c>
      <c r="H1111" s="6" t="s">
        <v>2797</v>
      </c>
      <c r="I1111" s="6" t="s">
        <v>20</v>
      </c>
      <c r="J1111" s="6">
        <v>2026.0</v>
      </c>
      <c r="K1111" s="10">
        <v>46056.0</v>
      </c>
      <c r="L1111" s="6">
        <v>1.0</v>
      </c>
      <c r="M1111" s="8">
        <f t="shared" si="3"/>
        <v>0.05</v>
      </c>
      <c r="P1111" s="9"/>
    </row>
    <row r="1112">
      <c r="A1112" s="6" t="s">
        <v>2897</v>
      </c>
      <c r="B1112" s="6" t="s">
        <v>2825</v>
      </c>
      <c r="C1112" s="6" t="s">
        <v>1667</v>
      </c>
      <c r="D1112" s="6" t="s">
        <v>2898</v>
      </c>
      <c r="E1112" s="6" t="s">
        <v>1856</v>
      </c>
      <c r="F1112" s="6" t="s">
        <v>277</v>
      </c>
      <c r="G1112" s="7">
        <v>0.11</v>
      </c>
      <c r="H1112" s="6" t="s">
        <v>2797</v>
      </c>
      <c r="I1112" s="6" t="s">
        <v>20</v>
      </c>
      <c r="J1112" s="6">
        <v>2026.0</v>
      </c>
      <c r="K1112" s="10">
        <v>46024.0</v>
      </c>
      <c r="L1112" s="6">
        <v>2.0</v>
      </c>
      <c r="M1112" s="8">
        <f t="shared" si="3"/>
        <v>0.22</v>
      </c>
      <c r="P1112" s="9"/>
    </row>
    <row r="1113">
      <c r="A1113" s="6" t="s">
        <v>2899</v>
      </c>
      <c r="B1113" s="6" t="s">
        <v>2900</v>
      </c>
      <c r="C1113" s="6" t="s">
        <v>1667</v>
      </c>
      <c r="D1113" s="6" t="s">
        <v>2901</v>
      </c>
      <c r="E1113" s="6" t="s">
        <v>2280</v>
      </c>
      <c r="F1113" s="6" t="s">
        <v>277</v>
      </c>
      <c r="G1113" s="7">
        <v>0.1</v>
      </c>
      <c r="H1113" s="6" t="s">
        <v>2797</v>
      </c>
      <c r="I1113" s="6" t="s">
        <v>20</v>
      </c>
      <c r="J1113" s="6">
        <v>2026.0</v>
      </c>
      <c r="K1113" s="10">
        <v>46082.0</v>
      </c>
      <c r="L1113" s="6">
        <v>2.0</v>
      </c>
      <c r="M1113" s="8">
        <f t="shared" si="3"/>
        <v>0.2</v>
      </c>
      <c r="P1113" s="9"/>
    </row>
    <row r="1114">
      <c r="A1114" s="6" t="s">
        <v>2902</v>
      </c>
      <c r="B1114" s="6" t="s">
        <v>610</v>
      </c>
      <c r="C1114" s="6" t="s">
        <v>1628</v>
      </c>
      <c r="D1114" s="6" t="s">
        <v>2903</v>
      </c>
      <c r="E1114" s="6" t="s">
        <v>1954</v>
      </c>
      <c r="F1114" s="6" t="s">
        <v>18</v>
      </c>
      <c r="G1114" s="7">
        <v>0.18</v>
      </c>
      <c r="H1114" s="6" t="s">
        <v>2797</v>
      </c>
      <c r="I1114" s="6" t="s">
        <v>20</v>
      </c>
      <c r="J1114" s="6">
        <v>2026.0</v>
      </c>
      <c r="L1114" s="6">
        <v>1.0</v>
      </c>
      <c r="M1114" s="8">
        <f t="shared" si="3"/>
        <v>0.18</v>
      </c>
      <c r="P1114" s="9"/>
    </row>
    <row r="1115">
      <c r="A1115" s="6" t="s">
        <v>2904</v>
      </c>
      <c r="B1115" s="6" t="s">
        <v>385</v>
      </c>
      <c r="C1115" s="6" t="s">
        <v>1667</v>
      </c>
      <c r="D1115" s="6" t="s">
        <v>2905</v>
      </c>
      <c r="E1115" s="6" t="s">
        <v>2295</v>
      </c>
      <c r="F1115" s="6" t="s">
        <v>18</v>
      </c>
      <c r="G1115" s="7">
        <v>0.1</v>
      </c>
      <c r="H1115" s="6" t="s">
        <v>2797</v>
      </c>
      <c r="I1115" s="6" t="s">
        <v>20</v>
      </c>
      <c r="J1115" s="6">
        <v>2026.0</v>
      </c>
      <c r="L1115" s="6">
        <v>2.0</v>
      </c>
      <c r="M1115" s="8">
        <f t="shared" si="3"/>
        <v>0.2</v>
      </c>
      <c r="P1115" s="9"/>
    </row>
    <row r="1116">
      <c r="A1116" s="6" t="s">
        <v>2906</v>
      </c>
      <c r="B1116" s="6" t="s">
        <v>2586</v>
      </c>
      <c r="C1116" s="6" t="s">
        <v>1667</v>
      </c>
      <c r="D1116" s="6" t="s">
        <v>2907</v>
      </c>
      <c r="E1116" s="6" t="s">
        <v>2299</v>
      </c>
      <c r="F1116" s="6" t="s">
        <v>18</v>
      </c>
      <c r="G1116" s="7">
        <v>0.1</v>
      </c>
      <c r="H1116" s="6" t="s">
        <v>2797</v>
      </c>
      <c r="I1116" s="6" t="s">
        <v>20</v>
      </c>
      <c r="J1116" s="6">
        <v>2026.0</v>
      </c>
      <c r="K1116" s="10">
        <v>46116.0</v>
      </c>
      <c r="L1116" s="6">
        <v>2.0</v>
      </c>
      <c r="M1116" s="8">
        <f t="shared" si="3"/>
        <v>0.2</v>
      </c>
      <c r="P1116" s="9"/>
    </row>
    <row r="1117">
      <c r="A1117" s="6" t="s">
        <v>2908</v>
      </c>
      <c r="B1117" s="6" t="s">
        <v>2909</v>
      </c>
      <c r="C1117" s="6" t="s">
        <v>1628</v>
      </c>
      <c r="D1117" s="6" t="s">
        <v>2910</v>
      </c>
      <c r="E1117" s="6" t="s">
        <v>2503</v>
      </c>
      <c r="F1117" s="6" t="s">
        <v>18</v>
      </c>
      <c r="G1117" s="7">
        <v>0.2</v>
      </c>
      <c r="H1117" s="6" t="s">
        <v>2797</v>
      </c>
      <c r="I1117" s="6" t="s">
        <v>20</v>
      </c>
      <c r="J1117" s="6">
        <v>2026.0</v>
      </c>
      <c r="K1117" s="10">
        <v>46116.0</v>
      </c>
      <c r="L1117" s="6">
        <v>1.0</v>
      </c>
      <c r="M1117" s="8">
        <f t="shared" si="3"/>
        <v>0.2</v>
      </c>
      <c r="P1117" s="9"/>
    </row>
    <row r="1118">
      <c r="A1118" s="6" t="s">
        <v>2911</v>
      </c>
      <c r="B1118" s="6" t="s">
        <v>2912</v>
      </c>
      <c r="C1118" s="6" t="s">
        <v>1667</v>
      </c>
      <c r="D1118" s="6" t="s">
        <v>2913</v>
      </c>
      <c r="E1118" s="6" t="s">
        <v>2503</v>
      </c>
      <c r="F1118" s="6" t="s">
        <v>18</v>
      </c>
      <c r="G1118" s="7">
        <v>0.1</v>
      </c>
      <c r="H1118" s="6" t="s">
        <v>2797</v>
      </c>
      <c r="I1118" s="6" t="s">
        <v>20</v>
      </c>
      <c r="J1118" s="6">
        <v>2026.0</v>
      </c>
      <c r="K1118" s="10">
        <v>46085.0</v>
      </c>
      <c r="L1118" s="6">
        <v>1.0</v>
      </c>
      <c r="M1118" s="8">
        <f t="shared" si="3"/>
        <v>0.1</v>
      </c>
      <c r="P1118" s="9"/>
    </row>
    <row r="1119">
      <c r="A1119" s="6" t="s">
        <v>2914</v>
      </c>
      <c r="B1119" s="6" t="s">
        <v>385</v>
      </c>
      <c r="C1119" s="6" t="s">
        <v>1667</v>
      </c>
      <c r="D1119" s="6" t="s">
        <v>2915</v>
      </c>
      <c r="E1119" s="6" t="s">
        <v>1954</v>
      </c>
      <c r="F1119" s="6" t="s">
        <v>18</v>
      </c>
      <c r="G1119" s="7">
        <v>0.1</v>
      </c>
      <c r="H1119" s="6" t="s">
        <v>2797</v>
      </c>
      <c r="I1119" s="6" t="s">
        <v>20</v>
      </c>
      <c r="J1119" s="6">
        <v>2026.0</v>
      </c>
      <c r="L1119" s="6">
        <v>1.0</v>
      </c>
      <c r="M1119" s="8">
        <f t="shared" si="3"/>
        <v>0.1</v>
      </c>
      <c r="P1119" s="9"/>
    </row>
    <row r="1120">
      <c r="A1120" s="6" t="s">
        <v>2916</v>
      </c>
      <c r="B1120" s="6" t="s">
        <v>2917</v>
      </c>
      <c r="C1120" s="6" t="s">
        <v>1667</v>
      </c>
      <c r="D1120" s="6" t="s">
        <v>2918</v>
      </c>
      <c r="E1120" s="6" t="s">
        <v>2295</v>
      </c>
      <c r="F1120" s="6" t="s">
        <v>18</v>
      </c>
      <c r="G1120" s="7">
        <v>0.1</v>
      </c>
      <c r="H1120" s="6" t="s">
        <v>2797</v>
      </c>
      <c r="I1120" s="6" t="s">
        <v>20</v>
      </c>
      <c r="J1120" s="6">
        <v>2026.0</v>
      </c>
      <c r="K1120" s="10">
        <v>46057.0</v>
      </c>
      <c r="L1120" s="6">
        <v>1.0</v>
      </c>
      <c r="M1120" s="8">
        <f t="shared" si="3"/>
        <v>0.1</v>
      </c>
      <c r="P1120" s="9"/>
    </row>
    <row r="1121">
      <c r="A1121" s="6" t="s">
        <v>2919</v>
      </c>
      <c r="B1121" s="6" t="s">
        <v>2920</v>
      </c>
      <c r="C1121" s="6" t="s">
        <v>1667</v>
      </c>
      <c r="D1121" s="6" t="s">
        <v>2921</v>
      </c>
      <c r="E1121" s="6" t="s">
        <v>2318</v>
      </c>
      <c r="F1121" s="6" t="s">
        <v>88</v>
      </c>
      <c r="G1121" s="7">
        <v>0.05</v>
      </c>
      <c r="H1121" s="6" t="s">
        <v>2797</v>
      </c>
      <c r="I1121" s="6" t="s">
        <v>20</v>
      </c>
      <c r="J1121" s="6">
        <v>2026.0</v>
      </c>
      <c r="K1121" s="10">
        <v>46083.0</v>
      </c>
      <c r="L1121" s="6">
        <v>1.0</v>
      </c>
      <c r="M1121" s="8">
        <f t="shared" si="3"/>
        <v>0.05</v>
      </c>
      <c r="P1121" s="9"/>
    </row>
    <row r="1122">
      <c r="A1122" s="6" t="s">
        <v>2922</v>
      </c>
      <c r="B1122" s="6" t="s">
        <v>2923</v>
      </c>
      <c r="C1122" s="6" t="s">
        <v>1628</v>
      </c>
      <c r="D1122" s="6" t="s">
        <v>2924</v>
      </c>
      <c r="E1122" s="6" t="s">
        <v>2318</v>
      </c>
      <c r="F1122" s="6" t="s">
        <v>88</v>
      </c>
      <c r="G1122" s="7">
        <v>0.06</v>
      </c>
      <c r="H1122" s="6" t="s">
        <v>2797</v>
      </c>
      <c r="I1122" s="6" t="s">
        <v>20</v>
      </c>
      <c r="J1122" s="6">
        <v>2026.0</v>
      </c>
      <c r="K1122" s="10">
        <v>46056.0</v>
      </c>
      <c r="L1122" s="6">
        <v>1.0</v>
      </c>
      <c r="M1122" s="8">
        <f t="shared" si="3"/>
        <v>0.06</v>
      </c>
      <c r="P1122" s="9"/>
    </row>
    <row r="1123">
      <c r="A1123" s="6" t="s">
        <v>2925</v>
      </c>
      <c r="B1123" s="6" t="s">
        <v>2814</v>
      </c>
      <c r="C1123" s="6" t="s">
        <v>1628</v>
      </c>
      <c r="D1123" s="6" t="s">
        <v>2926</v>
      </c>
      <c r="E1123" s="6" t="s">
        <v>2809</v>
      </c>
      <c r="F1123" s="6" t="s">
        <v>88</v>
      </c>
      <c r="G1123" s="7">
        <v>0.24</v>
      </c>
      <c r="H1123" s="6" t="s">
        <v>2797</v>
      </c>
      <c r="I1123" s="6" t="s">
        <v>20</v>
      </c>
      <c r="J1123" s="6">
        <v>2026.0</v>
      </c>
      <c r="K1123" s="6" t="s">
        <v>1256</v>
      </c>
      <c r="L1123" s="6">
        <v>1.0</v>
      </c>
      <c r="M1123" s="8">
        <f t="shared" si="3"/>
        <v>0.24</v>
      </c>
      <c r="P1123" s="9"/>
    </row>
    <row r="1124">
      <c r="A1124" s="6" t="s">
        <v>2927</v>
      </c>
      <c r="B1124" s="6" t="s">
        <v>2811</v>
      </c>
      <c r="C1124" s="6" t="s">
        <v>1628</v>
      </c>
      <c r="D1124" s="6" t="s">
        <v>2928</v>
      </c>
      <c r="E1124" s="6" t="s">
        <v>2321</v>
      </c>
      <c r="F1124" s="6" t="s">
        <v>88</v>
      </c>
      <c r="G1124" s="7">
        <v>0.05</v>
      </c>
      <c r="H1124" s="6" t="s">
        <v>2797</v>
      </c>
      <c r="I1124" s="6" t="s">
        <v>20</v>
      </c>
      <c r="J1124" s="6">
        <v>2026.0</v>
      </c>
      <c r="K1124" s="10">
        <v>46085.0</v>
      </c>
      <c r="L1124" s="6">
        <v>1.0</v>
      </c>
      <c r="M1124" s="8">
        <f t="shared" si="3"/>
        <v>0.05</v>
      </c>
      <c r="P1124" s="9"/>
    </row>
    <row r="1125">
      <c r="A1125" s="6" t="s">
        <v>2929</v>
      </c>
      <c r="B1125" s="6" t="s">
        <v>2895</v>
      </c>
      <c r="C1125" s="6" t="s">
        <v>1667</v>
      </c>
      <c r="D1125" s="6" t="s">
        <v>2930</v>
      </c>
      <c r="E1125" s="6" t="s">
        <v>2318</v>
      </c>
      <c r="F1125" s="6" t="s">
        <v>88</v>
      </c>
      <c r="G1125" s="7">
        <v>0.05</v>
      </c>
      <c r="H1125" s="6" t="s">
        <v>2797</v>
      </c>
      <c r="I1125" s="6" t="s">
        <v>20</v>
      </c>
      <c r="J1125" s="6">
        <v>2026.0</v>
      </c>
      <c r="K1125" s="10">
        <v>46055.0</v>
      </c>
      <c r="L1125" s="6">
        <v>1.0</v>
      </c>
      <c r="M1125" s="8">
        <f t="shared" si="3"/>
        <v>0.05</v>
      </c>
      <c r="P1125" s="9"/>
    </row>
    <row r="1126">
      <c r="A1126" s="6" t="s">
        <v>2931</v>
      </c>
      <c r="B1126" s="6" t="s">
        <v>2895</v>
      </c>
      <c r="C1126" s="6" t="s">
        <v>1628</v>
      </c>
      <c r="D1126" s="6" t="s">
        <v>2932</v>
      </c>
      <c r="E1126" s="6" t="s">
        <v>380</v>
      </c>
      <c r="F1126" s="6" t="s">
        <v>88</v>
      </c>
      <c r="G1126" s="7">
        <v>0.09</v>
      </c>
      <c r="H1126" s="6" t="s">
        <v>2797</v>
      </c>
      <c r="I1126" s="6" t="s">
        <v>20</v>
      </c>
      <c r="J1126" s="6">
        <v>2026.0</v>
      </c>
      <c r="K1126" s="10">
        <v>46024.0</v>
      </c>
      <c r="L1126" s="6">
        <v>2.0</v>
      </c>
      <c r="M1126" s="8">
        <f t="shared" si="3"/>
        <v>0.18</v>
      </c>
      <c r="P1126" s="9"/>
    </row>
    <row r="1127">
      <c r="A1127" s="6" t="s">
        <v>2933</v>
      </c>
      <c r="B1127" s="6" t="s">
        <v>2822</v>
      </c>
      <c r="C1127" s="6" t="s">
        <v>1667</v>
      </c>
      <c r="D1127" s="6" t="s">
        <v>2934</v>
      </c>
      <c r="E1127" s="6" t="s">
        <v>380</v>
      </c>
      <c r="F1127" s="6" t="s">
        <v>88</v>
      </c>
      <c r="G1127" s="7">
        <v>0.1</v>
      </c>
      <c r="H1127" s="6" t="s">
        <v>2797</v>
      </c>
      <c r="I1127" s="6" t="s">
        <v>20</v>
      </c>
      <c r="J1127" s="6">
        <v>2026.0</v>
      </c>
      <c r="L1127" s="6">
        <v>1.0</v>
      </c>
      <c r="M1127" s="8">
        <f t="shared" si="3"/>
        <v>0.1</v>
      </c>
      <c r="P1127" s="9"/>
    </row>
    <row r="1128">
      <c r="A1128" s="6" t="s">
        <v>2935</v>
      </c>
      <c r="B1128" s="6" t="s">
        <v>2870</v>
      </c>
      <c r="C1128" s="6" t="s">
        <v>1667</v>
      </c>
      <c r="D1128" s="6" t="s">
        <v>2936</v>
      </c>
      <c r="E1128" s="6" t="s">
        <v>2321</v>
      </c>
      <c r="F1128" s="6" t="s">
        <v>88</v>
      </c>
      <c r="G1128" s="7">
        <v>0.1</v>
      </c>
      <c r="H1128" s="6" t="s">
        <v>2797</v>
      </c>
      <c r="I1128" s="6" t="s">
        <v>20</v>
      </c>
      <c r="J1128" s="6">
        <v>2026.0</v>
      </c>
      <c r="K1128" s="10">
        <v>46145.0</v>
      </c>
      <c r="L1128" s="6">
        <v>1.0</v>
      </c>
      <c r="M1128" s="8">
        <f t="shared" si="3"/>
        <v>0.1</v>
      </c>
      <c r="P1128" s="9"/>
    </row>
    <row r="1129">
      <c r="A1129" s="6" t="s">
        <v>2937</v>
      </c>
      <c r="B1129" s="6" t="s">
        <v>2845</v>
      </c>
      <c r="C1129" s="6" t="s">
        <v>2841</v>
      </c>
      <c r="D1129" s="6" t="s">
        <v>2938</v>
      </c>
      <c r="E1129" s="6" t="s">
        <v>1856</v>
      </c>
      <c r="F1129" s="6" t="s">
        <v>277</v>
      </c>
      <c r="G1129" s="7">
        <v>0.08</v>
      </c>
      <c r="H1129" s="6" t="s">
        <v>1641</v>
      </c>
      <c r="I1129" s="6" t="s">
        <v>20</v>
      </c>
      <c r="J1129" s="6">
        <v>2019.0</v>
      </c>
      <c r="L1129" s="6">
        <v>4.0</v>
      </c>
      <c r="M1129" s="8">
        <f t="shared" si="3"/>
        <v>0.32</v>
      </c>
      <c r="P1129" s="9"/>
    </row>
    <row r="1130">
      <c r="A1130" s="6" t="s">
        <v>2939</v>
      </c>
      <c r="B1130" s="6" t="s">
        <v>2845</v>
      </c>
      <c r="C1130" s="6" t="s">
        <v>2841</v>
      </c>
      <c r="D1130" s="6" t="s">
        <v>2940</v>
      </c>
      <c r="E1130" s="6" t="s">
        <v>2839</v>
      </c>
      <c r="F1130" s="6" t="s">
        <v>277</v>
      </c>
      <c r="G1130" s="7">
        <v>0.09</v>
      </c>
      <c r="H1130" s="6" t="s">
        <v>1641</v>
      </c>
      <c r="I1130" s="6" t="s">
        <v>20</v>
      </c>
      <c r="J1130" s="6">
        <v>2019.0</v>
      </c>
      <c r="L1130" s="6">
        <v>3.0</v>
      </c>
      <c r="M1130" s="8">
        <f t="shared" si="3"/>
        <v>0.27</v>
      </c>
      <c r="P1130" s="9"/>
    </row>
    <row r="1131">
      <c r="A1131" s="6" t="s">
        <v>2941</v>
      </c>
      <c r="B1131" s="6" t="s">
        <v>2942</v>
      </c>
      <c r="C1131" s="6" t="s">
        <v>15</v>
      </c>
      <c r="D1131" s="6" t="s">
        <v>2943</v>
      </c>
      <c r="E1131" s="6" t="s">
        <v>629</v>
      </c>
      <c r="F1131" s="6" t="s">
        <v>277</v>
      </c>
      <c r="G1131" s="7">
        <v>0.45</v>
      </c>
      <c r="H1131" s="6" t="s">
        <v>2944</v>
      </c>
      <c r="I1131" s="6" t="s">
        <v>20</v>
      </c>
      <c r="J1131" s="6">
        <v>2010.0</v>
      </c>
      <c r="K1131" s="10">
        <v>46023.0</v>
      </c>
      <c r="L1131" s="6">
        <v>3.0</v>
      </c>
      <c r="M1131" s="8">
        <f t="shared" si="3"/>
        <v>1.35</v>
      </c>
      <c r="P1131" s="9"/>
    </row>
    <row r="1132">
      <c r="A1132" s="6" t="s">
        <v>2945</v>
      </c>
      <c r="B1132" s="6" t="s">
        <v>2946</v>
      </c>
      <c r="C1132" s="6" t="s">
        <v>2138</v>
      </c>
      <c r="D1132" s="6" t="s">
        <v>2947</v>
      </c>
      <c r="E1132" s="6" t="s">
        <v>2839</v>
      </c>
      <c r="F1132" s="6" t="s">
        <v>277</v>
      </c>
      <c r="G1132" s="7">
        <v>41.9</v>
      </c>
      <c r="H1132" s="6" t="s">
        <v>2463</v>
      </c>
      <c r="I1132" s="6" t="s">
        <v>20</v>
      </c>
      <c r="J1132" s="6">
        <v>2008.0</v>
      </c>
      <c r="K1132" s="10">
        <v>46055.0</v>
      </c>
      <c r="L1132" s="6">
        <v>1.0</v>
      </c>
      <c r="M1132" s="8">
        <f t="shared" si="3"/>
        <v>41.9</v>
      </c>
      <c r="P1132" s="9"/>
    </row>
    <row r="1133">
      <c r="A1133" s="6" t="s">
        <v>2948</v>
      </c>
      <c r="B1133" s="6" t="s">
        <v>385</v>
      </c>
      <c r="C1133" s="6" t="s">
        <v>1667</v>
      </c>
      <c r="D1133" s="6" t="s">
        <v>2949</v>
      </c>
      <c r="E1133" s="6" t="s">
        <v>1853</v>
      </c>
      <c r="F1133" s="6" t="s">
        <v>277</v>
      </c>
      <c r="G1133" s="7">
        <v>5.85</v>
      </c>
      <c r="H1133" s="7" t="s">
        <v>2950</v>
      </c>
      <c r="I1133" s="6" t="s">
        <v>31</v>
      </c>
      <c r="J1133" s="6">
        <v>2002.0</v>
      </c>
      <c r="L1133" s="6">
        <v>1.0</v>
      </c>
      <c r="M1133" s="8">
        <f t="shared" si="3"/>
        <v>5.85</v>
      </c>
      <c r="P1133" s="9"/>
    </row>
    <row r="1134">
      <c r="A1134" s="6" t="s">
        <v>2951</v>
      </c>
      <c r="B1134" s="6" t="s">
        <v>2952</v>
      </c>
      <c r="C1134" s="6" t="s">
        <v>1628</v>
      </c>
      <c r="D1134" s="6" t="s">
        <v>2953</v>
      </c>
      <c r="E1134" s="6" t="s">
        <v>1856</v>
      </c>
      <c r="F1134" s="6" t="s">
        <v>277</v>
      </c>
      <c r="G1134" s="7">
        <v>0.3</v>
      </c>
      <c r="H1134" s="6" t="s">
        <v>2954</v>
      </c>
      <c r="I1134" s="6" t="s">
        <v>20</v>
      </c>
      <c r="J1134" s="6">
        <v>2026.0</v>
      </c>
      <c r="K1134" s="10">
        <v>46055.0</v>
      </c>
      <c r="L1134" s="6">
        <v>1.0</v>
      </c>
      <c r="M1134" s="8">
        <f t="shared" si="3"/>
        <v>0.3</v>
      </c>
      <c r="P1134" s="9"/>
    </row>
    <row r="1135">
      <c r="A1135" s="6" t="s">
        <v>2955</v>
      </c>
      <c r="B1135" s="6" t="s">
        <v>2956</v>
      </c>
      <c r="C1135" s="6" t="s">
        <v>2957</v>
      </c>
      <c r="D1135" s="6" t="s">
        <v>2958</v>
      </c>
      <c r="E1135" s="6" t="s">
        <v>2380</v>
      </c>
      <c r="F1135" s="6" t="s">
        <v>277</v>
      </c>
      <c r="G1135" s="7">
        <v>0.85</v>
      </c>
      <c r="H1135" s="6" t="s">
        <v>2853</v>
      </c>
      <c r="I1135" s="6" t="s">
        <v>20</v>
      </c>
      <c r="J1135" s="6">
        <v>2025.0</v>
      </c>
      <c r="K1135" s="10">
        <v>46084.0</v>
      </c>
      <c r="L1135" s="6">
        <v>1.0</v>
      </c>
      <c r="M1135" s="8">
        <f t="shared" si="3"/>
        <v>0.85</v>
      </c>
      <c r="P1135" s="9"/>
    </row>
    <row r="1136">
      <c r="A1136" s="6" t="s">
        <v>2959</v>
      </c>
      <c r="B1136" s="6" t="s">
        <v>2960</v>
      </c>
      <c r="C1136" s="6" t="s">
        <v>2138</v>
      </c>
      <c r="D1136" s="6" t="s">
        <v>2961</v>
      </c>
      <c r="E1136" s="6" t="s">
        <v>1853</v>
      </c>
      <c r="F1136" s="6" t="s">
        <v>2962</v>
      </c>
      <c r="G1136" s="7">
        <v>0.09</v>
      </c>
      <c r="H1136" s="6" t="s">
        <v>2963</v>
      </c>
      <c r="I1136" s="6" t="s">
        <v>20</v>
      </c>
      <c r="J1136" s="6">
        <v>2006.0</v>
      </c>
      <c r="K1136" s="10">
        <v>46083.0</v>
      </c>
      <c r="L1136" s="6">
        <v>3.0</v>
      </c>
      <c r="M1136" s="8">
        <f t="shared" si="3"/>
        <v>0.27</v>
      </c>
      <c r="P1136" s="9"/>
    </row>
    <row r="1137">
      <c r="A1137" s="6" t="s">
        <v>2964</v>
      </c>
      <c r="B1137" s="6" t="s">
        <v>2965</v>
      </c>
      <c r="C1137" s="6" t="s">
        <v>2855</v>
      </c>
      <c r="D1137" s="6" t="s">
        <v>2966</v>
      </c>
      <c r="E1137" s="6" t="s">
        <v>2967</v>
      </c>
      <c r="F1137" s="6" t="s">
        <v>2962</v>
      </c>
      <c r="G1137" s="7">
        <v>0.45</v>
      </c>
      <c r="H1137" s="6" t="s">
        <v>2471</v>
      </c>
      <c r="I1137" s="6" t="s">
        <v>20</v>
      </c>
      <c r="J1137" s="6">
        <v>2012.0</v>
      </c>
      <c r="K1137" s="10">
        <v>46085.0</v>
      </c>
      <c r="L1137" s="6">
        <v>1.0</v>
      </c>
      <c r="M1137" s="8">
        <f t="shared" si="3"/>
        <v>0.45</v>
      </c>
      <c r="P1137" s="9"/>
    </row>
    <row r="1138">
      <c r="A1138" s="6" t="s">
        <v>2968</v>
      </c>
      <c r="B1138" s="6" t="s">
        <v>2969</v>
      </c>
      <c r="C1138" s="6" t="s">
        <v>2138</v>
      </c>
      <c r="D1138" s="6" t="s">
        <v>2970</v>
      </c>
      <c r="E1138" s="6" t="s">
        <v>629</v>
      </c>
      <c r="F1138" s="6" t="s">
        <v>2962</v>
      </c>
      <c r="G1138" s="7">
        <v>0.08</v>
      </c>
      <c r="H1138" s="6" t="s">
        <v>2769</v>
      </c>
      <c r="I1138" s="6" t="s">
        <v>20</v>
      </c>
      <c r="J1138" s="6">
        <v>2015.0</v>
      </c>
      <c r="L1138" s="6">
        <v>3.0</v>
      </c>
      <c r="M1138" s="8">
        <f t="shared" si="3"/>
        <v>0.24</v>
      </c>
      <c r="P1138" s="9"/>
    </row>
    <row r="1139">
      <c r="A1139" s="6" t="s">
        <v>2971</v>
      </c>
      <c r="B1139" s="6" t="s">
        <v>2969</v>
      </c>
      <c r="C1139" s="6" t="s">
        <v>2138</v>
      </c>
      <c r="D1139" s="6" t="s">
        <v>2972</v>
      </c>
      <c r="E1139" s="6" t="s">
        <v>1327</v>
      </c>
      <c r="F1139" s="6" t="s">
        <v>2962</v>
      </c>
      <c r="G1139" s="7">
        <v>0.4</v>
      </c>
      <c r="H1139" s="6" t="s">
        <v>2238</v>
      </c>
      <c r="I1139" s="6" t="s">
        <v>20</v>
      </c>
      <c r="J1139" s="6">
        <v>2024.0</v>
      </c>
      <c r="L1139" s="6">
        <v>1.0</v>
      </c>
      <c r="M1139" s="8">
        <f t="shared" si="3"/>
        <v>0.4</v>
      </c>
      <c r="P1139" s="9"/>
    </row>
    <row r="1140">
      <c r="A1140" s="6" t="s">
        <v>2973</v>
      </c>
      <c r="B1140" s="6" t="s">
        <v>2974</v>
      </c>
      <c r="C1140" s="6" t="s">
        <v>1667</v>
      </c>
      <c r="D1140" s="6" t="s">
        <v>2975</v>
      </c>
      <c r="E1140" s="6" t="s">
        <v>2280</v>
      </c>
      <c r="F1140" s="6" t="s">
        <v>2976</v>
      </c>
      <c r="G1140" s="7">
        <v>0.24</v>
      </c>
      <c r="H1140" s="6" t="s">
        <v>2175</v>
      </c>
      <c r="I1140" s="6" t="s">
        <v>1791</v>
      </c>
      <c r="J1140" s="6">
        <v>2018.0</v>
      </c>
      <c r="K1140" s="10">
        <v>46023.0</v>
      </c>
      <c r="L1140" s="6">
        <v>2.0</v>
      </c>
      <c r="M1140" s="8">
        <f t="shared" si="3"/>
        <v>0.48</v>
      </c>
      <c r="P1140" s="9"/>
    </row>
    <row r="1141">
      <c r="A1141" s="6" t="s">
        <v>2977</v>
      </c>
      <c r="B1141" s="6" t="s">
        <v>2845</v>
      </c>
      <c r="C1141" s="6" t="s">
        <v>2138</v>
      </c>
      <c r="D1141" s="6" t="s">
        <v>2978</v>
      </c>
      <c r="E1141" s="6" t="s">
        <v>1856</v>
      </c>
      <c r="F1141" s="6" t="s">
        <v>2962</v>
      </c>
      <c r="G1141" s="7">
        <v>0.32</v>
      </c>
      <c r="H1141" s="6" t="s">
        <v>2769</v>
      </c>
      <c r="I1141" s="6" t="s">
        <v>20</v>
      </c>
      <c r="J1141" s="6">
        <v>2015.0</v>
      </c>
      <c r="L1141" s="6">
        <v>3.0</v>
      </c>
      <c r="M1141" s="8">
        <f t="shared" si="3"/>
        <v>0.96</v>
      </c>
      <c r="P1141" s="9"/>
    </row>
    <row r="1142">
      <c r="A1142" s="6" t="s">
        <v>2979</v>
      </c>
      <c r="B1142" s="6" t="s">
        <v>610</v>
      </c>
      <c r="C1142" s="6" t="s">
        <v>1667</v>
      </c>
      <c r="D1142" s="6" t="s">
        <v>2980</v>
      </c>
      <c r="E1142" s="6" t="s">
        <v>2839</v>
      </c>
      <c r="F1142" s="6" t="s">
        <v>2976</v>
      </c>
      <c r="G1142" s="7">
        <v>0.1</v>
      </c>
      <c r="H1142" s="6" t="s">
        <v>2175</v>
      </c>
      <c r="I1142" s="6" t="s">
        <v>1791</v>
      </c>
      <c r="J1142" s="6">
        <v>2018.0</v>
      </c>
      <c r="L1142" s="6">
        <v>2.0</v>
      </c>
      <c r="M1142" s="8">
        <f t="shared" si="3"/>
        <v>0.2</v>
      </c>
      <c r="P1142" s="9"/>
    </row>
    <row r="1143">
      <c r="A1143" s="6" t="s">
        <v>2979</v>
      </c>
      <c r="B1143" s="6" t="s">
        <v>610</v>
      </c>
      <c r="C1143" s="6" t="s">
        <v>1667</v>
      </c>
      <c r="D1143" s="6" t="s">
        <v>2980</v>
      </c>
      <c r="E1143" s="6" t="s">
        <v>2839</v>
      </c>
      <c r="F1143" s="6" t="s">
        <v>2976</v>
      </c>
      <c r="G1143" s="7">
        <v>0.4</v>
      </c>
      <c r="H1143" s="6" t="s">
        <v>2175</v>
      </c>
      <c r="I1143" s="6" t="s">
        <v>31</v>
      </c>
      <c r="J1143" s="6">
        <v>2018.0</v>
      </c>
      <c r="L1143" s="6">
        <v>1.0</v>
      </c>
      <c r="M1143" s="8">
        <f t="shared" si="3"/>
        <v>0.4</v>
      </c>
      <c r="P1143" s="9"/>
    </row>
    <row r="1144">
      <c r="A1144" s="6" t="s">
        <v>2981</v>
      </c>
      <c r="B1144" s="6" t="s">
        <v>385</v>
      </c>
      <c r="C1144" s="6" t="s">
        <v>1667</v>
      </c>
      <c r="D1144" s="6" t="s">
        <v>2982</v>
      </c>
      <c r="E1144" s="6" t="s">
        <v>2967</v>
      </c>
      <c r="F1144" s="6" t="s">
        <v>2976</v>
      </c>
      <c r="G1144" s="7">
        <v>0.1</v>
      </c>
      <c r="H1144" s="7" t="s">
        <v>2574</v>
      </c>
      <c r="I1144" s="6" t="s">
        <v>20</v>
      </c>
      <c r="J1144" s="6">
        <v>2004.0</v>
      </c>
      <c r="L1144" s="6">
        <v>4.0</v>
      </c>
      <c r="M1144" s="8">
        <f t="shared" si="3"/>
        <v>0.4</v>
      </c>
      <c r="P1144" s="9"/>
    </row>
    <row r="1145">
      <c r="A1145" s="6" t="s">
        <v>2983</v>
      </c>
      <c r="B1145" s="6" t="s">
        <v>2984</v>
      </c>
      <c r="C1145" s="6" t="s">
        <v>2138</v>
      </c>
      <c r="D1145" s="6" t="s">
        <v>2985</v>
      </c>
      <c r="E1145" s="6" t="s">
        <v>1856</v>
      </c>
      <c r="F1145" s="6" t="s">
        <v>2962</v>
      </c>
      <c r="G1145" s="7">
        <v>0.19</v>
      </c>
      <c r="H1145" s="6" t="s">
        <v>2769</v>
      </c>
      <c r="I1145" s="6" t="s">
        <v>20</v>
      </c>
      <c r="J1145" s="6">
        <v>2015.0</v>
      </c>
      <c r="L1145" s="6">
        <v>4.0</v>
      </c>
      <c r="M1145" s="8">
        <f t="shared" si="3"/>
        <v>0.76</v>
      </c>
      <c r="P1145" s="9"/>
    </row>
    <row r="1146">
      <c r="A1146" s="6" t="s">
        <v>2986</v>
      </c>
      <c r="B1146" s="6" t="s">
        <v>2969</v>
      </c>
      <c r="C1146" s="6" t="s">
        <v>2138</v>
      </c>
      <c r="D1146" s="6" t="s">
        <v>2987</v>
      </c>
      <c r="E1146" s="6" t="s">
        <v>629</v>
      </c>
      <c r="F1146" s="6" t="s">
        <v>2962</v>
      </c>
      <c r="G1146" s="7">
        <v>0.55</v>
      </c>
      <c r="H1146" s="6" t="s">
        <v>2471</v>
      </c>
      <c r="I1146" s="6" t="s">
        <v>20</v>
      </c>
      <c r="J1146" s="6">
        <v>2012.0</v>
      </c>
      <c r="L1146" s="6">
        <v>3.0</v>
      </c>
      <c r="M1146" s="8">
        <f t="shared" si="3"/>
        <v>1.65</v>
      </c>
      <c r="P1146" s="9"/>
    </row>
    <row r="1147">
      <c r="A1147" s="6" t="s">
        <v>2988</v>
      </c>
      <c r="B1147" s="6" t="s">
        <v>2969</v>
      </c>
      <c r="C1147" s="6" t="s">
        <v>2138</v>
      </c>
      <c r="D1147" s="6" t="s">
        <v>2989</v>
      </c>
      <c r="E1147" s="6" t="s">
        <v>2967</v>
      </c>
      <c r="F1147" s="6" t="s">
        <v>2962</v>
      </c>
      <c r="G1147" s="7">
        <v>0.05</v>
      </c>
      <c r="H1147" s="6" t="s">
        <v>2990</v>
      </c>
      <c r="I1147" s="6" t="s">
        <v>20</v>
      </c>
      <c r="J1147" s="6">
        <v>2013.0</v>
      </c>
      <c r="L1147" s="6">
        <v>4.0</v>
      </c>
      <c r="M1147" s="8">
        <f t="shared" si="3"/>
        <v>0.2</v>
      </c>
      <c r="P1147" s="9"/>
    </row>
    <row r="1148">
      <c r="A1148" s="6" t="s">
        <v>2991</v>
      </c>
      <c r="B1148" s="6" t="s">
        <v>2992</v>
      </c>
      <c r="C1148" s="6" t="s">
        <v>2855</v>
      </c>
      <c r="D1148" s="6" t="s">
        <v>2993</v>
      </c>
      <c r="E1148" s="6" t="s">
        <v>1758</v>
      </c>
      <c r="F1148" s="6" t="s">
        <v>2962</v>
      </c>
      <c r="G1148" s="7">
        <v>0.8</v>
      </c>
      <c r="H1148" s="6" t="s">
        <v>2994</v>
      </c>
      <c r="I1148" s="6" t="s">
        <v>20</v>
      </c>
      <c r="J1148" s="6">
        <v>2011.0</v>
      </c>
      <c r="K1148" s="10">
        <v>46146.0</v>
      </c>
      <c r="L1148" s="6">
        <v>1.0</v>
      </c>
      <c r="M1148" s="8">
        <f t="shared" si="3"/>
        <v>0.8</v>
      </c>
      <c r="P1148" s="9"/>
    </row>
    <row r="1149">
      <c r="A1149" s="6" t="s">
        <v>2995</v>
      </c>
      <c r="B1149" s="6" t="s">
        <v>2969</v>
      </c>
      <c r="C1149" s="6" t="s">
        <v>2138</v>
      </c>
      <c r="D1149" s="6" t="s">
        <v>2996</v>
      </c>
      <c r="E1149" s="6" t="s">
        <v>2280</v>
      </c>
      <c r="F1149" s="6" t="s">
        <v>2962</v>
      </c>
      <c r="G1149" s="7">
        <v>0.06</v>
      </c>
      <c r="H1149" s="6" t="s">
        <v>2619</v>
      </c>
      <c r="I1149" s="6" t="s">
        <v>20</v>
      </c>
      <c r="J1149" s="6">
        <v>2019.0</v>
      </c>
      <c r="L1149" s="6">
        <v>4.0</v>
      </c>
      <c r="M1149" s="8">
        <f t="shared" si="3"/>
        <v>0.24</v>
      </c>
      <c r="P1149" s="9"/>
    </row>
    <row r="1150">
      <c r="A1150" s="6" t="s">
        <v>2997</v>
      </c>
      <c r="B1150" s="6" t="s">
        <v>2998</v>
      </c>
      <c r="C1150" s="6" t="s">
        <v>2138</v>
      </c>
      <c r="D1150" s="6" t="s">
        <v>2999</v>
      </c>
      <c r="E1150" s="6" t="s">
        <v>629</v>
      </c>
      <c r="F1150" s="6" t="s">
        <v>2962</v>
      </c>
      <c r="G1150" s="7">
        <v>0.15</v>
      </c>
      <c r="H1150" s="6" t="s">
        <v>1704</v>
      </c>
      <c r="I1150" s="6" t="s">
        <v>20</v>
      </c>
      <c r="J1150" s="6">
        <v>2016.0</v>
      </c>
      <c r="K1150" s="10">
        <v>46023.0</v>
      </c>
      <c r="L1150" s="6">
        <v>4.0</v>
      </c>
      <c r="M1150" s="8">
        <f t="shared" si="3"/>
        <v>0.6</v>
      </c>
      <c r="P1150" s="9"/>
    </row>
    <row r="1151">
      <c r="A1151" s="6" t="s">
        <v>3000</v>
      </c>
      <c r="B1151" s="6" t="s">
        <v>2845</v>
      </c>
      <c r="C1151" s="6" t="s">
        <v>2138</v>
      </c>
      <c r="D1151" s="6" t="s">
        <v>3001</v>
      </c>
      <c r="E1151" s="6" t="s">
        <v>2280</v>
      </c>
      <c r="F1151" s="6" t="s">
        <v>2962</v>
      </c>
      <c r="G1151" s="7">
        <v>0.09</v>
      </c>
      <c r="H1151" s="6" t="s">
        <v>2384</v>
      </c>
      <c r="I1151" s="6" t="s">
        <v>20</v>
      </c>
      <c r="J1151" s="6">
        <v>2019.0</v>
      </c>
      <c r="L1151" s="6">
        <v>4.0</v>
      </c>
      <c r="M1151" s="8">
        <f t="shared" si="3"/>
        <v>0.36</v>
      </c>
      <c r="P1151" s="9"/>
    </row>
    <row r="1152">
      <c r="A1152" s="6" t="s">
        <v>3002</v>
      </c>
      <c r="B1152" s="6" t="s">
        <v>610</v>
      </c>
      <c r="C1152" s="6" t="s">
        <v>1667</v>
      </c>
      <c r="D1152" s="6" t="s">
        <v>3003</v>
      </c>
      <c r="E1152" s="6" t="s">
        <v>2967</v>
      </c>
      <c r="F1152" s="6" t="s">
        <v>2976</v>
      </c>
      <c r="G1152" s="7">
        <v>0.47</v>
      </c>
      <c r="H1152" s="6" t="s">
        <v>3004</v>
      </c>
      <c r="I1152" s="6" t="s">
        <v>1791</v>
      </c>
      <c r="J1152" s="6">
        <v>2016.0</v>
      </c>
      <c r="L1152" s="6">
        <v>2.0</v>
      </c>
      <c r="M1152" s="8">
        <f t="shared" si="3"/>
        <v>0.94</v>
      </c>
      <c r="P1152" s="9"/>
    </row>
    <row r="1153">
      <c r="A1153" s="6" t="s">
        <v>3005</v>
      </c>
      <c r="B1153" s="6" t="s">
        <v>3006</v>
      </c>
      <c r="C1153" s="6" t="s">
        <v>2841</v>
      </c>
      <c r="D1153" s="6" t="s">
        <v>3007</v>
      </c>
      <c r="E1153" s="6" t="s">
        <v>2380</v>
      </c>
      <c r="F1153" s="6" t="s">
        <v>2962</v>
      </c>
      <c r="G1153" s="7">
        <v>0.1</v>
      </c>
      <c r="H1153" s="6" t="s">
        <v>3008</v>
      </c>
      <c r="I1153" s="6" t="s">
        <v>20</v>
      </c>
      <c r="J1153" s="6">
        <v>2011.0</v>
      </c>
      <c r="K1153" s="10">
        <v>46116.0</v>
      </c>
      <c r="L1153" s="6">
        <v>1.0</v>
      </c>
      <c r="M1153" s="8">
        <f t="shared" si="3"/>
        <v>0.1</v>
      </c>
      <c r="P1153" s="9"/>
    </row>
    <row r="1154">
      <c r="A1154" s="6" t="s">
        <v>3005</v>
      </c>
      <c r="B1154" s="6" t="s">
        <v>3006</v>
      </c>
      <c r="C1154" s="6" t="s">
        <v>2841</v>
      </c>
      <c r="D1154" s="6" t="s">
        <v>3007</v>
      </c>
      <c r="E1154" s="6" t="s">
        <v>2380</v>
      </c>
      <c r="F1154" s="6" t="s">
        <v>2962</v>
      </c>
      <c r="G1154" s="7">
        <v>0.19</v>
      </c>
      <c r="H1154" s="6" t="s">
        <v>2769</v>
      </c>
      <c r="I1154" s="6" t="s">
        <v>20</v>
      </c>
      <c r="J1154" s="6">
        <v>2015.0</v>
      </c>
      <c r="K1154" s="10">
        <v>46116.0</v>
      </c>
      <c r="L1154" s="6">
        <v>3.0</v>
      </c>
      <c r="M1154" s="8">
        <f t="shared" si="3"/>
        <v>0.57</v>
      </c>
      <c r="P1154" s="9"/>
    </row>
    <row r="1155">
      <c r="A1155" s="6" t="s">
        <v>3009</v>
      </c>
      <c r="B1155" s="6" t="s">
        <v>3010</v>
      </c>
      <c r="C1155" s="6" t="s">
        <v>1667</v>
      </c>
      <c r="D1155" s="6" t="s">
        <v>3011</v>
      </c>
      <c r="E1155" s="6" t="s">
        <v>629</v>
      </c>
      <c r="F1155" s="6" t="s">
        <v>2976</v>
      </c>
      <c r="G1155" s="7">
        <v>0.03</v>
      </c>
      <c r="H1155" s="6" t="s">
        <v>2179</v>
      </c>
      <c r="I1155" s="6" t="s">
        <v>1791</v>
      </c>
      <c r="J1155" s="6">
        <v>2018.0</v>
      </c>
      <c r="K1155" s="10">
        <v>46054.0</v>
      </c>
      <c r="L1155" s="6">
        <v>4.0</v>
      </c>
      <c r="M1155" s="8">
        <f t="shared" si="3"/>
        <v>0.12</v>
      </c>
      <c r="P1155" s="9"/>
    </row>
    <row r="1156">
      <c r="A1156" s="6" t="s">
        <v>3012</v>
      </c>
      <c r="B1156" s="6" t="s">
        <v>2845</v>
      </c>
      <c r="C1156" s="6" t="s">
        <v>2138</v>
      </c>
      <c r="D1156" s="6" t="s">
        <v>3013</v>
      </c>
      <c r="E1156" s="6" t="s">
        <v>629</v>
      </c>
      <c r="F1156" s="6" t="s">
        <v>2962</v>
      </c>
      <c r="G1156" s="7">
        <v>0.09</v>
      </c>
      <c r="H1156" s="6" t="s">
        <v>1987</v>
      </c>
      <c r="I1156" s="6" t="s">
        <v>20</v>
      </c>
      <c r="J1156" s="6">
        <v>2019.0</v>
      </c>
      <c r="L1156" s="6">
        <v>1.0</v>
      </c>
      <c r="M1156" s="8">
        <f t="shared" si="3"/>
        <v>0.09</v>
      </c>
      <c r="P1156" s="9"/>
    </row>
    <row r="1157">
      <c r="A1157" s="6" t="s">
        <v>3012</v>
      </c>
      <c r="B1157" s="6" t="s">
        <v>2845</v>
      </c>
      <c r="C1157" s="6" t="s">
        <v>2138</v>
      </c>
      <c r="D1157" s="6" t="s">
        <v>3013</v>
      </c>
      <c r="E1157" s="6" t="s">
        <v>629</v>
      </c>
      <c r="F1157" s="6" t="s">
        <v>2962</v>
      </c>
      <c r="G1157" s="7">
        <v>0.1</v>
      </c>
      <c r="H1157" s="6" t="s">
        <v>3014</v>
      </c>
      <c r="I1157" s="6" t="s">
        <v>20</v>
      </c>
      <c r="J1157" s="6">
        <v>2013.0</v>
      </c>
      <c r="L1157" s="6">
        <v>1.0</v>
      </c>
      <c r="M1157" s="8">
        <f t="shared" si="3"/>
        <v>0.1</v>
      </c>
      <c r="P1157" s="9"/>
    </row>
    <row r="1158">
      <c r="A1158" s="6" t="s">
        <v>3012</v>
      </c>
      <c r="B1158" s="6" t="s">
        <v>2845</v>
      </c>
      <c r="C1158" s="6" t="s">
        <v>2138</v>
      </c>
      <c r="D1158" s="6" t="s">
        <v>3013</v>
      </c>
      <c r="E1158" s="6" t="s">
        <v>629</v>
      </c>
      <c r="F1158" s="6" t="s">
        <v>2962</v>
      </c>
      <c r="G1158" s="7">
        <v>0.08</v>
      </c>
      <c r="H1158" s="6" t="s">
        <v>3015</v>
      </c>
      <c r="I1158" s="6" t="s">
        <v>20</v>
      </c>
      <c r="J1158" s="6">
        <v>2012.0</v>
      </c>
      <c r="L1158" s="6">
        <v>3.0</v>
      </c>
      <c r="M1158" s="8">
        <f t="shared" si="3"/>
        <v>0.24</v>
      </c>
      <c r="P1158" s="9"/>
    </row>
    <row r="1159">
      <c r="A1159" s="6" t="s">
        <v>3016</v>
      </c>
      <c r="B1159" s="6" t="s">
        <v>3017</v>
      </c>
      <c r="C1159" s="6" t="s">
        <v>2138</v>
      </c>
      <c r="D1159" s="6" t="s">
        <v>3018</v>
      </c>
      <c r="E1159" s="6" t="s">
        <v>2280</v>
      </c>
      <c r="F1159" s="6" t="s">
        <v>2962</v>
      </c>
      <c r="G1159" s="7">
        <v>0.11</v>
      </c>
      <c r="H1159" s="6" t="s">
        <v>2471</v>
      </c>
      <c r="I1159" s="6" t="s">
        <v>20</v>
      </c>
      <c r="J1159" s="6">
        <v>2012.0</v>
      </c>
      <c r="K1159" s="10">
        <v>46023.0</v>
      </c>
      <c r="L1159" s="6">
        <v>4.0</v>
      </c>
      <c r="M1159" s="8">
        <f t="shared" si="3"/>
        <v>0.44</v>
      </c>
      <c r="P1159" s="9"/>
    </row>
    <row r="1160">
      <c r="A1160" s="6" t="s">
        <v>3019</v>
      </c>
      <c r="B1160" s="6" t="s">
        <v>2837</v>
      </c>
      <c r="C1160" s="6" t="s">
        <v>2138</v>
      </c>
      <c r="D1160" s="6" t="s">
        <v>3020</v>
      </c>
      <c r="E1160" s="6" t="s">
        <v>2280</v>
      </c>
      <c r="F1160" s="6" t="s">
        <v>2962</v>
      </c>
      <c r="G1160" s="7">
        <v>1.19</v>
      </c>
      <c r="H1160" s="6" t="s">
        <v>3021</v>
      </c>
      <c r="I1160" s="6" t="s">
        <v>20</v>
      </c>
      <c r="J1160" s="6">
        <v>2023.0</v>
      </c>
      <c r="K1160" s="10">
        <v>46023.0</v>
      </c>
      <c r="L1160" s="6">
        <v>3.0</v>
      </c>
      <c r="M1160" s="8">
        <f t="shared" si="3"/>
        <v>3.57</v>
      </c>
      <c r="P1160" s="9"/>
    </row>
    <row r="1161">
      <c r="A1161" s="6" t="s">
        <v>3019</v>
      </c>
      <c r="B1161" s="6" t="s">
        <v>3022</v>
      </c>
      <c r="C1161" s="6" t="s">
        <v>1667</v>
      </c>
      <c r="D1161" s="6" t="s">
        <v>3023</v>
      </c>
      <c r="E1161" s="6" t="s">
        <v>2280</v>
      </c>
      <c r="F1161" s="6" t="s">
        <v>2976</v>
      </c>
      <c r="G1161" s="7">
        <v>1.4</v>
      </c>
      <c r="H1161" s="6" t="s">
        <v>3024</v>
      </c>
      <c r="I1161" s="6" t="s">
        <v>1791</v>
      </c>
      <c r="J1161" s="6">
        <v>2011.0</v>
      </c>
      <c r="K1161" s="10">
        <v>46023.0</v>
      </c>
      <c r="L1161" s="6">
        <v>1.0</v>
      </c>
      <c r="M1161" s="8">
        <f t="shared" si="3"/>
        <v>1.4</v>
      </c>
      <c r="P1161" s="9"/>
    </row>
    <row r="1162">
      <c r="A1162" s="6" t="s">
        <v>3025</v>
      </c>
      <c r="B1162" s="6" t="s">
        <v>3026</v>
      </c>
      <c r="C1162" s="6" t="s">
        <v>2138</v>
      </c>
      <c r="D1162" s="6" t="s">
        <v>3027</v>
      </c>
      <c r="E1162" s="6" t="s">
        <v>2280</v>
      </c>
      <c r="F1162" s="6" t="s">
        <v>2962</v>
      </c>
      <c r="G1162" s="7">
        <v>0.06</v>
      </c>
      <c r="H1162" s="6" t="s">
        <v>1990</v>
      </c>
      <c r="I1162" s="6" t="s">
        <v>20</v>
      </c>
      <c r="J1162" s="6">
        <v>2011.0</v>
      </c>
      <c r="K1162" s="10">
        <v>46023.0</v>
      </c>
      <c r="L1162" s="6">
        <v>4.0</v>
      </c>
      <c r="M1162" s="8">
        <f t="shared" si="3"/>
        <v>0.24</v>
      </c>
      <c r="P1162" s="9"/>
    </row>
    <row r="1163">
      <c r="A1163" s="6" t="s">
        <v>3028</v>
      </c>
      <c r="B1163" s="6" t="s">
        <v>3022</v>
      </c>
      <c r="C1163" s="6" t="s">
        <v>1667</v>
      </c>
      <c r="D1163" s="6" t="s">
        <v>3029</v>
      </c>
      <c r="E1163" s="6" t="s">
        <v>2280</v>
      </c>
      <c r="F1163" s="6" t="s">
        <v>2976</v>
      </c>
      <c r="G1163" s="7">
        <v>0.05</v>
      </c>
      <c r="H1163" s="6" t="s">
        <v>2641</v>
      </c>
      <c r="I1163" s="6" t="s">
        <v>1791</v>
      </c>
      <c r="J1163" s="6">
        <v>2013.0</v>
      </c>
      <c r="K1163" s="10">
        <v>46082.0</v>
      </c>
      <c r="L1163" s="6">
        <v>4.0</v>
      </c>
      <c r="M1163" s="8">
        <f t="shared" si="3"/>
        <v>0.2</v>
      </c>
      <c r="P1163" s="9"/>
    </row>
    <row r="1164">
      <c r="A1164" s="6" t="s">
        <v>3030</v>
      </c>
      <c r="B1164" s="6" t="s">
        <v>2822</v>
      </c>
      <c r="C1164" s="6" t="s">
        <v>1667</v>
      </c>
      <c r="D1164" s="6" t="s">
        <v>3031</v>
      </c>
      <c r="E1164" s="6" t="s">
        <v>1853</v>
      </c>
      <c r="F1164" s="6" t="s">
        <v>2976</v>
      </c>
      <c r="G1164" s="7">
        <v>0.03</v>
      </c>
      <c r="H1164" s="6" t="s">
        <v>2179</v>
      </c>
      <c r="I1164" s="6" t="s">
        <v>1791</v>
      </c>
      <c r="J1164" s="6">
        <v>2018.0</v>
      </c>
      <c r="L1164" s="6">
        <v>4.0</v>
      </c>
      <c r="M1164" s="8">
        <f t="shared" si="3"/>
        <v>0.12</v>
      </c>
      <c r="P1164" s="9"/>
    </row>
    <row r="1165">
      <c r="A1165" s="6" t="s">
        <v>3032</v>
      </c>
      <c r="B1165" s="6" t="s">
        <v>2845</v>
      </c>
      <c r="C1165" s="6" t="s">
        <v>2855</v>
      </c>
      <c r="D1165" s="6" t="s">
        <v>3033</v>
      </c>
      <c r="E1165" s="6" t="s">
        <v>1856</v>
      </c>
      <c r="F1165" s="6" t="s">
        <v>2962</v>
      </c>
      <c r="G1165" s="7">
        <v>0.37</v>
      </c>
      <c r="H1165" s="6" t="s">
        <v>2557</v>
      </c>
      <c r="I1165" s="6" t="s">
        <v>20</v>
      </c>
      <c r="J1165" s="6">
        <v>2017.0</v>
      </c>
      <c r="L1165" s="6">
        <v>1.0</v>
      </c>
      <c r="M1165" s="8">
        <f t="shared" si="3"/>
        <v>0.37</v>
      </c>
      <c r="P1165" s="9"/>
    </row>
    <row r="1166">
      <c r="A1166" s="6" t="s">
        <v>3034</v>
      </c>
      <c r="B1166" s="6" t="s">
        <v>2845</v>
      </c>
      <c r="C1166" s="6" t="s">
        <v>2855</v>
      </c>
      <c r="D1166" s="6" t="s">
        <v>3035</v>
      </c>
      <c r="E1166" s="6" t="s">
        <v>1853</v>
      </c>
      <c r="F1166" s="6" t="s">
        <v>2962</v>
      </c>
      <c r="G1166" s="7">
        <v>0.4</v>
      </c>
      <c r="H1166" s="6" t="s">
        <v>2699</v>
      </c>
      <c r="I1166" s="6" t="s">
        <v>20</v>
      </c>
      <c r="J1166" s="6">
        <v>2010.0</v>
      </c>
      <c r="L1166" s="6">
        <v>1.0</v>
      </c>
      <c r="M1166" s="8">
        <f t="shared" si="3"/>
        <v>0.4</v>
      </c>
      <c r="P1166" s="9"/>
    </row>
    <row r="1167">
      <c r="A1167" s="6" t="s">
        <v>3036</v>
      </c>
      <c r="B1167" s="6" t="s">
        <v>3037</v>
      </c>
      <c r="C1167" s="6" t="s">
        <v>2855</v>
      </c>
      <c r="D1167" s="6" t="s">
        <v>3038</v>
      </c>
      <c r="E1167" s="6" t="s">
        <v>1758</v>
      </c>
      <c r="F1167" s="6" t="s">
        <v>2962</v>
      </c>
      <c r="G1167" s="7">
        <v>0.38</v>
      </c>
      <c r="H1167" s="6" t="s">
        <v>3039</v>
      </c>
      <c r="I1167" s="6" t="s">
        <v>20</v>
      </c>
      <c r="J1167" s="6">
        <v>2021.0</v>
      </c>
      <c r="K1167" s="10">
        <v>46083.0</v>
      </c>
      <c r="L1167" s="6">
        <v>1.0</v>
      </c>
      <c r="M1167" s="8">
        <f t="shared" si="3"/>
        <v>0.38</v>
      </c>
      <c r="P1167" s="9"/>
    </row>
    <row r="1168">
      <c r="A1168" s="6" t="s">
        <v>3040</v>
      </c>
      <c r="B1168" s="6" t="s">
        <v>3041</v>
      </c>
      <c r="C1168" s="6" t="s">
        <v>1897</v>
      </c>
      <c r="D1168" s="6" t="s">
        <v>3042</v>
      </c>
      <c r="E1168" s="6" t="s">
        <v>1758</v>
      </c>
      <c r="F1168" s="6" t="s">
        <v>277</v>
      </c>
      <c r="G1168" s="7">
        <v>0.45</v>
      </c>
      <c r="H1168" s="6" t="s">
        <v>164</v>
      </c>
      <c r="I1168" s="6" t="s">
        <v>20</v>
      </c>
      <c r="J1168" s="6">
        <v>2014.0</v>
      </c>
      <c r="K1168" s="10">
        <v>46083.0</v>
      </c>
      <c r="L1168" s="6">
        <v>2.0</v>
      </c>
      <c r="M1168" s="8">
        <f t="shared" si="3"/>
        <v>0.9</v>
      </c>
      <c r="P1168" s="9"/>
    </row>
    <row r="1169">
      <c r="A1169" s="6" t="s">
        <v>3043</v>
      </c>
      <c r="B1169" s="6" t="s">
        <v>3044</v>
      </c>
      <c r="C1169" s="6" t="s">
        <v>2855</v>
      </c>
      <c r="D1169" s="6" t="s">
        <v>3045</v>
      </c>
      <c r="E1169" s="6" t="s">
        <v>3046</v>
      </c>
      <c r="F1169" s="6" t="s">
        <v>2962</v>
      </c>
      <c r="G1169" s="7">
        <v>0.39</v>
      </c>
      <c r="H1169" s="6" t="s">
        <v>1664</v>
      </c>
      <c r="I1169" s="6" t="s">
        <v>20</v>
      </c>
      <c r="J1169" s="6">
        <v>2018.0</v>
      </c>
      <c r="K1169" s="10">
        <v>46180.0</v>
      </c>
      <c r="L1169" s="6">
        <v>1.0</v>
      </c>
      <c r="M1169" s="8">
        <f t="shared" si="3"/>
        <v>0.39</v>
      </c>
      <c r="P1169" s="9"/>
    </row>
    <row r="1170">
      <c r="A1170" s="6" t="s">
        <v>3047</v>
      </c>
      <c r="B1170" s="6" t="s">
        <v>610</v>
      </c>
      <c r="C1170" s="6" t="s">
        <v>1667</v>
      </c>
      <c r="D1170" s="6" t="s">
        <v>3048</v>
      </c>
      <c r="E1170" s="6" t="s">
        <v>629</v>
      </c>
      <c r="F1170" s="6" t="s">
        <v>2976</v>
      </c>
      <c r="G1170" s="7">
        <v>4.0</v>
      </c>
      <c r="H1170" s="6" t="s">
        <v>3049</v>
      </c>
      <c r="I1170" s="6" t="s">
        <v>31</v>
      </c>
      <c r="J1170" s="6">
        <v>2025.0</v>
      </c>
      <c r="L1170" s="6">
        <v>1.0</v>
      </c>
      <c r="M1170" s="8">
        <f t="shared" si="3"/>
        <v>4</v>
      </c>
      <c r="P1170" s="9"/>
    </row>
    <row r="1171">
      <c r="A1171" s="6" t="s">
        <v>3050</v>
      </c>
      <c r="B1171" s="6" t="s">
        <v>385</v>
      </c>
      <c r="C1171" s="6" t="s">
        <v>1628</v>
      </c>
      <c r="D1171" s="6" t="s">
        <v>3051</v>
      </c>
      <c r="E1171" s="6" t="s">
        <v>3052</v>
      </c>
      <c r="F1171" s="6" t="s">
        <v>2976</v>
      </c>
      <c r="G1171" s="7">
        <v>3.41</v>
      </c>
      <c r="H1171" s="6" t="s">
        <v>2219</v>
      </c>
      <c r="I1171" s="6" t="s">
        <v>1791</v>
      </c>
      <c r="J1171" s="6">
        <v>2024.0</v>
      </c>
      <c r="L1171" s="6">
        <v>1.0</v>
      </c>
      <c r="M1171" s="8">
        <f t="shared" si="3"/>
        <v>3.41</v>
      </c>
      <c r="P1171" s="9"/>
    </row>
    <row r="1172">
      <c r="A1172" s="6" t="s">
        <v>3053</v>
      </c>
      <c r="B1172" s="6" t="s">
        <v>3054</v>
      </c>
      <c r="C1172" s="6" t="s">
        <v>1667</v>
      </c>
      <c r="D1172" s="6" t="s">
        <v>3055</v>
      </c>
      <c r="E1172" s="6" t="s">
        <v>380</v>
      </c>
      <c r="F1172" s="6" t="s">
        <v>3056</v>
      </c>
      <c r="G1172" s="7">
        <v>0.1</v>
      </c>
      <c r="H1172" s="6" t="s">
        <v>2797</v>
      </c>
      <c r="I1172" s="6" t="s">
        <v>1791</v>
      </c>
      <c r="J1172" s="6">
        <v>2026.0</v>
      </c>
      <c r="K1172" s="10">
        <v>46082.0</v>
      </c>
      <c r="L1172" s="6">
        <v>1.0</v>
      </c>
      <c r="M1172" s="8">
        <f t="shared" si="3"/>
        <v>0.1</v>
      </c>
      <c r="P1172" s="9"/>
    </row>
    <row r="1173">
      <c r="A1173" s="6" t="s">
        <v>3057</v>
      </c>
      <c r="B1173" s="6" t="s">
        <v>2845</v>
      </c>
      <c r="C1173" s="6" t="s">
        <v>2138</v>
      </c>
      <c r="D1173" s="6" t="s">
        <v>3058</v>
      </c>
      <c r="E1173" s="6" t="s">
        <v>2326</v>
      </c>
      <c r="F1173" s="6" t="s">
        <v>3059</v>
      </c>
      <c r="G1173" s="7">
        <v>0.05</v>
      </c>
      <c r="H1173" s="6" t="s">
        <v>2797</v>
      </c>
      <c r="I1173" s="6" t="s">
        <v>20</v>
      </c>
      <c r="J1173" s="6">
        <v>2026.0</v>
      </c>
      <c r="L1173" s="6">
        <v>2.0</v>
      </c>
      <c r="M1173" s="8">
        <f t="shared" si="3"/>
        <v>0.1</v>
      </c>
      <c r="P1173" s="9"/>
    </row>
    <row r="1174">
      <c r="A1174" s="6" t="s">
        <v>3060</v>
      </c>
      <c r="B1174" s="6" t="s">
        <v>2822</v>
      </c>
      <c r="C1174" s="6" t="s">
        <v>1667</v>
      </c>
      <c r="D1174" s="6" t="s">
        <v>3061</v>
      </c>
      <c r="E1174" s="6" t="s">
        <v>380</v>
      </c>
      <c r="F1174" s="6" t="s">
        <v>3056</v>
      </c>
      <c r="G1174" s="7">
        <v>0.15</v>
      </c>
      <c r="H1174" s="6" t="s">
        <v>2797</v>
      </c>
      <c r="I1174" s="6" t="s">
        <v>1791</v>
      </c>
      <c r="J1174" s="6">
        <v>2026.0</v>
      </c>
      <c r="L1174" s="6">
        <v>1.0</v>
      </c>
      <c r="M1174" s="8">
        <f t="shared" si="3"/>
        <v>0.15</v>
      </c>
      <c r="P1174" s="9"/>
    </row>
    <row r="1175">
      <c r="A1175" s="6" t="s">
        <v>3062</v>
      </c>
      <c r="B1175" s="6" t="s">
        <v>610</v>
      </c>
      <c r="C1175" s="6" t="s">
        <v>1628</v>
      </c>
      <c r="D1175" s="6" t="s">
        <v>3063</v>
      </c>
      <c r="E1175" s="6" t="s">
        <v>2318</v>
      </c>
      <c r="F1175" s="6" t="s">
        <v>3056</v>
      </c>
      <c r="G1175" s="7">
        <v>0.09</v>
      </c>
      <c r="H1175" s="6" t="s">
        <v>2797</v>
      </c>
      <c r="I1175" s="6" t="s">
        <v>1791</v>
      </c>
      <c r="J1175" s="6">
        <v>2026.0</v>
      </c>
      <c r="L1175" s="6">
        <v>1.0</v>
      </c>
      <c r="M1175" s="8">
        <f t="shared" si="3"/>
        <v>0.09</v>
      </c>
      <c r="P1175" s="9"/>
    </row>
    <row r="1176">
      <c r="A1176" s="6" t="s">
        <v>3064</v>
      </c>
      <c r="B1176" s="6" t="s">
        <v>3065</v>
      </c>
      <c r="C1176" s="6" t="s">
        <v>1667</v>
      </c>
      <c r="D1176" s="6" t="s">
        <v>3066</v>
      </c>
      <c r="E1176" s="6" t="s">
        <v>1743</v>
      </c>
      <c r="F1176" s="6" t="s">
        <v>1795</v>
      </c>
      <c r="G1176" s="7">
        <v>0.09</v>
      </c>
      <c r="H1176" s="6" t="s">
        <v>2797</v>
      </c>
      <c r="I1176" s="6" t="s">
        <v>1791</v>
      </c>
      <c r="J1176" s="6">
        <v>2026.0</v>
      </c>
      <c r="K1176" s="10">
        <v>46055.0</v>
      </c>
      <c r="L1176" s="6">
        <v>2.0</v>
      </c>
      <c r="M1176" s="8">
        <f t="shared" si="3"/>
        <v>0.18</v>
      </c>
      <c r="P1176" s="9"/>
    </row>
    <row r="1177">
      <c r="A1177" s="6" t="s">
        <v>3067</v>
      </c>
      <c r="B1177" s="6" t="s">
        <v>847</v>
      </c>
      <c r="C1177" s="6" t="s">
        <v>1667</v>
      </c>
      <c r="D1177" s="6" t="s">
        <v>3068</v>
      </c>
      <c r="E1177" s="6" t="s">
        <v>1779</v>
      </c>
      <c r="F1177" s="6" t="s">
        <v>1795</v>
      </c>
      <c r="G1177" s="7">
        <v>0.2</v>
      </c>
      <c r="H1177" s="6" t="s">
        <v>2797</v>
      </c>
      <c r="I1177" s="6" t="s">
        <v>31</v>
      </c>
      <c r="J1177" s="6">
        <v>2026.0</v>
      </c>
      <c r="K1177" s="10">
        <v>46082.0</v>
      </c>
      <c r="L1177" s="6">
        <v>1.0</v>
      </c>
      <c r="M1177" s="8">
        <f t="shared" si="3"/>
        <v>0.2</v>
      </c>
      <c r="P1177" s="9"/>
    </row>
    <row r="1178">
      <c r="A1178" s="6" t="s">
        <v>3069</v>
      </c>
      <c r="B1178" s="6" t="s">
        <v>2814</v>
      </c>
      <c r="C1178" s="6" t="s">
        <v>1667</v>
      </c>
      <c r="D1178" s="6" t="s">
        <v>3070</v>
      </c>
      <c r="E1178" s="6" t="s">
        <v>3071</v>
      </c>
      <c r="F1178" s="6" t="s">
        <v>3072</v>
      </c>
      <c r="G1178" s="7">
        <v>0.1</v>
      </c>
      <c r="H1178" s="6" t="s">
        <v>2797</v>
      </c>
      <c r="I1178" s="6" t="s">
        <v>1791</v>
      </c>
      <c r="J1178" s="6">
        <v>2026.0</v>
      </c>
      <c r="K1178" s="10">
        <v>46115.0</v>
      </c>
      <c r="L1178" s="6">
        <v>3.0</v>
      </c>
      <c r="M1178" s="8">
        <f t="shared" si="3"/>
        <v>0.3</v>
      </c>
      <c r="P1178" s="9"/>
    </row>
    <row r="1179">
      <c r="A1179" s="6" t="s">
        <v>3073</v>
      </c>
      <c r="B1179" s="6" t="s">
        <v>610</v>
      </c>
      <c r="C1179" s="6" t="s">
        <v>1667</v>
      </c>
      <c r="D1179" s="6" t="s">
        <v>3074</v>
      </c>
      <c r="E1179" s="6" t="s">
        <v>2342</v>
      </c>
      <c r="F1179" s="6" t="s">
        <v>3075</v>
      </c>
      <c r="G1179" s="7">
        <v>0.1</v>
      </c>
      <c r="H1179" s="6" t="s">
        <v>2797</v>
      </c>
      <c r="I1179" s="6" t="s">
        <v>1791</v>
      </c>
      <c r="J1179" s="6">
        <v>2026.0</v>
      </c>
      <c r="L1179" s="6">
        <v>1.0</v>
      </c>
      <c r="M1179" s="8">
        <f t="shared" si="3"/>
        <v>0.1</v>
      </c>
      <c r="P1179" s="9"/>
    </row>
    <row r="1180">
      <c r="A1180" s="6" t="s">
        <v>3076</v>
      </c>
      <c r="B1180" s="6" t="s">
        <v>1753</v>
      </c>
      <c r="C1180" s="6" t="s">
        <v>1628</v>
      </c>
      <c r="D1180" s="6" t="s">
        <v>3077</v>
      </c>
      <c r="E1180" s="6" t="s">
        <v>2342</v>
      </c>
      <c r="F1180" s="6" t="s">
        <v>3075</v>
      </c>
      <c r="G1180" s="7">
        <v>0.15</v>
      </c>
      <c r="H1180" s="6" t="s">
        <v>2797</v>
      </c>
      <c r="I1180" s="6" t="s">
        <v>1791</v>
      </c>
      <c r="J1180" s="6">
        <v>2026.0</v>
      </c>
      <c r="L1180" s="6">
        <v>1.0</v>
      </c>
      <c r="M1180" s="8">
        <f t="shared" si="3"/>
        <v>0.15</v>
      </c>
      <c r="P1180" s="9"/>
    </row>
    <row r="1181">
      <c r="A1181" s="6" t="s">
        <v>3078</v>
      </c>
      <c r="B1181" s="6" t="s">
        <v>2803</v>
      </c>
      <c r="C1181" s="6" t="s">
        <v>1949</v>
      </c>
      <c r="D1181" s="6" t="s">
        <v>3079</v>
      </c>
      <c r="E1181" s="6" t="s">
        <v>930</v>
      </c>
      <c r="F1181" s="6" t="s">
        <v>170</v>
      </c>
      <c r="G1181" s="7">
        <v>0.19</v>
      </c>
      <c r="H1181" s="6" t="s">
        <v>2797</v>
      </c>
      <c r="I1181" s="6" t="s">
        <v>20</v>
      </c>
      <c r="J1181" s="6">
        <v>2026.0</v>
      </c>
      <c r="K1181" s="10">
        <v>46024.0</v>
      </c>
      <c r="L1181" s="6">
        <v>1.0</v>
      </c>
      <c r="M1181" s="8">
        <f t="shared" si="3"/>
        <v>0.19</v>
      </c>
      <c r="P1181" s="9"/>
    </row>
    <row r="1182">
      <c r="A1182" s="6" t="s">
        <v>3080</v>
      </c>
      <c r="B1182" s="6" t="s">
        <v>3081</v>
      </c>
      <c r="C1182" s="6" t="s">
        <v>1667</v>
      </c>
      <c r="D1182" s="6" t="s">
        <v>3082</v>
      </c>
      <c r="E1182" s="6" t="s">
        <v>2358</v>
      </c>
      <c r="F1182" s="6" t="s">
        <v>3075</v>
      </c>
      <c r="G1182" s="7">
        <v>0.09</v>
      </c>
      <c r="H1182" s="6" t="s">
        <v>2797</v>
      </c>
      <c r="I1182" s="6" t="s">
        <v>1791</v>
      </c>
      <c r="J1182" s="6">
        <v>2026.0</v>
      </c>
      <c r="K1182" s="10">
        <v>46148.0</v>
      </c>
      <c r="L1182" s="6">
        <v>1.0</v>
      </c>
      <c r="M1182" s="8">
        <f t="shared" si="3"/>
        <v>0.09</v>
      </c>
      <c r="P1182" s="9"/>
    </row>
    <row r="1183">
      <c r="A1183" s="6" t="s">
        <v>3083</v>
      </c>
      <c r="B1183" s="6" t="s">
        <v>610</v>
      </c>
      <c r="C1183" s="6" t="s">
        <v>1667</v>
      </c>
      <c r="D1183" s="6" t="s">
        <v>3084</v>
      </c>
      <c r="E1183" s="6" t="s">
        <v>2365</v>
      </c>
      <c r="F1183" s="6" t="s">
        <v>3075</v>
      </c>
      <c r="G1183" s="7">
        <v>0.05</v>
      </c>
      <c r="H1183" s="6" t="s">
        <v>2797</v>
      </c>
      <c r="I1183" s="6" t="s">
        <v>1791</v>
      </c>
      <c r="J1183" s="6">
        <v>2026.0</v>
      </c>
      <c r="L1183" s="6">
        <v>1.0</v>
      </c>
      <c r="M1183" s="8">
        <f t="shared" si="3"/>
        <v>0.05</v>
      </c>
      <c r="P1183" s="9"/>
    </row>
    <row r="1184">
      <c r="A1184" s="6" t="s">
        <v>3085</v>
      </c>
      <c r="B1184" s="6" t="s">
        <v>3081</v>
      </c>
      <c r="C1184" s="6" t="s">
        <v>1667</v>
      </c>
      <c r="D1184" s="6" t="s">
        <v>3086</v>
      </c>
      <c r="E1184" s="6" t="s">
        <v>2342</v>
      </c>
      <c r="F1184" s="6" t="s">
        <v>3075</v>
      </c>
      <c r="G1184" s="7">
        <v>0.2</v>
      </c>
      <c r="H1184" s="6" t="s">
        <v>2797</v>
      </c>
      <c r="I1184" s="6" t="s">
        <v>31</v>
      </c>
      <c r="J1184" s="6">
        <v>2026.0</v>
      </c>
      <c r="K1184" s="10">
        <v>46055.0</v>
      </c>
      <c r="L1184" s="6">
        <v>1.0</v>
      </c>
      <c r="M1184" s="8">
        <f t="shared" si="3"/>
        <v>0.2</v>
      </c>
      <c r="P1184" s="9"/>
    </row>
    <row r="1185">
      <c r="A1185" s="6" t="s">
        <v>3085</v>
      </c>
      <c r="B1185" s="6" t="s">
        <v>3081</v>
      </c>
      <c r="C1185" s="6" t="s">
        <v>1667</v>
      </c>
      <c r="D1185" s="6" t="s">
        <v>3086</v>
      </c>
      <c r="E1185" s="6" t="s">
        <v>2342</v>
      </c>
      <c r="F1185" s="6" t="s">
        <v>3075</v>
      </c>
      <c r="G1185" s="7">
        <v>0.1</v>
      </c>
      <c r="H1185" s="6" t="s">
        <v>2797</v>
      </c>
      <c r="I1185" s="6" t="s">
        <v>1791</v>
      </c>
      <c r="J1185" s="6">
        <v>2026.0</v>
      </c>
      <c r="K1185" s="10">
        <v>46055.0</v>
      </c>
      <c r="L1185" s="6">
        <v>1.0</v>
      </c>
      <c r="M1185" s="8">
        <f t="shared" si="3"/>
        <v>0.1</v>
      </c>
      <c r="P1185" s="9"/>
    </row>
    <row r="1186">
      <c r="A1186" s="6" t="s">
        <v>3087</v>
      </c>
      <c r="B1186" s="6" t="s">
        <v>2831</v>
      </c>
      <c r="C1186" s="6" t="s">
        <v>295</v>
      </c>
      <c r="D1186" s="6" t="s">
        <v>3088</v>
      </c>
      <c r="E1186" s="6" t="s">
        <v>2365</v>
      </c>
      <c r="F1186" s="6" t="s">
        <v>170</v>
      </c>
      <c r="G1186" s="7">
        <v>0.1</v>
      </c>
      <c r="H1186" s="6" t="s">
        <v>2797</v>
      </c>
      <c r="I1186" s="6" t="s">
        <v>20</v>
      </c>
      <c r="J1186" s="6">
        <v>2026.0</v>
      </c>
      <c r="K1186" s="10">
        <v>46114.0</v>
      </c>
      <c r="L1186" s="6">
        <v>1.0</v>
      </c>
      <c r="M1186" s="8">
        <f t="shared" si="3"/>
        <v>0.1</v>
      </c>
      <c r="P1186" s="9"/>
    </row>
    <row r="1187">
      <c r="A1187" s="6" t="s">
        <v>3089</v>
      </c>
      <c r="B1187" s="6" t="s">
        <v>3090</v>
      </c>
      <c r="C1187" s="6" t="s">
        <v>295</v>
      </c>
      <c r="D1187" s="6" t="s">
        <v>3091</v>
      </c>
      <c r="E1187" s="6" t="s">
        <v>2365</v>
      </c>
      <c r="F1187" s="6" t="s">
        <v>170</v>
      </c>
      <c r="G1187" s="7">
        <v>0.08</v>
      </c>
      <c r="H1187" s="6" t="s">
        <v>3092</v>
      </c>
      <c r="I1187" s="6" t="s">
        <v>20</v>
      </c>
      <c r="J1187" s="6">
        <v>2015.0</v>
      </c>
      <c r="K1187" s="10">
        <v>46056.0</v>
      </c>
      <c r="L1187" s="6">
        <v>1.0</v>
      </c>
      <c r="M1187" s="8">
        <f t="shared" si="3"/>
        <v>0.08</v>
      </c>
      <c r="P1187" s="9"/>
    </row>
    <row r="1188">
      <c r="A1188" s="6" t="s">
        <v>3093</v>
      </c>
      <c r="B1188" s="6" t="s">
        <v>2878</v>
      </c>
      <c r="C1188" s="6" t="s">
        <v>295</v>
      </c>
      <c r="D1188" s="6" t="s">
        <v>3094</v>
      </c>
      <c r="E1188" s="6" t="s">
        <v>2350</v>
      </c>
      <c r="F1188" s="6" t="s">
        <v>170</v>
      </c>
      <c r="G1188" s="7">
        <v>0.1</v>
      </c>
      <c r="H1188" s="6" t="s">
        <v>2797</v>
      </c>
      <c r="I1188" s="6" t="s">
        <v>20</v>
      </c>
      <c r="J1188" s="6">
        <v>2026.0</v>
      </c>
      <c r="K1188" s="10">
        <v>46055.0</v>
      </c>
      <c r="L1188" s="6">
        <v>1.0</v>
      </c>
      <c r="M1188" s="8">
        <f t="shared" si="3"/>
        <v>0.1</v>
      </c>
      <c r="P1188" s="9"/>
    </row>
    <row r="1189">
      <c r="A1189" s="6" t="s">
        <v>3093</v>
      </c>
      <c r="B1189" s="6" t="s">
        <v>2878</v>
      </c>
      <c r="C1189" s="6" t="s">
        <v>295</v>
      </c>
      <c r="D1189" s="6" t="s">
        <v>3094</v>
      </c>
      <c r="E1189" s="6" t="s">
        <v>2350</v>
      </c>
      <c r="F1189" s="6" t="s">
        <v>170</v>
      </c>
      <c r="G1189" s="7">
        <v>0.25</v>
      </c>
      <c r="H1189" s="6" t="s">
        <v>2797</v>
      </c>
      <c r="I1189" s="6" t="s">
        <v>31</v>
      </c>
      <c r="J1189" s="6">
        <v>2026.0</v>
      </c>
      <c r="K1189" s="10">
        <v>46055.0</v>
      </c>
      <c r="L1189" s="6">
        <v>1.0</v>
      </c>
      <c r="M1189" s="8">
        <f t="shared" si="3"/>
        <v>0.25</v>
      </c>
      <c r="P1189" s="9"/>
    </row>
    <row r="1190">
      <c r="A1190" s="6" t="s">
        <v>3095</v>
      </c>
      <c r="B1190" s="6" t="s">
        <v>2803</v>
      </c>
      <c r="C1190" s="6" t="s">
        <v>295</v>
      </c>
      <c r="D1190" s="6" t="s">
        <v>3096</v>
      </c>
      <c r="E1190" s="6" t="s">
        <v>2365</v>
      </c>
      <c r="F1190" s="6" t="s">
        <v>170</v>
      </c>
      <c r="G1190" s="7">
        <v>0.11</v>
      </c>
      <c r="H1190" s="6" t="s">
        <v>2797</v>
      </c>
      <c r="I1190" s="6" t="s">
        <v>20</v>
      </c>
      <c r="J1190" s="6">
        <v>2026.0</v>
      </c>
      <c r="K1190" s="10">
        <v>46085.0</v>
      </c>
      <c r="L1190" s="6">
        <v>1.0</v>
      </c>
      <c r="M1190" s="8">
        <f t="shared" si="3"/>
        <v>0.11</v>
      </c>
      <c r="P1190" s="9"/>
    </row>
    <row r="1191">
      <c r="A1191" s="6" t="s">
        <v>3097</v>
      </c>
      <c r="B1191" s="6" t="s">
        <v>3098</v>
      </c>
      <c r="C1191" s="6" t="s">
        <v>295</v>
      </c>
      <c r="D1191" s="6" t="s">
        <v>3099</v>
      </c>
      <c r="E1191" s="6" t="s">
        <v>2342</v>
      </c>
      <c r="F1191" s="6" t="s">
        <v>170</v>
      </c>
      <c r="G1191" s="7">
        <v>0.1</v>
      </c>
      <c r="H1191" s="6" t="s">
        <v>2797</v>
      </c>
      <c r="I1191" s="6" t="s">
        <v>20</v>
      </c>
      <c r="J1191" s="6">
        <v>2026.0</v>
      </c>
      <c r="K1191" s="10">
        <v>46082.0</v>
      </c>
      <c r="L1191" s="6">
        <v>2.0</v>
      </c>
      <c r="M1191" s="8">
        <f t="shared" si="3"/>
        <v>0.2</v>
      </c>
      <c r="P1191" s="9"/>
    </row>
    <row r="1192">
      <c r="A1192" s="6" t="s">
        <v>3100</v>
      </c>
      <c r="B1192" s="6" t="s">
        <v>385</v>
      </c>
      <c r="C1192" s="6" t="s">
        <v>1628</v>
      </c>
      <c r="D1192" s="6" t="s">
        <v>3101</v>
      </c>
      <c r="E1192" s="6" t="s">
        <v>930</v>
      </c>
      <c r="F1192" s="6" t="s">
        <v>170</v>
      </c>
      <c r="G1192" s="7">
        <v>0.1</v>
      </c>
      <c r="H1192" s="6" t="s">
        <v>2797</v>
      </c>
      <c r="I1192" s="6" t="s">
        <v>1791</v>
      </c>
      <c r="J1192" s="6">
        <v>2026.0</v>
      </c>
      <c r="L1192" s="6">
        <v>2.0</v>
      </c>
      <c r="M1192" s="8">
        <f t="shared" si="3"/>
        <v>0.2</v>
      </c>
      <c r="P1192" s="9"/>
    </row>
    <row r="1193">
      <c r="A1193" s="6" t="s">
        <v>3102</v>
      </c>
      <c r="B1193" s="6" t="s">
        <v>2814</v>
      </c>
      <c r="C1193" s="6" t="s">
        <v>1628</v>
      </c>
      <c r="D1193" s="6" t="s">
        <v>3103</v>
      </c>
      <c r="E1193" s="6" t="s">
        <v>2350</v>
      </c>
      <c r="F1193" s="6" t="s">
        <v>170</v>
      </c>
      <c r="G1193" s="7">
        <v>0.08</v>
      </c>
      <c r="H1193" s="6" t="s">
        <v>2797</v>
      </c>
      <c r="I1193" s="6" t="s">
        <v>1791</v>
      </c>
      <c r="J1193" s="6">
        <v>2026.0</v>
      </c>
      <c r="K1193" s="10">
        <v>46056.0</v>
      </c>
      <c r="L1193" s="6">
        <v>1.0</v>
      </c>
      <c r="M1193" s="8">
        <f t="shared" si="3"/>
        <v>0.08</v>
      </c>
      <c r="P1193" s="9"/>
    </row>
    <row r="1194">
      <c r="A1194" s="6" t="s">
        <v>3104</v>
      </c>
      <c r="B1194" s="6" t="s">
        <v>3105</v>
      </c>
      <c r="C1194" s="6" t="s">
        <v>1897</v>
      </c>
      <c r="D1194" s="6" t="s">
        <v>3106</v>
      </c>
      <c r="E1194" s="6" t="s">
        <v>3107</v>
      </c>
      <c r="F1194" s="6" t="s">
        <v>3108</v>
      </c>
      <c r="G1194" s="7">
        <v>0.37</v>
      </c>
      <c r="H1194" s="6" t="s">
        <v>2797</v>
      </c>
      <c r="I1194" s="6" t="s">
        <v>20</v>
      </c>
      <c r="J1194" s="6">
        <v>2026.0</v>
      </c>
      <c r="L1194" s="6">
        <v>1.0</v>
      </c>
      <c r="M1194" s="8">
        <f t="shared" si="3"/>
        <v>0.37</v>
      </c>
      <c r="P1194" s="9"/>
    </row>
    <row r="1195">
      <c r="A1195" s="6" t="s">
        <v>3109</v>
      </c>
      <c r="B1195" s="6" t="s">
        <v>3110</v>
      </c>
      <c r="C1195" s="6" t="s">
        <v>295</v>
      </c>
      <c r="D1195" s="6" t="s">
        <v>3111</v>
      </c>
      <c r="E1195" s="6" t="s">
        <v>930</v>
      </c>
      <c r="F1195" s="6" t="s">
        <v>170</v>
      </c>
      <c r="G1195" s="7">
        <v>0.06</v>
      </c>
      <c r="H1195" s="6" t="s">
        <v>2511</v>
      </c>
      <c r="I1195" s="6" t="s">
        <v>20</v>
      </c>
      <c r="J1195" s="6">
        <v>2018.0</v>
      </c>
      <c r="K1195" s="10">
        <v>46023.0</v>
      </c>
      <c r="L1195" s="6">
        <v>3.0</v>
      </c>
      <c r="M1195" s="8">
        <f t="shared" si="3"/>
        <v>0.18</v>
      </c>
      <c r="P1195" s="9"/>
    </row>
    <row r="1196">
      <c r="A1196" s="6" t="s">
        <v>3112</v>
      </c>
      <c r="B1196" s="6" t="s">
        <v>2878</v>
      </c>
      <c r="C1196" s="6" t="s">
        <v>1949</v>
      </c>
      <c r="D1196" s="6" t="s">
        <v>3113</v>
      </c>
      <c r="E1196" s="6" t="s">
        <v>1490</v>
      </c>
      <c r="F1196" s="6" t="s">
        <v>3114</v>
      </c>
      <c r="G1196" s="7">
        <v>0.25</v>
      </c>
      <c r="H1196" s="6" t="s">
        <v>2797</v>
      </c>
      <c r="I1196" s="6" t="s">
        <v>20</v>
      </c>
      <c r="J1196" s="6">
        <v>2026.0</v>
      </c>
      <c r="K1196" s="10">
        <v>46083.0</v>
      </c>
      <c r="L1196" s="6">
        <v>1.0</v>
      </c>
      <c r="M1196" s="8">
        <f t="shared" si="3"/>
        <v>0.25</v>
      </c>
      <c r="P1196" s="9"/>
    </row>
    <row r="1197">
      <c r="A1197" s="6" t="s">
        <v>3115</v>
      </c>
      <c r="B1197" s="6" t="s">
        <v>2878</v>
      </c>
      <c r="C1197" s="6" t="s">
        <v>295</v>
      </c>
      <c r="D1197" s="6" t="s">
        <v>3116</v>
      </c>
      <c r="E1197" s="6" t="s">
        <v>3117</v>
      </c>
      <c r="F1197" s="6" t="s">
        <v>3114</v>
      </c>
      <c r="G1197" s="7">
        <v>0.11</v>
      </c>
      <c r="H1197" s="6" t="s">
        <v>2797</v>
      </c>
      <c r="I1197" s="6" t="s">
        <v>20</v>
      </c>
      <c r="J1197" s="6">
        <v>2026.0</v>
      </c>
      <c r="K1197" s="10">
        <v>46117.0</v>
      </c>
      <c r="L1197" s="6">
        <v>1.0</v>
      </c>
      <c r="M1197" s="8">
        <f t="shared" si="3"/>
        <v>0.11</v>
      </c>
      <c r="P1197" s="9"/>
    </row>
    <row r="1198">
      <c r="A1198" s="6" t="s">
        <v>3118</v>
      </c>
      <c r="B1198" s="6" t="s">
        <v>3119</v>
      </c>
      <c r="C1198" s="6" t="s">
        <v>295</v>
      </c>
      <c r="D1198" s="6" t="s">
        <v>3120</v>
      </c>
      <c r="E1198" s="6" t="s">
        <v>2664</v>
      </c>
      <c r="F1198" s="6" t="s">
        <v>18</v>
      </c>
      <c r="G1198" s="7">
        <v>0.1</v>
      </c>
      <c r="H1198" s="6" t="s">
        <v>2797</v>
      </c>
      <c r="I1198" s="6" t="s">
        <v>20</v>
      </c>
      <c r="J1198" s="6">
        <v>2026.0</v>
      </c>
      <c r="K1198" s="10">
        <v>46148.0</v>
      </c>
      <c r="L1198" s="6">
        <v>1.0</v>
      </c>
      <c r="M1198" s="8">
        <f t="shared" si="3"/>
        <v>0.1</v>
      </c>
      <c r="P1198" s="9"/>
    </row>
    <row r="1199">
      <c r="A1199" s="6" t="s">
        <v>3121</v>
      </c>
      <c r="B1199" s="6" t="s">
        <v>610</v>
      </c>
      <c r="C1199" s="6" t="s">
        <v>295</v>
      </c>
      <c r="D1199" s="6" t="s">
        <v>3122</v>
      </c>
      <c r="E1199" s="6" t="s">
        <v>2295</v>
      </c>
      <c r="F1199" s="6" t="s">
        <v>18</v>
      </c>
      <c r="G1199" s="7">
        <v>0.1</v>
      </c>
      <c r="H1199" s="6" t="s">
        <v>2797</v>
      </c>
      <c r="I1199" s="6" t="s">
        <v>20</v>
      </c>
      <c r="J1199" s="6">
        <v>2026.0</v>
      </c>
      <c r="L1199" s="6">
        <v>1.0</v>
      </c>
      <c r="M1199" s="8">
        <f t="shared" si="3"/>
        <v>0.1</v>
      </c>
      <c r="P1199" s="9"/>
    </row>
    <row r="1200">
      <c r="A1200" s="6" t="s">
        <v>3123</v>
      </c>
      <c r="B1200" s="6" t="s">
        <v>3124</v>
      </c>
      <c r="C1200" s="6" t="s">
        <v>295</v>
      </c>
      <c r="D1200" s="6" t="s">
        <v>3125</v>
      </c>
      <c r="E1200" s="6" t="s">
        <v>1779</v>
      </c>
      <c r="F1200" s="6" t="s">
        <v>152</v>
      </c>
      <c r="G1200" s="7">
        <v>0.09</v>
      </c>
      <c r="H1200" s="6" t="s">
        <v>2797</v>
      </c>
      <c r="I1200" s="6" t="s">
        <v>20</v>
      </c>
      <c r="J1200" s="6">
        <v>2026.0</v>
      </c>
      <c r="K1200" s="10">
        <v>46116.0</v>
      </c>
      <c r="L1200" s="6">
        <v>4.0</v>
      </c>
      <c r="M1200" s="8">
        <f t="shared" si="3"/>
        <v>0.36</v>
      </c>
      <c r="P1200" s="9"/>
    </row>
    <row r="1201">
      <c r="A1201" s="6" t="s">
        <v>3126</v>
      </c>
      <c r="B1201" s="6" t="s">
        <v>610</v>
      </c>
      <c r="C1201" s="6" t="s">
        <v>1949</v>
      </c>
      <c r="D1201" s="6" t="s">
        <v>3127</v>
      </c>
      <c r="E1201" s="6" t="s">
        <v>1779</v>
      </c>
      <c r="F1201" s="6" t="s">
        <v>152</v>
      </c>
      <c r="G1201" s="7">
        <v>0.06</v>
      </c>
      <c r="H1201" s="6" t="s">
        <v>2797</v>
      </c>
      <c r="I1201" s="6" t="s">
        <v>20</v>
      </c>
      <c r="J1201" s="6">
        <v>2026.0</v>
      </c>
      <c r="L1201" s="6">
        <v>1.0</v>
      </c>
      <c r="M1201" s="8">
        <f t="shared" si="3"/>
        <v>0.06</v>
      </c>
      <c r="P1201" s="9"/>
    </row>
    <row r="1202">
      <c r="A1202" s="6" t="s">
        <v>3128</v>
      </c>
      <c r="B1202" s="6" t="s">
        <v>610</v>
      </c>
      <c r="C1202" s="6" t="s">
        <v>1949</v>
      </c>
      <c r="D1202" s="6" t="s">
        <v>3129</v>
      </c>
      <c r="E1202" s="6" t="s">
        <v>1779</v>
      </c>
      <c r="F1202" s="6" t="s">
        <v>152</v>
      </c>
      <c r="G1202" s="7">
        <v>0.19</v>
      </c>
      <c r="H1202" s="6" t="s">
        <v>2797</v>
      </c>
      <c r="I1202" s="6" t="s">
        <v>20</v>
      </c>
      <c r="J1202" s="6">
        <v>2026.0</v>
      </c>
      <c r="L1202" s="6">
        <v>1.0</v>
      </c>
      <c r="M1202" s="8">
        <f t="shared" si="3"/>
        <v>0.19</v>
      </c>
      <c r="P1202" s="9"/>
    </row>
    <row r="1203">
      <c r="A1203" s="6" t="s">
        <v>3130</v>
      </c>
      <c r="B1203" s="6" t="s">
        <v>610</v>
      </c>
      <c r="C1203" s="6" t="s">
        <v>1949</v>
      </c>
      <c r="D1203" s="6" t="s">
        <v>3131</v>
      </c>
      <c r="E1203" s="6" t="s">
        <v>1743</v>
      </c>
      <c r="F1203" s="6" t="s">
        <v>152</v>
      </c>
      <c r="G1203" s="7">
        <v>0.07</v>
      </c>
      <c r="H1203" s="6" t="s">
        <v>2797</v>
      </c>
      <c r="I1203" s="6" t="s">
        <v>20</v>
      </c>
      <c r="J1203" s="6">
        <v>2026.0</v>
      </c>
      <c r="L1203" s="6">
        <v>1.0</v>
      </c>
      <c r="M1203" s="8">
        <f t="shared" si="3"/>
        <v>0.07</v>
      </c>
      <c r="P1203" s="9"/>
    </row>
    <row r="1204">
      <c r="A1204" s="6" t="s">
        <v>3132</v>
      </c>
      <c r="B1204" s="6" t="s">
        <v>3133</v>
      </c>
      <c r="C1204" s="6" t="s">
        <v>1949</v>
      </c>
      <c r="D1204" s="6" t="s">
        <v>3134</v>
      </c>
      <c r="E1204" s="6" t="s">
        <v>1779</v>
      </c>
      <c r="F1204" s="6" t="s">
        <v>152</v>
      </c>
      <c r="G1204" s="7">
        <v>0.05</v>
      </c>
      <c r="H1204" s="6" t="s">
        <v>2797</v>
      </c>
      <c r="I1204" s="6" t="s">
        <v>20</v>
      </c>
      <c r="J1204" s="6">
        <v>2026.0</v>
      </c>
      <c r="K1204" s="10">
        <v>46144.0</v>
      </c>
      <c r="L1204" s="6">
        <v>1.0</v>
      </c>
      <c r="M1204" s="8">
        <f t="shared" si="3"/>
        <v>0.05</v>
      </c>
      <c r="P1204" s="9"/>
    </row>
    <row r="1205">
      <c r="A1205" s="6" t="s">
        <v>3135</v>
      </c>
      <c r="B1205" s="6" t="s">
        <v>3136</v>
      </c>
      <c r="C1205" s="6" t="s">
        <v>1949</v>
      </c>
      <c r="D1205" s="6" t="s">
        <v>3137</v>
      </c>
      <c r="E1205" s="6" t="s">
        <v>713</v>
      </c>
      <c r="F1205" s="6" t="s">
        <v>152</v>
      </c>
      <c r="G1205" s="7">
        <v>0.2</v>
      </c>
      <c r="H1205" s="6" t="s">
        <v>2797</v>
      </c>
      <c r="I1205" s="6" t="s">
        <v>20</v>
      </c>
      <c r="J1205" s="6">
        <v>2026.0</v>
      </c>
      <c r="K1205" s="10">
        <v>46024.0</v>
      </c>
      <c r="L1205" s="6">
        <v>1.0</v>
      </c>
      <c r="M1205" s="8">
        <f t="shared" si="3"/>
        <v>0.2</v>
      </c>
      <c r="P1205" s="9"/>
    </row>
    <row r="1206">
      <c r="A1206" s="6" t="s">
        <v>3138</v>
      </c>
      <c r="B1206" s="6" t="s">
        <v>3139</v>
      </c>
      <c r="C1206" s="6" t="s">
        <v>295</v>
      </c>
      <c r="D1206" s="6" t="s">
        <v>3140</v>
      </c>
      <c r="E1206" s="6" t="s">
        <v>1761</v>
      </c>
      <c r="F1206" s="6" t="s">
        <v>152</v>
      </c>
      <c r="G1206" s="7">
        <v>0.1</v>
      </c>
      <c r="H1206" s="6" t="s">
        <v>2797</v>
      </c>
      <c r="I1206" s="6" t="s">
        <v>20</v>
      </c>
      <c r="J1206" s="6">
        <v>2026.0</v>
      </c>
      <c r="K1206" s="10">
        <v>46115.0</v>
      </c>
      <c r="L1206" s="6">
        <v>2.0</v>
      </c>
      <c r="M1206" s="8">
        <f t="shared" si="3"/>
        <v>0.2</v>
      </c>
      <c r="P1206" s="9"/>
    </row>
    <row r="1207">
      <c r="A1207" s="6" t="s">
        <v>3141</v>
      </c>
      <c r="B1207" s="6" t="s">
        <v>3142</v>
      </c>
      <c r="C1207" s="6" t="s">
        <v>1949</v>
      </c>
      <c r="D1207" s="6" t="s">
        <v>3143</v>
      </c>
      <c r="E1207" s="6" t="s">
        <v>1779</v>
      </c>
      <c r="F1207" s="6" t="s">
        <v>152</v>
      </c>
      <c r="G1207" s="7">
        <v>0.15</v>
      </c>
      <c r="H1207" s="6" t="s">
        <v>2797</v>
      </c>
      <c r="I1207" s="6" t="s">
        <v>20</v>
      </c>
      <c r="J1207" s="6">
        <v>2026.0</v>
      </c>
      <c r="L1207" s="6">
        <v>1.0</v>
      </c>
      <c r="M1207" s="8">
        <f t="shared" si="3"/>
        <v>0.15</v>
      </c>
      <c r="P1207" s="9"/>
    </row>
    <row r="1208">
      <c r="A1208" s="6" t="s">
        <v>3144</v>
      </c>
      <c r="B1208" s="6" t="s">
        <v>3145</v>
      </c>
      <c r="C1208" s="6" t="s">
        <v>1949</v>
      </c>
      <c r="D1208" s="6" t="s">
        <v>3146</v>
      </c>
      <c r="E1208" s="6" t="s">
        <v>1743</v>
      </c>
      <c r="F1208" s="6" t="s">
        <v>152</v>
      </c>
      <c r="G1208" s="7">
        <v>0.05</v>
      </c>
      <c r="H1208" s="6" t="s">
        <v>2797</v>
      </c>
      <c r="I1208" s="6" t="s">
        <v>20</v>
      </c>
      <c r="J1208" s="6">
        <v>2026.0</v>
      </c>
      <c r="K1208" s="10">
        <v>46117.0</v>
      </c>
      <c r="L1208" s="6">
        <v>1.0</v>
      </c>
      <c r="M1208" s="8">
        <f t="shared" si="3"/>
        <v>0.05</v>
      </c>
      <c r="P1208" s="9"/>
    </row>
    <row r="1209">
      <c r="A1209" s="6" t="s">
        <v>3147</v>
      </c>
      <c r="B1209" s="6" t="s">
        <v>610</v>
      </c>
      <c r="C1209" s="6" t="s">
        <v>295</v>
      </c>
      <c r="D1209" s="6" t="s">
        <v>3148</v>
      </c>
      <c r="E1209" s="6" t="s">
        <v>1761</v>
      </c>
      <c r="F1209" s="6" t="s">
        <v>152</v>
      </c>
      <c r="G1209" s="7">
        <v>0.05</v>
      </c>
      <c r="H1209" s="6" t="s">
        <v>2797</v>
      </c>
      <c r="I1209" s="6" t="s">
        <v>20</v>
      </c>
      <c r="J1209" s="6">
        <v>2026.0</v>
      </c>
      <c r="L1209" s="6">
        <v>1.0</v>
      </c>
      <c r="M1209" s="8">
        <f t="shared" si="3"/>
        <v>0.05</v>
      </c>
      <c r="P1209" s="9"/>
    </row>
    <row r="1210">
      <c r="A1210" s="6" t="s">
        <v>3069</v>
      </c>
      <c r="B1210" s="6" t="s">
        <v>2814</v>
      </c>
      <c r="C1210" s="6" t="s">
        <v>295</v>
      </c>
      <c r="D1210" s="6" t="s">
        <v>3149</v>
      </c>
      <c r="E1210" s="6" t="s">
        <v>3071</v>
      </c>
      <c r="F1210" s="6" t="s">
        <v>3150</v>
      </c>
      <c r="G1210" s="7">
        <v>0.1</v>
      </c>
      <c r="H1210" s="6" t="s">
        <v>2797</v>
      </c>
      <c r="I1210" s="6" t="s">
        <v>20</v>
      </c>
      <c r="J1210" s="6">
        <v>2026.0</v>
      </c>
      <c r="K1210" s="10">
        <v>46115.0</v>
      </c>
      <c r="L1210" s="6">
        <v>1.0</v>
      </c>
      <c r="M1210" s="8">
        <f t="shared" si="3"/>
        <v>0.1</v>
      </c>
      <c r="P1210" s="9"/>
    </row>
    <row r="1211">
      <c r="A1211" s="6" t="s">
        <v>3151</v>
      </c>
      <c r="B1211" s="6" t="s">
        <v>2912</v>
      </c>
      <c r="C1211" s="6" t="s">
        <v>1949</v>
      </c>
      <c r="D1211" s="6" t="s">
        <v>3152</v>
      </c>
      <c r="E1211" s="6" t="s">
        <v>1761</v>
      </c>
      <c r="F1211" s="6" t="s">
        <v>152</v>
      </c>
      <c r="G1211" s="7">
        <v>0.07</v>
      </c>
      <c r="H1211" s="6" t="s">
        <v>2797</v>
      </c>
      <c r="I1211" s="6" t="s">
        <v>20</v>
      </c>
      <c r="J1211" s="6">
        <v>2026.0</v>
      </c>
      <c r="K1211" s="6" t="s">
        <v>3153</v>
      </c>
      <c r="L1211" s="6">
        <v>1.0</v>
      </c>
      <c r="M1211" s="8">
        <f t="shared" si="3"/>
        <v>0.07</v>
      </c>
      <c r="P1211" s="9"/>
    </row>
    <row r="1212">
      <c r="A1212" s="6" t="s">
        <v>3154</v>
      </c>
      <c r="B1212" s="6" t="s">
        <v>3155</v>
      </c>
      <c r="C1212" s="6" t="s">
        <v>295</v>
      </c>
      <c r="D1212" s="6" t="s">
        <v>3156</v>
      </c>
      <c r="E1212" s="6" t="s">
        <v>1761</v>
      </c>
      <c r="F1212" s="6" t="s">
        <v>152</v>
      </c>
      <c r="G1212" s="7">
        <v>0.1</v>
      </c>
      <c r="H1212" s="6" t="s">
        <v>2797</v>
      </c>
      <c r="I1212" s="6" t="s">
        <v>20</v>
      </c>
      <c r="J1212" s="6">
        <v>2026.0</v>
      </c>
      <c r="K1212" s="10">
        <v>46084.0</v>
      </c>
      <c r="L1212" s="6">
        <v>2.0</v>
      </c>
      <c r="M1212" s="8">
        <f t="shared" si="3"/>
        <v>0.2</v>
      </c>
      <c r="P1212" s="9"/>
    </row>
    <row r="1213">
      <c r="A1213" s="6" t="s">
        <v>3157</v>
      </c>
      <c r="B1213" s="6" t="s">
        <v>554</v>
      </c>
      <c r="C1213" s="6" t="s">
        <v>1949</v>
      </c>
      <c r="D1213" s="6" t="s">
        <v>3158</v>
      </c>
      <c r="E1213" s="6" t="s">
        <v>1269</v>
      </c>
      <c r="F1213" s="6" t="s">
        <v>80</v>
      </c>
      <c r="G1213" s="7">
        <v>0.23</v>
      </c>
      <c r="H1213" s="6" t="s">
        <v>2797</v>
      </c>
      <c r="I1213" s="6" t="s">
        <v>20</v>
      </c>
      <c r="J1213" s="6">
        <v>2026.0</v>
      </c>
      <c r="L1213" s="6">
        <v>1.0</v>
      </c>
      <c r="M1213" s="8">
        <f t="shared" si="3"/>
        <v>0.23</v>
      </c>
      <c r="P1213" s="9"/>
    </row>
    <row r="1214">
      <c r="A1214" s="6" t="s">
        <v>3159</v>
      </c>
      <c r="B1214" s="6" t="s">
        <v>675</v>
      </c>
      <c r="C1214" s="6" t="s">
        <v>295</v>
      </c>
      <c r="D1214" s="6" t="s">
        <v>3160</v>
      </c>
      <c r="E1214" s="6" t="s">
        <v>1035</v>
      </c>
      <c r="F1214" s="6" t="s">
        <v>80</v>
      </c>
      <c r="G1214" s="7">
        <v>0.1</v>
      </c>
      <c r="H1214" s="6" t="s">
        <v>2797</v>
      </c>
      <c r="I1214" s="6" t="s">
        <v>20</v>
      </c>
      <c r="J1214" s="6">
        <v>2026.0</v>
      </c>
      <c r="L1214" s="6">
        <v>1.0</v>
      </c>
      <c r="M1214" s="8">
        <f t="shared" si="3"/>
        <v>0.1</v>
      </c>
      <c r="P1214" s="9"/>
    </row>
    <row r="1215">
      <c r="A1215" s="6" t="s">
        <v>3161</v>
      </c>
      <c r="B1215" s="6" t="s">
        <v>554</v>
      </c>
      <c r="C1215" s="6" t="s">
        <v>1949</v>
      </c>
      <c r="D1215" s="6" t="s">
        <v>3162</v>
      </c>
      <c r="E1215" s="6" t="s">
        <v>1035</v>
      </c>
      <c r="F1215" s="6" t="s">
        <v>80</v>
      </c>
      <c r="G1215" s="7">
        <v>0.3</v>
      </c>
      <c r="H1215" s="6" t="s">
        <v>2797</v>
      </c>
      <c r="I1215" s="6" t="s">
        <v>31</v>
      </c>
      <c r="J1215" s="6">
        <v>2026.0</v>
      </c>
      <c r="L1215" s="6">
        <v>1.0</v>
      </c>
      <c r="M1215" s="8">
        <f t="shared" si="3"/>
        <v>0.3</v>
      </c>
      <c r="P1215" s="9"/>
    </row>
    <row r="1216">
      <c r="A1216" s="6" t="s">
        <v>3161</v>
      </c>
      <c r="B1216" s="6" t="s">
        <v>554</v>
      </c>
      <c r="C1216" s="6" t="s">
        <v>1949</v>
      </c>
      <c r="D1216" s="6" t="s">
        <v>3162</v>
      </c>
      <c r="E1216" s="6" t="s">
        <v>1035</v>
      </c>
      <c r="F1216" s="6" t="s">
        <v>80</v>
      </c>
      <c r="G1216" s="7">
        <v>0.2</v>
      </c>
      <c r="H1216" s="6" t="s">
        <v>2797</v>
      </c>
      <c r="I1216" s="6" t="s">
        <v>20</v>
      </c>
      <c r="J1216" s="6">
        <v>2026.0</v>
      </c>
      <c r="L1216" s="6">
        <v>1.0</v>
      </c>
      <c r="M1216" s="8">
        <f t="shared" si="3"/>
        <v>0.2</v>
      </c>
      <c r="P1216" s="9"/>
    </row>
    <row r="1217">
      <c r="A1217" s="6" t="s">
        <v>3163</v>
      </c>
      <c r="B1217" s="6" t="s">
        <v>3136</v>
      </c>
      <c r="C1217" s="6" t="s">
        <v>295</v>
      </c>
      <c r="D1217" s="6" t="s">
        <v>3164</v>
      </c>
      <c r="E1217" s="6" t="s">
        <v>3165</v>
      </c>
      <c r="F1217" s="6" t="s">
        <v>3108</v>
      </c>
      <c r="G1217" s="7">
        <v>0.1</v>
      </c>
      <c r="H1217" s="6" t="s">
        <v>2797</v>
      </c>
      <c r="I1217" s="6" t="s">
        <v>20</v>
      </c>
      <c r="J1217" s="6">
        <v>2026.0</v>
      </c>
      <c r="K1217" s="10">
        <v>46084.0</v>
      </c>
      <c r="L1217" s="6">
        <v>1.0</v>
      </c>
      <c r="M1217" s="8">
        <f t="shared" si="3"/>
        <v>0.1</v>
      </c>
      <c r="P1217" s="9"/>
    </row>
    <row r="1218">
      <c r="A1218" s="6" t="s">
        <v>3166</v>
      </c>
      <c r="B1218" s="6" t="s">
        <v>2895</v>
      </c>
      <c r="C1218" s="6" t="s">
        <v>1949</v>
      </c>
      <c r="D1218" s="6" t="s">
        <v>3167</v>
      </c>
      <c r="E1218" s="6" t="s">
        <v>3168</v>
      </c>
      <c r="F1218" s="6" t="s">
        <v>3169</v>
      </c>
      <c r="G1218" s="7">
        <v>0.2</v>
      </c>
      <c r="H1218" s="6" t="s">
        <v>2797</v>
      </c>
      <c r="I1218" s="6" t="s">
        <v>20</v>
      </c>
      <c r="J1218" s="6">
        <v>2026.0</v>
      </c>
      <c r="K1218" s="10">
        <v>46083.0</v>
      </c>
      <c r="L1218" s="6">
        <v>1.0</v>
      </c>
      <c r="M1218" s="8">
        <f t="shared" si="3"/>
        <v>0.2</v>
      </c>
      <c r="P1218" s="9"/>
    </row>
    <row r="1219">
      <c r="A1219" s="6" t="s">
        <v>3170</v>
      </c>
      <c r="B1219" s="6" t="s">
        <v>3124</v>
      </c>
      <c r="C1219" s="6" t="s">
        <v>1949</v>
      </c>
      <c r="D1219" s="6" t="s">
        <v>3171</v>
      </c>
      <c r="E1219" s="6" t="s">
        <v>963</v>
      </c>
      <c r="F1219" s="6" t="s">
        <v>3108</v>
      </c>
      <c r="G1219" s="7">
        <v>0.2</v>
      </c>
      <c r="H1219" s="6" t="s">
        <v>2797</v>
      </c>
      <c r="I1219" s="6" t="s">
        <v>20</v>
      </c>
      <c r="J1219" s="6">
        <v>2026.0</v>
      </c>
      <c r="K1219" s="10">
        <v>46055.0</v>
      </c>
      <c r="L1219" s="6">
        <v>1.0</v>
      </c>
      <c r="M1219" s="8">
        <f t="shared" si="3"/>
        <v>0.2</v>
      </c>
      <c r="P1219" s="9"/>
    </row>
    <row r="1220">
      <c r="A1220" s="6" t="s">
        <v>3172</v>
      </c>
      <c r="B1220" s="6" t="s">
        <v>2580</v>
      </c>
      <c r="C1220" s="6" t="s">
        <v>295</v>
      </c>
      <c r="D1220" s="6" t="s">
        <v>3173</v>
      </c>
      <c r="E1220" s="6" t="s">
        <v>930</v>
      </c>
      <c r="F1220" s="6" t="s">
        <v>170</v>
      </c>
      <c r="G1220" s="7">
        <v>0.09</v>
      </c>
      <c r="H1220" s="6" t="s">
        <v>2006</v>
      </c>
      <c r="I1220" s="6" t="s">
        <v>20</v>
      </c>
      <c r="J1220" s="6">
        <v>2013.0</v>
      </c>
      <c r="K1220" s="10">
        <v>46023.0</v>
      </c>
      <c r="L1220" s="6">
        <v>1.0</v>
      </c>
      <c r="M1220" s="8">
        <f t="shared" si="3"/>
        <v>0.09</v>
      </c>
      <c r="P1220" s="9"/>
    </row>
    <row r="1221">
      <c r="A1221" s="6" t="s">
        <v>3174</v>
      </c>
      <c r="B1221" s="6" t="s">
        <v>2814</v>
      </c>
      <c r="C1221" s="6" t="s">
        <v>295</v>
      </c>
      <c r="D1221" s="6" t="s">
        <v>3175</v>
      </c>
      <c r="E1221" s="6" t="s">
        <v>3176</v>
      </c>
      <c r="F1221" s="6" t="s">
        <v>3177</v>
      </c>
      <c r="G1221" s="7">
        <v>0.1</v>
      </c>
      <c r="H1221" s="6" t="s">
        <v>2797</v>
      </c>
      <c r="I1221" s="6" t="s">
        <v>20</v>
      </c>
      <c r="J1221" s="6">
        <v>2026.0</v>
      </c>
      <c r="K1221" s="10">
        <v>46083.0</v>
      </c>
      <c r="L1221" s="6">
        <v>1.0</v>
      </c>
      <c r="M1221" s="8">
        <f t="shared" si="3"/>
        <v>0.1</v>
      </c>
      <c r="P1221" s="9"/>
    </row>
    <row r="1222">
      <c r="A1222" s="6" t="s">
        <v>3178</v>
      </c>
      <c r="B1222" s="6" t="s">
        <v>2586</v>
      </c>
      <c r="C1222" s="6" t="s">
        <v>1949</v>
      </c>
      <c r="D1222" s="6" t="s">
        <v>3179</v>
      </c>
      <c r="E1222" s="6" t="s">
        <v>162</v>
      </c>
      <c r="F1222" s="6" t="s">
        <v>163</v>
      </c>
      <c r="G1222" s="7">
        <v>0.25</v>
      </c>
      <c r="H1222" s="6" t="s">
        <v>2797</v>
      </c>
      <c r="I1222" s="6" t="s">
        <v>20</v>
      </c>
      <c r="J1222" s="6">
        <v>2026.0</v>
      </c>
      <c r="K1222" s="10">
        <v>46056.0</v>
      </c>
      <c r="L1222" s="6">
        <v>1.0</v>
      </c>
      <c r="M1222" s="8">
        <f t="shared" si="3"/>
        <v>0.25</v>
      </c>
      <c r="P1222" s="9"/>
    </row>
    <row r="1223">
      <c r="A1223" s="6" t="s">
        <v>3180</v>
      </c>
      <c r="B1223" s="6" t="s">
        <v>3145</v>
      </c>
      <c r="C1223" s="6" t="s">
        <v>295</v>
      </c>
      <c r="D1223" s="6" t="s">
        <v>3181</v>
      </c>
      <c r="E1223" s="6" t="s">
        <v>3182</v>
      </c>
      <c r="F1223" s="6" t="s">
        <v>3183</v>
      </c>
      <c r="G1223" s="7">
        <v>0.05</v>
      </c>
      <c r="H1223" s="6" t="s">
        <v>2797</v>
      </c>
      <c r="I1223" s="6" t="s">
        <v>20</v>
      </c>
      <c r="J1223" s="6">
        <v>2026.0</v>
      </c>
      <c r="K1223" s="10">
        <v>46055.0</v>
      </c>
      <c r="L1223" s="6">
        <v>3.0</v>
      </c>
      <c r="M1223" s="8">
        <f t="shared" si="3"/>
        <v>0.15</v>
      </c>
      <c r="P1223" s="9"/>
    </row>
    <row r="1224">
      <c r="A1224" s="6" t="s">
        <v>3184</v>
      </c>
      <c r="B1224" s="6" t="s">
        <v>3185</v>
      </c>
      <c r="C1224" s="6" t="s">
        <v>1949</v>
      </c>
      <c r="D1224" s="6" t="s">
        <v>3186</v>
      </c>
      <c r="E1224" s="6" t="s">
        <v>3187</v>
      </c>
      <c r="F1224" s="6" t="s">
        <v>3188</v>
      </c>
      <c r="G1224" s="7">
        <v>0.11</v>
      </c>
      <c r="H1224" s="6" t="s">
        <v>2797</v>
      </c>
      <c r="I1224" s="6" t="s">
        <v>20</v>
      </c>
      <c r="J1224" s="6">
        <v>2026.0</v>
      </c>
      <c r="K1224" s="10">
        <v>46209.0</v>
      </c>
      <c r="L1224" s="6">
        <v>1.0</v>
      </c>
      <c r="M1224" s="8">
        <f t="shared" si="3"/>
        <v>0.11</v>
      </c>
      <c r="P1224" s="9"/>
    </row>
    <row r="1225">
      <c r="A1225" s="6" t="s">
        <v>3189</v>
      </c>
      <c r="B1225" s="6" t="s">
        <v>2814</v>
      </c>
      <c r="C1225" s="6" t="s">
        <v>295</v>
      </c>
      <c r="D1225" s="6" t="s">
        <v>3190</v>
      </c>
      <c r="E1225" s="6" t="s">
        <v>3191</v>
      </c>
      <c r="F1225" s="6" t="s">
        <v>3192</v>
      </c>
      <c r="G1225" s="7">
        <v>0.11</v>
      </c>
      <c r="H1225" s="6" t="s">
        <v>2797</v>
      </c>
      <c r="I1225" s="6" t="s">
        <v>20</v>
      </c>
      <c r="J1225" s="6">
        <v>2026.0</v>
      </c>
      <c r="K1225" s="10">
        <v>46057.0</v>
      </c>
      <c r="L1225" s="6">
        <v>2.0</v>
      </c>
      <c r="M1225" s="8">
        <f t="shared" si="3"/>
        <v>0.22</v>
      </c>
      <c r="P1225" s="9"/>
    </row>
    <row r="1226">
      <c r="A1226" s="6" t="s">
        <v>3193</v>
      </c>
      <c r="B1226" s="6" t="s">
        <v>2803</v>
      </c>
      <c r="C1226" s="6" t="s">
        <v>295</v>
      </c>
      <c r="D1226" s="6" t="s">
        <v>3194</v>
      </c>
      <c r="E1226" s="6" t="s">
        <v>3195</v>
      </c>
      <c r="F1226" s="6" t="s">
        <v>3196</v>
      </c>
      <c r="G1226" s="7">
        <v>0.11</v>
      </c>
      <c r="H1226" s="6" t="s">
        <v>2797</v>
      </c>
      <c r="I1226" s="6" t="s">
        <v>20</v>
      </c>
      <c r="J1226" s="6">
        <v>2026.0</v>
      </c>
      <c r="K1226" s="10">
        <v>46056.0</v>
      </c>
      <c r="L1226" s="6">
        <v>1.0</v>
      </c>
      <c r="M1226" s="8">
        <f t="shared" si="3"/>
        <v>0.11</v>
      </c>
      <c r="P1226" s="9"/>
    </row>
    <row r="1227">
      <c r="A1227" s="6" t="s">
        <v>3197</v>
      </c>
      <c r="B1227" s="6" t="s">
        <v>3198</v>
      </c>
      <c r="C1227" s="6" t="s">
        <v>1949</v>
      </c>
      <c r="D1227" s="6" t="s">
        <v>3199</v>
      </c>
      <c r="E1227" s="6" t="s">
        <v>2365</v>
      </c>
      <c r="F1227" s="6" t="s">
        <v>170</v>
      </c>
      <c r="G1227" s="7">
        <v>0.13</v>
      </c>
      <c r="H1227" s="6" t="s">
        <v>1694</v>
      </c>
      <c r="I1227" s="6" t="s">
        <v>20</v>
      </c>
      <c r="J1227" s="6">
        <v>2004.0</v>
      </c>
      <c r="K1227" s="10">
        <v>46055.0</v>
      </c>
      <c r="L1227" s="6">
        <v>1.0</v>
      </c>
      <c r="M1227" s="8">
        <f t="shared" si="3"/>
        <v>0.13</v>
      </c>
      <c r="P1227" s="9"/>
    </row>
    <row r="1228">
      <c r="A1228" s="6" t="s">
        <v>3200</v>
      </c>
      <c r="B1228" s="6" t="s">
        <v>3201</v>
      </c>
      <c r="C1228" s="6" t="s">
        <v>1949</v>
      </c>
      <c r="D1228" s="6" t="s">
        <v>3202</v>
      </c>
      <c r="E1228" s="6" t="s">
        <v>2779</v>
      </c>
      <c r="F1228" s="6" t="s">
        <v>170</v>
      </c>
      <c r="G1228" s="7">
        <v>0.11</v>
      </c>
      <c r="H1228" s="6" t="s">
        <v>1631</v>
      </c>
      <c r="I1228" s="6" t="s">
        <v>20</v>
      </c>
      <c r="J1228" s="6">
        <v>2024.0</v>
      </c>
      <c r="K1228" s="10">
        <v>46147.0</v>
      </c>
      <c r="L1228" s="6">
        <v>1.0</v>
      </c>
      <c r="M1228" s="8">
        <f t="shared" si="3"/>
        <v>0.11</v>
      </c>
      <c r="P1228" s="9"/>
    </row>
    <row r="1229">
      <c r="A1229" s="6" t="s">
        <v>3203</v>
      </c>
      <c r="B1229" s="6" t="s">
        <v>2822</v>
      </c>
      <c r="C1229" s="6" t="s">
        <v>295</v>
      </c>
      <c r="D1229" s="6" t="s">
        <v>3204</v>
      </c>
      <c r="E1229" s="6" t="s">
        <v>930</v>
      </c>
      <c r="F1229" s="6" t="s">
        <v>170</v>
      </c>
      <c r="G1229" s="7">
        <v>0.07</v>
      </c>
      <c r="H1229" s="6" t="s">
        <v>1631</v>
      </c>
      <c r="I1229" s="6" t="s">
        <v>20</v>
      </c>
      <c r="J1229" s="6">
        <v>2024.0</v>
      </c>
      <c r="L1229" s="6">
        <v>1.0</v>
      </c>
      <c r="M1229" s="8">
        <f t="shared" si="3"/>
        <v>0.07</v>
      </c>
      <c r="P1229" s="9"/>
    </row>
    <row r="1230">
      <c r="A1230" s="6" t="s">
        <v>3205</v>
      </c>
      <c r="B1230" s="6" t="s">
        <v>3206</v>
      </c>
      <c r="C1230" s="6" t="s">
        <v>1897</v>
      </c>
      <c r="D1230" s="6" t="s">
        <v>3207</v>
      </c>
      <c r="E1230" s="6" t="s">
        <v>2754</v>
      </c>
      <c r="F1230" s="6" t="s">
        <v>170</v>
      </c>
      <c r="G1230" s="7">
        <v>0.3</v>
      </c>
      <c r="H1230" s="6" t="s">
        <v>2175</v>
      </c>
      <c r="I1230" s="6" t="s">
        <v>20</v>
      </c>
      <c r="J1230" s="6">
        <v>2018.0</v>
      </c>
      <c r="K1230" s="6" t="s">
        <v>750</v>
      </c>
      <c r="L1230" s="6">
        <v>1.0</v>
      </c>
      <c r="M1230" s="8">
        <f t="shared" si="3"/>
        <v>0.3</v>
      </c>
      <c r="P1230" s="9"/>
    </row>
    <row r="1231">
      <c r="A1231" s="6" t="s">
        <v>3208</v>
      </c>
      <c r="B1231" s="6" t="s">
        <v>2058</v>
      </c>
      <c r="C1231" s="6" t="s">
        <v>295</v>
      </c>
      <c r="D1231" s="6" t="s">
        <v>3209</v>
      </c>
      <c r="E1231" s="6" t="s">
        <v>2365</v>
      </c>
      <c r="F1231" s="6" t="s">
        <v>170</v>
      </c>
      <c r="G1231" s="7">
        <v>0.03</v>
      </c>
      <c r="H1231" s="6" t="s">
        <v>1714</v>
      </c>
      <c r="I1231" s="6" t="s">
        <v>20</v>
      </c>
      <c r="J1231" s="6">
        <v>2020.0</v>
      </c>
      <c r="L1231" s="6">
        <v>1.0</v>
      </c>
      <c r="M1231" s="8">
        <f t="shared" si="3"/>
        <v>0.03</v>
      </c>
      <c r="P1231" s="9"/>
    </row>
    <row r="1232">
      <c r="A1232" s="6" t="s">
        <v>3210</v>
      </c>
      <c r="B1232" s="6" t="s">
        <v>2580</v>
      </c>
      <c r="C1232" s="6" t="s">
        <v>1949</v>
      </c>
      <c r="D1232" s="6" t="s">
        <v>3211</v>
      </c>
      <c r="E1232" s="6" t="s">
        <v>2365</v>
      </c>
      <c r="F1232" s="6" t="s">
        <v>170</v>
      </c>
      <c r="G1232" s="7">
        <v>0.15</v>
      </c>
      <c r="H1232" s="6" t="s">
        <v>2552</v>
      </c>
      <c r="I1232" s="6" t="s">
        <v>20</v>
      </c>
      <c r="J1232" s="6">
        <v>2018.0</v>
      </c>
      <c r="K1232" s="10">
        <v>46057.0</v>
      </c>
      <c r="L1232" s="6">
        <v>1.0</v>
      </c>
      <c r="M1232" s="8">
        <f t="shared" si="3"/>
        <v>0.15</v>
      </c>
      <c r="P1232" s="9"/>
    </row>
    <row r="1233">
      <c r="A1233" s="6" t="s">
        <v>3212</v>
      </c>
      <c r="B1233" s="6" t="s">
        <v>3213</v>
      </c>
      <c r="C1233" s="6" t="s">
        <v>1949</v>
      </c>
      <c r="D1233" s="6" t="s">
        <v>3214</v>
      </c>
      <c r="E1233" s="6" t="s">
        <v>2365</v>
      </c>
      <c r="F1233" s="6" t="s">
        <v>170</v>
      </c>
      <c r="G1233" s="7">
        <v>0.2</v>
      </c>
      <c r="H1233" s="6" t="s">
        <v>2372</v>
      </c>
      <c r="I1233" s="6" t="s">
        <v>20</v>
      </c>
      <c r="J1233" s="6">
        <v>2010.0</v>
      </c>
      <c r="K1233" s="10">
        <v>46055.0</v>
      </c>
      <c r="L1233" s="6">
        <v>1.0</v>
      </c>
      <c r="M1233" s="8">
        <f t="shared" si="3"/>
        <v>0.2</v>
      </c>
      <c r="P1233" s="9"/>
    </row>
    <row r="1234">
      <c r="A1234" s="6" t="s">
        <v>185</v>
      </c>
      <c r="B1234" s="6" t="s">
        <v>2786</v>
      </c>
      <c r="C1234" s="6" t="s">
        <v>1897</v>
      </c>
      <c r="D1234" s="6" t="s">
        <v>3215</v>
      </c>
      <c r="E1234" s="6" t="s">
        <v>3216</v>
      </c>
      <c r="F1234" s="6" t="s">
        <v>170</v>
      </c>
      <c r="G1234" s="7">
        <v>0.33</v>
      </c>
      <c r="H1234" s="6" t="s">
        <v>3217</v>
      </c>
      <c r="I1234" s="6" t="s">
        <v>31</v>
      </c>
      <c r="J1234" s="6">
        <v>2014.0</v>
      </c>
      <c r="K1234" s="10">
        <v>46147.0</v>
      </c>
      <c r="L1234" s="6">
        <v>1.0</v>
      </c>
      <c r="M1234" s="8">
        <f t="shared" si="3"/>
        <v>0.33</v>
      </c>
      <c r="P1234" s="9"/>
    </row>
    <row r="1235">
      <c r="A1235" s="6" t="s">
        <v>3218</v>
      </c>
      <c r="B1235" s="6" t="s">
        <v>3219</v>
      </c>
      <c r="C1235" s="6" t="s">
        <v>295</v>
      </c>
      <c r="D1235" s="6" t="s">
        <v>3220</v>
      </c>
      <c r="E1235" s="6" t="s">
        <v>2342</v>
      </c>
      <c r="F1235" s="6" t="s">
        <v>170</v>
      </c>
      <c r="G1235" s="7">
        <v>0.03</v>
      </c>
      <c r="H1235" s="6" t="s">
        <v>1714</v>
      </c>
      <c r="I1235" s="6" t="s">
        <v>20</v>
      </c>
      <c r="J1235" s="6">
        <v>2020.0</v>
      </c>
      <c r="K1235" s="10">
        <v>46082.0</v>
      </c>
      <c r="L1235" s="6">
        <v>1.0</v>
      </c>
      <c r="M1235" s="8">
        <f t="shared" si="3"/>
        <v>0.03</v>
      </c>
      <c r="P1235" s="9"/>
    </row>
    <row r="1236">
      <c r="A1236" s="6" t="s">
        <v>3221</v>
      </c>
      <c r="B1236" s="6" t="s">
        <v>3222</v>
      </c>
      <c r="C1236" s="6" t="s">
        <v>295</v>
      </c>
      <c r="D1236" s="6" t="s">
        <v>3223</v>
      </c>
      <c r="E1236" s="6" t="s">
        <v>2342</v>
      </c>
      <c r="F1236" s="6" t="s">
        <v>170</v>
      </c>
      <c r="G1236" s="7">
        <v>0.1</v>
      </c>
      <c r="H1236" s="6" t="s">
        <v>1711</v>
      </c>
      <c r="I1236" s="6" t="s">
        <v>20</v>
      </c>
      <c r="J1236" s="6">
        <v>2022.0</v>
      </c>
      <c r="K1236" s="10">
        <v>46024.0</v>
      </c>
      <c r="L1236" s="6">
        <v>1.0</v>
      </c>
      <c r="M1236" s="8">
        <f t="shared" si="3"/>
        <v>0.1</v>
      </c>
      <c r="P1236" s="9"/>
    </row>
    <row r="1237">
      <c r="A1237" s="6" t="s">
        <v>3224</v>
      </c>
      <c r="B1237" s="6" t="s">
        <v>2580</v>
      </c>
      <c r="C1237" s="6" t="s">
        <v>1897</v>
      </c>
      <c r="D1237" s="6" t="s">
        <v>3225</v>
      </c>
      <c r="E1237" s="6" t="s">
        <v>2342</v>
      </c>
      <c r="F1237" s="6" t="s">
        <v>170</v>
      </c>
      <c r="G1237" s="7">
        <v>0.25</v>
      </c>
      <c r="H1237" s="6" t="s">
        <v>2156</v>
      </c>
      <c r="I1237" s="6" t="s">
        <v>20</v>
      </c>
      <c r="J1237" s="6">
        <v>2014.0</v>
      </c>
      <c r="K1237" s="10">
        <v>46054.0</v>
      </c>
      <c r="L1237" s="6">
        <v>1.0</v>
      </c>
      <c r="M1237" s="8">
        <f t="shared" si="3"/>
        <v>0.25</v>
      </c>
      <c r="P1237" s="9"/>
    </row>
    <row r="1238">
      <c r="A1238" s="6" t="s">
        <v>3226</v>
      </c>
      <c r="B1238" s="6" t="s">
        <v>378</v>
      </c>
      <c r="C1238" s="6" t="s">
        <v>1949</v>
      </c>
      <c r="D1238" s="6" t="s">
        <v>3227</v>
      </c>
      <c r="E1238" s="6" t="s">
        <v>2342</v>
      </c>
      <c r="F1238" s="6" t="s">
        <v>170</v>
      </c>
      <c r="G1238" s="7">
        <v>0.1</v>
      </c>
      <c r="H1238" s="6" t="s">
        <v>2557</v>
      </c>
      <c r="I1238" s="6" t="s">
        <v>20</v>
      </c>
      <c r="J1238" s="6">
        <v>2017.0</v>
      </c>
      <c r="L1238" s="6">
        <v>2.0</v>
      </c>
      <c r="M1238" s="8">
        <f t="shared" si="3"/>
        <v>0.2</v>
      </c>
      <c r="P1238" s="9"/>
    </row>
    <row r="1239">
      <c r="A1239" s="6" t="s">
        <v>3228</v>
      </c>
      <c r="B1239" s="6" t="s">
        <v>2058</v>
      </c>
      <c r="C1239" s="6" t="s">
        <v>295</v>
      </c>
      <c r="D1239" s="6" t="s">
        <v>3229</v>
      </c>
      <c r="E1239" s="6" t="s">
        <v>930</v>
      </c>
      <c r="F1239" s="6" t="s">
        <v>170</v>
      </c>
      <c r="G1239" s="7">
        <v>0.14</v>
      </c>
      <c r="H1239" s="6" t="s">
        <v>3230</v>
      </c>
      <c r="I1239" s="6" t="s">
        <v>20</v>
      </c>
      <c r="J1239" s="6">
        <v>2016.0</v>
      </c>
      <c r="L1239" s="6">
        <v>2.0</v>
      </c>
      <c r="M1239" s="8">
        <f t="shared" si="3"/>
        <v>0.28</v>
      </c>
      <c r="P1239" s="9"/>
    </row>
    <row r="1240">
      <c r="A1240" s="6" t="s">
        <v>3231</v>
      </c>
      <c r="B1240" s="6" t="s">
        <v>3232</v>
      </c>
      <c r="C1240" s="6" t="s">
        <v>1897</v>
      </c>
      <c r="D1240" s="6" t="s">
        <v>3233</v>
      </c>
      <c r="E1240" s="6" t="s">
        <v>2358</v>
      </c>
      <c r="F1240" s="6" t="s">
        <v>170</v>
      </c>
      <c r="G1240" s="7">
        <v>0.35</v>
      </c>
      <c r="H1240" s="6" t="s">
        <v>2471</v>
      </c>
      <c r="I1240" s="6" t="s">
        <v>20</v>
      </c>
      <c r="J1240" s="6">
        <v>2012.0</v>
      </c>
      <c r="K1240" s="10">
        <v>46057.0</v>
      </c>
      <c r="L1240" s="6">
        <v>1.0</v>
      </c>
      <c r="M1240" s="8">
        <f t="shared" si="3"/>
        <v>0.35</v>
      </c>
      <c r="P1240" s="9"/>
    </row>
    <row r="1241">
      <c r="A1241" s="6" t="s">
        <v>3234</v>
      </c>
      <c r="B1241" s="6" t="s">
        <v>2486</v>
      </c>
      <c r="C1241" s="6" t="s">
        <v>295</v>
      </c>
      <c r="D1241" s="6" t="s">
        <v>3235</v>
      </c>
      <c r="E1241" s="6" t="s">
        <v>2365</v>
      </c>
      <c r="F1241" s="6" t="s">
        <v>170</v>
      </c>
      <c r="G1241" s="7">
        <v>0.03</v>
      </c>
      <c r="H1241" s="6" t="s">
        <v>1714</v>
      </c>
      <c r="I1241" s="6" t="s">
        <v>20</v>
      </c>
      <c r="J1241" s="6">
        <v>2020.0</v>
      </c>
      <c r="K1241" s="10">
        <v>46084.0</v>
      </c>
      <c r="L1241" s="6">
        <v>1.0</v>
      </c>
      <c r="M1241" s="8">
        <f t="shared" si="3"/>
        <v>0.03</v>
      </c>
      <c r="P1241" s="9"/>
    </row>
    <row r="1242">
      <c r="A1242" s="6" t="s">
        <v>3236</v>
      </c>
      <c r="B1242" s="6" t="s">
        <v>2014</v>
      </c>
      <c r="C1242" s="6" t="s">
        <v>295</v>
      </c>
      <c r="D1242" s="6" t="s">
        <v>3237</v>
      </c>
      <c r="E1242" s="6" t="s">
        <v>629</v>
      </c>
      <c r="F1242" s="6" t="s">
        <v>277</v>
      </c>
      <c r="G1242" s="7">
        <v>0.2</v>
      </c>
      <c r="H1242" s="6" t="s">
        <v>1711</v>
      </c>
      <c r="I1242" s="6" t="s">
        <v>20</v>
      </c>
      <c r="J1242" s="6">
        <v>2022.0</v>
      </c>
      <c r="L1242" s="6">
        <v>1.0</v>
      </c>
      <c r="M1242" s="8">
        <f t="shared" si="3"/>
        <v>0.2</v>
      </c>
      <c r="P1242" s="9"/>
    </row>
    <row r="1243">
      <c r="A1243" s="6" t="s">
        <v>3238</v>
      </c>
      <c r="B1243" s="6" t="s">
        <v>2058</v>
      </c>
      <c r="C1243" s="6" t="s">
        <v>295</v>
      </c>
      <c r="D1243" s="6" t="s">
        <v>3239</v>
      </c>
      <c r="E1243" s="6" t="s">
        <v>2295</v>
      </c>
      <c r="F1243" s="6" t="s">
        <v>18</v>
      </c>
      <c r="G1243" s="7">
        <v>0.06</v>
      </c>
      <c r="H1243" s="6" t="s">
        <v>1711</v>
      </c>
      <c r="I1243" s="6" t="s">
        <v>20</v>
      </c>
      <c r="J1243" s="6">
        <v>2022.0</v>
      </c>
      <c r="L1243" s="6">
        <v>1.0</v>
      </c>
      <c r="M1243" s="8">
        <f t="shared" si="3"/>
        <v>0.06</v>
      </c>
      <c r="P1243" s="9"/>
    </row>
    <row r="1244">
      <c r="A1244" s="6" t="s">
        <v>3240</v>
      </c>
      <c r="B1244" s="6" t="s">
        <v>2058</v>
      </c>
      <c r="C1244" s="6" t="s">
        <v>295</v>
      </c>
      <c r="D1244" s="6" t="s">
        <v>3241</v>
      </c>
      <c r="E1244" s="6" t="s">
        <v>1856</v>
      </c>
      <c r="F1244" s="6" t="s">
        <v>277</v>
      </c>
      <c r="G1244" s="7">
        <v>0.05</v>
      </c>
      <c r="H1244" s="6" t="s">
        <v>1711</v>
      </c>
      <c r="I1244" s="6" t="s">
        <v>20</v>
      </c>
      <c r="J1244" s="6">
        <v>2022.0</v>
      </c>
      <c r="L1244" s="6">
        <v>1.0</v>
      </c>
      <c r="M1244" s="8">
        <f t="shared" si="3"/>
        <v>0.05</v>
      </c>
      <c r="P1244" s="9"/>
    </row>
    <row r="1245">
      <c r="A1245" s="6" t="s">
        <v>3242</v>
      </c>
      <c r="B1245" s="6" t="s">
        <v>2058</v>
      </c>
      <c r="C1245" s="6" t="s">
        <v>295</v>
      </c>
      <c r="D1245" s="6" t="s">
        <v>3243</v>
      </c>
      <c r="E1245" s="6" t="s">
        <v>1856</v>
      </c>
      <c r="F1245" s="6" t="s">
        <v>277</v>
      </c>
      <c r="G1245" s="7">
        <v>0.06</v>
      </c>
      <c r="H1245" s="6" t="s">
        <v>1711</v>
      </c>
      <c r="I1245" s="6" t="s">
        <v>20</v>
      </c>
      <c r="J1245" s="6">
        <v>2022.0</v>
      </c>
      <c r="L1245" s="6">
        <v>1.0</v>
      </c>
      <c r="M1245" s="8">
        <f t="shared" si="3"/>
        <v>0.06</v>
      </c>
      <c r="P1245" s="9"/>
    </row>
    <row r="1246">
      <c r="A1246" s="6" t="s">
        <v>3244</v>
      </c>
      <c r="B1246" s="6" t="s">
        <v>3245</v>
      </c>
      <c r="C1246" s="6" t="s">
        <v>295</v>
      </c>
      <c r="D1246" s="6" t="s">
        <v>3246</v>
      </c>
      <c r="E1246" s="6" t="s">
        <v>2280</v>
      </c>
      <c r="F1246" s="6" t="s">
        <v>277</v>
      </c>
      <c r="G1246" s="7">
        <v>0.1</v>
      </c>
      <c r="H1246" s="6" t="s">
        <v>1711</v>
      </c>
      <c r="I1246" s="6" t="s">
        <v>20</v>
      </c>
      <c r="J1246" s="6">
        <v>2022.0</v>
      </c>
      <c r="K1246" s="10">
        <v>46054.0</v>
      </c>
      <c r="L1246" s="6">
        <v>1.0</v>
      </c>
      <c r="M1246" s="8">
        <f t="shared" si="3"/>
        <v>0.1</v>
      </c>
      <c r="P1246" s="9"/>
    </row>
    <row r="1247">
      <c r="A1247" s="6" t="s">
        <v>3244</v>
      </c>
      <c r="B1247" s="6" t="s">
        <v>3245</v>
      </c>
      <c r="C1247" s="6" t="s">
        <v>295</v>
      </c>
      <c r="D1247" s="6" t="s">
        <v>3246</v>
      </c>
      <c r="E1247" s="6" t="s">
        <v>2280</v>
      </c>
      <c r="F1247" s="6" t="s">
        <v>277</v>
      </c>
      <c r="G1247" s="7">
        <v>0.08</v>
      </c>
      <c r="H1247" s="6" t="s">
        <v>3247</v>
      </c>
      <c r="I1247" s="6" t="s">
        <v>20</v>
      </c>
      <c r="J1247" s="6">
        <v>2022.0</v>
      </c>
      <c r="K1247" s="10">
        <v>46054.0</v>
      </c>
      <c r="L1247" s="6">
        <v>1.0</v>
      </c>
      <c r="M1247" s="8">
        <f t="shared" si="3"/>
        <v>0.08</v>
      </c>
      <c r="P1247" s="9"/>
    </row>
    <row r="1248">
      <c r="A1248" s="6" t="s">
        <v>3248</v>
      </c>
      <c r="B1248" s="6" t="s">
        <v>3249</v>
      </c>
      <c r="C1248" s="6" t="s">
        <v>295</v>
      </c>
      <c r="D1248" s="6" t="s">
        <v>3250</v>
      </c>
      <c r="E1248" s="6" t="s">
        <v>1856</v>
      </c>
      <c r="F1248" s="6" t="s">
        <v>277</v>
      </c>
      <c r="G1248" s="7">
        <v>0.06</v>
      </c>
      <c r="H1248" s="6" t="s">
        <v>1711</v>
      </c>
      <c r="I1248" s="6" t="s">
        <v>20</v>
      </c>
      <c r="J1248" s="6">
        <v>2022.0</v>
      </c>
      <c r="K1248" s="10">
        <v>46056.0</v>
      </c>
      <c r="L1248" s="6">
        <v>1.0</v>
      </c>
      <c r="M1248" s="8">
        <f t="shared" si="3"/>
        <v>0.06</v>
      </c>
      <c r="P1248" s="9"/>
    </row>
    <row r="1249">
      <c r="A1249" s="6" t="s">
        <v>3251</v>
      </c>
      <c r="B1249" s="6" t="s">
        <v>2621</v>
      </c>
      <c r="C1249" s="6" t="s">
        <v>295</v>
      </c>
      <c r="D1249" s="6" t="s">
        <v>3252</v>
      </c>
      <c r="E1249" s="6" t="s">
        <v>1853</v>
      </c>
      <c r="F1249" s="6" t="s">
        <v>277</v>
      </c>
      <c r="G1249" s="7">
        <v>0.06</v>
      </c>
      <c r="H1249" s="6" t="s">
        <v>1711</v>
      </c>
      <c r="I1249" s="6" t="s">
        <v>20</v>
      </c>
      <c r="J1249" s="6">
        <v>2022.0</v>
      </c>
      <c r="K1249" s="10">
        <v>46115.0</v>
      </c>
      <c r="L1249" s="6">
        <v>1.0</v>
      </c>
      <c r="M1249" s="8">
        <f t="shared" si="3"/>
        <v>0.06</v>
      </c>
      <c r="P1249" s="9"/>
    </row>
    <row r="1250">
      <c r="A1250" s="6" t="s">
        <v>3253</v>
      </c>
      <c r="B1250" s="6" t="s">
        <v>3254</v>
      </c>
      <c r="C1250" s="6" t="s">
        <v>2841</v>
      </c>
      <c r="D1250" s="6" t="s">
        <v>3255</v>
      </c>
      <c r="E1250" s="6" t="s">
        <v>3256</v>
      </c>
      <c r="F1250" s="6" t="s">
        <v>3257</v>
      </c>
      <c r="G1250" s="7">
        <v>0.18</v>
      </c>
      <c r="H1250" s="6" t="s">
        <v>2463</v>
      </c>
      <c r="I1250" s="6" t="s">
        <v>20</v>
      </c>
      <c r="J1250" s="6">
        <v>2008.0</v>
      </c>
      <c r="K1250" s="10">
        <v>46024.0</v>
      </c>
      <c r="L1250" s="6">
        <v>4.0</v>
      </c>
      <c r="M1250" s="8">
        <f t="shared" si="3"/>
        <v>0.72</v>
      </c>
      <c r="P1250" s="9"/>
    </row>
    <row r="1251">
      <c r="A1251" s="6" t="s">
        <v>3258</v>
      </c>
      <c r="B1251" s="6" t="s">
        <v>3259</v>
      </c>
      <c r="C1251" s="6" t="s">
        <v>1897</v>
      </c>
      <c r="D1251" s="6" t="s">
        <v>3260</v>
      </c>
      <c r="E1251" s="6" t="s">
        <v>162</v>
      </c>
      <c r="F1251" s="6" t="s">
        <v>163</v>
      </c>
      <c r="G1251" s="7">
        <v>3.28</v>
      </c>
      <c r="H1251" s="6" t="s">
        <v>2172</v>
      </c>
      <c r="I1251" s="6" t="s">
        <v>20</v>
      </c>
      <c r="J1251" s="6">
        <v>2021.0</v>
      </c>
      <c r="K1251" s="10">
        <v>46113.0</v>
      </c>
      <c r="L1251" s="6">
        <v>1.0</v>
      </c>
      <c r="M1251" s="8">
        <f t="shared" si="3"/>
        <v>3.28</v>
      </c>
      <c r="P1251" s="9"/>
    </row>
    <row r="1252">
      <c r="A1252" s="6" t="s">
        <v>3261</v>
      </c>
      <c r="B1252" s="6" t="s">
        <v>3262</v>
      </c>
      <c r="C1252" s="6" t="s">
        <v>1949</v>
      </c>
      <c r="D1252" s="6" t="s">
        <v>3263</v>
      </c>
      <c r="E1252" s="6" t="s">
        <v>2280</v>
      </c>
      <c r="F1252" s="6" t="s">
        <v>277</v>
      </c>
      <c r="G1252" s="7">
        <v>0.15</v>
      </c>
      <c r="H1252" s="6" t="s">
        <v>2202</v>
      </c>
      <c r="I1252" s="6" t="s">
        <v>20</v>
      </c>
      <c r="J1252" s="6">
        <v>2014.0</v>
      </c>
      <c r="K1252" s="10">
        <v>46054.0</v>
      </c>
      <c r="L1252" s="6">
        <v>2.0</v>
      </c>
      <c r="M1252" s="8">
        <f t="shared" si="3"/>
        <v>0.3</v>
      </c>
      <c r="P1252" s="9"/>
    </row>
    <row r="1253">
      <c r="A1253" s="6" t="s">
        <v>3264</v>
      </c>
      <c r="B1253" s="6" t="s">
        <v>610</v>
      </c>
      <c r="C1253" s="6" t="s">
        <v>295</v>
      </c>
      <c r="D1253" s="6" t="s">
        <v>3265</v>
      </c>
      <c r="E1253" s="6" t="s">
        <v>3266</v>
      </c>
      <c r="F1253" s="6" t="s">
        <v>3150</v>
      </c>
      <c r="G1253" s="7">
        <v>0.14</v>
      </c>
      <c r="H1253" s="6" t="s">
        <v>297</v>
      </c>
      <c r="I1253" s="6" t="s">
        <v>20</v>
      </c>
      <c r="J1253" s="6">
        <v>2026.0</v>
      </c>
      <c r="L1253" s="6">
        <v>4.0</v>
      </c>
      <c r="M1253" s="8">
        <f t="shared" si="3"/>
        <v>0.56</v>
      </c>
      <c r="P1253" s="9"/>
    </row>
    <row r="1254">
      <c r="A1254" s="6" t="s">
        <v>3267</v>
      </c>
      <c r="B1254" s="6" t="s">
        <v>294</v>
      </c>
      <c r="C1254" s="6" t="s">
        <v>295</v>
      </c>
      <c r="D1254" s="6" t="s">
        <v>3268</v>
      </c>
      <c r="F1254" s="6" t="s">
        <v>3183</v>
      </c>
      <c r="G1254" s="7">
        <v>0.1</v>
      </c>
      <c r="H1254" s="6" t="s">
        <v>1711</v>
      </c>
      <c r="I1254" s="6" t="s">
        <v>20</v>
      </c>
      <c r="J1254" s="6">
        <v>2022.0</v>
      </c>
      <c r="L1254" s="6">
        <v>4.0</v>
      </c>
      <c r="M1254" s="8">
        <f t="shared" si="3"/>
        <v>0.4</v>
      </c>
      <c r="P1254" s="9"/>
    </row>
    <row r="1255">
      <c r="A1255" s="6" t="s">
        <v>2724</v>
      </c>
      <c r="B1255" s="6" t="s">
        <v>294</v>
      </c>
      <c r="C1255" s="6" t="s">
        <v>295</v>
      </c>
      <c r="D1255" s="6" t="s">
        <v>3269</v>
      </c>
      <c r="F1255" s="6" t="s">
        <v>3192</v>
      </c>
      <c r="G1255" s="7">
        <v>0.14</v>
      </c>
      <c r="H1255" s="6" t="s">
        <v>1711</v>
      </c>
      <c r="I1255" s="6" t="s">
        <v>20</v>
      </c>
      <c r="J1255" s="6">
        <v>2022.0</v>
      </c>
      <c r="L1255" s="6">
        <v>1.0</v>
      </c>
      <c r="M1255" s="8">
        <f t="shared" si="3"/>
        <v>0.14</v>
      </c>
      <c r="P1255" s="9"/>
    </row>
    <row r="1256">
      <c r="A1256" s="6" t="s">
        <v>3270</v>
      </c>
      <c r="B1256" s="6" t="s">
        <v>294</v>
      </c>
      <c r="C1256" s="6" t="s">
        <v>295</v>
      </c>
      <c r="D1256" s="6" t="s">
        <v>3271</v>
      </c>
      <c r="F1256" s="6" t="s">
        <v>88</v>
      </c>
      <c r="G1256" s="7">
        <v>0.48</v>
      </c>
      <c r="H1256" s="6" t="s">
        <v>2372</v>
      </c>
      <c r="I1256" s="6" t="s">
        <v>20</v>
      </c>
      <c r="J1256" s="6">
        <v>2010.0</v>
      </c>
      <c r="L1256" s="6">
        <v>1.0</v>
      </c>
      <c r="M1256" s="8">
        <f t="shared" si="3"/>
        <v>0.48</v>
      </c>
      <c r="P1256" s="9"/>
    </row>
    <row r="1257">
      <c r="A1257" s="6" t="s">
        <v>3272</v>
      </c>
      <c r="B1257" s="6" t="s">
        <v>2736</v>
      </c>
      <c r="C1257" s="6" t="s">
        <v>295</v>
      </c>
      <c r="D1257" s="6" t="s">
        <v>3273</v>
      </c>
      <c r="F1257" s="6" t="s">
        <v>3183</v>
      </c>
      <c r="G1257" s="7">
        <v>0.06</v>
      </c>
      <c r="H1257" s="6" t="s">
        <v>1641</v>
      </c>
      <c r="I1257" s="6" t="s">
        <v>20</v>
      </c>
      <c r="J1257" s="6">
        <v>2019.0</v>
      </c>
      <c r="L1257" s="6">
        <v>1.0</v>
      </c>
      <c r="M1257" s="8">
        <f t="shared" si="3"/>
        <v>0.06</v>
      </c>
      <c r="P1257" s="9"/>
    </row>
    <row r="1258">
      <c r="A1258" s="6" t="s">
        <v>3274</v>
      </c>
      <c r="B1258" s="6" t="s">
        <v>2580</v>
      </c>
      <c r="C1258" s="6" t="s">
        <v>295</v>
      </c>
      <c r="D1258" s="6" t="s">
        <v>3275</v>
      </c>
      <c r="E1258" s="6" t="s">
        <v>2342</v>
      </c>
      <c r="F1258" s="6" t="s">
        <v>170</v>
      </c>
      <c r="G1258" s="7">
        <v>0.16</v>
      </c>
      <c r="H1258" s="6" t="s">
        <v>2003</v>
      </c>
      <c r="I1258" s="6" t="s">
        <v>20</v>
      </c>
      <c r="J1258" s="6">
        <v>2020.0</v>
      </c>
      <c r="K1258" s="10">
        <v>46082.0</v>
      </c>
      <c r="L1258" s="6">
        <v>2.0</v>
      </c>
      <c r="M1258" s="8">
        <f t="shared" si="3"/>
        <v>0.32</v>
      </c>
      <c r="P1258" s="9"/>
    </row>
    <row r="1259">
      <c r="A1259" s="6" t="s">
        <v>3276</v>
      </c>
      <c r="B1259" s="6" t="s">
        <v>294</v>
      </c>
      <c r="C1259" s="6" t="s">
        <v>1897</v>
      </c>
      <c r="D1259" s="6" t="s">
        <v>3277</v>
      </c>
      <c r="F1259" s="6" t="s">
        <v>3188</v>
      </c>
      <c r="G1259" s="7">
        <v>7.98</v>
      </c>
      <c r="H1259" s="6" t="s">
        <v>1638</v>
      </c>
      <c r="I1259" s="6" t="s">
        <v>20</v>
      </c>
      <c r="J1259" s="6">
        <v>2024.0</v>
      </c>
      <c r="L1259" s="6">
        <v>1.0</v>
      </c>
      <c r="M1259" s="8">
        <f t="shared" si="3"/>
        <v>7.98</v>
      </c>
      <c r="P1259" s="9"/>
    </row>
    <row r="1260">
      <c r="A1260" s="6" t="s">
        <v>3278</v>
      </c>
      <c r="B1260" s="6" t="s">
        <v>2014</v>
      </c>
      <c r="C1260" s="6" t="s">
        <v>295</v>
      </c>
      <c r="D1260" s="6" t="s">
        <v>3279</v>
      </c>
      <c r="E1260" s="6" t="s">
        <v>1912</v>
      </c>
      <c r="F1260" s="6" t="s">
        <v>3177</v>
      </c>
      <c r="G1260" s="7">
        <v>0.32</v>
      </c>
      <c r="H1260" s="6" t="s">
        <v>2463</v>
      </c>
      <c r="I1260" s="6" t="s">
        <v>20</v>
      </c>
      <c r="J1260" s="6">
        <v>2008.0</v>
      </c>
      <c r="L1260" s="6">
        <v>2.0</v>
      </c>
      <c r="M1260" s="8">
        <f t="shared" si="3"/>
        <v>0.64</v>
      </c>
      <c r="P1260" s="9"/>
    </row>
    <row r="1261">
      <c r="A1261" s="6" t="s">
        <v>3280</v>
      </c>
      <c r="B1261" s="6" t="s">
        <v>2058</v>
      </c>
      <c r="C1261" s="6" t="s">
        <v>1897</v>
      </c>
      <c r="D1261" s="6" t="s">
        <v>3281</v>
      </c>
      <c r="E1261" s="6" t="s">
        <v>3282</v>
      </c>
      <c r="F1261" s="6" t="s">
        <v>3177</v>
      </c>
      <c r="G1261" s="7">
        <v>0.79</v>
      </c>
      <c r="H1261" s="6" t="s">
        <v>1641</v>
      </c>
      <c r="I1261" s="6" t="s">
        <v>20</v>
      </c>
      <c r="J1261" s="6">
        <v>2019.0</v>
      </c>
      <c r="L1261" s="6">
        <v>1.0</v>
      </c>
      <c r="M1261" s="8">
        <f t="shared" si="3"/>
        <v>0.79</v>
      </c>
      <c r="P1261" s="9"/>
    </row>
    <row r="1262">
      <c r="A1262" s="6" t="s">
        <v>3283</v>
      </c>
      <c r="B1262" s="6" t="s">
        <v>378</v>
      </c>
      <c r="C1262" s="6" t="s">
        <v>295</v>
      </c>
      <c r="D1262" s="6" t="s">
        <v>3284</v>
      </c>
      <c r="E1262" s="6" t="s">
        <v>3285</v>
      </c>
      <c r="F1262" s="6" t="s">
        <v>3177</v>
      </c>
      <c r="G1262" s="7">
        <v>1.0</v>
      </c>
      <c r="H1262" s="6" t="s">
        <v>2463</v>
      </c>
      <c r="I1262" s="6" t="s">
        <v>20</v>
      </c>
      <c r="J1262" s="6">
        <v>2008.0</v>
      </c>
      <c r="L1262" s="6">
        <v>3.0</v>
      </c>
      <c r="M1262" s="8">
        <f t="shared" si="3"/>
        <v>3</v>
      </c>
      <c r="P1262" s="9"/>
    </row>
    <row r="1263">
      <c r="A1263" s="6" t="s">
        <v>3286</v>
      </c>
      <c r="B1263" s="6" t="s">
        <v>3287</v>
      </c>
      <c r="C1263" s="6" t="s">
        <v>1667</v>
      </c>
      <c r="D1263" s="6" t="s">
        <v>3288</v>
      </c>
      <c r="E1263" s="6" t="s">
        <v>3256</v>
      </c>
      <c r="F1263" s="6" t="s">
        <v>3257</v>
      </c>
      <c r="G1263" s="7">
        <v>0.09</v>
      </c>
      <c r="H1263" s="6" t="s">
        <v>2478</v>
      </c>
      <c r="I1263" s="6" t="s">
        <v>1791</v>
      </c>
      <c r="J1263" s="6">
        <v>2006.0</v>
      </c>
      <c r="K1263" s="10">
        <v>46023.0</v>
      </c>
      <c r="L1263" s="6">
        <v>4.0</v>
      </c>
      <c r="M1263" s="8">
        <f t="shared" si="3"/>
        <v>0.36</v>
      </c>
      <c r="P1263" s="9"/>
    </row>
    <row r="1264">
      <c r="A1264" s="6" t="s">
        <v>3289</v>
      </c>
      <c r="B1264" s="6" t="s">
        <v>3290</v>
      </c>
      <c r="C1264" s="6" t="s">
        <v>1949</v>
      </c>
      <c r="D1264" s="6" t="s">
        <v>3291</v>
      </c>
      <c r="E1264" s="6" t="s">
        <v>987</v>
      </c>
      <c r="F1264" s="6" t="s">
        <v>3177</v>
      </c>
      <c r="G1264" s="7">
        <v>0.13</v>
      </c>
      <c r="H1264" s="6" t="s">
        <v>1641</v>
      </c>
      <c r="I1264" s="6" t="s">
        <v>20</v>
      </c>
      <c r="J1264" s="6">
        <v>2019.0</v>
      </c>
      <c r="K1264" s="10">
        <v>46055.0</v>
      </c>
      <c r="L1264" s="6">
        <v>4.0</v>
      </c>
      <c r="M1264" s="8">
        <f t="shared" si="3"/>
        <v>0.52</v>
      </c>
      <c r="P1264" s="9"/>
    </row>
    <row r="1265">
      <c r="A1265" s="6" t="s">
        <v>3292</v>
      </c>
      <c r="B1265" s="6" t="s">
        <v>3293</v>
      </c>
      <c r="C1265" s="6" t="s">
        <v>295</v>
      </c>
      <c r="D1265" s="6" t="s">
        <v>3294</v>
      </c>
      <c r="E1265" s="6" t="s">
        <v>987</v>
      </c>
      <c r="F1265" s="6" t="s">
        <v>3177</v>
      </c>
      <c r="G1265" s="7">
        <v>1.0</v>
      </c>
      <c r="H1265" s="6" t="s">
        <v>3295</v>
      </c>
      <c r="I1265" s="6" t="s">
        <v>31</v>
      </c>
      <c r="J1265" s="6">
        <v>2013.0</v>
      </c>
      <c r="K1265" s="10">
        <v>46024.0</v>
      </c>
      <c r="L1265" s="6">
        <v>1.0</v>
      </c>
      <c r="M1265" s="8">
        <f t="shared" si="3"/>
        <v>1</v>
      </c>
      <c r="P1265" s="9"/>
    </row>
    <row r="1266">
      <c r="A1266" s="6" t="s">
        <v>3292</v>
      </c>
      <c r="B1266" s="6" t="s">
        <v>3293</v>
      </c>
      <c r="C1266" s="6" t="s">
        <v>295</v>
      </c>
      <c r="D1266" s="6" t="s">
        <v>3294</v>
      </c>
      <c r="E1266" s="6" t="s">
        <v>987</v>
      </c>
      <c r="F1266" s="6" t="s">
        <v>3177</v>
      </c>
      <c r="G1266" s="7">
        <v>0.17</v>
      </c>
      <c r="H1266" s="6" t="s">
        <v>3295</v>
      </c>
      <c r="I1266" s="6" t="s">
        <v>20</v>
      </c>
      <c r="J1266" s="6">
        <v>2013.0</v>
      </c>
      <c r="K1266" s="10">
        <v>46024.0</v>
      </c>
      <c r="L1266" s="6">
        <v>3.0</v>
      </c>
      <c r="M1266" s="8">
        <f t="shared" si="3"/>
        <v>0.51</v>
      </c>
      <c r="P1266" s="9"/>
    </row>
    <row r="1267">
      <c r="A1267" s="6" t="s">
        <v>3296</v>
      </c>
      <c r="B1267" s="6" t="s">
        <v>2058</v>
      </c>
      <c r="C1267" s="6" t="s">
        <v>1897</v>
      </c>
      <c r="D1267" s="6" t="s">
        <v>3297</v>
      </c>
      <c r="E1267" s="6" t="s">
        <v>987</v>
      </c>
      <c r="F1267" s="6" t="s">
        <v>3177</v>
      </c>
      <c r="G1267" s="7">
        <v>0.21</v>
      </c>
      <c r="H1267" s="6" t="s">
        <v>3298</v>
      </c>
      <c r="I1267" s="6" t="s">
        <v>31</v>
      </c>
      <c r="J1267" s="6">
        <v>2006.0</v>
      </c>
      <c r="L1267" s="6">
        <v>4.0</v>
      </c>
      <c r="M1267" s="8">
        <f t="shared" si="3"/>
        <v>0.84</v>
      </c>
      <c r="P1267" s="9"/>
    </row>
    <row r="1268">
      <c r="A1268" s="6" t="s">
        <v>3299</v>
      </c>
      <c r="B1268" s="6" t="s">
        <v>2058</v>
      </c>
      <c r="C1268" s="6" t="s">
        <v>295</v>
      </c>
      <c r="D1268" s="6" t="s">
        <v>3300</v>
      </c>
      <c r="E1268" s="6" t="s">
        <v>3301</v>
      </c>
      <c r="F1268" s="6" t="s">
        <v>3177</v>
      </c>
      <c r="G1268" s="7">
        <v>0.05</v>
      </c>
      <c r="H1268" s="6" t="s">
        <v>2006</v>
      </c>
      <c r="I1268" s="6" t="s">
        <v>20</v>
      </c>
      <c r="J1268" s="6">
        <v>2013.0</v>
      </c>
      <c r="L1268" s="6">
        <v>5.0</v>
      </c>
      <c r="M1268" s="8">
        <f t="shared" si="3"/>
        <v>0.25</v>
      </c>
      <c r="P1268" s="9"/>
    </row>
    <row r="1269">
      <c r="A1269" s="6" t="s">
        <v>3302</v>
      </c>
      <c r="B1269" s="6" t="s">
        <v>3303</v>
      </c>
      <c r="C1269" s="6" t="s">
        <v>295</v>
      </c>
      <c r="D1269" s="6" t="s">
        <v>3304</v>
      </c>
      <c r="E1269" s="6" t="s">
        <v>987</v>
      </c>
      <c r="F1269" s="6" t="s">
        <v>3177</v>
      </c>
      <c r="G1269" s="7">
        <v>0.06</v>
      </c>
      <c r="H1269" s="6" t="s">
        <v>1641</v>
      </c>
      <c r="I1269" s="6" t="s">
        <v>20</v>
      </c>
      <c r="J1269" s="6">
        <v>2019.0</v>
      </c>
      <c r="K1269" s="10">
        <v>46024.0</v>
      </c>
      <c r="L1269" s="6">
        <v>5.0</v>
      </c>
      <c r="M1269" s="8">
        <f t="shared" si="3"/>
        <v>0.3</v>
      </c>
      <c r="P1269" s="9"/>
    </row>
    <row r="1270">
      <c r="A1270" s="6" t="s">
        <v>3305</v>
      </c>
      <c r="B1270" s="6" t="s">
        <v>3306</v>
      </c>
      <c r="C1270" s="6" t="s">
        <v>295</v>
      </c>
      <c r="D1270" s="6" t="s">
        <v>3307</v>
      </c>
      <c r="E1270" s="6" t="s">
        <v>3308</v>
      </c>
      <c r="F1270" s="6" t="s">
        <v>3150</v>
      </c>
      <c r="G1270" s="7">
        <v>0.08</v>
      </c>
      <c r="H1270" s="6" t="s">
        <v>297</v>
      </c>
      <c r="I1270" s="6" t="s">
        <v>20</v>
      </c>
      <c r="J1270" s="6">
        <v>2026.0</v>
      </c>
      <c r="K1270" s="6" t="s">
        <v>3309</v>
      </c>
      <c r="L1270" s="6">
        <v>3.0</v>
      </c>
      <c r="M1270" s="8">
        <f t="shared" si="3"/>
        <v>0.24</v>
      </c>
      <c r="P1270" s="9"/>
    </row>
    <row r="1271">
      <c r="A1271" s="6" t="s">
        <v>3310</v>
      </c>
      <c r="B1271" s="6" t="s">
        <v>3311</v>
      </c>
      <c r="C1271" s="6" t="s">
        <v>1949</v>
      </c>
      <c r="D1271" s="6" t="s">
        <v>3312</v>
      </c>
      <c r="E1271" s="6" t="s">
        <v>3313</v>
      </c>
      <c r="F1271" s="6" t="s">
        <v>3150</v>
      </c>
      <c r="G1271" s="7">
        <v>0.06</v>
      </c>
      <c r="H1271" s="6" t="s">
        <v>1641</v>
      </c>
      <c r="I1271" s="6" t="s">
        <v>20</v>
      </c>
      <c r="J1271" s="6">
        <v>2019.0</v>
      </c>
      <c r="K1271" s="10">
        <v>46023.0</v>
      </c>
      <c r="L1271" s="6">
        <v>3.0</v>
      </c>
      <c r="M1271" s="8">
        <f t="shared" si="3"/>
        <v>0.18</v>
      </c>
      <c r="P1271" s="9"/>
    </row>
    <row r="1272">
      <c r="A1272" s="6" t="s">
        <v>3314</v>
      </c>
      <c r="B1272" s="6" t="s">
        <v>378</v>
      </c>
      <c r="C1272" s="6" t="s">
        <v>1949</v>
      </c>
      <c r="D1272" s="6" t="s">
        <v>3315</v>
      </c>
      <c r="E1272" s="6" t="s">
        <v>3316</v>
      </c>
      <c r="F1272" s="6" t="s">
        <v>3108</v>
      </c>
      <c r="G1272" s="7">
        <v>0.13</v>
      </c>
      <c r="H1272" s="6" t="s">
        <v>1676</v>
      </c>
      <c r="I1272" s="6" t="s">
        <v>20</v>
      </c>
      <c r="J1272" s="6">
        <v>2008.0</v>
      </c>
      <c r="L1272" s="6">
        <v>1.0</v>
      </c>
      <c r="M1272" s="8">
        <f t="shared" si="3"/>
        <v>0.13</v>
      </c>
      <c r="P1272" s="9"/>
    </row>
    <row r="1273">
      <c r="A1273" s="6" t="s">
        <v>3317</v>
      </c>
      <c r="B1273" s="6" t="s">
        <v>2480</v>
      </c>
      <c r="C1273" s="6" t="s">
        <v>295</v>
      </c>
      <c r="D1273" s="6" t="s">
        <v>3318</v>
      </c>
      <c r="E1273" s="6" t="s">
        <v>963</v>
      </c>
      <c r="F1273" s="6" t="s">
        <v>3108</v>
      </c>
      <c r="G1273" s="7">
        <v>0.06</v>
      </c>
      <c r="H1273" s="6" t="s">
        <v>3319</v>
      </c>
      <c r="I1273" s="6" t="s">
        <v>20</v>
      </c>
      <c r="J1273" s="6">
        <v>2009.0</v>
      </c>
      <c r="K1273" s="10">
        <v>46055.0</v>
      </c>
      <c r="L1273" s="6">
        <v>2.0</v>
      </c>
      <c r="M1273" s="8">
        <f t="shared" si="3"/>
        <v>0.12</v>
      </c>
      <c r="P1273" s="9"/>
    </row>
    <row r="1274">
      <c r="A1274" s="6" t="s">
        <v>3320</v>
      </c>
      <c r="B1274" s="6" t="s">
        <v>378</v>
      </c>
      <c r="C1274" s="6" t="s">
        <v>295</v>
      </c>
      <c r="D1274" s="6" t="s">
        <v>3321</v>
      </c>
      <c r="E1274" s="6" t="s">
        <v>3322</v>
      </c>
      <c r="F1274" s="6" t="s">
        <v>3108</v>
      </c>
      <c r="G1274" s="7">
        <v>0.1</v>
      </c>
      <c r="H1274" s="6" t="s">
        <v>1673</v>
      </c>
      <c r="I1274" s="6" t="s">
        <v>20</v>
      </c>
      <c r="J1274" s="6">
        <v>2012.0</v>
      </c>
      <c r="L1274" s="6">
        <v>4.0</v>
      </c>
      <c r="M1274" s="8">
        <f t="shared" si="3"/>
        <v>0.4</v>
      </c>
      <c r="P1274" s="9"/>
    </row>
    <row r="1275">
      <c r="A1275" s="6" t="s">
        <v>3323</v>
      </c>
      <c r="B1275" s="6" t="s">
        <v>3324</v>
      </c>
      <c r="C1275" s="6" t="s">
        <v>295</v>
      </c>
      <c r="D1275" s="6" t="s">
        <v>3325</v>
      </c>
      <c r="E1275" s="6" t="s">
        <v>3326</v>
      </c>
      <c r="F1275" s="6" t="s">
        <v>3169</v>
      </c>
      <c r="G1275" s="7">
        <v>0.45</v>
      </c>
      <c r="H1275" s="6" t="s">
        <v>3327</v>
      </c>
      <c r="I1275" s="6" t="s">
        <v>20</v>
      </c>
      <c r="J1275" s="6">
        <v>2009.0</v>
      </c>
      <c r="K1275" s="10">
        <v>46084.0</v>
      </c>
      <c r="L1275" s="6">
        <v>1.0</v>
      </c>
      <c r="M1275" s="8">
        <f t="shared" si="3"/>
        <v>0.45</v>
      </c>
      <c r="P1275" s="9"/>
    </row>
    <row r="1276">
      <c r="A1276" s="6" t="s">
        <v>3328</v>
      </c>
      <c r="B1276" s="6" t="s">
        <v>2748</v>
      </c>
      <c r="C1276" s="6" t="s">
        <v>1897</v>
      </c>
      <c r="D1276" s="6" t="s">
        <v>3329</v>
      </c>
      <c r="E1276" s="6" t="s">
        <v>3330</v>
      </c>
      <c r="F1276" s="6" t="s">
        <v>3169</v>
      </c>
      <c r="G1276" s="7">
        <v>0.1</v>
      </c>
      <c r="H1276" s="6" t="s">
        <v>1984</v>
      </c>
      <c r="I1276" s="6" t="s">
        <v>20</v>
      </c>
      <c r="J1276" s="6">
        <v>2015.0</v>
      </c>
      <c r="K1276" s="10">
        <v>46023.0</v>
      </c>
      <c r="L1276" s="6">
        <v>1.0</v>
      </c>
      <c r="M1276" s="8">
        <f t="shared" si="3"/>
        <v>0.1</v>
      </c>
      <c r="P1276" s="9"/>
    </row>
    <row r="1277">
      <c r="A1277" s="6" t="s">
        <v>3331</v>
      </c>
      <c r="B1277" s="6" t="s">
        <v>3332</v>
      </c>
      <c r="C1277" s="6" t="s">
        <v>1949</v>
      </c>
      <c r="D1277" s="6" t="s">
        <v>3333</v>
      </c>
      <c r="E1277" s="6" t="s">
        <v>3334</v>
      </c>
      <c r="F1277" s="6" t="s">
        <v>3169</v>
      </c>
      <c r="G1277" s="7">
        <v>0.75</v>
      </c>
      <c r="H1277" s="6" t="s">
        <v>1676</v>
      </c>
      <c r="I1277" s="6" t="s">
        <v>20</v>
      </c>
      <c r="J1277" s="6">
        <v>2008.0</v>
      </c>
      <c r="K1277" s="10">
        <v>46024.0</v>
      </c>
      <c r="L1277" s="6">
        <v>1.0</v>
      </c>
      <c r="M1277" s="8">
        <f t="shared" si="3"/>
        <v>0.75</v>
      </c>
      <c r="P1277" s="9"/>
    </row>
    <row r="1278">
      <c r="A1278" s="6" t="s">
        <v>3335</v>
      </c>
      <c r="B1278" s="6" t="s">
        <v>3336</v>
      </c>
      <c r="C1278" s="6" t="s">
        <v>1897</v>
      </c>
      <c r="D1278" s="6" t="s">
        <v>3337</v>
      </c>
      <c r="E1278" s="6" t="s">
        <v>3338</v>
      </c>
      <c r="F1278" s="6" t="s">
        <v>3192</v>
      </c>
      <c r="G1278" s="7">
        <v>0.36</v>
      </c>
      <c r="H1278" s="6" t="s">
        <v>1641</v>
      </c>
      <c r="I1278" s="6" t="s">
        <v>20</v>
      </c>
      <c r="J1278" s="6">
        <v>2019.0</v>
      </c>
      <c r="K1278" s="10">
        <v>46084.0</v>
      </c>
      <c r="L1278" s="6">
        <v>1.0</v>
      </c>
      <c r="M1278" s="8">
        <f t="shared" si="3"/>
        <v>0.36</v>
      </c>
      <c r="P1278" s="9"/>
    </row>
    <row r="1279">
      <c r="A1279" s="6" t="s">
        <v>3339</v>
      </c>
      <c r="B1279" s="6" t="s">
        <v>2017</v>
      </c>
      <c r="C1279" s="6" t="s">
        <v>1949</v>
      </c>
      <c r="D1279" s="6" t="s">
        <v>3340</v>
      </c>
      <c r="E1279" s="6" t="s">
        <v>3341</v>
      </c>
      <c r="F1279" s="6" t="s">
        <v>3183</v>
      </c>
      <c r="G1279" s="7">
        <v>0.41</v>
      </c>
      <c r="H1279" s="6" t="s">
        <v>1673</v>
      </c>
      <c r="I1279" s="6" t="s">
        <v>20</v>
      </c>
      <c r="J1279" s="6">
        <v>2012.0</v>
      </c>
      <c r="K1279" s="10">
        <v>46023.0</v>
      </c>
      <c r="L1279" s="6">
        <v>2.0</v>
      </c>
      <c r="M1279" s="8">
        <f t="shared" si="3"/>
        <v>0.82</v>
      </c>
      <c r="P1279" s="9"/>
    </row>
    <row r="1280">
      <c r="A1280" s="6" t="s">
        <v>3342</v>
      </c>
      <c r="B1280" s="6" t="s">
        <v>3343</v>
      </c>
      <c r="C1280" s="6" t="s">
        <v>1897</v>
      </c>
      <c r="D1280" s="6" t="s">
        <v>3344</v>
      </c>
      <c r="E1280" s="6" t="s">
        <v>3345</v>
      </c>
      <c r="F1280" s="6" t="s">
        <v>3183</v>
      </c>
      <c r="G1280" s="7">
        <v>1.78</v>
      </c>
      <c r="H1280" s="6" t="s">
        <v>1979</v>
      </c>
      <c r="I1280" s="6" t="s">
        <v>20</v>
      </c>
      <c r="J1280" s="6">
        <v>2022.0</v>
      </c>
      <c r="K1280" s="10">
        <v>46083.0</v>
      </c>
      <c r="L1280" s="6">
        <v>1.0</v>
      </c>
      <c r="M1280" s="8">
        <f t="shared" si="3"/>
        <v>1.78</v>
      </c>
      <c r="P1280" s="9"/>
    </row>
    <row r="1281">
      <c r="A1281" s="6" t="s">
        <v>3346</v>
      </c>
      <c r="B1281" s="6" t="s">
        <v>378</v>
      </c>
      <c r="C1281" s="6" t="s">
        <v>1949</v>
      </c>
      <c r="D1281" s="6" t="s">
        <v>3347</v>
      </c>
      <c r="E1281" s="6" t="s">
        <v>3348</v>
      </c>
      <c r="F1281" s="6" t="s">
        <v>3349</v>
      </c>
      <c r="G1281" s="7">
        <v>0.25</v>
      </c>
      <c r="H1281" s="6" t="s">
        <v>1701</v>
      </c>
      <c r="I1281" s="6" t="s">
        <v>20</v>
      </c>
      <c r="J1281" s="6">
        <v>2008.0</v>
      </c>
      <c r="L1281" s="6">
        <v>4.0</v>
      </c>
      <c r="M1281" s="8">
        <f t="shared" si="3"/>
        <v>1</v>
      </c>
      <c r="P1281" s="9"/>
    </row>
    <row r="1282">
      <c r="A1282" s="6" t="s">
        <v>3350</v>
      </c>
      <c r="B1282" s="6" t="s">
        <v>3351</v>
      </c>
      <c r="C1282" s="6" t="s">
        <v>1897</v>
      </c>
      <c r="D1282" s="6" t="s">
        <v>3352</v>
      </c>
      <c r="E1282" s="6" t="s">
        <v>3353</v>
      </c>
      <c r="F1282" s="6" t="s">
        <v>3354</v>
      </c>
      <c r="G1282" s="7">
        <v>0.5</v>
      </c>
      <c r="H1282" s="6" t="s">
        <v>2631</v>
      </c>
      <c r="I1282" s="6" t="s">
        <v>20</v>
      </c>
      <c r="J1282" s="6">
        <v>2006.0</v>
      </c>
      <c r="K1282" s="10">
        <v>46116.0</v>
      </c>
      <c r="L1282" s="6">
        <v>1.0</v>
      </c>
      <c r="M1282" s="8">
        <f t="shared" si="3"/>
        <v>0.5</v>
      </c>
      <c r="P1282" s="9"/>
    </row>
    <row r="1283">
      <c r="A1283" s="6" t="s">
        <v>3355</v>
      </c>
      <c r="B1283" s="6" t="s">
        <v>3356</v>
      </c>
      <c r="C1283" s="6" t="s">
        <v>1897</v>
      </c>
      <c r="D1283" s="6" t="s">
        <v>3357</v>
      </c>
      <c r="E1283" s="6" t="s">
        <v>3358</v>
      </c>
      <c r="F1283" s="6" t="s">
        <v>3359</v>
      </c>
      <c r="G1283" s="7">
        <v>1.5</v>
      </c>
      <c r="H1283" s="6" t="s">
        <v>2797</v>
      </c>
      <c r="I1283" s="6" t="s">
        <v>20</v>
      </c>
      <c r="J1283" s="6">
        <v>2026.0</v>
      </c>
      <c r="K1283" s="6" t="s">
        <v>3153</v>
      </c>
      <c r="L1283" s="6">
        <v>1.0</v>
      </c>
      <c r="M1283" s="8">
        <f t="shared" si="3"/>
        <v>1.5</v>
      </c>
      <c r="P1283" s="9"/>
    </row>
    <row r="1284">
      <c r="A1284" s="6" t="s">
        <v>3360</v>
      </c>
      <c r="B1284" s="6" t="s">
        <v>378</v>
      </c>
      <c r="C1284" s="6" t="s">
        <v>295</v>
      </c>
      <c r="D1284" s="6" t="s">
        <v>3361</v>
      </c>
      <c r="E1284" s="6" t="s">
        <v>3362</v>
      </c>
      <c r="F1284" s="6" t="s">
        <v>3188</v>
      </c>
      <c r="G1284" s="7">
        <v>0.09</v>
      </c>
      <c r="H1284" s="6" t="s">
        <v>2006</v>
      </c>
      <c r="I1284" s="6" t="s">
        <v>20</v>
      </c>
      <c r="J1284" s="6">
        <v>2013.0</v>
      </c>
      <c r="L1284" s="6">
        <v>4.0</v>
      </c>
      <c r="M1284" s="8">
        <f t="shared" si="3"/>
        <v>0.36</v>
      </c>
      <c r="P1284" s="9"/>
    </row>
    <row r="1285">
      <c r="A1285" s="6" t="s">
        <v>3363</v>
      </c>
      <c r="B1285" s="6" t="s">
        <v>385</v>
      </c>
      <c r="C1285" s="6" t="s">
        <v>295</v>
      </c>
      <c r="D1285" s="6" t="s">
        <v>3364</v>
      </c>
      <c r="E1285" s="6" t="s">
        <v>3365</v>
      </c>
      <c r="F1285" s="6" t="s">
        <v>3188</v>
      </c>
      <c r="G1285" s="7">
        <v>0.4</v>
      </c>
      <c r="H1285" s="6" t="s">
        <v>297</v>
      </c>
      <c r="I1285" s="6" t="s">
        <v>20</v>
      </c>
      <c r="J1285" s="6">
        <v>2026.0</v>
      </c>
      <c r="L1285" s="6">
        <v>3.0</v>
      </c>
      <c r="M1285" s="8">
        <f t="shared" si="3"/>
        <v>1.2</v>
      </c>
      <c r="P1285" s="9"/>
    </row>
    <row r="1286">
      <c r="A1286" s="6" t="s">
        <v>3366</v>
      </c>
      <c r="B1286" s="6" t="s">
        <v>3367</v>
      </c>
      <c r="C1286" s="6" t="s">
        <v>1949</v>
      </c>
      <c r="D1286" s="6" t="s">
        <v>3368</v>
      </c>
      <c r="E1286" s="6" t="s">
        <v>3338</v>
      </c>
      <c r="F1286" s="6" t="s">
        <v>3192</v>
      </c>
      <c r="G1286" s="7">
        <v>0.48</v>
      </c>
      <c r="H1286" s="6" t="s">
        <v>3369</v>
      </c>
      <c r="I1286" s="6" t="s">
        <v>20</v>
      </c>
      <c r="J1286" s="6">
        <v>2025.0</v>
      </c>
      <c r="K1286" s="10">
        <v>46114.0</v>
      </c>
      <c r="L1286" s="6">
        <v>1.0</v>
      </c>
      <c r="M1286" s="8">
        <f t="shared" si="3"/>
        <v>0.48</v>
      </c>
      <c r="P1286" s="9"/>
    </row>
    <row r="1287">
      <c r="A1287" s="6" t="s">
        <v>3370</v>
      </c>
      <c r="B1287" s="6" t="s">
        <v>2382</v>
      </c>
      <c r="C1287" s="6" t="s">
        <v>1949</v>
      </c>
      <c r="D1287" s="6" t="s">
        <v>3371</v>
      </c>
      <c r="E1287" s="6" t="s">
        <v>1490</v>
      </c>
      <c r="F1287" s="6" t="s">
        <v>3114</v>
      </c>
      <c r="G1287" s="7">
        <v>0.21</v>
      </c>
      <c r="H1287" s="6" t="s">
        <v>2384</v>
      </c>
      <c r="I1287" s="6" t="s">
        <v>20</v>
      </c>
      <c r="J1287" s="6">
        <v>2019.0</v>
      </c>
      <c r="K1287" s="10">
        <v>46023.0</v>
      </c>
      <c r="L1287" s="6">
        <v>4.0</v>
      </c>
      <c r="M1287" s="8">
        <f t="shared" si="3"/>
        <v>0.84</v>
      </c>
      <c r="P1287" s="9"/>
    </row>
    <row r="1288">
      <c r="A1288" s="6" t="s">
        <v>3372</v>
      </c>
      <c r="B1288" s="6" t="s">
        <v>1944</v>
      </c>
      <c r="C1288" s="6" t="s">
        <v>1897</v>
      </c>
      <c r="D1288" s="6" t="s">
        <v>3373</v>
      </c>
      <c r="E1288" s="6" t="s">
        <v>3374</v>
      </c>
      <c r="F1288" s="6" t="s">
        <v>3114</v>
      </c>
      <c r="G1288" s="7">
        <v>0.25</v>
      </c>
      <c r="H1288" s="6" t="s">
        <v>1641</v>
      </c>
      <c r="I1288" s="6" t="s">
        <v>20</v>
      </c>
      <c r="J1288" s="6">
        <v>2019.0</v>
      </c>
      <c r="L1288" s="6">
        <v>4.0</v>
      </c>
      <c r="M1288" s="8">
        <f t="shared" si="3"/>
        <v>1</v>
      </c>
      <c r="P1288" s="9"/>
    </row>
    <row r="1289">
      <c r="A1289" s="6" t="s">
        <v>3375</v>
      </c>
      <c r="B1289" s="6" t="s">
        <v>2486</v>
      </c>
      <c r="C1289" s="6" t="s">
        <v>1949</v>
      </c>
      <c r="D1289" s="6" t="s">
        <v>3376</v>
      </c>
      <c r="E1289" s="6" t="s">
        <v>1490</v>
      </c>
      <c r="F1289" s="6" t="s">
        <v>3114</v>
      </c>
      <c r="G1289" s="7">
        <v>0.1</v>
      </c>
      <c r="H1289" s="6" t="s">
        <v>1641</v>
      </c>
      <c r="I1289" s="6" t="s">
        <v>20</v>
      </c>
      <c r="J1289" s="6">
        <v>2019.0</v>
      </c>
      <c r="K1289" s="10">
        <v>46055.0</v>
      </c>
      <c r="L1289" s="6">
        <v>4.0</v>
      </c>
      <c r="M1289" s="8">
        <f t="shared" si="3"/>
        <v>0.4</v>
      </c>
      <c r="P1289" s="9"/>
    </row>
    <row r="1290">
      <c r="A1290" s="6" t="s">
        <v>3377</v>
      </c>
      <c r="B1290" s="6" t="s">
        <v>378</v>
      </c>
      <c r="C1290" s="6" t="s">
        <v>295</v>
      </c>
      <c r="D1290" s="6" t="s">
        <v>3378</v>
      </c>
      <c r="E1290" s="6" t="s">
        <v>963</v>
      </c>
      <c r="F1290" s="6" t="s">
        <v>3108</v>
      </c>
      <c r="G1290" s="7">
        <v>0.2</v>
      </c>
      <c r="H1290" s="6" t="s">
        <v>3379</v>
      </c>
      <c r="I1290" s="6" t="s">
        <v>20</v>
      </c>
      <c r="J1290" s="6">
        <v>2011.0</v>
      </c>
      <c r="L1290" s="6">
        <v>4.0</v>
      </c>
      <c r="M1290" s="8">
        <f t="shared" si="3"/>
        <v>0.8</v>
      </c>
      <c r="P1290" s="9"/>
    </row>
    <row r="1291">
      <c r="A1291" s="6" t="s">
        <v>3380</v>
      </c>
      <c r="B1291" s="6" t="s">
        <v>378</v>
      </c>
      <c r="C1291" s="6" t="s">
        <v>295</v>
      </c>
      <c r="D1291" s="6" t="s">
        <v>3381</v>
      </c>
      <c r="E1291" s="6" t="s">
        <v>3316</v>
      </c>
      <c r="F1291" s="6" t="s">
        <v>3108</v>
      </c>
      <c r="G1291" s="7">
        <v>0.05</v>
      </c>
      <c r="H1291" s="6" t="s">
        <v>2384</v>
      </c>
      <c r="I1291" s="6" t="s">
        <v>20</v>
      </c>
      <c r="J1291" s="6">
        <v>2019.0</v>
      </c>
      <c r="L1291" s="6">
        <v>4.0</v>
      </c>
      <c r="M1291" s="8">
        <f t="shared" si="3"/>
        <v>0.2</v>
      </c>
      <c r="P1291" s="9"/>
    </row>
    <row r="1292">
      <c r="A1292" s="6" t="s">
        <v>3382</v>
      </c>
      <c r="B1292" s="6" t="s">
        <v>3383</v>
      </c>
      <c r="C1292" s="6" t="s">
        <v>1897</v>
      </c>
      <c r="D1292" s="6" t="s">
        <v>3384</v>
      </c>
      <c r="E1292" s="6" t="s">
        <v>3385</v>
      </c>
      <c r="F1292" s="6" t="s">
        <v>3196</v>
      </c>
      <c r="G1292" s="7">
        <v>0.89</v>
      </c>
      <c r="H1292" s="6" t="s">
        <v>297</v>
      </c>
      <c r="I1292" s="6" t="s">
        <v>20</v>
      </c>
      <c r="J1292" s="6">
        <v>2026.0</v>
      </c>
      <c r="K1292" s="10">
        <v>46208.0</v>
      </c>
      <c r="L1292" s="6">
        <v>1.0</v>
      </c>
      <c r="M1292" s="8">
        <f t="shared" si="3"/>
        <v>0.89</v>
      </c>
      <c r="P1292" s="9"/>
    </row>
    <row r="1293">
      <c r="A1293" s="6" t="s">
        <v>3386</v>
      </c>
      <c r="B1293" s="6" t="s">
        <v>3387</v>
      </c>
      <c r="C1293" s="6" t="s">
        <v>1949</v>
      </c>
      <c r="D1293" s="6" t="s">
        <v>3388</v>
      </c>
      <c r="E1293" s="6" t="s">
        <v>3195</v>
      </c>
      <c r="F1293" s="6" t="s">
        <v>3196</v>
      </c>
      <c r="G1293" s="7">
        <v>0.43</v>
      </c>
      <c r="H1293" s="6" t="s">
        <v>2619</v>
      </c>
      <c r="I1293" s="6" t="s">
        <v>20</v>
      </c>
      <c r="J1293" s="6">
        <v>2019.0</v>
      </c>
      <c r="L1293" s="6">
        <v>4.0</v>
      </c>
      <c r="M1293" s="8">
        <f t="shared" si="3"/>
        <v>1.72</v>
      </c>
      <c r="P1293" s="9"/>
    </row>
    <row r="1294">
      <c r="A1294" s="6" t="s">
        <v>3389</v>
      </c>
      <c r="B1294" s="6" t="s">
        <v>3390</v>
      </c>
      <c r="C1294" s="6" t="s">
        <v>1949</v>
      </c>
      <c r="D1294" s="6" t="s">
        <v>3391</v>
      </c>
      <c r="E1294" s="6" t="s">
        <v>3392</v>
      </c>
      <c r="F1294" s="6" t="s">
        <v>3196</v>
      </c>
      <c r="G1294" s="7">
        <v>0.14</v>
      </c>
      <c r="H1294" s="6" t="s">
        <v>1644</v>
      </c>
      <c r="I1294" s="6" t="s">
        <v>20</v>
      </c>
      <c r="J1294" s="6">
        <v>2018.0</v>
      </c>
      <c r="K1294" s="6" t="s">
        <v>3393</v>
      </c>
      <c r="L1294" s="6">
        <v>4.0</v>
      </c>
      <c r="M1294" s="8">
        <f t="shared" si="3"/>
        <v>0.56</v>
      </c>
      <c r="P1294" s="9"/>
    </row>
    <row r="1295">
      <c r="A1295" s="6" t="s">
        <v>3394</v>
      </c>
      <c r="B1295" s="6" t="s">
        <v>2316</v>
      </c>
      <c r="C1295" s="6" t="s">
        <v>1949</v>
      </c>
      <c r="D1295" s="6" t="s">
        <v>3395</v>
      </c>
      <c r="E1295" s="6" t="s">
        <v>3396</v>
      </c>
      <c r="F1295" s="6" t="s">
        <v>3196</v>
      </c>
      <c r="G1295" s="7">
        <v>0.08</v>
      </c>
      <c r="H1295" s="6" t="s">
        <v>1995</v>
      </c>
      <c r="I1295" s="6" t="s">
        <v>20</v>
      </c>
      <c r="J1295" s="6">
        <v>2016.0</v>
      </c>
      <c r="K1295" s="10">
        <v>46082.0</v>
      </c>
      <c r="L1295" s="6">
        <v>4.0</v>
      </c>
      <c r="M1295" s="8">
        <f t="shared" si="3"/>
        <v>0.32</v>
      </c>
      <c r="P1295" s="9"/>
    </row>
    <row r="1296">
      <c r="A1296" s="6" t="s">
        <v>3397</v>
      </c>
      <c r="B1296" s="6" t="s">
        <v>3398</v>
      </c>
      <c r="C1296" s="6" t="s">
        <v>160</v>
      </c>
      <c r="D1296" s="6" t="s">
        <v>3399</v>
      </c>
      <c r="E1296" s="6" t="s">
        <v>3400</v>
      </c>
      <c r="F1296" s="6" t="s">
        <v>3150</v>
      </c>
      <c r="G1296" s="7">
        <v>1.76</v>
      </c>
      <c r="H1296" s="6" t="s">
        <v>3401</v>
      </c>
      <c r="I1296" s="6" t="s">
        <v>20</v>
      </c>
      <c r="J1296" s="6">
        <v>2023.0</v>
      </c>
      <c r="K1296" s="10">
        <v>46146.0</v>
      </c>
      <c r="L1296" s="6">
        <v>1.0</v>
      </c>
      <c r="M1296" s="8">
        <f t="shared" si="3"/>
        <v>1.76</v>
      </c>
      <c r="P1296" s="9"/>
    </row>
    <row r="1297">
      <c r="A1297" s="6" t="s">
        <v>3402</v>
      </c>
      <c r="B1297" s="6" t="s">
        <v>2316</v>
      </c>
      <c r="C1297" s="6" t="s">
        <v>1897</v>
      </c>
      <c r="D1297" s="6" t="s">
        <v>3403</v>
      </c>
      <c r="E1297" s="6" t="s">
        <v>3313</v>
      </c>
      <c r="F1297" s="6" t="s">
        <v>3150</v>
      </c>
      <c r="G1297" s="7">
        <v>0.4</v>
      </c>
      <c r="H1297" s="6" t="s">
        <v>2006</v>
      </c>
      <c r="I1297" s="6" t="s">
        <v>20</v>
      </c>
      <c r="J1297" s="6">
        <v>2013.0</v>
      </c>
      <c r="K1297" s="10">
        <v>46083.0</v>
      </c>
      <c r="L1297" s="6">
        <v>1.0</v>
      </c>
      <c r="M1297" s="8">
        <f t="shared" si="3"/>
        <v>0.4</v>
      </c>
      <c r="P1297" s="9"/>
    </row>
    <row r="1298">
      <c r="A1298" s="6" t="s">
        <v>3404</v>
      </c>
      <c r="B1298" s="6" t="s">
        <v>3405</v>
      </c>
      <c r="C1298" s="6" t="s">
        <v>1949</v>
      </c>
      <c r="D1298" s="6" t="s">
        <v>3406</v>
      </c>
      <c r="E1298" s="6" t="s">
        <v>3400</v>
      </c>
      <c r="F1298" s="6" t="s">
        <v>3150</v>
      </c>
      <c r="G1298" s="7">
        <v>0.49</v>
      </c>
      <c r="H1298" s="6" t="s">
        <v>1641</v>
      </c>
      <c r="I1298" s="6" t="s">
        <v>31</v>
      </c>
      <c r="J1298" s="6">
        <v>2019.0</v>
      </c>
      <c r="K1298" s="10">
        <v>46116.0</v>
      </c>
      <c r="L1298" s="6">
        <v>1.0</v>
      </c>
      <c r="M1298" s="8">
        <f t="shared" si="3"/>
        <v>0.49</v>
      </c>
      <c r="P1298" s="9"/>
    </row>
    <row r="1299">
      <c r="A1299" s="6" t="s">
        <v>3407</v>
      </c>
      <c r="B1299" s="6" t="s">
        <v>2058</v>
      </c>
      <c r="C1299" s="6" t="s">
        <v>1897</v>
      </c>
      <c r="D1299" s="6" t="s">
        <v>3408</v>
      </c>
      <c r="E1299" s="6" t="s">
        <v>3409</v>
      </c>
      <c r="F1299" s="6" t="s">
        <v>3108</v>
      </c>
      <c r="G1299" s="7">
        <v>0.46</v>
      </c>
      <c r="H1299" s="6" t="s">
        <v>1644</v>
      </c>
      <c r="I1299" s="6" t="s">
        <v>20</v>
      </c>
      <c r="J1299" s="6">
        <v>2018.0</v>
      </c>
      <c r="L1299" s="6">
        <v>2.0</v>
      </c>
      <c r="M1299" s="8">
        <f t="shared" si="3"/>
        <v>0.92</v>
      </c>
      <c r="P1299" s="9"/>
    </row>
    <row r="1300">
      <c r="A1300" s="6" t="s">
        <v>3410</v>
      </c>
      <c r="B1300" s="6" t="s">
        <v>3411</v>
      </c>
      <c r="C1300" s="6" t="s">
        <v>1949</v>
      </c>
      <c r="D1300" s="6" t="s">
        <v>3412</v>
      </c>
      <c r="E1300" s="6" t="s">
        <v>3413</v>
      </c>
      <c r="F1300" s="6" t="s">
        <v>3114</v>
      </c>
      <c r="G1300" s="7">
        <v>0.13</v>
      </c>
      <c r="H1300" s="6" t="s">
        <v>1641</v>
      </c>
      <c r="I1300" s="6" t="s">
        <v>20</v>
      </c>
      <c r="J1300" s="6">
        <v>2019.0</v>
      </c>
      <c r="L1300" s="6">
        <v>4.0</v>
      </c>
      <c r="M1300" s="8">
        <f t="shared" si="3"/>
        <v>0.52</v>
      </c>
      <c r="P1300" s="9"/>
    </row>
    <row r="1301">
      <c r="A1301" s="6" t="s">
        <v>3414</v>
      </c>
      <c r="B1301" s="6" t="s">
        <v>3415</v>
      </c>
      <c r="C1301" s="6" t="s">
        <v>1897</v>
      </c>
      <c r="D1301" s="6" t="s">
        <v>3416</v>
      </c>
      <c r="E1301" s="6" t="s">
        <v>3417</v>
      </c>
      <c r="F1301" s="6" t="s">
        <v>3169</v>
      </c>
      <c r="G1301" s="7">
        <v>0.59</v>
      </c>
      <c r="H1301" s="6" t="s">
        <v>3418</v>
      </c>
      <c r="I1301" s="6" t="s">
        <v>20</v>
      </c>
      <c r="J1301" s="6">
        <v>2024.0</v>
      </c>
      <c r="L1301" s="6">
        <v>1.0</v>
      </c>
      <c r="M1301" s="8">
        <f t="shared" si="3"/>
        <v>0.59</v>
      </c>
      <c r="P1301" s="9"/>
    </row>
    <row r="1302">
      <c r="A1302" s="6" t="s">
        <v>3419</v>
      </c>
      <c r="B1302" s="6" t="s">
        <v>3198</v>
      </c>
      <c r="C1302" s="6" t="s">
        <v>1949</v>
      </c>
      <c r="D1302" s="6" t="s">
        <v>3420</v>
      </c>
      <c r="E1302" s="6" t="s">
        <v>2342</v>
      </c>
      <c r="F1302" s="6" t="s">
        <v>170</v>
      </c>
      <c r="G1302" s="7">
        <v>0.33</v>
      </c>
      <c r="H1302" s="6" t="s">
        <v>3421</v>
      </c>
      <c r="I1302" s="6" t="s">
        <v>20</v>
      </c>
      <c r="J1302" s="6">
        <v>2004.0</v>
      </c>
      <c r="K1302" s="10">
        <v>46054.0</v>
      </c>
      <c r="L1302" s="6">
        <v>1.0</v>
      </c>
      <c r="M1302" s="8">
        <f t="shared" si="3"/>
        <v>0.33</v>
      </c>
      <c r="P1302" s="9"/>
    </row>
    <row r="1303">
      <c r="A1303" s="6" t="s">
        <v>3422</v>
      </c>
      <c r="B1303" s="6" t="s">
        <v>2580</v>
      </c>
      <c r="C1303" s="6" t="s">
        <v>1897</v>
      </c>
      <c r="D1303" s="6" t="s">
        <v>3423</v>
      </c>
      <c r="E1303" s="6" t="s">
        <v>3424</v>
      </c>
      <c r="F1303" s="6" t="s">
        <v>170</v>
      </c>
      <c r="G1303" s="7">
        <v>0.25</v>
      </c>
      <c r="H1303" s="6" t="s">
        <v>3425</v>
      </c>
      <c r="I1303" s="6" t="s">
        <v>20</v>
      </c>
      <c r="J1303" s="6">
        <v>2018.0</v>
      </c>
      <c r="K1303" s="10">
        <v>46115.0</v>
      </c>
      <c r="L1303" s="6">
        <v>1.0</v>
      </c>
      <c r="M1303" s="8">
        <f t="shared" si="3"/>
        <v>0.25</v>
      </c>
      <c r="P1303" s="9"/>
    </row>
    <row r="1304">
      <c r="A1304" s="6" t="s">
        <v>3426</v>
      </c>
      <c r="B1304" s="6" t="s">
        <v>3427</v>
      </c>
      <c r="C1304" s="6" t="s">
        <v>295</v>
      </c>
      <c r="D1304" s="6" t="s">
        <v>3428</v>
      </c>
      <c r="E1304" s="6" t="s">
        <v>930</v>
      </c>
      <c r="F1304" s="6" t="s">
        <v>170</v>
      </c>
      <c r="G1304" s="7">
        <v>0.08</v>
      </c>
      <c r="H1304" s="6" t="s">
        <v>3421</v>
      </c>
      <c r="I1304" s="6" t="s">
        <v>20</v>
      </c>
      <c r="J1304" s="6">
        <v>2004.0</v>
      </c>
      <c r="K1304" s="10">
        <v>46023.0</v>
      </c>
      <c r="L1304" s="6">
        <v>1.0</v>
      </c>
      <c r="M1304" s="8">
        <f t="shared" si="3"/>
        <v>0.08</v>
      </c>
      <c r="P1304" s="9"/>
    </row>
    <row r="1305">
      <c r="A1305" s="6" t="s">
        <v>3429</v>
      </c>
      <c r="B1305" s="6" t="s">
        <v>3090</v>
      </c>
      <c r="C1305" s="6" t="s">
        <v>295</v>
      </c>
      <c r="D1305" s="6" t="s">
        <v>3430</v>
      </c>
      <c r="E1305" s="6" t="s">
        <v>2342</v>
      </c>
      <c r="F1305" s="6" t="s">
        <v>170</v>
      </c>
      <c r="G1305" s="7">
        <v>0.05</v>
      </c>
      <c r="H1305" s="6" t="s">
        <v>1697</v>
      </c>
      <c r="I1305" s="6" t="s">
        <v>20</v>
      </c>
      <c r="J1305" s="6">
        <v>2003.0</v>
      </c>
      <c r="K1305" s="10">
        <v>46023.0</v>
      </c>
      <c r="L1305" s="6">
        <v>1.0</v>
      </c>
      <c r="M1305" s="8">
        <f t="shared" si="3"/>
        <v>0.05</v>
      </c>
      <c r="P1305" s="9"/>
    </row>
    <row r="1306">
      <c r="A1306" s="6" t="s">
        <v>3431</v>
      </c>
      <c r="B1306" s="6" t="s">
        <v>3411</v>
      </c>
      <c r="C1306" s="6" t="s">
        <v>1949</v>
      </c>
      <c r="D1306" s="6" t="s">
        <v>3432</v>
      </c>
      <c r="E1306" s="6" t="s">
        <v>3433</v>
      </c>
      <c r="F1306" s="6" t="s">
        <v>3177</v>
      </c>
      <c r="G1306" s="7">
        <v>0.1</v>
      </c>
      <c r="H1306" s="6" t="s">
        <v>1641</v>
      </c>
      <c r="I1306" s="6" t="s">
        <v>20</v>
      </c>
      <c r="J1306" s="6">
        <v>2019.0</v>
      </c>
      <c r="L1306" s="6">
        <v>1.0</v>
      </c>
      <c r="M1306" s="8">
        <f t="shared" si="3"/>
        <v>0.1</v>
      </c>
      <c r="P1306" s="9"/>
    </row>
    <row r="1307">
      <c r="A1307" s="6" t="s">
        <v>3434</v>
      </c>
      <c r="B1307" s="6" t="s">
        <v>2058</v>
      </c>
      <c r="C1307" s="6" t="s">
        <v>160</v>
      </c>
      <c r="D1307" s="6" t="s">
        <v>3435</v>
      </c>
      <c r="E1307" s="6" t="s">
        <v>2546</v>
      </c>
      <c r="F1307" s="6" t="s">
        <v>18</v>
      </c>
      <c r="G1307" s="7">
        <v>0.78</v>
      </c>
      <c r="H1307" s="6" t="s">
        <v>3436</v>
      </c>
      <c r="I1307" s="6" t="s">
        <v>31</v>
      </c>
      <c r="J1307" s="6">
        <v>2009.0</v>
      </c>
      <c r="L1307" s="6">
        <v>1.0</v>
      </c>
      <c r="M1307" s="8">
        <f t="shared" si="3"/>
        <v>0.78</v>
      </c>
      <c r="P1307" s="9"/>
    </row>
    <row r="1308">
      <c r="A1308" s="6" t="s">
        <v>3437</v>
      </c>
      <c r="B1308" s="6" t="s">
        <v>3438</v>
      </c>
      <c r="C1308" s="6" t="s">
        <v>295</v>
      </c>
      <c r="D1308" s="6" t="s">
        <v>3439</v>
      </c>
      <c r="E1308" s="6" t="s">
        <v>3440</v>
      </c>
      <c r="F1308" s="6" t="s">
        <v>3349</v>
      </c>
      <c r="G1308" s="7">
        <v>0.15</v>
      </c>
      <c r="H1308" s="6" t="s">
        <v>3327</v>
      </c>
      <c r="I1308" s="6" t="s">
        <v>20</v>
      </c>
      <c r="J1308" s="6">
        <v>2009.0</v>
      </c>
      <c r="K1308" s="10">
        <v>46024.0</v>
      </c>
      <c r="L1308" s="6">
        <v>2.0</v>
      </c>
      <c r="M1308" s="8">
        <f t="shared" si="3"/>
        <v>0.3</v>
      </c>
      <c r="P1308" s="9"/>
    </row>
    <row r="1309">
      <c r="A1309" s="6" t="s">
        <v>3441</v>
      </c>
      <c r="B1309" s="6" t="s">
        <v>378</v>
      </c>
      <c r="C1309" s="6" t="s">
        <v>295</v>
      </c>
      <c r="D1309" s="6" t="s">
        <v>3442</v>
      </c>
      <c r="E1309" s="6" t="s">
        <v>3362</v>
      </c>
      <c r="F1309" s="6" t="s">
        <v>3188</v>
      </c>
      <c r="G1309" s="7">
        <v>0.24</v>
      </c>
      <c r="H1309" s="6" t="s">
        <v>2463</v>
      </c>
      <c r="I1309" s="6" t="s">
        <v>20</v>
      </c>
      <c r="J1309" s="6">
        <v>2008.0</v>
      </c>
      <c r="L1309" s="6">
        <v>1.0</v>
      </c>
      <c r="M1309" s="8">
        <f t="shared" si="3"/>
        <v>0.24</v>
      </c>
      <c r="P1309" s="9"/>
    </row>
    <row r="1310">
      <c r="A1310" s="6" t="s">
        <v>3443</v>
      </c>
      <c r="B1310" s="6" t="s">
        <v>3090</v>
      </c>
      <c r="C1310" s="6" t="s">
        <v>295</v>
      </c>
      <c r="D1310" s="6" t="s">
        <v>3444</v>
      </c>
      <c r="E1310" s="6" t="s">
        <v>3445</v>
      </c>
      <c r="F1310" s="6" t="s">
        <v>3446</v>
      </c>
      <c r="G1310" s="7">
        <v>0.2</v>
      </c>
      <c r="H1310" s="6" t="s">
        <v>3327</v>
      </c>
      <c r="I1310" s="6" t="s">
        <v>20</v>
      </c>
      <c r="J1310" s="6">
        <v>2009.0</v>
      </c>
      <c r="K1310" s="10">
        <v>46024.0</v>
      </c>
      <c r="L1310" s="6">
        <v>1.0</v>
      </c>
      <c r="M1310" s="8">
        <f t="shared" si="3"/>
        <v>0.2</v>
      </c>
      <c r="P1310" s="9"/>
    </row>
    <row r="1311">
      <c r="A1311" s="6" t="s">
        <v>3447</v>
      </c>
      <c r="B1311" s="6" t="s">
        <v>2476</v>
      </c>
      <c r="C1311" s="6" t="s">
        <v>295</v>
      </c>
      <c r="D1311" s="6" t="s">
        <v>3448</v>
      </c>
      <c r="E1311" s="6" t="s">
        <v>3449</v>
      </c>
      <c r="F1311" s="6" t="s">
        <v>3450</v>
      </c>
      <c r="G1311" s="7">
        <v>0.05</v>
      </c>
      <c r="H1311" s="6" t="s">
        <v>2202</v>
      </c>
      <c r="I1311" s="6" t="s">
        <v>20</v>
      </c>
      <c r="J1311" s="6">
        <v>2014.0</v>
      </c>
      <c r="K1311" s="10">
        <v>46147.0</v>
      </c>
      <c r="L1311" s="6">
        <v>1.0</v>
      </c>
      <c r="M1311" s="8">
        <f t="shared" si="3"/>
        <v>0.05</v>
      </c>
      <c r="P1311" s="9"/>
    </row>
    <row r="1312">
      <c r="A1312" s="6" t="s">
        <v>3451</v>
      </c>
      <c r="B1312" s="6" t="s">
        <v>3452</v>
      </c>
      <c r="C1312" s="6" t="s">
        <v>295</v>
      </c>
      <c r="D1312" s="6" t="s">
        <v>3453</v>
      </c>
      <c r="E1312" s="6" t="s">
        <v>3454</v>
      </c>
      <c r="F1312" s="6" t="s">
        <v>3188</v>
      </c>
      <c r="G1312" s="7">
        <v>0.08</v>
      </c>
      <c r="H1312" s="6" t="s">
        <v>1634</v>
      </c>
      <c r="I1312" s="6" t="s">
        <v>20</v>
      </c>
      <c r="J1312" s="6">
        <v>2005.0</v>
      </c>
      <c r="K1312" s="10">
        <v>46023.0</v>
      </c>
      <c r="L1312" s="6">
        <v>2.0</v>
      </c>
      <c r="M1312" s="8">
        <f t="shared" si="3"/>
        <v>0.16</v>
      </c>
      <c r="P1312" s="9"/>
    </row>
    <row r="1313">
      <c r="A1313" s="6" t="s">
        <v>3455</v>
      </c>
      <c r="B1313" s="6" t="s">
        <v>2669</v>
      </c>
      <c r="C1313" s="6" t="s">
        <v>295</v>
      </c>
      <c r="D1313" s="6" t="s">
        <v>3456</v>
      </c>
      <c r="E1313" s="6" t="s">
        <v>3457</v>
      </c>
      <c r="F1313" s="6" t="s">
        <v>3192</v>
      </c>
      <c r="G1313" s="7">
        <v>0.1</v>
      </c>
      <c r="H1313" s="6" t="s">
        <v>1676</v>
      </c>
      <c r="I1313" s="6" t="s">
        <v>20</v>
      </c>
      <c r="J1313" s="6">
        <v>2008.0</v>
      </c>
      <c r="K1313" s="10">
        <v>46118.0</v>
      </c>
      <c r="L1313" s="6">
        <v>1.0</v>
      </c>
      <c r="M1313" s="8">
        <f t="shared" si="3"/>
        <v>0.1</v>
      </c>
      <c r="P1313" s="9"/>
    </row>
    <row r="1314">
      <c r="A1314" s="6" t="s">
        <v>3458</v>
      </c>
      <c r="B1314" s="6" t="s">
        <v>2058</v>
      </c>
      <c r="C1314" s="6" t="s">
        <v>295</v>
      </c>
      <c r="D1314" s="6" t="s">
        <v>3459</v>
      </c>
      <c r="E1314" s="6" t="s">
        <v>3460</v>
      </c>
      <c r="F1314" s="6" t="s">
        <v>3169</v>
      </c>
      <c r="G1314" s="7">
        <v>0.15</v>
      </c>
      <c r="H1314" s="6" t="s">
        <v>1676</v>
      </c>
      <c r="I1314" s="6" t="s">
        <v>20</v>
      </c>
      <c r="J1314" s="6">
        <v>2008.0</v>
      </c>
      <c r="L1314" s="6">
        <v>1.0</v>
      </c>
      <c r="M1314" s="8">
        <f t="shared" si="3"/>
        <v>0.15</v>
      </c>
      <c r="P1314" s="9"/>
    </row>
    <row r="1315">
      <c r="A1315" s="6" t="s">
        <v>3461</v>
      </c>
      <c r="B1315" s="6" t="s">
        <v>3411</v>
      </c>
      <c r="C1315" s="6" t="s">
        <v>1949</v>
      </c>
      <c r="D1315" s="6" t="s">
        <v>3462</v>
      </c>
      <c r="E1315" s="6" t="s">
        <v>3463</v>
      </c>
      <c r="F1315" s="6" t="s">
        <v>3177</v>
      </c>
      <c r="G1315" s="7">
        <v>0.08</v>
      </c>
      <c r="H1315" s="6" t="s">
        <v>2474</v>
      </c>
      <c r="I1315" s="6" t="s">
        <v>20</v>
      </c>
      <c r="J1315" s="6">
        <v>2017.0</v>
      </c>
      <c r="L1315" s="6">
        <v>2.0</v>
      </c>
      <c r="M1315" s="8">
        <f t="shared" si="3"/>
        <v>0.16</v>
      </c>
      <c r="P1315" s="9"/>
    </row>
    <row r="1316">
      <c r="A1316" s="6" t="s">
        <v>3464</v>
      </c>
      <c r="B1316" s="6" t="s">
        <v>3465</v>
      </c>
      <c r="C1316" s="6" t="s">
        <v>1949</v>
      </c>
      <c r="D1316" s="6" t="s">
        <v>3466</v>
      </c>
      <c r="E1316" s="6" t="s">
        <v>3467</v>
      </c>
      <c r="F1316" s="6" t="s">
        <v>3177</v>
      </c>
      <c r="G1316" s="7">
        <v>0.08</v>
      </c>
      <c r="H1316" s="6" t="s">
        <v>1708</v>
      </c>
      <c r="I1316" s="6" t="s">
        <v>20</v>
      </c>
      <c r="J1316" s="6">
        <v>2019.0</v>
      </c>
      <c r="K1316" s="10">
        <v>46057.0</v>
      </c>
      <c r="L1316" s="6">
        <v>2.0</v>
      </c>
      <c r="M1316" s="8">
        <f t="shared" si="3"/>
        <v>0.16</v>
      </c>
      <c r="P1316" s="9"/>
    </row>
    <row r="1317">
      <c r="A1317" s="6" t="s">
        <v>3468</v>
      </c>
      <c r="B1317" s="6" t="s">
        <v>378</v>
      </c>
      <c r="C1317" s="6" t="s">
        <v>295</v>
      </c>
      <c r="D1317" s="6" t="s">
        <v>3469</v>
      </c>
      <c r="E1317" s="6" t="s">
        <v>1856</v>
      </c>
      <c r="F1317" s="6" t="s">
        <v>277</v>
      </c>
      <c r="G1317" s="7">
        <v>0.03</v>
      </c>
      <c r="H1317" s="6" t="s">
        <v>1641</v>
      </c>
      <c r="I1317" s="6" t="s">
        <v>20</v>
      </c>
      <c r="J1317" s="6">
        <v>2019.0</v>
      </c>
      <c r="L1317" s="6">
        <v>1.0</v>
      </c>
      <c r="M1317" s="8">
        <f t="shared" si="3"/>
        <v>0.03</v>
      </c>
      <c r="P1317" s="9"/>
    </row>
    <row r="1318">
      <c r="A1318" s="6" t="s">
        <v>3470</v>
      </c>
      <c r="B1318" s="6" t="s">
        <v>3471</v>
      </c>
      <c r="C1318" s="6" t="s">
        <v>295</v>
      </c>
      <c r="D1318" s="6" t="s">
        <v>3472</v>
      </c>
      <c r="E1318" s="6" t="s">
        <v>3473</v>
      </c>
      <c r="F1318" s="6" t="s">
        <v>3192</v>
      </c>
      <c r="G1318" s="7">
        <v>0.1</v>
      </c>
      <c r="H1318" s="6" t="s">
        <v>1631</v>
      </c>
      <c r="I1318" s="6" t="s">
        <v>20</v>
      </c>
      <c r="J1318" s="6">
        <v>2024.0</v>
      </c>
      <c r="K1318" s="10">
        <v>46146.0</v>
      </c>
      <c r="L1318" s="6">
        <v>2.0</v>
      </c>
      <c r="M1318" s="8">
        <f t="shared" si="3"/>
        <v>0.2</v>
      </c>
      <c r="P1318" s="9"/>
    </row>
    <row r="1319">
      <c r="A1319" s="6" t="s">
        <v>3474</v>
      </c>
      <c r="B1319" s="6" t="s">
        <v>378</v>
      </c>
      <c r="C1319" s="6" t="s">
        <v>295</v>
      </c>
      <c r="D1319" s="6" t="s">
        <v>3475</v>
      </c>
      <c r="E1319" s="6" t="s">
        <v>1856</v>
      </c>
      <c r="F1319" s="6" t="s">
        <v>277</v>
      </c>
      <c r="G1319" s="7">
        <v>0.05</v>
      </c>
      <c r="H1319" s="6" t="s">
        <v>3476</v>
      </c>
      <c r="I1319" s="6" t="s">
        <v>20</v>
      </c>
      <c r="J1319" s="6">
        <v>2023.0</v>
      </c>
      <c r="L1319" s="6">
        <v>1.0</v>
      </c>
      <c r="M1319" s="8">
        <f t="shared" si="3"/>
        <v>0.05</v>
      </c>
      <c r="P1319" s="9"/>
    </row>
    <row r="1320">
      <c r="A1320" s="6" t="s">
        <v>3477</v>
      </c>
      <c r="B1320" s="6" t="s">
        <v>378</v>
      </c>
      <c r="C1320" s="6" t="s">
        <v>295</v>
      </c>
      <c r="D1320" s="6" t="s">
        <v>3478</v>
      </c>
      <c r="E1320" s="6" t="s">
        <v>713</v>
      </c>
      <c r="F1320" s="6" t="s">
        <v>152</v>
      </c>
      <c r="G1320" s="7">
        <v>0.05</v>
      </c>
      <c r="H1320" s="6" t="s">
        <v>2568</v>
      </c>
      <c r="I1320" s="6" t="s">
        <v>20</v>
      </c>
      <c r="J1320" s="6">
        <v>2012.0</v>
      </c>
      <c r="L1320" s="6">
        <v>1.0</v>
      </c>
      <c r="M1320" s="8">
        <f t="shared" si="3"/>
        <v>0.05</v>
      </c>
      <c r="P1320" s="9"/>
    </row>
    <row r="1321">
      <c r="A1321" s="6" t="s">
        <v>3479</v>
      </c>
      <c r="B1321" s="6" t="s">
        <v>3480</v>
      </c>
      <c r="C1321" s="6" t="s">
        <v>295</v>
      </c>
      <c r="D1321" s="6" t="s">
        <v>3481</v>
      </c>
      <c r="E1321" s="6" t="s">
        <v>2839</v>
      </c>
      <c r="F1321" s="6" t="s">
        <v>277</v>
      </c>
      <c r="G1321" s="7">
        <v>0.06</v>
      </c>
      <c r="H1321" s="6" t="s">
        <v>3482</v>
      </c>
      <c r="I1321" s="6" t="s">
        <v>20</v>
      </c>
      <c r="J1321" s="6">
        <v>2011.0</v>
      </c>
      <c r="K1321" s="10">
        <v>46055.0</v>
      </c>
      <c r="L1321" s="6">
        <v>1.0</v>
      </c>
      <c r="M1321" s="8">
        <f t="shared" si="3"/>
        <v>0.06</v>
      </c>
      <c r="P1321" s="9"/>
    </row>
    <row r="1322">
      <c r="A1322" s="6" t="s">
        <v>3483</v>
      </c>
      <c r="B1322" s="6" t="s">
        <v>1944</v>
      </c>
      <c r="C1322" s="6" t="s">
        <v>1949</v>
      </c>
      <c r="D1322" s="6" t="s">
        <v>3484</v>
      </c>
      <c r="E1322" s="6" t="s">
        <v>1853</v>
      </c>
      <c r="F1322" s="6" t="s">
        <v>277</v>
      </c>
      <c r="G1322" s="7">
        <v>0.13</v>
      </c>
      <c r="H1322" s="6" t="s">
        <v>3485</v>
      </c>
      <c r="I1322" s="6" t="s">
        <v>20</v>
      </c>
      <c r="J1322" s="6">
        <v>2012.0</v>
      </c>
      <c r="L1322" s="6">
        <v>1.0</v>
      </c>
      <c r="M1322" s="8">
        <f t="shared" si="3"/>
        <v>0.13</v>
      </c>
      <c r="P1322" s="9"/>
    </row>
    <row r="1323">
      <c r="A1323" s="6" t="s">
        <v>3486</v>
      </c>
      <c r="B1323" s="6" t="s">
        <v>3487</v>
      </c>
      <c r="C1323" s="6" t="s">
        <v>295</v>
      </c>
      <c r="D1323" s="6" t="s">
        <v>3488</v>
      </c>
      <c r="E1323" s="6" t="s">
        <v>2280</v>
      </c>
      <c r="F1323" s="6" t="s">
        <v>277</v>
      </c>
      <c r="G1323" s="7">
        <v>0.03</v>
      </c>
      <c r="H1323" s="6" t="s">
        <v>1714</v>
      </c>
      <c r="I1323" s="6" t="s">
        <v>20</v>
      </c>
      <c r="J1323" s="6">
        <v>2020.0</v>
      </c>
      <c r="K1323" s="10">
        <v>46055.0</v>
      </c>
      <c r="L1323" s="6">
        <v>1.0</v>
      </c>
      <c r="M1323" s="8">
        <f t="shared" si="3"/>
        <v>0.03</v>
      </c>
      <c r="P1323" s="9"/>
    </row>
    <row r="1324">
      <c r="A1324" s="6" t="s">
        <v>3489</v>
      </c>
      <c r="B1324" s="6" t="s">
        <v>3490</v>
      </c>
      <c r="C1324" s="6" t="s">
        <v>295</v>
      </c>
      <c r="D1324" s="6" t="s">
        <v>3491</v>
      </c>
      <c r="E1324" s="6" t="s">
        <v>2280</v>
      </c>
      <c r="F1324" s="6" t="s">
        <v>277</v>
      </c>
      <c r="G1324" s="7">
        <v>0.03</v>
      </c>
      <c r="H1324" s="6" t="s">
        <v>2474</v>
      </c>
      <c r="I1324" s="6" t="s">
        <v>20</v>
      </c>
      <c r="J1324" s="6">
        <v>2017.0</v>
      </c>
      <c r="K1324" s="10">
        <v>46055.0</v>
      </c>
      <c r="L1324" s="6">
        <v>1.0</v>
      </c>
      <c r="M1324" s="8">
        <f t="shared" si="3"/>
        <v>0.03</v>
      </c>
      <c r="P1324" s="9"/>
    </row>
    <row r="1325">
      <c r="A1325" s="6" t="s">
        <v>3492</v>
      </c>
      <c r="B1325" s="6" t="s">
        <v>2058</v>
      </c>
      <c r="C1325" s="6" t="s">
        <v>1949</v>
      </c>
      <c r="D1325" s="6" t="s">
        <v>3493</v>
      </c>
      <c r="E1325" s="6" t="s">
        <v>3494</v>
      </c>
      <c r="F1325" s="6" t="s">
        <v>3169</v>
      </c>
      <c r="G1325" s="7">
        <v>0.06</v>
      </c>
      <c r="H1325" s="6" t="s">
        <v>1676</v>
      </c>
      <c r="I1325" s="6" t="s">
        <v>20</v>
      </c>
      <c r="J1325" s="6">
        <v>2008.0</v>
      </c>
      <c r="L1325" s="6">
        <v>2.0</v>
      </c>
      <c r="M1325" s="8">
        <f t="shared" si="3"/>
        <v>0.12</v>
      </c>
      <c r="P1325" s="9"/>
    </row>
    <row r="1326">
      <c r="A1326" s="6" t="s">
        <v>3495</v>
      </c>
      <c r="B1326" s="6" t="s">
        <v>3496</v>
      </c>
      <c r="C1326" s="6" t="s">
        <v>295</v>
      </c>
      <c r="D1326" s="6" t="s">
        <v>3497</v>
      </c>
      <c r="E1326" s="6" t="s">
        <v>3498</v>
      </c>
      <c r="F1326" s="6" t="s">
        <v>3169</v>
      </c>
      <c r="G1326" s="7">
        <v>0.05</v>
      </c>
      <c r="H1326" s="6" t="s">
        <v>1676</v>
      </c>
      <c r="I1326" s="6" t="s">
        <v>20</v>
      </c>
      <c r="J1326" s="6">
        <v>2008.0</v>
      </c>
      <c r="K1326" s="10">
        <v>46084.0</v>
      </c>
      <c r="L1326" s="6">
        <v>2.0</v>
      </c>
      <c r="M1326" s="8">
        <f t="shared" si="3"/>
        <v>0.1</v>
      </c>
      <c r="P1326" s="9"/>
    </row>
    <row r="1327">
      <c r="A1327" s="6" t="s">
        <v>3499</v>
      </c>
      <c r="B1327" s="6" t="s">
        <v>378</v>
      </c>
      <c r="C1327" s="6" t="s">
        <v>295</v>
      </c>
      <c r="D1327" s="6" t="s">
        <v>3500</v>
      </c>
      <c r="E1327" s="6" t="s">
        <v>3460</v>
      </c>
      <c r="F1327" s="6" t="s">
        <v>3169</v>
      </c>
      <c r="G1327" s="7">
        <v>0.2</v>
      </c>
      <c r="H1327" s="6" t="s">
        <v>1676</v>
      </c>
      <c r="I1327" s="6" t="s">
        <v>20</v>
      </c>
      <c r="J1327" s="6">
        <v>2008.0</v>
      </c>
      <c r="L1327" s="6">
        <v>1.0</v>
      </c>
      <c r="M1327" s="8">
        <f t="shared" si="3"/>
        <v>0.2</v>
      </c>
      <c r="P1327" s="9"/>
    </row>
    <row r="1328">
      <c r="A1328" s="6" t="s">
        <v>3501</v>
      </c>
      <c r="B1328" s="6" t="s">
        <v>3332</v>
      </c>
      <c r="C1328" s="6" t="s">
        <v>295</v>
      </c>
      <c r="D1328" s="6" t="s">
        <v>3502</v>
      </c>
      <c r="E1328" s="6" t="s">
        <v>3503</v>
      </c>
      <c r="F1328" s="6" t="s">
        <v>3169</v>
      </c>
      <c r="G1328" s="7">
        <v>0.05</v>
      </c>
      <c r="H1328" s="6" t="s">
        <v>1676</v>
      </c>
      <c r="I1328" s="6" t="s">
        <v>20</v>
      </c>
      <c r="J1328" s="6">
        <v>2008.0</v>
      </c>
      <c r="K1328" s="10">
        <v>46084.0</v>
      </c>
      <c r="L1328" s="6">
        <v>1.0</v>
      </c>
      <c r="M1328" s="8">
        <f t="shared" si="3"/>
        <v>0.05</v>
      </c>
      <c r="P1328" s="9"/>
    </row>
    <row r="1329">
      <c r="A1329" s="6" t="s">
        <v>3504</v>
      </c>
      <c r="B1329" s="6" t="s">
        <v>3505</v>
      </c>
      <c r="C1329" s="6" t="s">
        <v>295</v>
      </c>
      <c r="D1329" s="6" t="s">
        <v>3506</v>
      </c>
      <c r="E1329" s="6" t="s">
        <v>3507</v>
      </c>
      <c r="F1329" s="6" t="s">
        <v>3169</v>
      </c>
      <c r="G1329" s="7">
        <v>0.14</v>
      </c>
      <c r="H1329" s="6" t="s">
        <v>1676</v>
      </c>
      <c r="I1329" s="6" t="s">
        <v>20</v>
      </c>
      <c r="J1329" s="6">
        <v>2008.0</v>
      </c>
      <c r="K1329" s="10">
        <v>46024.0</v>
      </c>
      <c r="L1329" s="6">
        <v>1.0</v>
      </c>
      <c r="M1329" s="8">
        <f t="shared" si="3"/>
        <v>0.14</v>
      </c>
      <c r="P1329" s="9"/>
    </row>
    <row r="1330">
      <c r="A1330" s="6" t="s">
        <v>3508</v>
      </c>
      <c r="B1330" s="6" t="s">
        <v>3509</v>
      </c>
      <c r="C1330" s="6" t="s">
        <v>295</v>
      </c>
      <c r="D1330" s="6" t="s">
        <v>3510</v>
      </c>
      <c r="E1330" s="6" t="s">
        <v>3511</v>
      </c>
      <c r="F1330" s="6" t="s">
        <v>3114</v>
      </c>
      <c r="G1330" s="7">
        <v>0.06</v>
      </c>
      <c r="H1330" s="6" t="s">
        <v>1676</v>
      </c>
      <c r="I1330" s="6" t="s">
        <v>20</v>
      </c>
      <c r="J1330" s="6">
        <v>2008.0</v>
      </c>
      <c r="K1330" s="10">
        <v>46084.0</v>
      </c>
      <c r="L1330" s="6">
        <v>1.0</v>
      </c>
      <c r="M1330" s="8">
        <f t="shared" si="3"/>
        <v>0.06</v>
      </c>
      <c r="P1330" s="9"/>
    </row>
    <row r="1331">
      <c r="A1331" s="6" t="s">
        <v>3512</v>
      </c>
      <c r="B1331" s="6" t="s">
        <v>3509</v>
      </c>
      <c r="C1331" s="6" t="s">
        <v>1949</v>
      </c>
      <c r="D1331" s="6" t="s">
        <v>3513</v>
      </c>
      <c r="E1331" s="6" t="s">
        <v>3514</v>
      </c>
      <c r="F1331" s="6" t="s">
        <v>3114</v>
      </c>
      <c r="G1331" s="7">
        <v>0.09</v>
      </c>
      <c r="H1331" s="6" t="s">
        <v>1676</v>
      </c>
      <c r="I1331" s="6" t="s">
        <v>20</v>
      </c>
      <c r="J1331" s="6">
        <v>2008.0</v>
      </c>
      <c r="K1331" s="10">
        <v>46024.0</v>
      </c>
      <c r="L1331" s="6">
        <v>1.0</v>
      </c>
      <c r="M1331" s="8">
        <f t="shared" si="3"/>
        <v>0.09</v>
      </c>
      <c r="P1331" s="9"/>
    </row>
    <row r="1332">
      <c r="A1332" s="6" t="s">
        <v>3515</v>
      </c>
      <c r="B1332" s="6" t="s">
        <v>3303</v>
      </c>
      <c r="C1332" s="6" t="s">
        <v>1949</v>
      </c>
      <c r="D1332" s="6" t="s">
        <v>3516</v>
      </c>
      <c r="E1332" s="6" t="s">
        <v>987</v>
      </c>
      <c r="F1332" s="6" t="s">
        <v>3177</v>
      </c>
      <c r="G1332" s="7">
        <v>0.03</v>
      </c>
      <c r="H1332" s="6" t="s">
        <v>1641</v>
      </c>
      <c r="I1332" s="6" t="s">
        <v>20</v>
      </c>
      <c r="J1332" s="6">
        <v>2019.0</v>
      </c>
      <c r="K1332" s="10">
        <v>46055.0</v>
      </c>
      <c r="L1332" s="6">
        <v>2.0</v>
      </c>
      <c r="M1332" s="8">
        <f t="shared" si="3"/>
        <v>0.06</v>
      </c>
      <c r="P1332" s="9"/>
    </row>
    <row r="1333">
      <c r="A1333" s="6" t="s">
        <v>3517</v>
      </c>
      <c r="B1333" s="6" t="s">
        <v>2061</v>
      </c>
      <c r="C1333" s="6" t="s">
        <v>295</v>
      </c>
      <c r="D1333" s="6" t="s">
        <v>3518</v>
      </c>
      <c r="E1333" s="6" t="s">
        <v>1853</v>
      </c>
      <c r="F1333" s="6" t="s">
        <v>277</v>
      </c>
      <c r="G1333" s="7">
        <v>0.03</v>
      </c>
      <c r="H1333" s="6" t="s">
        <v>2242</v>
      </c>
      <c r="I1333" s="6" t="s">
        <v>20</v>
      </c>
      <c r="J1333" s="6">
        <v>2014.0</v>
      </c>
      <c r="K1333" s="10">
        <v>46057.0</v>
      </c>
      <c r="L1333" s="6">
        <v>1.0</v>
      </c>
      <c r="M1333" s="8">
        <f t="shared" si="3"/>
        <v>0.03</v>
      </c>
      <c r="P1333" s="9"/>
    </row>
    <row r="1334">
      <c r="A1334" s="6" t="s">
        <v>3519</v>
      </c>
      <c r="B1334" s="6" t="s">
        <v>3520</v>
      </c>
      <c r="C1334" s="6" t="s">
        <v>295</v>
      </c>
      <c r="D1334" s="6" t="s">
        <v>3521</v>
      </c>
      <c r="E1334" s="6" t="s">
        <v>1856</v>
      </c>
      <c r="F1334" s="6" t="s">
        <v>277</v>
      </c>
      <c r="G1334" s="7">
        <v>0.05</v>
      </c>
      <c r="H1334" s="6" t="s">
        <v>1689</v>
      </c>
      <c r="I1334" s="6" t="s">
        <v>20</v>
      </c>
      <c r="J1334" s="6">
        <v>2020.0</v>
      </c>
      <c r="K1334" s="10">
        <v>46024.0</v>
      </c>
      <c r="L1334" s="6">
        <v>1.0</v>
      </c>
      <c r="M1334" s="8">
        <f t="shared" si="3"/>
        <v>0.05</v>
      </c>
      <c r="P1334" s="9"/>
    </row>
    <row r="1335">
      <c r="A1335" s="6" t="s">
        <v>3522</v>
      </c>
      <c r="B1335" s="6" t="s">
        <v>3520</v>
      </c>
      <c r="C1335" s="6" t="s">
        <v>295</v>
      </c>
      <c r="D1335" s="6" t="s">
        <v>3523</v>
      </c>
      <c r="E1335" s="6" t="s">
        <v>1856</v>
      </c>
      <c r="F1335" s="6" t="s">
        <v>277</v>
      </c>
      <c r="G1335" s="7">
        <v>0.06</v>
      </c>
      <c r="H1335" s="6" t="s">
        <v>2156</v>
      </c>
      <c r="I1335" s="6" t="s">
        <v>20</v>
      </c>
      <c r="J1335" s="6">
        <v>2014.0</v>
      </c>
      <c r="K1335" s="10">
        <v>46055.0</v>
      </c>
      <c r="L1335" s="6">
        <v>1.0</v>
      </c>
      <c r="M1335" s="8">
        <f t="shared" si="3"/>
        <v>0.06</v>
      </c>
      <c r="P1335" s="9"/>
    </row>
    <row r="1336">
      <c r="A1336" s="6" t="s">
        <v>3524</v>
      </c>
      <c r="B1336" s="6" t="s">
        <v>3525</v>
      </c>
      <c r="C1336" s="6" t="s">
        <v>295</v>
      </c>
      <c r="D1336" s="6" t="s">
        <v>3526</v>
      </c>
      <c r="E1336" s="6" t="s">
        <v>629</v>
      </c>
      <c r="F1336" s="6" t="s">
        <v>277</v>
      </c>
      <c r="G1336" s="7">
        <v>0.17</v>
      </c>
      <c r="H1336" s="6" t="s">
        <v>2550</v>
      </c>
      <c r="I1336" s="6" t="s">
        <v>20</v>
      </c>
      <c r="J1336" s="6">
        <v>2020.0</v>
      </c>
      <c r="K1336" s="10">
        <v>46054.0</v>
      </c>
      <c r="L1336" s="6">
        <v>1.0</v>
      </c>
      <c r="M1336" s="8">
        <f t="shared" si="3"/>
        <v>0.17</v>
      </c>
      <c r="P1336" s="9"/>
    </row>
    <row r="1337">
      <c r="A1337" s="6" t="s">
        <v>3527</v>
      </c>
      <c r="B1337" s="6" t="s">
        <v>2058</v>
      </c>
      <c r="C1337" s="6" t="s">
        <v>295</v>
      </c>
      <c r="D1337" s="6" t="s">
        <v>3528</v>
      </c>
      <c r="E1337" s="6" t="s">
        <v>629</v>
      </c>
      <c r="F1337" s="6" t="s">
        <v>277</v>
      </c>
      <c r="G1337" s="7">
        <v>0.09</v>
      </c>
      <c r="H1337" s="6" t="s">
        <v>2963</v>
      </c>
      <c r="I1337" s="6" t="s">
        <v>20</v>
      </c>
      <c r="J1337" s="6">
        <v>2006.0</v>
      </c>
      <c r="L1337" s="6">
        <v>2.0</v>
      </c>
      <c r="M1337" s="8">
        <f t="shared" si="3"/>
        <v>0.18</v>
      </c>
      <c r="P1337" s="9"/>
    </row>
    <row r="1338">
      <c r="A1338" s="6" t="s">
        <v>3529</v>
      </c>
      <c r="B1338" s="6" t="s">
        <v>378</v>
      </c>
      <c r="C1338" s="6" t="s">
        <v>295</v>
      </c>
      <c r="D1338" s="6" t="s">
        <v>3530</v>
      </c>
      <c r="E1338" s="6" t="s">
        <v>2280</v>
      </c>
      <c r="F1338" s="6" t="s">
        <v>277</v>
      </c>
      <c r="G1338" s="7">
        <v>0.06</v>
      </c>
      <c r="H1338" s="6" t="s">
        <v>2650</v>
      </c>
      <c r="I1338" s="6" t="s">
        <v>20</v>
      </c>
      <c r="J1338" s="6">
        <v>2021.0</v>
      </c>
      <c r="L1338" s="6">
        <v>1.0</v>
      </c>
      <c r="M1338" s="8">
        <f t="shared" si="3"/>
        <v>0.06</v>
      </c>
      <c r="P1338" s="9"/>
    </row>
    <row r="1339">
      <c r="A1339" s="6" t="s">
        <v>3531</v>
      </c>
      <c r="B1339" s="6" t="s">
        <v>3532</v>
      </c>
      <c r="C1339" s="6" t="s">
        <v>1949</v>
      </c>
      <c r="D1339" s="6" t="s">
        <v>3533</v>
      </c>
      <c r="E1339" s="6" t="s">
        <v>1856</v>
      </c>
      <c r="F1339" s="6" t="s">
        <v>277</v>
      </c>
      <c r="G1339" s="7">
        <v>0.09</v>
      </c>
      <c r="H1339" s="6" t="s">
        <v>1965</v>
      </c>
      <c r="I1339" s="6" t="s">
        <v>20</v>
      </c>
      <c r="J1339" s="6">
        <v>2022.0</v>
      </c>
      <c r="K1339" s="10">
        <v>46113.0</v>
      </c>
      <c r="L1339" s="6">
        <v>1.0</v>
      </c>
      <c r="M1339" s="8">
        <f t="shared" si="3"/>
        <v>0.09</v>
      </c>
      <c r="P1339" s="9"/>
    </row>
    <row r="1340">
      <c r="A1340" s="6" t="s">
        <v>3534</v>
      </c>
      <c r="B1340" s="6" t="s">
        <v>2061</v>
      </c>
      <c r="C1340" s="6" t="s">
        <v>295</v>
      </c>
      <c r="D1340" s="6" t="s">
        <v>3535</v>
      </c>
      <c r="E1340" s="6" t="s">
        <v>2280</v>
      </c>
      <c r="F1340" s="6" t="s">
        <v>277</v>
      </c>
      <c r="G1340" s="7">
        <v>0.25</v>
      </c>
      <c r="H1340" s="6" t="s">
        <v>2190</v>
      </c>
      <c r="I1340" s="6" t="s">
        <v>31</v>
      </c>
      <c r="J1340" s="6">
        <v>2016.0</v>
      </c>
      <c r="K1340" s="10">
        <v>46082.0</v>
      </c>
      <c r="L1340" s="6">
        <v>1.0</v>
      </c>
      <c r="M1340" s="8">
        <f t="shared" si="3"/>
        <v>0.25</v>
      </c>
      <c r="P1340" s="9"/>
    </row>
    <row r="1341">
      <c r="A1341" s="6" t="s">
        <v>3536</v>
      </c>
      <c r="B1341" s="6" t="s">
        <v>3537</v>
      </c>
      <c r="C1341" s="6" t="s">
        <v>295</v>
      </c>
      <c r="D1341" s="6" t="s">
        <v>3538</v>
      </c>
      <c r="E1341" s="6" t="s">
        <v>1856</v>
      </c>
      <c r="F1341" s="6" t="s">
        <v>277</v>
      </c>
      <c r="G1341" s="7">
        <v>0.05</v>
      </c>
      <c r="H1341" s="6" t="s">
        <v>2619</v>
      </c>
      <c r="I1341" s="6" t="s">
        <v>20</v>
      </c>
      <c r="J1341" s="6">
        <v>2019.0</v>
      </c>
      <c r="K1341" s="10">
        <v>46056.0</v>
      </c>
      <c r="L1341" s="6">
        <v>1.0</v>
      </c>
      <c r="M1341" s="8">
        <f t="shared" si="3"/>
        <v>0.05</v>
      </c>
      <c r="P1341" s="9"/>
    </row>
    <row r="1342">
      <c r="A1342" s="6" t="s">
        <v>3539</v>
      </c>
      <c r="B1342" s="6" t="s">
        <v>3540</v>
      </c>
      <c r="C1342" s="6" t="s">
        <v>1897</v>
      </c>
      <c r="D1342" s="6" t="s">
        <v>3541</v>
      </c>
      <c r="E1342" s="6" t="s">
        <v>3542</v>
      </c>
      <c r="F1342" s="6" t="s">
        <v>277</v>
      </c>
      <c r="G1342" s="7">
        <v>0.32</v>
      </c>
      <c r="H1342" s="6" t="s">
        <v>1664</v>
      </c>
      <c r="I1342" s="6" t="s">
        <v>20</v>
      </c>
      <c r="J1342" s="6">
        <v>2018.0</v>
      </c>
      <c r="K1342" s="10">
        <v>46084.0</v>
      </c>
      <c r="L1342" s="6">
        <v>2.0</v>
      </c>
      <c r="M1342" s="8">
        <f t="shared" si="3"/>
        <v>0.64</v>
      </c>
      <c r="P1342" s="9"/>
    </row>
    <row r="1343">
      <c r="A1343" s="6" t="s">
        <v>3543</v>
      </c>
      <c r="B1343" s="6" t="s">
        <v>3293</v>
      </c>
      <c r="C1343" s="6" t="s">
        <v>295</v>
      </c>
      <c r="D1343" s="6" t="s">
        <v>3544</v>
      </c>
      <c r="E1343" s="6" t="s">
        <v>2280</v>
      </c>
      <c r="F1343" s="6" t="s">
        <v>277</v>
      </c>
      <c r="G1343" s="7">
        <v>0.03</v>
      </c>
      <c r="H1343" s="6" t="s">
        <v>2619</v>
      </c>
      <c r="I1343" s="6" t="s">
        <v>20</v>
      </c>
      <c r="J1343" s="6">
        <v>2019.0</v>
      </c>
      <c r="K1343" s="10">
        <v>46024.0</v>
      </c>
      <c r="L1343" s="6">
        <v>1.0</v>
      </c>
      <c r="M1343" s="8">
        <f t="shared" si="3"/>
        <v>0.03</v>
      </c>
      <c r="P1343" s="9"/>
    </row>
    <row r="1344">
      <c r="A1344" s="6" t="s">
        <v>3545</v>
      </c>
      <c r="B1344" s="6" t="s">
        <v>3546</v>
      </c>
      <c r="C1344" s="6" t="s">
        <v>295</v>
      </c>
      <c r="D1344" s="6" t="s">
        <v>3547</v>
      </c>
      <c r="E1344" s="6" t="s">
        <v>3548</v>
      </c>
      <c r="F1344" s="6" t="s">
        <v>277</v>
      </c>
      <c r="G1344" s="7">
        <v>0.05</v>
      </c>
      <c r="H1344" s="6" t="s">
        <v>2003</v>
      </c>
      <c r="I1344" s="6" t="s">
        <v>20</v>
      </c>
      <c r="J1344" s="6">
        <v>2020.0</v>
      </c>
      <c r="K1344" s="10">
        <v>46056.0</v>
      </c>
      <c r="L1344" s="6">
        <v>1.0</v>
      </c>
      <c r="M1344" s="8">
        <f t="shared" si="3"/>
        <v>0.05</v>
      </c>
      <c r="P1344" s="9"/>
    </row>
    <row r="1345">
      <c r="A1345" s="6" t="s">
        <v>3549</v>
      </c>
      <c r="B1345" s="6" t="s">
        <v>2058</v>
      </c>
      <c r="C1345" s="6" t="s">
        <v>1897</v>
      </c>
      <c r="D1345" s="6" t="s">
        <v>3550</v>
      </c>
      <c r="E1345" s="6" t="s">
        <v>2839</v>
      </c>
      <c r="F1345" s="6" t="s">
        <v>277</v>
      </c>
      <c r="G1345" s="7">
        <v>0.35</v>
      </c>
      <c r="H1345" s="6" t="s">
        <v>1711</v>
      </c>
      <c r="I1345" s="6" t="s">
        <v>20</v>
      </c>
      <c r="J1345" s="6">
        <v>2022.0</v>
      </c>
      <c r="L1345" s="6">
        <v>1.0</v>
      </c>
      <c r="M1345" s="8">
        <f t="shared" si="3"/>
        <v>0.35</v>
      </c>
      <c r="P1345" s="9"/>
    </row>
    <row r="1346">
      <c r="A1346" s="6" t="s">
        <v>3551</v>
      </c>
      <c r="B1346" s="6" t="s">
        <v>3552</v>
      </c>
      <c r="C1346" s="6" t="s">
        <v>295</v>
      </c>
      <c r="D1346" s="6" t="s">
        <v>3553</v>
      </c>
      <c r="E1346" s="6" t="s">
        <v>1853</v>
      </c>
      <c r="F1346" s="6" t="s">
        <v>277</v>
      </c>
      <c r="G1346" s="7">
        <v>0.03</v>
      </c>
      <c r="H1346" s="6" t="s">
        <v>2557</v>
      </c>
      <c r="I1346" s="6" t="s">
        <v>20</v>
      </c>
      <c r="J1346" s="6">
        <v>2017.0</v>
      </c>
      <c r="K1346" s="10">
        <v>46084.0</v>
      </c>
      <c r="L1346" s="6">
        <v>1.0</v>
      </c>
      <c r="M1346" s="8">
        <f t="shared" si="3"/>
        <v>0.03</v>
      </c>
      <c r="P1346" s="9"/>
    </row>
    <row r="1347">
      <c r="A1347" s="6" t="s">
        <v>3554</v>
      </c>
      <c r="B1347" s="6" t="s">
        <v>3293</v>
      </c>
      <c r="C1347" s="6" t="s">
        <v>295</v>
      </c>
      <c r="D1347" s="6" t="s">
        <v>3555</v>
      </c>
      <c r="E1347" s="6" t="s">
        <v>1856</v>
      </c>
      <c r="F1347" s="6" t="s">
        <v>277</v>
      </c>
      <c r="G1347" s="7">
        <v>0.08</v>
      </c>
      <c r="H1347" s="6" t="s">
        <v>2471</v>
      </c>
      <c r="I1347" s="6" t="s">
        <v>20</v>
      </c>
      <c r="J1347" s="6">
        <v>2012.0</v>
      </c>
      <c r="K1347" s="10">
        <v>46024.0</v>
      </c>
      <c r="L1347" s="6">
        <v>1.0</v>
      </c>
      <c r="M1347" s="8">
        <f t="shared" si="3"/>
        <v>0.08</v>
      </c>
      <c r="P1347" s="9"/>
    </row>
    <row r="1348">
      <c r="A1348" s="6" t="s">
        <v>3556</v>
      </c>
      <c r="B1348" s="6" t="s">
        <v>2058</v>
      </c>
      <c r="C1348" s="6" t="s">
        <v>295</v>
      </c>
      <c r="D1348" s="6" t="s">
        <v>3557</v>
      </c>
      <c r="E1348" s="6" t="s">
        <v>629</v>
      </c>
      <c r="F1348" s="6" t="s">
        <v>277</v>
      </c>
      <c r="G1348" s="7">
        <v>0.05</v>
      </c>
      <c r="H1348" s="6" t="s">
        <v>2619</v>
      </c>
      <c r="I1348" s="6" t="s">
        <v>20</v>
      </c>
      <c r="J1348" s="6">
        <v>2019.0</v>
      </c>
      <c r="L1348" s="6">
        <v>1.0</v>
      </c>
      <c r="M1348" s="8">
        <f t="shared" si="3"/>
        <v>0.05</v>
      </c>
      <c r="P1348" s="9"/>
    </row>
    <row r="1349">
      <c r="A1349" s="6" t="s">
        <v>3558</v>
      </c>
      <c r="B1349" s="6" t="s">
        <v>3559</v>
      </c>
      <c r="C1349" s="6" t="s">
        <v>295</v>
      </c>
      <c r="D1349" s="6" t="s">
        <v>3560</v>
      </c>
      <c r="E1349" s="6" t="s">
        <v>3548</v>
      </c>
      <c r="F1349" s="6" t="s">
        <v>277</v>
      </c>
      <c r="G1349" s="7">
        <v>0.03</v>
      </c>
      <c r="H1349" s="6" t="s">
        <v>2557</v>
      </c>
      <c r="I1349" s="6" t="s">
        <v>20</v>
      </c>
      <c r="J1349" s="6">
        <v>2017.0</v>
      </c>
      <c r="K1349" s="10">
        <v>46084.0</v>
      </c>
      <c r="L1349" s="6">
        <v>1.0</v>
      </c>
      <c r="M1349" s="8">
        <f t="shared" si="3"/>
        <v>0.03</v>
      </c>
      <c r="P1349" s="9"/>
    </row>
    <row r="1350">
      <c r="A1350" s="6" t="s">
        <v>3561</v>
      </c>
      <c r="B1350" s="6" t="s">
        <v>2061</v>
      </c>
      <c r="C1350" s="6" t="s">
        <v>295</v>
      </c>
      <c r="D1350" s="6" t="s">
        <v>3562</v>
      </c>
      <c r="E1350" s="6" t="s">
        <v>2967</v>
      </c>
      <c r="F1350" s="6" t="s">
        <v>277</v>
      </c>
      <c r="G1350" s="7">
        <v>0.07</v>
      </c>
      <c r="H1350" s="6" t="s">
        <v>2471</v>
      </c>
      <c r="I1350" s="6" t="s">
        <v>20</v>
      </c>
      <c r="J1350" s="6">
        <v>2012.0</v>
      </c>
      <c r="K1350" s="10">
        <v>46024.0</v>
      </c>
      <c r="L1350" s="6">
        <v>1.0</v>
      </c>
      <c r="M1350" s="8">
        <f t="shared" si="3"/>
        <v>0.07</v>
      </c>
      <c r="P1350" s="9"/>
    </row>
    <row r="1351">
      <c r="A1351" s="6" t="s">
        <v>3563</v>
      </c>
      <c r="B1351" s="6" t="s">
        <v>2058</v>
      </c>
      <c r="C1351" s="6" t="s">
        <v>295</v>
      </c>
      <c r="D1351" s="6" t="s">
        <v>3564</v>
      </c>
      <c r="E1351" s="6" t="s">
        <v>1856</v>
      </c>
      <c r="F1351" s="6" t="s">
        <v>277</v>
      </c>
      <c r="G1351" s="7">
        <v>0.03</v>
      </c>
      <c r="H1351" s="6" t="s">
        <v>1704</v>
      </c>
      <c r="I1351" s="6" t="s">
        <v>20</v>
      </c>
      <c r="J1351" s="6">
        <v>2016.0</v>
      </c>
      <c r="L1351" s="6">
        <v>1.0</v>
      </c>
      <c r="M1351" s="8">
        <f t="shared" si="3"/>
        <v>0.03</v>
      </c>
      <c r="P1351" s="9"/>
    </row>
    <row r="1352">
      <c r="A1352" s="6" t="s">
        <v>3565</v>
      </c>
      <c r="B1352" s="6" t="s">
        <v>2476</v>
      </c>
      <c r="C1352" s="6" t="s">
        <v>295</v>
      </c>
      <c r="D1352" s="6" t="s">
        <v>3566</v>
      </c>
      <c r="E1352" s="6" t="s">
        <v>2280</v>
      </c>
      <c r="F1352" s="6" t="s">
        <v>277</v>
      </c>
      <c r="G1352" s="7">
        <v>0.05</v>
      </c>
      <c r="H1352" s="6" t="s">
        <v>2202</v>
      </c>
      <c r="I1352" s="6" t="s">
        <v>20</v>
      </c>
      <c r="J1352" s="6">
        <v>2014.0</v>
      </c>
      <c r="K1352" s="10">
        <v>46024.0</v>
      </c>
      <c r="L1352" s="6">
        <v>1.0</v>
      </c>
      <c r="M1352" s="8">
        <f t="shared" si="3"/>
        <v>0.05</v>
      </c>
      <c r="P1352" s="9"/>
    </row>
    <row r="1353">
      <c r="A1353" s="6" t="s">
        <v>3567</v>
      </c>
      <c r="B1353" s="6" t="s">
        <v>2058</v>
      </c>
      <c r="C1353" s="6" t="s">
        <v>295</v>
      </c>
      <c r="D1353" s="6" t="s">
        <v>3568</v>
      </c>
      <c r="E1353" s="6" t="s">
        <v>1856</v>
      </c>
      <c r="F1353" s="6" t="s">
        <v>277</v>
      </c>
      <c r="G1353" s="7">
        <v>0.04</v>
      </c>
      <c r="H1353" s="6" t="s">
        <v>2471</v>
      </c>
      <c r="I1353" s="6" t="s">
        <v>20</v>
      </c>
      <c r="J1353" s="6">
        <v>2012.0</v>
      </c>
      <c r="L1353" s="6">
        <v>1.0</v>
      </c>
      <c r="M1353" s="8">
        <f t="shared" si="3"/>
        <v>0.04</v>
      </c>
      <c r="P1353" s="9"/>
    </row>
    <row r="1354">
      <c r="A1354" s="6" t="s">
        <v>3569</v>
      </c>
      <c r="B1354" s="6" t="s">
        <v>378</v>
      </c>
      <c r="C1354" s="6" t="s">
        <v>295</v>
      </c>
      <c r="D1354" s="6" t="s">
        <v>3570</v>
      </c>
      <c r="E1354" s="6" t="s">
        <v>2280</v>
      </c>
      <c r="F1354" s="6" t="s">
        <v>277</v>
      </c>
      <c r="G1354" s="7">
        <v>0.2</v>
      </c>
      <c r="H1354" s="6" t="s">
        <v>1711</v>
      </c>
      <c r="I1354" s="6" t="s">
        <v>20</v>
      </c>
      <c r="J1354" s="6">
        <v>2022.0</v>
      </c>
      <c r="L1354" s="6">
        <v>2.0</v>
      </c>
      <c r="M1354" s="8">
        <f t="shared" si="3"/>
        <v>0.4</v>
      </c>
      <c r="P1354" s="9"/>
    </row>
    <row r="1355">
      <c r="A1355" s="6" t="s">
        <v>3571</v>
      </c>
      <c r="B1355" s="6" t="s">
        <v>3090</v>
      </c>
      <c r="C1355" s="6" t="s">
        <v>1949</v>
      </c>
      <c r="D1355" s="6" t="s">
        <v>3572</v>
      </c>
      <c r="E1355" s="6" t="s">
        <v>2401</v>
      </c>
      <c r="F1355" s="6" t="s">
        <v>3192</v>
      </c>
      <c r="G1355" s="7">
        <v>0.7</v>
      </c>
      <c r="H1355" s="6" t="s">
        <v>1641</v>
      </c>
      <c r="I1355" s="6" t="s">
        <v>31</v>
      </c>
      <c r="J1355" s="6">
        <v>2019.0</v>
      </c>
      <c r="K1355" s="10">
        <v>46055.0</v>
      </c>
      <c r="L1355" s="6">
        <v>1.0</v>
      </c>
      <c r="M1355" s="8">
        <f t="shared" si="3"/>
        <v>0.7</v>
      </c>
      <c r="P1355" s="9"/>
    </row>
    <row r="1356">
      <c r="A1356" s="6" t="s">
        <v>3573</v>
      </c>
      <c r="B1356" s="6" t="s">
        <v>378</v>
      </c>
      <c r="C1356" s="6" t="s">
        <v>1949</v>
      </c>
      <c r="D1356" s="6" t="s">
        <v>3574</v>
      </c>
      <c r="E1356" s="6" t="s">
        <v>2396</v>
      </c>
      <c r="F1356" s="6" t="s">
        <v>3196</v>
      </c>
      <c r="G1356" s="7">
        <v>0.25</v>
      </c>
      <c r="H1356" s="6" t="s">
        <v>2247</v>
      </c>
      <c r="I1356" s="6" t="s">
        <v>20</v>
      </c>
      <c r="J1356" s="6">
        <v>2017.0</v>
      </c>
      <c r="L1356" s="6">
        <v>4.0</v>
      </c>
      <c r="M1356" s="8">
        <f t="shared" si="3"/>
        <v>1</v>
      </c>
      <c r="P1356" s="9"/>
    </row>
    <row r="1357">
      <c r="A1357" s="6" t="s">
        <v>3575</v>
      </c>
      <c r="B1357" s="6" t="s">
        <v>3576</v>
      </c>
      <c r="C1357" s="6" t="s">
        <v>1949</v>
      </c>
      <c r="D1357" s="6" t="s">
        <v>3577</v>
      </c>
      <c r="E1357" s="6" t="s">
        <v>2287</v>
      </c>
      <c r="F1357" s="6" t="s">
        <v>277</v>
      </c>
      <c r="G1357" s="7">
        <v>0.25</v>
      </c>
      <c r="H1357" s="6" t="s">
        <v>2179</v>
      </c>
      <c r="I1357" s="6" t="s">
        <v>20</v>
      </c>
      <c r="J1357" s="6">
        <v>2018.0</v>
      </c>
      <c r="K1357" s="10">
        <v>46055.0</v>
      </c>
      <c r="L1357" s="6">
        <v>1.0</v>
      </c>
      <c r="M1357" s="8">
        <f t="shared" si="3"/>
        <v>0.25</v>
      </c>
      <c r="P1357" s="9"/>
    </row>
    <row r="1358">
      <c r="A1358" s="6" t="s">
        <v>3578</v>
      </c>
      <c r="B1358" s="6" t="s">
        <v>2502</v>
      </c>
      <c r="C1358" s="6" t="s">
        <v>1949</v>
      </c>
      <c r="D1358" s="6" t="s">
        <v>3579</v>
      </c>
      <c r="E1358" s="6" t="s">
        <v>1853</v>
      </c>
      <c r="F1358" s="6" t="s">
        <v>277</v>
      </c>
      <c r="G1358" s="7">
        <v>0.05</v>
      </c>
      <c r="H1358" s="6" t="s">
        <v>2578</v>
      </c>
      <c r="I1358" s="6" t="s">
        <v>20</v>
      </c>
      <c r="J1358" s="6">
        <v>2020.0</v>
      </c>
      <c r="K1358" s="6" t="s">
        <v>3153</v>
      </c>
      <c r="L1358" s="6">
        <v>1.0</v>
      </c>
      <c r="M1358" s="8">
        <f t="shared" si="3"/>
        <v>0.05</v>
      </c>
      <c r="P1358" s="9"/>
    </row>
    <row r="1359">
      <c r="A1359" s="6" t="s">
        <v>3580</v>
      </c>
      <c r="B1359" s="6" t="s">
        <v>1944</v>
      </c>
      <c r="C1359" s="6" t="s">
        <v>1897</v>
      </c>
      <c r="D1359" s="6" t="s">
        <v>3581</v>
      </c>
      <c r="E1359" s="6" t="s">
        <v>1853</v>
      </c>
      <c r="F1359" s="6" t="s">
        <v>277</v>
      </c>
      <c r="G1359" s="7">
        <v>0.15</v>
      </c>
      <c r="H1359" s="6" t="s">
        <v>2175</v>
      </c>
      <c r="I1359" s="6" t="s">
        <v>20</v>
      </c>
      <c r="J1359" s="6">
        <v>2018.0</v>
      </c>
      <c r="L1359" s="6">
        <v>1.0</v>
      </c>
      <c r="M1359" s="8">
        <f t="shared" si="3"/>
        <v>0.15</v>
      </c>
      <c r="P1359" s="9"/>
    </row>
    <row r="1360">
      <c r="A1360" s="6" t="s">
        <v>3582</v>
      </c>
      <c r="B1360" s="6" t="s">
        <v>2316</v>
      </c>
      <c r="C1360" s="6" t="s">
        <v>1897</v>
      </c>
      <c r="D1360" s="6" t="s">
        <v>3583</v>
      </c>
      <c r="E1360" s="6" t="s">
        <v>1853</v>
      </c>
      <c r="F1360" s="6" t="s">
        <v>277</v>
      </c>
      <c r="G1360" s="7">
        <v>0.15</v>
      </c>
      <c r="H1360" s="6" t="s">
        <v>2641</v>
      </c>
      <c r="I1360" s="6" t="s">
        <v>20</v>
      </c>
      <c r="J1360" s="6">
        <v>2013.0</v>
      </c>
      <c r="K1360" s="10">
        <v>46082.0</v>
      </c>
      <c r="L1360" s="6">
        <v>1.0</v>
      </c>
      <c r="M1360" s="8">
        <f t="shared" si="3"/>
        <v>0.15</v>
      </c>
      <c r="P1360" s="9"/>
    </row>
    <row r="1361">
      <c r="A1361" s="6" t="s">
        <v>3584</v>
      </c>
      <c r="B1361" s="6" t="s">
        <v>3585</v>
      </c>
      <c r="C1361" s="6" t="s">
        <v>1949</v>
      </c>
      <c r="D1361" s="6" t="s">
        <v>3586</v>
      </c>
      <c r="E1361" s="6" t="s">
        <v>1853</v>
      </c>
      <c r="F1361" s="6" t="s">
        <v>277</v>
      </c>
      <c r="G1361" s="7">
        <v>0.25</v>
      </c>
      <c r="H1361" s="6" t="s">
        <v>3587</v>
      </c>
      <c r="I1361" s="6" t="s">
        <v>20</v>
      </c>
      <c r="J1361" s="6">
        <v>2021.0</v>
      </c>
      <c r="K1361" s="10">
        <v>46057.0</v>
      </c>
      <c r="L1361" s="6">
        <v>1.0</v>
      </c>
      <c r="M1361" s="8">
        <f t="shared" si="3"/>
        <v>0.25</v>
      </c>
      <c r="P1361" s="9"/>
    </row>
    <row r="1362">
      <c r="A1362" s="6" t="s">
        <v>3588</v>
      </c>
      <c r="B1362" s="6" t="s">
        <v>3589</v>
      </c>
      <c r="C1362" s="6" t="s">
        <v>1949</v>
      </c>
      <c r="D1362" s="6" t="s">
        <v>3590</v>
      </c>
      <c r="E1362" s="6" t="s">
        <v>1853</v>
      </c>
      <c r="F1362" s="6" t="s">
        <v>277</v>
      </c>
      <c r="G1362" s="7">
        <v>0.06</v>
      </c>
      <c r="H1362" s="6" t="s">
        <v>3591</v>
      </c>
      <c r="I1362" s="6" t="s">
        <v>20</v>
      </c>
      <c r="J1362" s="6">
        <v>1993.0</v>
      </c>
      <c r="K1362" s="10">
        <v>46084.0</v>
      </c>
      <c r="L1362" s="6">
        <v>1.0</v>
      </c>
      <c r="M1362" s="8">
        <f t="shared" si="3"/>
        <v>0.06</v>
      </c>
      <c r="P1362" s="9"/>
    </row>
    <row r="1363">
      <c r="A1363" s="6" t="s">
        <v>3592</v>
      </c>
      <c r="B1363" s="6" t="s">
        <v>3593</v>
      </c>
      <c r="C1363" s="6" t="s">
        <v>1949</v>
      </c>
      <c r="D1363" s="6" t="s">
        <v>3594</v>
      </c>
      <c r="E1363" s="6" t="s">
        <v>1758</v>
      </c>
      <c r="F1363" s="6" t="s">
        <v>277</v>
      </c>
      <c r="G1363" s="7">
        <v>0.1</v>
      </c>
      <c r="H1363" s="6" t="s">
        <v>3595</v>
      </c>
      <c r="I1363" s="6" t="s">
        <v>20</v>
      </c>
      <c r="J1363" s="6">
        <v>2020.0</v>
      </c>
      <c r="K1363" s="10">
        <v>46055.0</v>
      </c>
      <c r="L1363" s="6">
        <v>1.0</v>
      </c>
      <c r="M1363" s="8">
        <f t="shared" si="3"/>
        <v>0.1</v>
      </c>
      <c r="P1363" s="9"/>
    </row>
    <row r="1364">
      <c r="A1364" s="6" t="s">
        <v>3596</v>
      </c>
      <c r="B1364" s="6" t="s">
        <v>2014</v>
      </c>
      <c r="C1364" s="6" t="s">
        <v>1949</v>
      </c>
      <c r="D1364" s="6" t="s">
        <v>3597</v>
      </c>
      <c r="E1364" s="6" t="s">
        <v>629</v>
      </c>
      <c r="F1364" s="6" t="s">
        <v>277</v>
      </c>
      <c r="G1364" s="7">
        <v>0.13</v>
      </c>
      <c r="H1364" s="6" t="s">
        <v>3598</v>
      </c>
      <c r="I1364" s="6" t="s">
        <v>20</v>
      </c>
      <c r="J1364" s="6">
        <v>2011.0</v>
      </c>
      <c r="L1364" s="6">
        <v>1.0</v>
      </c>
      <c r="M1364" s="8">
        <f t="shared" si="3"/>
        <v>0.13</v>
      </c>
      <c r="P1364" s="9"/>
    </row>
    <row r="1365">
      <c r="A1365" s="6" t="s">
        <v>3599</v>
      </c>
      <c r="B1365" s="6" t="s">
        <v>3600</v>
      </c>
      <c r="C1365" s="6" t="s">
        <v>1949</v>
      </c>
      <c r="D1365" s="6" t="s">
        <v>3601</v>
      </c>
      <c r="E1365" s="6" t="s">
        <v>1853</v>
      </c>
      <c r="F1365" s="6" t="s">
        <v>277</v>
      </c>
      <c r="G1365" s="7">
        <v>0.2</v>
      </c>
      <c r="H1365" s="6" t="s">
        <v>1711</v>
      </c>
      <c r="I1365" s="6" t="s">
        <v>20</v>
      </c>
      <c r="J1365" s="6">
        <v>2022.0</v>
      </c>
      <c r="K1365" s="10">
        <v>46055.0</v>
      </c>
      <c r="L1365" s="6">
        <v>1.0</v>
      </c>
      <c r="M1365" s="8">
        <f t="shared" si="3"/>
        <v>0.2</v>
      </c>
      <c r="P1365" s="9"/>
    </row>
    <row r="1366">
      <c r="A1366" s="6" t="s">
        <v>3602</v>
      </c>
      <c r="B1366" s="6" t="s">
        <v>3603</v>
      </c>
      <c r="C1366" s="6" t="s">
        <v>295</v>
      </c>
      <c r="D1366" s="6" t="s">
        <v>3604</v>
      </c>
      <c r="E1366" s="6" t="s">
        <v>2280</v>
      </c>
      <c r="F1366" s="6" t="s">
        <v>277</v>
      </c>
      <c r="G1366" s="7">
        <v>0.04</v>
      </c>
      <c r="H1366" s="6" t="s">
        <v>2990</v>
      </c>
      <c r="I1366" s="6" t="s">
        <v>20</v>
      </c>
      <c r="J1366" s="6">
        <v>2013.0</v>
      </c>
      <c r="K1366" s="10">
        <v>46055.0</v>
      </c>
      <c r="L1366" s="6">
        <v>1.0</v>
      </c>
      <c r="M1366" s="8">
        <f t="shared" si="3"/>
        <v>0.04</v>
      </c>
      <c r="P1366" s="9"/>
    </row>
    <row r="1367">
      <c r="A1367" s="6" t="s">
        <v>3605</v>
      </c>
      <c r="B1367" s="6" t="s">
        <v>3606</v>
      </c>
      <c r="C1367" s="6" t="s">
        <v>1949</v>
      </c>
      <c r="D1367" s="6" t="s">
        <v>3607</v>
      </c>
      <c r="E1367" s="6" t="s">
        <v>2280</v>
      </c>
      <c r="F1367" s="6" t="s">
        <v>277</v>
      </c>
      <c r="G1367" s="7">
        <v>0.15</v>
      </c>
      <c r="H1367" s="6" t="s">
        <v>1631</v>
      </c>
      <c r="I1367" s="6" t="s">
        <v>20</v>
      </c>
      <c r="J1367" s="6">
        <v>2024.0</v>
      </c>
      <c r="K1367" s="10">
        <v>46025.0</v>
      </c>
      <c r="L1367" s="6">
        <v>1.0</v>
      </c>
      <c r="M1367" s="8">
        <f t="shared" si="3"/>
        <v>0.15</v>
      </c>
      <c r="P1367" s="9"/>
    </row>
    <row r="1368">
      <c r="A1368" s="6" t="s">
        <v>3608</v>
      </c>
      <c r="B1368" s="6" t="s">
        <v>3609</v>
      </c>
      <c r="C1368" s="6" t="s">
        <v>1897</v>
      </c>
      <c r="D1368" s="6" t="s">
        <v>3610</v>
      </c>
      <c r="E1368" s="6" t="s">
        <v>2488</v>
      </c>
      <c r="F1368" s="6" t="s">
        <v>18</v>
      </c>
      <c r="G1368" s="7">
        <v>0.2</v>
      </c>
      <c r="H1368" s="6" t="s">
        <v>2190</v>
      </c>
      <c r="I1368" s="6" t="s">
        <v>20</v>
      </c>
      <c r="J1368" s="6">
        <v>2016.0</v>
      </c>
      <c r="K1368" s="10">
        <v>46084.0</v>
      </c>
      <c r="L1368" s="6">
        <v>1.0</v>
      </c>
      <c r="M1368" s="8">
        <f t="shared" si="3"/>
        <v>0.2</v>
      </c>
      <c r="P1368" s="9"/>
    </row>
    <row r="1369">
      <c r="A1369" s="6" t="s">
        <v>3611</v>
      </c>
      <c r="B1369" s="6" t="s">
        <v>3612</v>
      </c>
      <c r="C1369" s="6" t="s">
        <v>295</v>
      </c>
      <c r="D1369" s="6" t="s">
        <v>2525</v>
      </c>
      <c r="E1369" s="6" t="s">
        <v>2295</v>
      </c>
      <c r="F1369" s="6" t="s">
        <v>18</v>
      </c>
      <c r="G1369" s="7">
        <v>0.05</v>
      </c>
      <c r="H1369" s="6" t="s">
        <v>2619</v>
      </c>
      <c r="I1369" s="6" t="s">
        <v>20</v>
      </c>
      <c r="J1369" s="6">
        <v>2019.0</v>
      </c>
      <c r="K1369" s="10">
        <v>46055.0</v>
      </c>
      <c r="L1369" s="6">
        <v>1.0</v>
      </c>
      <c r="M1369" s="8">
        <f t="shared" si="3"/>
        <v>0.05</v>
      </c>
      <c r="P1369" s="9"/>
    </row>
    <row r="1370">
      <c r="A1370" s="6" t="s">
        <v>3613</v>
      </c>
      <c r="B1370" s="6" t="s">
        <v>3614</v>
      </c>
      <c r="C1370" s="6" t="s">
        <v>295</v>
      </c>
      <c r="D1370" s="6" t="s">
        <v>3615</v>
      </c>
      <c r="E1370" s="6" t="s">
        <v>780</v>
      </c>
      <c r="F1370" s="6" t="s">
        <v>18</v>
      </c>
      <c r="G1370" s="7">
        <v>0.03</v>
      </c>
      <c r="H1370" s="6" t="s">
        <v>2242</v>
      </c>
      <c r="I1370" s="6" t="s">
        <v>20</v>
      </c>
      <c r="J1370" s="6">
        <v>2014.0</v>
      </c>
      <c r="K1370" s="10">
        <v>46023.0</v>
      </c>
      <c r="L1370" s="6">
        <v>1.0</v>
      </c>
      <c r="M1370" s="8">
        <f t="shared" si="3"/>
        <v>0.03</v>
      </c>
      <c r="P1370" s="9"/>
    </row>
    <row r="1371">
      <c r="A1371" s="6" t="s">
        <v>3616</v>
      </c>
      <c r="B1371" s="6" t="s">
        <v>3617</v>
      </c>
      <c r="C1371" s="6" t="s">
        <v>295</v>
      </c>
      <c r="D1371" s="6" t="s">
        <v>3618</v>
      </c>
      <c r="E1371" s="6" t="s">
        <v>1954</v>
      </c>
      <c r="F1371" s="6" t="s">
        <v>18</v>
      </c>
      <c r="G1371" s="7">
        <v>0.04</v>
      </c>
      <c r="H1371" s="6" t="s">
        <v>1956</v>
      </c>
      <c r="I1371" s="6" t="s">
        <v>20</v>
      </c>
      <c r="J1371" s="6">
        <v>2021.0</v>
      </c>
      <c r="K1371" s="10">
        <v>46055.0</v>
      </c>
      <c r="L1371" s="6">
        <v>1.0</v>
      </c>
      <c r="M1371" s="8">
        <f t="shared" si="3"/>
        <v>0.04</v>
      </c>
      <c r="P1371" s="9"/>
    </row>
    <row r="1372">
      <c r="A1372" s="6" t="s">
        <v>3619</v>
      </c>
      <c r="B1372" s="6" t="s">
        <v>3620</v>
      </c>
      <c r="C1372" s="6" t="s">
        <v>295</v>
      </c>
      <c r="D1372" s="6" t="s">
        <v>3621</v>
      </c>
      <c r="E1372" s="6" t="s">
        <v>2488</v>
      </c>
      <c r="F1372" s="6" t="s">
        <v>18</v>
      </c>
      <c r="G1372" s="7">
        <v>0.03</v>
      </c>
      <c r="H1372" s="6" t="s">
        <v>2242</v>
      </c>
      <c r="I1372" s="6" t="s">
        <v>20</v>
      </c>
      <c r="J1372" s="6">
        <v>2014.0</v>
      </c>
      <c r="K1372" s="10">
        <v>46023.0</v>
      </c>
      <c r="L1372" s="6">
        <v>1.0</v>
      </c>
      <c r="M1372" s="8">
        <f t="shared" si="3"/>
        <v>0.03</v>
      </c>
      <c r="P1372" s="9"/>
    </row>
    <row r="1373">
      <c r="A1373" s="6" t="s">
        <v>3622</v>
      </c>
      <c r="B1373" s="6" t="s">
        <v>3623</v>
      </c>
      <c r="C1373" s="6" t="s">
        <v>295</v>
      </c>
      <c r="D1373" s="6" t="s">
        <v>3624</v>
      </c>
      <c r="E1373" s="6" t="s">
        <v>2503</v>
      </c>
      <c r="F1373" s="6" t="s">
        <v>18</v>
      </c>
      <c r="G1373" s="7">
        <v>0.06</v>
      </c>
      <c r="H1373" s="6" t="s">
        <v>2202</v>
      </c>
      <c r="I1373" s="6" t="s">
        <v>20</v>
      </c>
      <c r="J1373" s="6">
        <v>2014.0</v>
      </c>
      <c r="K1373" s="10">
        <v>46144.0</v>
      </c>
      <c r="L1373" s="6">
        <v>1.0</v>
      </c>
      <c r="M1373" s="8">
        <f t="shared" si="3"/>
        <v>0.06</v>
      </c>
      <c r="P1373" s="9"/>
    </row>
    <row r="1374">
      <c r="A1374" s="6" t="s">
        <v>3625</v>
      </c>
      <c r="B1374" s="6" t="s">
        <v>3609</v>
      </c>
      <c r="C1374" s="6" t="s">
        <v>295</v>
      </c>
      <c r="D1374" s="6" t="s">
        <v>3626</v>
      </c>
      <c r="E1374" s="6" t="s">
        <v>2510</v>
      </c>
      <c r="F1374" s="6" t="s">
        <v>18</v>
      </c>
      <c r="G1374" s="7">
        <v>0.09</v>
      </c>
      <c r="H1374" s="6" t="s">
        <v>2172</v>
      </c>
      <c r="I1374" s="6" t="s">
        <v>20</v>
      </c>
      <c r="J1374" s="6">
        <v>2021.0</v>
      </c>
      <c r="K1374" s="10">
        <v>46179.0</v>
      </c>
      <c r="L1374" s="6">
        <v>2.0</v>
      </c>
      <c r="M1374" s="8">
        <f t="shared" si="3"/>
        <v>0.18</v>
      </c>
      <c r="P1374" s="9"/>
    </row>
    <row r="1375">
      <c r="A1375" s="6" t="s">
        <v>3627</v>
      </c>
      <c r="B1375" s="6" t="s">
        <v>3628</v>
      </c>
      <c r="C1375" s="6" t="s">
        <v>295</v>
      </c>
      <c r="D1375" s="6" t="s">
        <v>3629</v>
      </c>
      <c r="E1375" s="6" t="s">
        <v>2292</v>
      </c>
      <c r="F1375" s="6" t="s">
        <v>18</v>
      </c>
      <c r="G1375" s="7">
        <v>0.05</v>
      </c>
      <c r="H1375" s="6" t="s">
        <v>1689</v>
      </c>
      <c r="I1375" s="6" t="s">
        <v>20</v>
      </c>
      <c r="J1375" s="6">
        <v>2020.0</v>
      </c>
      <c r="K1375" s="10">
        <v>46116.0</v>
      </c>
      <c r="L1375" s="6">
        <v>2.0</v>
      </c>
      <c r="M1375" s="8">
        <f t="shared" si="3"/>
        <v>0.1</v>
      </c>
      <c r="P1375" s="9"/>
    </row>
    <row r="1376">
      <c r="A1376" s="6" t="s">
        <v>3630</v>
      </c>
      <c r="B1376" s="6" t="s">
        <v>3628</v>
      </c>
      <c r="C1376" s="6" t="s">
        <v>295</v>
      </c>
      <c r="D1376" s="6" t="s">
        <v>3631</v>
      </c>
      <c r="E1376" s="6" t="s">
        <v>2295</v>
      </c>
      <c r="F1376" s="6" t="s">
        <v>18</v>
      </c>
      <c r="G1376" s="7">
        <v>0.05</v>
      </c>
      <c r="H1376" s="6" t="s">
        <v>2746</v>
      </c>
      <c r="I1376" s="6" t="s">
        <v>20</v>
      </c>
      <c r="J1376" s="6">
        <v>2009.0</v>
      </c>
      <c r="K1376" s="10">
        <v>46082.0</v>
      </c>
      <c r="L1376" s="6">
        <v>1.0</v>
      </c>
      <c r="M1376" s="8">
        <f t="shared" si="3"/>
        <v>0.05</v>
      </c>
      <c r="P1376" s="9"/>
    </row>
    <row r="1377">
      <c r="A1377" s="6" t="s">
        <v>3632</v>
      </c>
      <c r="B1377" s="6" t="s">
        <v>2127</v>
      </c>
      <c r="C1377" s="6" t="s">
        <v>295</v>
      </c>
      <c r="E1377" s="6" t="s">
        <v>2488</v>
      </c>
      <c r="F1377" s="6" t="s">
        <v>18</v>
      </c>
      <c r="G1377" s="7">
        <v>0.05</v>
      </c>
      <c r="H1377" s="6" t="s">
        <v>3633</v>
      </c>
      <c r="I1377" s="6" t="s">
        <v>20</v>
      </c>
      <c r="J1377" s="6">
        <v>2010.0</v>
      </c>
      <c r="K1377" s="10">
        <v>46084.0</v>
      </c>
      <c r="L1377" s="6">
        <v>1.0</v>
      </c>
      <c r="M1377" s="8">
        <f t="shared" si="3"/>
        <v>0.05</v>
      </c>
      <c r="P1377" s="9"/>
    </row>
    <row r="1378">
      <c r="A1378" s="6" t="s">
        <v>3634</v>
      </c>
      <c r="B1378" s="6" t="s">
        <v>3635</v>
      </c>
      <c r="C1378" s="6" t="s">
        <v>295</v>
      </c>
      <c r="E1378" s="6" t="s">
        <v>2287</v>
      </c>
      <c r="F1378" s="6" t="s">
        <v>277</v>
      </c>
      <c r="G1378" s="7">
        <v>0.05</v>
      </c>
      <c r="H1378" s="6" t="s">
        <v>381</v>
      </c>
      <c r="I1378" s="6" t="s">
        <v>20</v>
      </c>
      <c r="J1378" s="6">
        <v>2011.0</v>
      </c>
      <c r="K1378" s="10">
        <v>46085.0</v>
      </c>
      <c r="L1378" s="6">
        <v>1.0</v>
      </c>
      <c r="M1378" s="8">
        <f t="shared" si="3"/>
        <v>0.05</v>
      </c>
      <c r="P1378" s="9"/>
    </row>
    <row r="1379">
      <c r="A1379" s="6" t="s">
        <v>3636</v>
      </c>
      <c r="B1379" s="6" t="s">
        <v>385</v>
      </c>
      <c r="C1379" s="6" t="s">
        <v>1667</v>
      </c>
      <c r="D1379" s="6" t="s">
        <v>3637</v>
      </c>
      <c r="E1379" s="6" t="s">
        <v>2280</v>
      </c>
      <c r="F1379" s="6" t="s">
        <v>2976</v>
      </c>
      <c r="G1379" s="7">
        <v>0.3</v>
      </c>
      <c r="H1379" s="6" t="s">
        <v>1681</v>
      </c>
      <c r="I1379" s="6" t="s">
        <v>31</v>
      </c>
      <c r="J1379" s="6">
        <v>2015.0</v>
      </c>
      <c r="L1379" s="6">
        <v>1.0</v>
      </c>
      <c r="M1379" s="8">
        <f t="shared" si="3"/>
        <v>0.3</v>
      </c>
      <c r="P1379" s="9"/>
    </row>
    <row r="1380">
      <c r="A1380" s="6" t="s">
        <v>3636</v>
      </c>
      <c r="B1380" s="6" t="s">
        <v>385</v>
      </c>
      <c r="C1380" s="6" t="s">
        <v>1667</v>
      </c>
      <c r="D1380" s="6" t="s">
        <v>3637</v>
      </c>
      <c r="E1380" s="6" t="s">
        <v>2280</v>
      </c>
      <c r="F1380" s="6" t="s">
        <v>2976</v>
      </c>
      <c r="G1380" s="7">
        <v>0.08</v>
      </c>
      <c r="H1380" s="6" t="s">
        <v>1681</v>
      </c>
      <c r="I1380" s="6" t="s">
        <v>20</v>
      </c>
      <c r="J1380" s="6">
        <v>2015.0</v>
      </c>
      <c r="L1380" s="6">
        <v>1.0</v>
      </c>
      <c r="M1380" s="8">
        <f t="shared" si="3"/>
        <v>0.08</v>
      </c>
      <c r="P1380" s="9"/>
    </row>
    <row r="1381">
      <c r="A1381" s="6" t="s">
        <v>3638</v>
      </c>
      <c r="B1381" s="6" t="s">
        <v>3639</v>
      </c>
      <c r="C1381" s="6" t="s">
        <v>2841</v>
      </c>
      <c r="D1381" s="6" t="s">
        <v>3640</v>
      </c>
      <c r="E1381" s="6" t="s">
        <v>2287</v>
      </c>
      <c r="F1381" s="6" t="s">
        <v>2962</v>
      </c>
      <c r="G1381" s="7">
        <v>0.1</v>
      </c>
      <c r="H1381" s="6" t="s">
        <v>2471</v>
      </c>
      <c r="I1381" s="6" t="s">
        <v>20</v>
      </c>
      <c r="J1381" s="6">
        <v>2012.0</v>
      </c>
      <c r="L1381" s="6">
        <v>1.0</v>
      </c>
      <c r="M1381" s="8">
        <f t="shared" si="3"/>
        <v>0.1</v>
      </c>
      <c r="P1381" s="9"/>
    </row>
    <row r="1382">
      <c r="A1382" s="6" t="s">
        <v>3641</v>
      </c>
      <c r="B1382" s="6" t="s">
        <v>2992</v>
      </c>
      <c r="C1382" s="6" t="s">
        <v>2855</v>
      </c>
      <c r="D1382" s="6" t="s">
        <v>3642</v>
      </c>
      <c r="E1382" s="6" t="s">
        <v>3643</v>
      </c>
      <c r="F1382" s="6" t="s">
        <v>3644</v>
      </c>
      <c r="G1382" s="7">
        <v>0.3</v>
      </c>
      <c r="H1382" s="6" t="s">
        <v>2006</v>
      </c>
      <c r="I1382" s="6" t="s">
        <v>20</v>
      </c>
      <c r="J1382" s="6">
        <v>2013.0</v>
      </c>
      <c r="K1382" s="6" t="s">
        <v>345</v>
      </c>
      <c r="L1382" s="6">
        <v>1.0</v>
      </c>
      <c r="M1382" s="8">
        <f t="shared" si="3"/>
        <v>0.3</v>
      </c>
      <c r="P1382" s="9"/>
    </row>
    <row r="1383">
      <c r="A1383" s="6" t="s">
        <v>3645</v>
      </c>
      <c r="B1383" s="6" t="s">
        <v>2969</v>
      </c>
      <c r="C1383" s="6" t="s">
        <v>2841</v>
      </c>
      <c r="D1383" s="6" t="s">
        <v>3646</v>
      </c>
      <c r="E1383" s="6" t="s">
        <v>3647</v>
      </c>
      <c r="F1383" s="6" t="s">
        <v>3648</v>
      </c>
      <c r="G1383" s="7">
        <v>0.09</v>
      </c>
      <c r="H1383" s="6" t="s">
        <v>1641</v>
      </c>
      <c r="I1383" s="6" t="s">
        <v>20</v>
      </c>
      <c r="J1383" s="6">
        <v>2019.0</v>
      </c>
      <c r="L1383" s="6">
        <v>1.0</v>
      </c>
      <c r="M1383" s="8">
        <f t="shared" si="3"/>
        <v>0.09</v>
      </c>
      <c r="P1383" s="9"/>
    </row>
    <row r="1384">
      <c r="A1384" s="6" t="s">
        <v>3649</v>
      </c>
      <c r="B1384" s="6" t="s">
        <v>3505</v>
      </c>
      <c r="C1384" s="6" t="s">
        <v>1949</v>
      </c>
      <c r="D1384" s="6" t="s">
        <v>3650</v>
      </c>
      <c r="E1384" s="6" t="s">
        <v>3168</v>
      </c>
      <c r="F1384" s="6" t="s">
        <v>3169</v>
      </c>
      <c r="G1384" s="7">
        <v>0.15</v>
      </c>
      <c r="H1384" s="6" t="s">
        <v>1676</v>
      </c>
      <c r="I1384" s="6" t="s">
        <v>20</v>
      </c>
      <c r="J1384" s="6">
        <v>2008.0</v>
      </c>
      <c r="K1384" s="10">
        <v>46056.0</v>
      </c>
      <c r="L1384" s="6">
        <v>1.0</v>
      </c>
      <c r="M1384" s="8">
        <f t="shared" si="3"/>
        <v>0.15</v>
      </c>
      <c r="P1384" s="9"/>
    </row>
    <row r="1385">
      <c r="A1385" s="6" t="s">
        <v>3651</v>
      </c>
      <c r="B1385" s="6" t="s">
        <v>378</v>
      </c>
      <c r="C1385" s="6" t="s">
        <v>1949</v>
      </c>
      <c r="D1385" s="6" t="s">
        <v>3652</v>
      </c>
      <c r="E1385" s="6" t="s">
        <v>3653</v>
      </c>
      <c r="F1385" s="6" t="s">
        <v>3196</v>
      </c>
      <c r="G1385" s="7">
        <v>0.1</v>
      </c>
      <c r="H1385" s="6" t="s">
        <v>3654</v>
      </c>
      <c r="I1385" s="6" t="s">
        <v>20</v>
      </c>
      <c r="J1385" s="6">
        <v>2024.0</v>
      </c>
      <c r="L1385" s="6">
        <v>1.0</v>
      </c>
      <c r="M1385" s="8">
        <f t="shared" si="3"/>
        <v>0.1</v>
      </c>
      <c r="P1385" s="9"/>
    </row>
    <row r="1386">
      <c r="A1386" s="6" t="s">
        <v>3655</v>
      </c>
      <c r="B1386" s="6" t="s">
        <v>3656</v>
      </c>
      <c r="C1386" s="6" t="s">
        <v>295</v>
      </c>
      <c r="D1386" s="6" t="s">
        <v>3657</v>
      </c>
      <c r="E1386" s="6" t="s">
        <v>1856</v>
      </c>
      <c r="F1386" s="6" t="s">
        <v>277</v>
      </c>
      <c r="G1386" s="7">
        <v>0.09</v>
      </c>
      <c r="H1386" s="6" t="s">
        <v>2471</v>
      </c>
      <c r="I1386" s="6" t="s">
        <v>20</v>
      </c>
      <c r="J1386" s="6">
        <v>2012.0</v>
      </c>
      <c r="K1386" s="10">
        <v>46055.0</v>
      </c>
      <c r="L1386" s="6">
        <v>2.0</v>
      </c>
      <c r="M1386" s="8">
        <f t="shared" si="3"/>
        <v>0.18</v>
      </c>
      <c r="P1386" s="9"/>
    </row>
    <row r="1387">
      <c r="A1387" s="6" t="s">
        <v>3658</v>
      </c>
      <c r="B1387" s="6" t="s">
        <v>3390</v>
      </c>
      <c r="C1387" s="6" t="s">
        <v>1949</v>
      </c>
      <c r="D1387" s="6" t="s">
        <v>3659</v>
      </c>
      <c r="E1387" s="6" t="s">
        <v>2396</v>
      </c>
      <c r="F1387" s="6" t="s">
        <v>3196</v>
      </c>
      <c r="G1387" s="7">
        <v>0.1</v>
      </c>
      <c r="H1387" s="6" t="s">
        <v>2552</v>
      </c>
      <c r="I1387" s="6" t="s">
        <v>20</v>
      </c>
      <c r="J1387" s="6">
        <v>2018.0</v>
      </c>
      <c r="K1387" s="6" t="s">
        <v>3393</v>
      </c>
      <c r="L1387" s="6">
        <v>1.0</v>
      </c>
      <c r="M1387" s="8">
        <f t="shared" si="3"/>
        <v>0.1</v>
      </c>
      <c r="P1387" s="9"/>
    </row>
    <row r="1388">
      <c r="A1388" s="6" t="s">
        <v>3660</v>
      </c>
      <c r="B1388" s="6" t="s">
        <v>385</v>
      </c>
      <c r="C1388" s="6" t="s">
        <v>295</v>
      </c>
      <c r="D1388" s="6" t="s">
        <v>3661</v>
      </c>
      <c r="E1388" s="6" t="s">
        <v>3385</v>
      </c>
      <c r="F1388" s="6" t="s">
        <v>3196</v>
      </c>
      <c r="G1388" s="7">
        <v>0.1</v>
      </c>
      <c r="H1388" s="6" t="s">
        <v>297</v>
      </c>
      <c r="I1388" s="6" t="s">
        <v>20</v>
      </c>
      <c r="J1388" s="6">
        <v>2026.0</v>
      </c>
      <c r="L1388" s="6">
        <v>1.0</v>
      </c>
      <c r="M1388" s="8">
        <f t="shared" si="3"/>
        <v>0.1</v>
      </c>
      <c r="P1388" s="9"/>
    </row>
    <row r="1389">
      <c r="A1389" s="6" t="s">
        <v>3662</v>
      </c>
      <c r="B1389" s="6" t="s">
        <v>3663</v>
      </c>
      <c r="C1389" s="6" t="s">
        <v>1897</v>
      </c>
      <c r="D1389" s="6" t="s">
        <v>3664</v>
      </c>
      <c r="E1389" s="6" t="s">
        <v>3665</v>
      </c>
      <c r="F1389" s="6" t="s">
        <v>3196</v>
      </c>
      <c r="G1389" s="7">
        <v>0.27</v>
      </c>
      <c r="H1389" s="6" t="s">
        <v>2797</v>
      </c>
      <c r="I1389" s="6" t="s">
        <v>20</v>
      </c>
      <c r="J1389" s="6">
        <v>2026.0</v>
      </c>
      <c r="K1389" s="10">
        <v>46114.0</v>
      </c>
      <c r="L1389" s="6">
        <v>1.0</v>
      </c>
      <c r="M1389" s="8">
        <f t="shared" si="3"/>
        <v>0.27</v>
      </c>
      <c r="P1389" s="9"/>
    </row>
    <row r="1390">
      <c r="A1390" s="6" t="s">
        <v>3666</v>
      </c>
      <c r="B1390" s="6" t="s">
        <v>3667</v>
      </c>
      <c r="C1390" s="6" t="s">
        <v>1949</v>
      </c>
      <c r="D1390" s="6" t="s">
        <v>3668</v>
      </c>
      <c r="E1390" s="6" t="s">
        <v>3669</v>
      </c>
      <c r="F1390" s="6" t="s">
        <v>3196</v>
      </c>
      <c r="G1390" s="7">
        <v>0.09</v>
      </c>
      <c r="H1390" s="6" t="s">
        <v>1673</v>
      </c>
      <c r="I1390" s="6" t="s">
        <v>20</v>
      </c>
      <c r="J1390" s="6">
        <v>2012.0</v>
      </c>
      <c r="K1390" s="10">
        <v>46023.0</v>
      </c>
      <c r="L1390" s="6">
        <v>2.0</v>
      </c>
      <c r="M1390" s="8">
        <f t="shared" si="3"/>
        <v>0.18</v>
      </c>
      <c r="P1390" s="9"/>
    </row>
    <row r="1391">
      <c r="A1391" s="6" t="s">
        <v>3670</v>
      </c>
      <c r="B1391" s="6" t="s">
        <v>378</v>
      </c>
      <c r="C1391" s="6" t="s">
        <v>1897</v>
      </c>
      <c r="D1391" s="6" t="s">
        <v>3671</v>
      </c>
      <c r="E1391" s="6" t="s">
        <v>3266</v>
      </c>
      <c r="F1391" s="6" t="s">
        <v>3150</v>
      </c>
      <c r="G1391" s="7">
        <v>0.25</v>
      </c>
      <c r="H1391" s="6" t="s">
        <v>1708</v>
      </c>
      <c r="I1391" s="6" t="s">
        <v>20</v>
      </c>
      <c r="J1391" s="6">
        <v>2019.0</v>
      </c>
      <c r="L1391" s="6">
        <v>1.0</v>
      </c>
      <c r="M1391" s="8">
        <f t="shared" si="3"/>
        <v>0.25</v>
      </c>
      <c r="P1391" s="9"/>
    </row>
    <row r="1392">
      <c r="A1392" s="6" t="s">
        <v>3672</v>
      </c>
      <c r="B1392" s="6" t="s">
        <v>378</v>
      </c>
      <c r="C1392" s="6" t="s">
        <v>1897</v>
      </c>
      <c r="D1392" s="6" t="s">
        <v>3673</v>
      </c>
      <c r="E1392" s="6" t="s">
        <v>3674</v>
      </c>
      <c r="F1392" s="6" t="s">
        <v>3150</v>
      </c>
      <c r="G1392" s="7">
        <v>0.2</v>
      </c>
      <c r="H1392" s="6" t="s">
        <v>2006</v>
      </c>
      <c r="I1392" s="6" t="s">
        <v>20</v>
      </c>
      <c r="J1392" s="6">
        <v>2013.0</v>
      </c>
      <c r="L1392" s="6">
        <v>2.0</v>
      </c>
      <c r="M1392" s="8">
        <f t="shared" si="3"/>
        <v>0.4</v>
      </c>
      <c r="P1392" s="9"/>
    </row>
    <row r="1393">
      <c r="A1393" s="6" t="s">
        <v>3675</v>
      </c>
      <c r="B1393" s="6" t="s">
        <v>378</v>
      </c>
      <c r="C1393" s="6" t="s">
        <v>295</v>
      </c>
      <c r="D1393" s="6" t="s">
        <v>3676</v>
      </c>
      <c r="E1393" s="6" t="s">
        <v>1371</v>
      </c>
      <c r="F1393" s="6" t="s">
        <v>3150</v>
      </c>
      <c r="G1393" s="7">
        <v>0.06</v>
      </c>
      <c r="H1393" s="6" t="s">
        <v>2006</v>
      </c>
      <c r="I1393" s="6" t="s">
        <v>20</v>
      </c>
      <c r="J1393" s="6">
        <v>2013.0</v>
      </c>
      <c r="L1393" s="6">
        <v>1.0</v>
      </c>
      <c r="M1393" s="8">
        <f t="shared" si="3"/>
        <v>0.06</v>
      </c>
      <c r="P1393" s="9"/>
    </row>
    <row r="1394">
      <c r="A1394" s="6" t="s">
        <v>3677</v>
      </c>
      <c r="B1394" s="6" t="s">
        <v>2058</v>
      </c>
      <c r="C1394" s="6" t="s">
        <v>295</v>
      </c>
      <c r="D1394" s="6" t="s">
        <v>3678</v>
      </c>
      <c r="E1394" s="6" t="s">
        <v>3301</v>
      </c>
      <c r="F1394" s="6" t="s">
        <v>3177</v>
      </c>
      <c r="G1394" s="7">
        <v>0.25</v>
      </c>
      <c r="H1394" s="6" t="s">
        <v>3679</v>
      </c>
      <c r="I1394" s="6" t="s">
        <v>31</v>
      </c>
      <c r="J1394" s="6">
        <v>2022.0</v>
      </c>
      <c r="L1394" s="6">
        <v>2.0</v>
      </c>
      <c r="M1394" s="8">
        <f t="shared" si="3"/>
        <v>0.5</v>
      </c>
      <c r="P1394" s="9"/>
    </row>
    <row r="1395">
      <c r="A1395" s="6" t="s">
        <v>3680</v>
      </c>
      <c r="B1395" s="6" t="s">
        <v>3681</v>
      </c>
      <c r="C1395" s="6" t="s">
        <v>2841</v>
      </c>
      <c r="D1395" s="6" t="s">
        <v>3682</v>
      </c>
      <c r="E1395" s="6" t="s">
        <v>3683</v>
      </c>
      <c r="F1395" s="6" t="s">
        <v>3684</v>
      </c>
      <c r="G1395" s="7">
        <v>0.04</v>
      </c>
      <c r="H1395" s="6" t="s">
        <v>1641</v>
      </c>
      <c r="I1395" s="6" t="s">
        <v>20</v>
      </c>
      <c r="J1395" s="6">
        <v>2019.0</v>
      </c>
      <c r="L1395" s="6">
        <v>2.0</v>
      </c>
      <c r="M1395" s="8">
        <f t="shared" si="3"/>
        <v>0.08</v>
      </c>
      <c r="P1395" s="9"/>
    </row>
    <row r="1396">
      <c r="A1396" s="6" t="s">
        <v>3685</v>
      </c>
      <c r="B1396" s="6" t="s">
        <v>3686</v>
      </c>
      <c r="C1396" s="6" t="s">
        <v>295</v>
      </c>
      <c r="D1396" s="6" t="s">
        <v>3687</v>
      </c>
      <c r="E1396" s="6" t="s">
        <v>3688</v>
      </c>
      <c r="F1396" s="6" t="s">
        <v>3177</v>
      </c>
      <c r="G1396" s="7">
        <v>0.05</v>
      </c>
      <c r="H1396" s="6" t="s">
        <v>1685</v>
      </c>
      <c r="I1396" s="6" t="s">
        <v>20</v>
      </c>
      <c r="J1396" s="6">
        <v>2021.0</v>
      </c>
      <c r="K1396" s="10">
        <v>46084.0</v>
      </c>
      <c r="L1396" s="6">
        <v>2.0</v>
      </c>
      <c r="M1396" s="8">
        <f t="shared" si="3"/>
        <v>0.1</v>
      </c>
      <c r="P1396" s="9"/>
    </row>
    <row r="1397">
      <c r="A1397" s="6" t="s">
        <v>3689</v>
      </c>
      <c r="B1397" s="6" t="s">
        <v>378</v>
      </c>
      <c r="C1397" s="6" t="s">
        <v>295</v>
      </c>
      <c r="D1397" s="6" t="s">
        <v>3690</v>
      </c>
      <c r="E1397" s="6" t="s">
        <v>3691</v>
      </c>
      <c r="F1397" s="6" t="s">
        <v>3177</v>
      </c>
      <c r="G1397" s="7">
        <v>0.09</v>
      </c>
      <c r="H1397" s="6" t="s">
        <v>3092</v>
      </c>
      <c r="I1397" s="6" t="s">
        <v>20</v>
      </c>
      <c r="J1397" s="6">
        <v>2015.0</v>
      </c>
      <c r="L1397" s="6">
        <v>2.0</v>
      </c>
      <c r="M1397" s="8">
        <f t="shared" si="3"/>
        <v>0.18</v>
      </c>
      <c r="P1397" s="9"/>
    </row>
    <row r="1398">
      <c r="A1398" s="6" t="s">
        <v>3692</v>
      </c>
      <c r="B1398" s="6" t="s">
        <v>2272</v>
      </c>
      <c r="C1398" s="6" t="s">
        <v>295</v>
      </c>
      <c r="D1398" s="6" t="s">
        <v>3693</v>
      </c>
      <c r="E1398" s="6" t="s">
        <v>3301</v>
      </c>
      <c r="F1398" s="6" t="s">
        <v>3177</v>
      </c>
      <c r="G1398" s="7">
        <v>0.05</v>
      </c>
      <c r="H1398" s="6" t="s">
        <v>1685</v>
      </c>
      <c r="I1398" s="6" t="s">
        <v>20</v>
      </c>
      <c r="J1398" s="6">
        <v>2021.0</v>
      </c>
      <c r="K1398" s="6" t="s">
        <v>1256</v>
      </c>
      <c r="L1398" s="6">
        <v>2.0</v>
      </c>
      <c r="M1398" s="8">
        <f t="shared" si="3"/>
        <v>0.1</v>
      </c>
      <c r="P1398" s="9"/>
    </row>
    <row r="1399">
      <c r="A1399" s="6" t="s">
        <v>3694</v>
      </c>
      <c r="B1399" s="6" t="s">
        <v>378</v>
      </c>
      <c r="C1399" s="6" t="s">
        <v>1949</v>
      </c>
      <c r="D1399" s="6" t="s">
        <v>3695</v>
      </c>
      <c r="E1399" s="6" t="s">
        <v>987</v>
      </c>
      <c r="F1399" s="6" t="s">
        <v>3177</v>
      </c>
      <c r="G1399" s="7">
        <v>0.09</v>
      </c>
      <c r="H1399" s="6" t="s">
        <v>3230</v>
      </c>
      <c r="I1399" s="6" t="s">
        <v>20</v>
      </c>
      <c r="J1399" s="6">
        <v>2016.0</v>
      </c>
      <c r="L1399" s="6">
        <v>2.0</v>
      </c>
      <c r="M1399" s="8">
        <f t="shared" si="3"/>
        <v>0.18</v>
      </c>
      <c r="P1399" s="9"/>
    </row>
    <row r="1400">
      <c r="A1400" s="6" t="s">
        <v>3696</v>
      </c>
      <c r="B1400" s="6" t="s">
        <v>3293</v>
      </c>
      <c r="C1400" s="6" t="s">
        <v>295</v>
      </c>
      <c r="D1400" s="6" t="s">
        <v>3697</v>
      </c>
      <c r="E1400" s="6" t="s">
        <v>3176</v>
      </c>
      <c r="F1400" s="6" t="s">
        <v>3177</v>
      </c>
      <c r="G1400" s="7">
        <v>0.05</v>
      </c>
      <c r="H1400" s="6" t="s">
        <v>1641</v>
      </c>
      <c r="I1400" s="6" t="s">
        <v>20</v>
      </c>
      <c r="J1400" s="6">
        <v>2019.0</v>
      </c>
      <c r="K1400" s="10">
        <v>46025.0</v>
      </c>
      <c r="L1400" s="6">
        <v>2.0</v>
      </c>
      <c r="M1400" s="8">
        <f t="shared" si="3"/>
        <v>0.1</v>
      </c>
      <c r="P1400" s="9"/>
    </row>
    <row r="1401">
      <c r="A1401" s="6" t="s">
        <v>3698</v>
      </c>
      <c r="B1401" s="6" t="s">
        <v>378</v>
      </c>
      <c r="C1401" s="6" t="s">
        <v>295</v>
      </c>
      <c r="D1401" s="6" t="s">
        <v>3699</v>
      </c>
      <c r="E1401" s="6" t="s">
        <v>1912</v>
      </c>
      <c r="F1401" s="6" t="s">
        <v>3177</v>
      </c>
      <c r="G1401" s="7">
        <v>0.05</v>
      </c>
      <c r="H1401" s="6" t="s">
        <v>2179</v>
      </c>
      <c r="I1401" s="6" t="s">
        <v>20</v>
      </c>
      <c r="J1401" s="6">
        <v>2018.0</v>
      </c>
      <c r="L1401" s="6">
        <v>2.0</v>
      </c>
      <c r="M1401" s="8">
        <f t="shared" si="3"/>
        <v>0.1</v>
      </c>
      <c r="P1401" s="9"/>
    </row>
    <row r="1402">
      <c r="A1402" s="6" t="s">
        <v>3700</v>
      </c>
      <c r="B1402" s="6" t="s">
        <v>3701</v>
      </c>
      <c r="C1402" s="6" t="s">
        <v>1949</v>
      </c>
      <c r="D1402" s="6" t="s">
        <v>3702</v>
      </c>
      <c r="E1402" s="6" t="s">
        <v>3703</v>
      </c>
      <c r="F1402" s="6" t="s">
        <v>3177</v>
      </c>
      <c r="G1402" s="7">
        <v>0.29</v>
      </c>
      <c r="H1402" s="6" t="s">
        <v>297</v>
      </c>
      <c r="I1402" s="6" t="s">
        <v>20</v>
      </c>
      <c r="J1402" s="6">
        <v>2026.0</v>
      </c>
      <c r="K1402" s="10">
        <v>46083.0</v>
      </c>
      <c r="L1402" s="6">
        <v>1.0</v>
      </c>
      <c r="M1402" s="8">
        <f t="shared" si="3"/>
        <v>0.29</v>
      </c>
      <c r="P1402" s="9"/>
    </row>
    <row r="1403">
      <c r="A1403" s="6" t="s">
        <v>3704</v>
      </c>
      <c r="B1403" s="6" t="s">
        <v>3303</v>
      </c>
      <c r="C1403" s="6" t="s">
        <v>1897</v>
      </c>
      <c r="D1403" s="6" t="s">
        <v>3705</v>
      </c>
      <c r="E1403" s="6" t="s">
        <v>987</v>
      </c>
      <c r="F1403" s="6" t="s">
        <v>3177</v>
      </c>
      <c r="G1403" s="7">
        <v>0.25</v>
      </c>
      <c r="H1403" s="6" t="s">
        <v>2006</v>
      </c>
      <c r="I1403" s="6" t="s">
        <v>20</v>
      </c>
      <c r="J1403" s="6">
        <v>2013.0</v>
      </c>
      <c r="K1403" s="10">
        <v>46023.0</v>
      </c>
      <c r="L1403" s="6">
        <v>1.0</v>
      </c>
      <c r="M1403" s="8">
        <f t="shared" si="3"/>
        <v>0.25</v>
      </c>
      <c r="P1403" s="9"/>
    </row>
    <row r="1404">
      <c r="A1404" s="6" t="s">
        <v>3706</v>
      </c>
      <c r="B1404" s="6" t="s">
        <v>3707</v>
      </c>
      <c r="C1404" s="6" t="s">
        <v>1949</v>
      </c>
      <c r="D1404" s="6" t="s">
        <v>3708</v>
      </c>
      <c r="E1404" s="6" t="s">
        <v>3709</v>
      </c>
      <c r="F1404" s="6" t="s">
        <v>3177</v>
      </c>
      <c r="G1404" s="7">
        <v>0.1</v>
      </c>
      <c r="H1404" s="6" t="s">
        <v>1619</v>
      </c>
      <c r="I1404" s="6" t="s">
        <v>20</v>
      </c>
      <c r="J1404" s="6">
        <v>2022.0</v>
      </c>
      <c r="K1404" s="10">
        <v>46084.0</v>
      </c>
      <c r="L1404" s="6">
        <v>1.0</v>
      </c>
      <c r="M1404" s="8">
        <f t="shared" si="3"/>
        <v>0.1</v>
      </c>
      <c r="P1404" s="9"/>
    </row>
    <row r="1405">
      <c r="A1405" s="6" t="s">
        <v>3710</v>
      </c>
      <c r="B1405" s="6" t="s">
        <v>3711</v>
      </c>
      <c r="C1405" s="6" t="s">
        <v>295</v>
      </c>
      <c r="D1405" s="6" t="s">
        <v>3712</v>
      </c>
      <c r="E1405" s="6" t="s">
        <v>1912</v>
      </c>
      <c r="F1405" s="6" t="s">
        <v>3177</v>
      </c>
      <c r="G1405" s="7">
        <v>0.24</v>
      </c>
      <c r="H1405" s="6" t="s">
        <v>2463</v>
      </c>
      <c r="I1405" s="6" t="s">
        <v>20</v>
      </c>
      <c r="J1405" s="6">
        <v>2008.0</v>
      </c>
      <c r="K1405" s="10">
        <v>46023.0</v>
      </c>
      <c r="L1405" s="6">
        <v>1.0</v>
      </c>
      <c r="M1405" s="8">
        <f t="shared" si="3"/>
        <v>0.24</v>
      </c>
      <c r="P1405" s="9"/>
    </row>
    <row r="1406">
      <c r="A1406" s="6" t="s">
        <v>3713</v>
      </c>
      <c r="B1406" s="6" t="s">
        <v>2621</v>
      </c>
      <c r="C1406" s="6" t="s">
        <v>1949</v>
      </c>
      <c r="D1406" s="6" t="s">
        <v>3714</v>
      </c>
      <c r="E1406" s="6" t="s">
        <v>3285</v>
      </c>
      <c r="F1406" s="6" t="s">
        <v>3177</v>
      </c>
      <c r="G1406" s="7">
        <v>0.12</v>
      </c>
      <c r="H1406" s="6" t="s">
        <v>1681</v>
      </c>
      <c r="I1406" s="6" t="s">
        <v>20</v>
      </c>
      <c r="J1406" s="6">
        <v>2015.0</v>
      </c>
      <c r="K1406" s="10">
        <v>46055.0</v>
      </c>
      <c r="L1406" s="6">
        <v>1.0</v>
      </c>
      <c r="M1406" s="8">
        <f t="shared" si="3"/>
        <v>0.12</v>
      </c>
      <c r="P1406" s="9"/>
    </row>
    <row r="1407">
      <c r="A1407" s="6" t="s">
        <v>3715</v>
      </c>
      <c r="B1407" s="6" t="s">
        <v>3716</v>
      </c>
      <c r="C1407" s="6" t="s">
        <v>1949</v>
      </c>
      <c r="D1407" s="6" t="s">
        <v>3717</v>
      </c>
      <c r="E1407" s="6" t="s">
        <v>3688</v>
      </c>
      <c r="F1407" s="6" t="s">
        <v>3177</v>
      </c>
      <c r="G1407" s="7">
        <v>0.06</v>
      </c>
      <c r="H1407" s="6" t="s">
        <v>2552</v>
      </c>
      <c r="I1407" s="6" t="s">
        <v>20</v>
      </c>
      <c r="J1407" s="6">
        <v>2018.0</v>
      </c>
      <c r="K1407" s="10">
        <v>46114.0</v>
      </c>
      <c r="L1407" s="6">
        <v>1.0</v>
      </c>
      <c r="M1407" s="8">
        <f t="shared" si="3"/>
        <v>0.06</v>
      </c>
      <c r="P1407" s="9"/>
    </row>
    <row r="1408">
      <c r="A1408" s="6" t="s">
        <v>3718</v>
      </c>
      <c r="B1408" s="6" t="s">
        <v>2969</v>
      </c>
      <c r="C1408" s="6" t="s">
        <v>2841</v>
      </c>
      <c r="D1408" s="6" t="s">
        <v>3719</v>
      </c>
      <c r="E1408" s="6" t="s">
        <v>3720</v>
      </c>
      <c r="F1408" s="6" t="s">
        <v>3721</v>
      </c>
      <c r="G1408" s="7">
        <v>0.08</v>
      </c>
      <c r="H1408" s="6" t="s">
        <v>3295</v>
      </c>
      <c r="I1408" s="6" t="s">
        <v>20</v>
      </c>
      <c r="J1408" s="6">
        <v>2013.0</v>
      </c>
      <c r="L1408" s="6">
        <v>2.0</v>
      </c>
      <c r="M1408" s="8">
        <f t="shared" si="3"/>
        <v>0.16</v>
      </c>
      <c r="P1408" s="9"/>
    </row>
    <row r="1409">
      <c r="A1409" s="6" t="s">
        <v>3722</v>
      </c>
      <c r="B1409" s="6" t="s">
        <v>378</v>
      </c>
      <c r="C1409" s="6" t="s">
        <v>295</v>
      </c>
      <c r="D1409" s="6" t="s">
        <v>3723</v>
      </c>
      <c r="E1409" s="6" t="s">
        <v>1856</v>
      </c>
      <c r="F1409" s="6" t="s">
        <v>277</v>
      </c>
      <c r="G1409" s="7">
        <v>0.05</v>
      </c>
      <c r="H1409" s="6" t="s">
        <v>2471</v>
      </c>
      <c r="I1409" s="6" t="s">
        <v>20</v>
      </c>
      <c r="J1409" s="6">
        <v>2012.0</v>
      </c>
      <c r="L1409" s="6">
        <v>1.0</v>
      </c>
      <c r="M1409" s="8">
        <f t="shared" si="3"/>
        <v>0.05</v>
      </c>
      <c r="P1409" s="9"/>
    </row>
    <row r="1410">
      <c r="A1410" s="6" t="s">
        <v>3724</v>
      </c>
      <c r="B1410" s="6" t="s">
        <v>3725</v>
      </c>
      <c r="C1410" s="6" t="s">
        <v>295</v>
      </c>
      <c r="D1410" s="6" t="s">
        <v>3726</v>
      </c>
      <c r="E1410" s="6" t="s">
        <v>2280</v>
      </c>
      <c r="F1410" s="6" t="s">
        <v>277</v>
      </c>
      <c r="G1410" s="7">
        <v>0.05</v>
      </c>
      <c r="H1410" s="6" t="s">
        <v>1673</v>
      </c>
      <c r="I1410" s="6" t="s">
        <v>20</v>
      </c>
      <c r="J1410" s="6">
        <v>2012.0</v>
      </c>
      <c r="K1410" s="10">
        <v>46023.0</v>
      </c>
      <c r="L1410" s="6">
        <v>1.0</v>
      </c>
      <c r="M1410" s="8">
        <f t="shared" si="3"/>
        <v>0.05</v>
      </c>
      <c r="P1410" s="9"/>
    </row>
    <row r="1411">
      <c r="A1411" s="6" t="s">
        <v>3727</v>
      </c>
      <c r="B1411" s="6" t="s">
        <v>3728</v>
      </c>
      <c r="C1411" s="6" t="s">
        <v>295</v>
      </c>
      <c r="D1411" s="6" t="s">
        <v>3729</v>
      </c>
      <c r="E1411" s="6" t="s">
        <v>1856</v>
      </c>
      <c r="F1411" s="6" t="s">
        <v>277</v>
      </c>
      <c r="G1411" s="7">
        <v>0.13</v>
      </c>
      <c r="H1411" s="6" t="s">
        <v>3595</v>
      </c>
      <c r="I1411" s="6" t="s">
        <v>20</v>
      </c>
      <c r="J1411" s="6">
        <v>2020.0</v>
      </c>
      <c r="K1411" s="10">
        <v>46024.0</v>
      </c>
      <c r="L1411" s="6">
        <v>1.0</v>
      </c>
      <c r="M1411" s="8">
        <f t="shared" si="3"/>
        <v>0.13</v>
      </c>
      <c r="P1411" s="9"/>
    </row>
    <row r="1412">
      <c r="A1412" s="6" t="s">
        <v>3730</v>
      </c>
      <c r="B1412" s="6" t="s">
        <v>2061</v>
      </c>
      <c r="C1412" s="6" t="s">
        <v>1949</v>
      </c>
      <c r="D1412" s="6" t="s">
        <v>3731</v>
      </c>
      <c r="E1412" s="6" t="s">
        <v>629</v>
      </c>
      <c r="F1412" s="6" t="s">
        <v>277</v>
      </c>
      <c r="G1412" s="7">
        <v>0.1</v>
      </c>
      <c r="H1412" s="6" t="s">
        <v>1990</v>
      </c>
      <c r="I1412" s="6" t="s">
        <v>20</v>
      </c>
      <c r="J1412" s="6">
        <v>2011.0</v>
      </c>
      <c r="K1412" s="10">
        <v>46055.0</v>
      </c>
      <c r="L1412" s="6">
        <v>1.0</v>
      </c>
      <c r="M1412" s="8">
        <f t="shared" si="3"/>
        <v>0.1</v>
      </c>
      <c r="P1412" s="9"/>
    </row>
    <row r="1413">
      <c r="A1413" s="6" t="s">
        <v>3732</v>
      </c>
      <c r="B1413" s="6" t="s">
        <v>3628</v>
      </c>
      <c r="C1413" s="6" t="s">
        <v>295</v>
      </c>
      <c r="D1413" s="6" t="s">
        <v>3733</v>
      </c>
      <c r="E1413" s="6" t="s">
        <v>2295</v>
      </c>
      <c r="F1413" s="6" t="s">
        <v>18</v>
      </c>
      <c r="G1413" s="7">
        <v>0.03</v>
      </c>
      <c r="H1413" s="6" t="s">
        <v>1987</v>
      </c>
      <c r="I1413" s="6" t="s">
        <v>20</v>
      </c>
      <c r="J1413" s="6">
        <v>2019.0</v>
      </c>
      <c r="K1413" s="10">
        <v>46083.0</v>
      </c>
      <c r="L1413" s="6">
        <v>1.0</v>
      </c>
      <c r="M1413" s="8">
        <f t="shared" si="3"/>
        <v>0.03</v>
      </c>
      <c r="P1413" s="9"/>
    </row>
    <row r="1414">
      <c r="A1414" s="6" t="s">
        <v>3734</v>
      </c>
      <c r="B1414" s="6" t="s">
        <v>3628</v>
      </c>
      <c r="C1414" s="6" t="s">
        <v>295</v>
      </c>
      <c r="D1414" s="6" t="s">
        <v>3735</v>
      </c>
      <c r="E1414" s="6" t="s">
        <v>2503</v>
      </c>
      <c r="F1414" s="6" t="s">
        <v>18</v>
      </c>
      <c r="G1414" s="7">
        <v>0.03</v>
      </c>
      <c r="H1414" s="6" t="s">
        <v>1987</v>
      </c>
      <c r="I1414" s="6" t="s">
        <v>20</v>
      </c>
      <c r="J1414" s="6">
        <v>2019.0</v>
      </c>
      <c r="K1414" s="10">
        <v>46145.0</v>
      </c>
      <c r="L1414" s="6">
        <v>1.0</v>
      </c>
      <c r="M1414" s="8">
        <f t="shared" si="3"/>
        <v>0.03</v>
      </c>
      <c r="P1414" s="9"/>
    </row>
    <row r="1415">
      <c r="A1415" s="6" t="s">
        <v>3736</v>
      </c>
      <c r="B1415" s="6" t="s">
        <v>294</v>
      </c>
      <c r="C1415" s="6" t="s">
        <v>295</v>
      </c>
      <c r="D1415" s="6" t="s">
        <v>3737</v>
      </c>
      <c r="F1415" s="6" t="s">
        <v>152</v>
      </c>
      <c r="G1415" s="7">
        <v>0.3</v>
      </c>
      <c r="H1415" s="6" t="s">
        <v>2372</v>
      </c>
      <c r="I1415" s="6" t="s">
        <v>20</v>
      </c>
      <c r="J1415" s="6">
        <v>2010.0</v>
      </c>
      <c r="L1415" s="6">
        <v>2.0</v>
      </c>
      <c r="M1415" s="8">
        <f t="shared" si="3"/>
        <v>0.6</v>
      </c>
      <c r="P1415" s="9"/>
    </row>
    <row r="1416">
      <c r="A1416" s="6" t="s">
        <v>3738</v>
      </c>
      <c r="B1416" s="6" t="s">
        <v>294</v>
      </c>
      <c r="C1416" s="6" t="s">
        <v>295</v>
      </c>
      <c r="D1416" s="6" t="s">
        <v>3739</v>
      </c>
      <c r="F1416" s="6" t="s">
        <v>80</v>
      </c>
      <c r="G1416" s="7">
        <v>0.14</v>
      </c>
      <c r="H1416" s="6" t="s">
        <v>1979</v>
      </c>
      <c r="I1416" s="6" t="s">
        <v>20</v>
      </c>
      <c r="J1416" s="6">
        <v>2022.0</v>
      </c>
      <c r="L1416" s="6">
        <v>1.0</v>
      </c>
      <c r="M1416" s="8">
        <f t="shared" si="3"/>
        <v>0.14</v>
      </c>
      <c r="P1416" s="9"/>
    </row>
    <row r="1417">
      <c r="A1417" s="6" t="s">
        <v>3740</v>
      </c>
      <c r="B1417" s="6" t="s">
        <v>378</v>
      </c>
      <c r="C1417" s="6" t="s">
        <v>295</v>
      </c>
      <c r="D1417" s="6" t="s">
        <v>3741</v>
      </c>
      <c r="E1417" s="6" t="s">
        <v>780</v>
      </c>
      <c r="F1417" s="6" t="s">
        <v>18</v>
      </c>
      <c r="G1417" s="7">
        <v>0.03</v>
      </c>
      <c r="H1417" s="6" t="s">
        <v>2474</v>
      </c>
      <c r="I1417" s="6" t="s">
        <v>20</v>
      </c>
      <c r="J1417" s="6">
        <v>2017.0</v>
      </c>
      <c r="L1417" s="6">
        <v>1.0</v>
      </c>
      <c r="M1417" s="8">
        <f t="shared" si="3"/>
        <v>0.03</v>
      </c>
      <c r="P1417" s="9"/>
    </row>
    <row r="1418">
      <c r="A1418" s="6" t="s">
        <v>3742</v>
      </c>
      <c r="B1418" s="6" t="s">
        <v>3743</v>
      </c>
      <c r="C1418" s="6" t="s">
        <v>295</v>
      </c>
      <c r="D1418" s="6" t="s">
        <v>3744</v>
      </c>
      <c r="E1418" s="6" t="s">
        <v>2510</v>
      </c>
      <c r="F1418" s="6" t="s">
        <v>18</v>
      </c>
      <c r="G1418" s="7">
        <v>0.1</v>
      </c>
      <c r="H1418" s="6" t="s">
        <v>1711</v>
      </c>
      <c r="I1418" s="6" t="s">
        <v>20</v>
      </c>
      <c r="J1418" s="6">
        <v>2022.0</v>
      </c>
      <c r="K1418" s="10">
        <v>46148.0</v>
      </c>
      <c r="L1418" s="6">
        <v>1.0</v>
      </c>
      <c r="M1418" s="8">
        <f t="shared" si="3"/>
        <v>0.1</v>
      </c>
      <c r="P1418" s="9"/>
    </row>
    <row r="1419">
      <c r="A1419" s="6" t="s">
        <v>3745</v>
      </c>
      <c r="B1419" s="6" t="s">
        <v>3746</v>
      </c>
      <c r="C1419" s="6" t="s">
        <v>295</v>
      </c>
      <c r="D1419" s="6" t="s">
        <v>3747</v>
      </c>
      <c r="E1419" s="6" t="s">
        <v>2295</v>
      </c>
      <c r="F1419" s="6" t="s">
        <v>18</v>
      </c>
      <c r="G1419" s="7">
        <v>0.05</v>
      </c>
      <c r="H1419" s="6" t="s">
        <v>1711</v>
      </c>
      <c r="I1419" s="6" t="s">
        <v>20</v>
      </c>
      <c r="J1419" s="6">
        <v>2022.0</v>
      </c>
      <c r="K1419" s="10">
        <v>46056.0</v>
      </c>
      <c r="L1419" s="6">
        <v>1.0</v>
      </c>
      <c r="M1419" s="8">
        <f t="shared" si="3"/>
        <v>0.05</v>
      </c>
      <c r="P1419" s="9"/>
    </row>
    <row r="1420">
      <c r="A1420" s="6" t="s">
        <v>3748</v>
      </c>
      <c r="B1420" s="6" t="s">
        <v>2969</v>
      </c>
      <c r="C1420" s="6" t="s">
        <v>2855</v>
      </c>
      <c r="D1420" s="6" t="s">
        <v>3749</v>
      </c>
      <c r="E1420" s="6" t="s">
        <v>2396</v>
      </c>
      <c r="F1420" s="6" t="s">
        <v>3750</v>
      </c>
      <c r="G1420" s="7">
        <v>0.55</v>
      </c>
      <c r="H1420" s="6" t="s">
        <v>1644</v>
      </c>
      <c r="I1420" s="6" t="s">
        <v>20</v>
      </c>
      <c r="J1420" s="6">
        <v>2018.0</v>
      </c>
      <c r="L1420" s="6">
        <v>1.0</v>
      </c>
      <c r="M1420" s="8">
        <f t="shared" si="3"/>
        <v>0.55</v>
      </c>
      <c r="P1420" s="9"/>
    </row>
    <row r="1421">
      <c r="A1421" s="6" t="s">
        <v>3751</v>
      </c>
      <c r="B1421" s="6" t="s">
        <v>2969</v>
      </c>
      <c r="C1421" s="6" t="s">
        <v>2855</v>
      </c>
      <c r="D1421" s="6" t="s">
        <v>3752</v>
      </c>
      <c r="E1421" s="6" t="s">
        <v>3753</v>
      </c>
      <c r="F1421" s="6" t="s">
        <v>3754</v>
      </c>
      <c r="G1421" s="7">
        <v>0.05</v>
      </c>
      <c r="H1421" s="6" t="s">
        <v>1641</v>
      </c>
      <c r="I1421" s="6" t="s">
        <v>20</v>
      </c>
      <c r="J1421" s="6">
        <v>2019.0</v>
      </c>
      <c r="L1421" s="6">
        <v>1.0</v>
      </c>
      <c r="M1421" s="8">
        <f t="shared" si="3"/>
        <v>0.05</v>
      </c>
      <c r="P1421" s="9"/>
    </row>
    <row r="1422">
      <c r="A1422" s="6" t="s">
        <v>3755</v>
      </c>
      <c r="B1422" s="6" t="s">
        <v>3681</v>
      </c>
      <c r="C1422" s="6" t="s">
        <v>2841</v>
      </c>
      <c r="D1422" s="6" t="s">
        <v>3756</v>
      </c>
      <c r="E1422" s="6" t="s">
        <v>3757</v>
      </c>
      <c r="F1422" s="6" t="s">
        <v>3644</v>
      </c>
      <c r="G1422" s="7">
        <v>0.04</v>
      </c>
      <c r="H1422" s="6" t="s">
        <v>1644</v>
      </c>
      <c r="I1422" s="6" t="s">
        <v>20</v>
      </c>
      <c r="J1422" s="6">
        <v>2018.0</v>
      </c>
      <c r="L1422" s="6">
        <v>4.0</v>
      </c>
      <c r="M1422" s="8">
        <f t="shared" si="3"/>
        <v>0.16</v>
      </c>
      <c r="P1422" s="9"/>
    </row>
    <row r="1423">
      <c r="A1423" s="6" t="s">
        <v>3758</v>
      </c>
      <c r="B1423" s="6" t="s">
        <v>3759</v>
      </c>
      <c r="C1423" s="6" t="s">
        <v>295</v>
      </c>
      <c r="D1423" s="6" t="s">
        <v>3760</v>
      </c>
      <c r="E1423" s="6" t="s">
        <v>930</v>
      </c>
      <c r="F1423" s="6" t="s">
        <v>170</v>
      </c>
      <c r="G1423" s="7">
        <v>0.13</v>
      </c>
      <c r="H1423" s="6" t="s">
        <v>2003</v>
      </c>
      <c r="I1423" s="6" t="s">
        <v>20</v>
      </c>
      <c r="J1423" s="6">
        <v>2020.0</v>
      </c>
      <c r="K1423" s="6" t="s">
        <v>750</v>
      </c>
      <c r="L1423" s="6">
        <v>1.0</v>
      </c>
      <c r="M1423" s="8">
        <f t="shared" si="3"/>
        <v>0.13</v>
      </c>
      <c r="P1423" s="9"/>
    </row>
    <row r="1424">
      <c r="A1424" s="6" t="s">
        <v>3761</v>
      </c>
      <c r="B1424" s="6" t="s">
        <v>2502</v>
      </c>
      <c r="C1424" s="6" t="s">
        <v>1949</v>
      </c>
      <c r="D1424" s="6" t="s">
        <v>3762</v>
      </c>
      <c r="E1424" s="6" t="s">
        <v>2350</v>
      </c>
      <c r="F1424" s="6" t="s">
        <v>170</v>
      </c>
      <c r="G1424" s="7">
        <v>0.08</v>
      </c>
      <c r="H1424" s="6" t="s">
        <v>2003</v>
      </c>
      <c r="I1424" s="6" t="s">
        <v>20</v>
      </c>
      <c r="J1424" s="6">
        <v>2020.0</v>
      </c>
      <c r="K1424" s="10">
        <v>46025.0</v>
      </c>
      <c r="L1424" s="6">
        <v>1.0</v>
      </c>
      <c r="M1424" s="8">
        <f t="shared" si="3"/>
        <v>0.08</v>
      </c>
      <c r="P1424" s="9"/>
    </row>
    <row r="1425">
      <c r="A1425" s="6" t="s">
        <v>3763</v>
      </c>
      <c r="B1425" s="6" t="s">
        <v>2748</v>
      </c>
      <c r="C1425" s="6" t="s">
        <v>295</v>
      </c>
      <c r="D1425" s="6" t="s">
        <v>3764</v>
      </c>
      <c r="E1425" s="6" t="s">
        <v>2365</v>
      </c>
      <c r="F1425" s="6" t="s">
        <v>170</v>
      </c>
      <c r="G1425" s="7">
        <v>0.06</v>
      </c>
      <c r="H1425" s="6" t="s">
        <v>1995</v>
      </c>
      <c r="I1425" s="6" t="s">
        <v>20</v>
      </c>
      <c r="J1425" s="6">
        <v>2016.0</v>
      </c>
      <c r="K1425" s="10">
        <v>46144.0</v>
      </c>
      <c r="L1425" s="6">
        <v>12.0</v>
      </c>
      <c r="M1425" s="8">
        <f t="shared" si="3"/>
        <v>0.72</v>
      </c>
      <c r="P1425" s="9"/>
    </row>
    <row r="1426">
      <c r="A1426" s="6" t="s">
        <v>3765</v>
      </c>
      <c r="B1426" s="6" t="s">
        <v>2748</v>
      </c>
      <c r="C1426" s="6" t="s">
        <v>295</v>
      </c>
      <c r="D1426" s="6" t="s">
        <v>3766</v>
      </c>
      <c r="E1426" s="6" t="s">
        <v>2350</v>
      </c>
      <c r="F1426" s="6" t="s">
        <v>170</v>
      </c>
      <c r="G1426" s="7">
        <v>0.04</v>
      </c>
      <c r="H1426" s="6" t="s">
        <v>1995</v>
      </c>
      <c r="I1426" s="6" t="s">
        <v>20</v>
      </c>
      <c r="J1426" s="6">
        <v>2016.0</v>
      </c>
      <c r="K1426" s="10">
        <v>46083.0</v>
      </c>
      <c r="L1426" s="6">
        <v>1.0</v>
      </c>
      <c r="M1426" s="8">
        <f t="shared" si="3"/>
        <v>0.04</v>
      </c>
      <c r="P1426" s="9"/>
    </row>
    <row r="1427">
      <c r="A1427" s="6" t="s">
        <v>3767</v>
      </c>
      <c r="B1427" s="6" t="s">
        <v>2669</v>
      </c>
      <c r="C1427" s="6" t="s">
        <v>295</v>
      </c>
      <c r="E1427" s="6" t="s">
        <v>2779</v>
      </c>
      <c r="F1427" s="6" t="s">
        <v>170</v>
      </c>
      <c r="G1427" s="7">
        <v>0.03</v>
      </c>
      <c r="H1427" s="6" t="s">
        <v>1664</v>
      </c>
      <c r="I1427" s="6" t="s">
        <v>20</v>
      </c>
      <c r="J1427" s="6">
        <v>2018.0</v>
      </c>
      <c r="K1427" s="10">
        <v>46117.0</v>
      </c>
      <c r="L1427" s="6">
        <v>2.0</v>
      </c>
      <c r="M1427" s="8">
        <f t="shared" si="3"/>
        <v>0.06</v>
      </c>
      <c r="P1427" s="9"/>
    </row>
    <row r="1428">
      <c r="A1428" s="6" t="s">
        <v>3768</v>
      </c>
      <c r="B1428" s="6" t="s">
        <v>378</v>
      </c>
      <c r="C1428" s="6" t="s">
        <v>295</v>
      </c>
      <c r="D1428" s="6" t="s">
        <v>3769</v>
      </c>
      <c r="E1428" s="6" t="s">
        <v>2342</v>
      </c>
      <c r="F1428" s="6" t="s">
        <v>170</v>
      </c>
      <c r="G1428" s="7">
        <v>0.5</v>
      </c>
      <c r="H1428" s="6" t="s">
        <v>1708</v>
      </c>
      <c r="I1428" s="6" t="s">
        <v>31</v>
      </c>
      <c r="J1428" s="6">
        <v>2019.0</v>
      </c>
      <c r="L1428" s="6">
        <v>2.0</v>
      </c>
      <c r="M1428" s="8">
        <f t="shared" si="3"/>
        <v>1</v>
      </c>
      <c r="P1428" s="9"/>
    </row>
    <row r="1429">
      <c r="A1429" s="6" t="s">
        <v>3770</v>
      </c>
      <c r="B1429" s="6" t="s">
        <v>378</v>
      </c>
      <c r="C1429" s="6" t="s">
        <v>295</v>
      </c>
      <c r="D1429" s="6" t="s">
        <v>3771</v>
      </c>
      <c r="E1429" s="6" t="s">
        <v>2350</v>
      </c>
      <c r="F1429" s="6" t="s">
        <v>170</v>
      </c>
      <c r="G1429" s="7">
        <v>0.03</v>
      </c>
      <c r="H1429" s="6" t="s">
        <v>2619</v>
      </c>
      <c r="I1429" s="6" t="s">
        <v>20</v>
      </c>
      <c r="J1429" s="6">
        <v>2019.0</v>
      </c>
      <c r="L1429" s="6">
        <v>2.0</v>
      </c>
      <c r="M1429" s="8">
        <f t="shared" si="3"/>
        <v>0.06</v>
      </c>
      <c r="P1429" s="9"/>
    </row>
    <row r="1430">
      <c r="A1430" s="6" t="s">
        <v>3772</v>
      </c>
      <c r="B1430" s="6" t="s">
        <v>378</v>
      </c>
      <c r="C1430" s="6" t="s">
        <v>295</v>
      </c>
      <c r="D1430" s="6" t="s">
        <v>3773</v>
      </c>
      <c r="E1430" s="6" t="s">
        <v>2761</v>
      </c>
      <c r="F1430" s="6" t="s">
        <v>170</v>
      </c>
      <c r="G1430" s="7">
        <v>0.05</v>
      </c>
      <c r="H1430" s="6" t="s">
        <v>2990</v>
      </c>
      <c r="I1430" s="6" t="s">
        <v>20</v>
      </c>
      <c r="J1430" s="6">
        <v>2013.0</v>
      </c>
      <c r="L1430" s="6">
        <v>1.0</v>
      </c>
      <c r="M1430" s="8">
        <f t="shared" si="3"/>
        <v>0.05</v>
      </c>
      <c r="P1430" s="9"/>
    </row>
    <row r="1431">
      <c r="A1431" s="6" t="s">
        <v>3774</v>
      </c>
      <c r="B1431" s="6" t="s">
        <v>610</v>
      </c>
      <c r="C1431" s="6" t="s">
        <v>1667</v>
      </c>
      <c r="D1431" s="6" t="s">
        <v>3775</v>
      </c>
      <c r="E1431" s="6" t="s">
        <v>2342</v>
      </c>
      <c r="F1431" s="6" t="s">
        <v>3075</v>
      </c>
      <c r="G1431" s="7">
        <v>0.15</v>
      </c>
      <c r="H1431" s="6" t="s">
        <v>3776</v>
      </c>
      <c r="I1431" s="6" t="s">
        <v>1791</v>
      </c>
      <c r="J1431" s="6">
        <v>2014.0</v>
      </c>
      <c r="L1431" s="6">
        <v>4.0</v>
      </c>
      <c r="M1431" s="8">
        <f t="shared" si="3"/>
        <v>0.6</v>
      </c>
      <c r="P1431" s="9"/>
    </row>
    <row r="1432">
      <c r="A1432" s="6" t="s">
        <v>3777</v>
      </c>
      <c r="B1432" s="6" t="s">
        <v>378</v>
      </c>
      <c r="C1432" s="6" t="s">
        <v>295</v>
      </c>
      <c r="D1432" s="6" t="s">
        <v>3778</v>
      </c>
      <c r="E1432" s="6" t="s">
        <v>2342</v>
      </c>
      <c r="F1432" s="6" t="s">
        <v>170</v>
      </c>
      <c r="G1432" s="7">
        <v>0.3</v>
      </c>
      <c r="H1432" s="6" t="s">
        <v>3779</v>
      </c>
      <c r="I1432" s="6" t="s">
        <v>20</v>
      </c>
      <c r="J1432" s="6">
        <v>2020.0</v>
      </c>
      <c r="L1432" s="6">
        <v>2.0</v>
      </c>
      <c r="M1432" s="8">
        <f t="shared" si="3"/>
        <v>0.6</v>
      </c>
      <c r="P1432" s="9"/>
    </row>
    <row r="1433">
      <c r="A1433" s="6" t="s">
        <v>3780</v>
      </c>
      <c r="B1433" s="6" t="s">
        <v>378</v>
      </c>
      <c r="C1433" s="6" t="s">
        <v>295</v>
      </c>
      <c r="D1433" s="6" t="s">
        <v>3781</v>
      </c>
      <c r="E1433" s="6" t="s">
        <v>2342</v>
      </c>
      <c r="F1433" s="6" t="s">
        <v>170</v>
      </c>
      <c r="G1433" s="7">
        <v>0.06</v>
      </c>
      <c r="H1433" s="6" t="s">
        <v>1708</v>
      </c>
      <c r="I1433" s="6" t="s">
        <v>20</v>
      </c>
      <c r="J1433" s="6">
        <v>2019.0</v>
      </c>
      <c r="L1433" s="6">
        <v>1.0</v>
      </c>
      <c r="M1433" s="8">
        <f t="shared" si="3"/>
        <v>0.06</v>
      </c>
      <c r="P1433" s="9"/>
    </row>
    <row r="1434">
      <c r="A1434" s="6" t="s">
        <v>3782</v>
      </c>
      <c r="B1434" s="6" t="s">
        <v>378</v>
      </c>
      <c r="C1434" s="6" t="s">
        <v>295</v>
      </c>
      <c r="D1434" s="6" t="s">
        <v>3783</v>
      </c>
      <c r="E1434" s="6" t="s">
        <v>930</v>
      </c>
      <c r="F1434" s="6" t="s">
        <v>170</v>
      </c>
      <c r="G1434" s="7">
        <v>0.38</v>
      </c>
      <c r="H1434" s="6" t="s">
        <v>1673</v>
      </c>
      <c r="I1434" s="6" t="s">
        <v>20</v>
      </c>
      <c r="J1434" s="6">
        <v>2012.0</v>
      </c>
      <c r="L1434" s="6">
        <v>4.0</v>
      </c>
      <c r="M1434" s="8">
        <f t="shared" si="3"/>
        <v>1.52</v>
      </c>
      <c r="P1434" s="9"/>
    </row>
    <row r="1435">
      <c r="A1435" s="6" t="s">
        <v>3784</v>
      </c>
      <c r="B1435" s="6" t="s">
        <v>378</v>
      </c>
      <c r="C1435" s="6" t="s">
        <v>295</v>
      </c>
      <c r="D1435" s="6" t="s">
        <v>3785</v>
      </c>
      <c r="E1435" s="6" t="s">
        <v>930</v>
      </c>
      <c r="F1435" s="6" t="s">
        <v>170</v>
      </c>
      <c r="G1435" s="7">
        <v>12.26</v>
      </c>
      <c r="H1435" s="6" t="s">
        <v>2699</v>
      </c>
      <c r="I1435" s="6" t="s">
        <v>20</v>
      </c>
      <c r="J1435" s="6">
        <v>2010.0</v>
      </c>
      <c r="L1435" s="6">
        <v>4.0</v>
      </c>
      <c r="M1435" s="8">
        <f t="shared" si="3"/>
        <v>49.04</v>
      </c>
      <c r="P1435" s="9"/>
    </row>
    <row r="1436">
      <c r="A1436" s="6" t="s">
        <v>3786</v>
      </c>
      <c r="B1436" s="6" t="s">
        <v>378</v>
      </c>
      <c r="C1436" s="6" t="s">
        <v>295</v>
      </c>
      <c r="D1436" s="6" t="s">
        <v>3787</v>
      </c>
      <c r="E1436" s="6" t="s">
        <v>2342</v>
      </c>
      <c r="F1436" s="6" t="s">
        <v>170</v>
      </c>
      <c r="G1436" s="7">
        <v>0.3</v>
      </c>
      <c r="H1436" s="6" t="s">
        <v>2172</v>
      </c>
      <c r="I1436" s="6" t="s">
        <v>20</v>
      </c>
      <c r="J1436" s="6">
        <v>2021.0</v>
      </c>
      <c r="L1436" s="6">
        <v>3.0</v>
      </c>
      <c r="M1436" s="8">
        <f t="shared" si="3"/>
        <v>0.9</v>
      </c>
      <c r="P1436" s="9"/>
    </row>
    <row r="1437">
      <c r="A1437" s="6" t="s">
        <v>3788</v>
      </c>
      <c r="B1437" s="6" t="s">
        <v>3789</v>
      </c>
      <c r="C1437" s="6" t="s">
        <v>295</v>
      </c>
      <c r="D1437" s="6" t="s">
        <v>3790</v>
      </c>
      <c r="E1437" s="6" t="s">
        <v>2365</v>
      </c>
      <c r="F1437" s="6" t="s">
        <v>170</v>
      </c>
      <c r="G1437" s="7">
        <v>0.03</v>
      </c>
      <c r="H1437" s="6" t="s">
        <v>2202</v>
      </c>
      <c r="I1437" s="6" t="s">
        <v>20</v>
      </c>
      <c r="J1437" s="6">
        <v>2014.0</v>
      </c>
      <c r="K1437" s="10">
        <v>46084.0</v>
      </c>
      <c r="L1437" s="6">
        <v>3.0</v>
      </c>
      <c r="M1437" s="8">
        <f t="shared" si="3"/>
        <v>0.09</v>
      </c>
      <c r="P1437" s="9"/>
    </row>
    <row r="1438">
      <c r="A1438" s="6" t="s">
        <v>3791</v>
      </c>
      <c r="B1438" s="6" t="s">
        <v>3792</v>
      </c>
      <c r="C1438" s="6" t="s">
        <v>295</v>
      </c>
      <c r="D1438" s="6" t="s">
        <v>3793</v>
      </c>
      <c r="E1438" s="6" t="s">
        <v>2350</v>
      </c>
      <c r="F1438" s="6" t="s">
        <v>170</v>
      </c>
      <c r="G1438" s="7">
        <v>0.25</v>
      </c>
      <c r="H1438" s="6" t="s">
        <v>2003</v>
      </c>
      <c r="I1438" s="6" t="s">
        <v>20</v>
      </c>
      <c r="J1438" s="6">
        <v>2020.0</v>
      </c>
      <c r="K1438" s="6" t="s">
        <v>89</v>
      </c>
      <c r="L1438" s="6">
        <v>2.0</v>
      </c>
      <c r="M1438" s="8">
        <f t="shared" si="3"/>
        <v>0.5</v>
      </c>
      <c r="P1438" s="9"/>
    </row>
    <row r="1439">
      <c r="A1439" s="6" t="s">
        <v>3794</v>
      </c>
      <c r="B1439" s="6" t="s">
        <v>2491</v>
      </c>
      <c r="C1439" s="6" t="s">
        <v>295</v>
      </c>
      <c r="D1439" s="6" t="s">
        <v>3795</v>
      </c>
      <c r="E1439" s="6" t="s">
        <v>2350</v>
      </c>
      <c r="F1439" s="6" t="s">
        <v>170</v>
      </c>
      <c r="G1439" s="7">
        <v>0.03</v>
      </c>
      <c r="H1439" s="6" t="s">
        <v>2619</v>
      </c>
      <c r="I1439" s="6" t="s">
        <v>20</v>
      </c>
      <c r="J1439" s="6">
        <v>2019.0</v>
      </c>
      <c r="K1439" s="10">
        <v>46085.0</v>
      </c>
      <c r="L1439" s="6">
        <v>3.0</v>
      </c>
      <c r="M1439" s="8">
        <f t="shared" si="3"/>
        <v>0.09</v>
      </c>
      <c r="P1439" s="9"/>
    </row>
    <row r="1440">
      <c r="A1440" s="6" t="s">
        <v>3796</v>
      </c>
      <c r="B1440" s="6" t="s">
        <v>3797</v>
      </c>
      <c r="C1440" s="6" t="s">
        <v>295</v>
      </c>
      <c r="E1440" s="6" t="s">
        <v>3424</v>
      </c>
      <c r="F1440" s="6" t="s">
        <v>170</v>
      </c>
      <c r="G1440" s="7">
        <v>0.03</v>
      </c>
      <c r="H1440" s="6" t="s">
        <v>2474</v>
      </c>
      <c r="I1440" s="6" t="s">
        <v>20</v>
      </c>
      <c r="J1440" s="6">
        <v>2017.0</v>
      </c>
      <c r="K1440" s="10">
        <v>46115.0</v>
      </c>
      <c r="L1440" s="6">
        <v>4.0</v>
      </c>
      <c r="M1440" s="8">
        <f t="shared" si="3"/>
        <v>0.12</v>
      </c>
      <c r="P1440" s="9"/>
    </row>
    <row r="1441">
      <c r="A1441" s="6" t="s">
        <v>3798</v>
      </c>
      <c r="B1441" s="6" t="s">
        <v>3799</v>
      </c>
      <c r="C1441" s="6" t="s">
        <v>295</v>
      </c>
      <c r="D1441" s="6" t="s">
        <v>3800</v>
      </c>
      <c r="E1441" s="6" t="s">
        <v>2365</v>
      </c>
      <c r="F1441" s="6" t="s">
        <v>170</v>
      </c>
      <c r="G1441" s="7">
        <v>0.49</v>
      </c>
      <c r="H1441" s="6" t="s">
        <v>1689</v>
      </c>
      <c r="I1441" s="6" t="s">
        <v>20</v>
      </c>
      <c r="J1441" s="6">
        <v>2020.0</v>
      </c>
      <c r="K1441" s="10">
        <v>46058.0</v>
      </c>
      <c r="L1441" s="6">
        <v>4.0</v>
      </c>
      <c r="M1441" s="8">
        <f t="shared" si="3"/>
        <v>1.96</v>
      </c>
      <c r="P1441" s="9"/>
    </row>
    <row r="1442">
      <c r="A1442" s="6" t="s">
        <v>3801</v>
      </c>
      <c r="B1442" s="6" t="s">
        <v>2058</v>
      </c>
      <c r="C1442" s="6" t="s">
        <v>295</v>
      </c>
      <c r="D1442" s="6" t="s">
        <v>3802</v>
      </c>
      <c r="E1442" s="6" t="s">
        <v>780</v>
      </c>
      <c r="F1442" s="6" t="s">
        <v>18</v>
      </c>
      <c r="G1442" s="7">
        <v>0.08</v>
      </c>
      <c r="H1442" s="6" t="s">
        <v>2641</v>
      </c>
      <c r="I1442" s="6" t="s">
        <v>20</v>
      </c>
      <c r="J1442" s="6">
        <v>2013.0</v>
      </c>
      <c r="L1442" s="6">
        <v>2.0</v>
      </c>
      <c r="M1442" s="8">
        <f t="shared" si="3"/>
        <v>0.16</v>
      </c>
      <c r="P1442" s="9"/>
    </row>
    <row r="1443">
      <c r="A1443" s="6" t="s">
        <v>3803</v>
      </c>
      <c r="B1443" s="6" t="s">
        <v>3804</v>
      </c>
      <c r="C1443" s="6" t="s">
        <v>295</v>
      </c>
      <c r="E1443" s="6" t="s">
        <v>2342</v>
      </c>
      <c r="F1443" s="6" t="s">
        <v>170</v>
      </c>
      <c r="G1443" s="7">
        <v>0.03</v>
      </c>
      <c r="H1443" s="6" t="s">
        <v>2467</v>
      </c>
      <c r="I1443" s="6" t="s">
        <v>20</v>
      </c>
      <c r="J1443" s="6">
        <v>2017.0</v>
      </c>
      <c r="K1443" s="10">
        <v>46055.0</v>
      </c>
      <c r="L1443" s="6">
        <v>3.0</v>
      </c>
      <c r="M1443" s="8">
        <f t="shared" si="3"/>
        <v>0.09</v>
      </c>
      <c r="P1443" s="9"/>
    </row>
    <row r="1444">
      <c r="A1444" s="6" t="s">
        <v>3805</v>
      </c>
      <c r="B1444" s="6" t="s">
        <v>2508</v>
      </c>
      <c r="C1444" s="6" t="s">
        <v>295</v>
      </c>
      <c r="D1444" s="6" t="s">
        <v>3806</v>
      </c>
      <c r="E1444" s="6" t="s">
        <v>2754</v>
      </c>
      <c r="F1444" s="6" t="s">
        <v>170</v>
      </c>
      <c r="G1444" s="7">
        <v>0.03</v>
      </c>
      <c r="H1444" s="6" t="s">
        <v>2511</v>
      </c>
      <c r="I1444" s="6" t="s">
        <v>20</v>
      </c>
      <c r="J1444" s="6">
        <v>2018.0</v>
      </c>
      <c r="K1444" s="10">
        <v>46116.0</v>
      </c>
      <c r="L1444" s="6">
        <v>4.0</v>
      </c>
      <c r="M1444" s="8">
        <f t="shared" si="3"/>
        <v>0.12</v>
      </c>
      <c r="P1444" s="9"/>
    </row>
    <row r="1445">
      <c r="A1445" s="6" t="s">
        <v>3807</v>
      </c>
      <c r="B1445" s="6" t="s">
        <v>3808</v>
      </c>
      <c r="C1445" s="6" t="s">
        <v>295</v>
      </c>
      <c r="E1445" s="6" t="s">
        <v>2754</v>
      </c>
      <c r="F1445" s="6" t="s">
        <v>170</v>
      </c>
      <c r="G1445" s="7">
        <v>0.03</v>
      </c>
      <c r="H1445" s="6" t="s">
        <v>2598</v>
      </c>
      <c r="I1445" s="6" t="s">
        <v>20</v>
      </c>
      <c r="J1445" s="6">
        <v>2017.0</v>
      </c>
      <c r="K1445" s="10">
        <v>46117.0</v>
      </c>
      <c r="L1445" s="6">
        <v>5.0</v>
      </c>
      <c r="M1445" s="8">
        <f t="shared" si="3"/>
        <v>0.15</v>
      </c>
      <c r="P1445" s="9"/>
    </row>
    <row r="1446">
      <c r="A1446" s="6" t="s">
        <v>3809</v>
      </c>
      <c r="B1446" s="6" t="s">
        <v>378</v>
      </c>
      <c r="C1446" s="6" t="s">
        <v>295</v>
      </c>
      <c r="D1446" s="6" t="s">
        <v>3810</v>
      </c>
      <c r="E1446" s="6" t="s">
        <v>2754</v>
      </c>
      <c r="F1446" s="6" t="s">
        <v>170</v>
      </c>
      <c r="G1446" s="7">
        <v>0.05</v>
      </c>
      <c r="H1446" s="6" t="s">
        <v>1625</v>
      </c>
      <c r="I1446" s="6" t="s">
        <v>20</v>
      </c>
      <c r="J1446" s="6">
        <v>2021.0</v>
      </c>
      <c r="L1446" s="6">
        <v>2.0</v>
      </c>
      <c r="M1446" s="8">
        <f t="shared" si="3"/>
        <v>0.1</v>
      </c>
      <c r="P1446" s="9"/>
    </row>
    <row r="1447">
      <c r="A1447" s="6" t="s">
        <v>3811</v>
      </c>
      <c r="B1447" s="6" t="s">
        <v>378</v>
      </c>
      <c r="C1447" s="6" t="s">
        <v>295</v>
      </c>
      <c r="D1447" s="6" t="s">
        <v>3812</v>
      </c>
      <c r="E1447" s="6" t="s">
        <v>2342</v>
      </c>
      <c r="F1447" s="6" t="s">
        <v>170</v>
      </c>
      <c r="G1447" s="7">
        <v>0.06</v>
      </c>
      <c r="H1447" s="6" t="s">
        <v>2619</v>
      </c>
      <c r="I1447" s="6" t="s">
        <v>20</v>
      </c>
      <c r="J1447" s="6">
        <v>2019.0</v>
      </c>
      <c r="L1447" s="6">
        <v>1.0</v>
      </c>
      <c r="M1447" s="8">
        <f t="shared" si="3"/>
        <v>0.06</v>
      </c>
      <c r="P1447" s="9"/>
    </row>
    <row r="1448">
      <c r="A1448" s="6" t="s">
        <v>3813</v>
      </c>
      <c r="B1448" s="6" t="s">
        <v>378</v>
      </c>
      <c r="C1448" s="6" t="s">
        <v>295</v>
      </c>
      <c r="D1448" s="6" t="s">
        <v>3814</v>
      </c>
      <c r="E1448" s="6" t="s">
        <v>2342</v>
      </c>
      <c r="F1448" s="6" t="s">
        <v>170</v>
      </c>
      <c r="G1448" s="7">
        <v>0.03</v>
      </c>
      <c r="H1448" s="6" t="s">
        <v>2552</v>
      </c>
      <c r="I1448" s="6" t="s">
        <v>20</v>
      </c>
      <c r="J1448" s="6">
        <v>2018.0</v>
      </c>
      <c r="L1448" s="6">
        <v>1.0</v>
      </c>
      <c r="M1448" s="8">
        <f t="shared" si="3"/>
        <v>0.03</v>
      </c>
      <c r="P1448" s="9"/>
    </row>
    <row r="1449">
      <c r="A1449" s="6" t="s">
        <v>3815</v>
      </c>
      <c r="B1449" s="6" t="s">
        <v>378</v>
      </c>
      <c r="C1449" s="6" t="s">
        <v>295</v>
      </c>
      <c r="D1449" s="6" t="s">
        <v>3816</v>
      </c>
      <c r="E1449" s="6" t="s">
        <v>2350</v>
      </c>
      <c r="F1449" s="6" t="s">
        <v>170</v>
      </c>
      <c r="G1449" s="7">
        <v>0.03</v>
      </c>
      <c r="H1449" s="6" t="s">
        <v>1714</v>
      </c>
      <c r="I1449" s="6" t="s">
        <v>20</v>
      </c>
      <c r="J1449" s="6">
        <v>2020.0</v>
      </c>
      <c r="L1449" s="6">
        <v>1.0</v>
      </c>
      <c r="M1449" s="8">
        <f t="shared" si="3"/>
        <v>0.03</v>
      </c>
      <c r="P1449" s="9"/>
    </row>
    <row r="1450">
      <c r="A1450" s="6" t="s">
        <v>3817</v>
      </c>
      <c r="B1450" s="6" t="s">
        <v>378</v>
      </c>
      <c r="C1450" s="6" t="s">
        <v>295</v>
      </c>
      <c r="D1450" s="6" t="s">
        <v>3818</v>
      </c>
      <c r="E1450" s="6" t="s">
        <v>2342</v>
      </c>
      <c r="F1450" s="6" t="s">
        <v>170</v>
      </c>
      <c r="G1450" s="7">
        <v>0.05</v>
      </c>
      <c r="H1450" s="6" t="s">
        <v>2003</v>
      </c>
      <c r="I1450" s="6" t="s">
        <v>20</v>
      </c>
      <c r="J1450" s="6">
        <v>2020.0</v>
      </c>
      <c r="L1450" s="6">
        <v>1.0</v>
      </c>
      <c r="M1450" s="8">
        <f t="shared" si="3"/>
        <v>0.05</v>
      </c>
      <c r="P1450" s="9"/>
    </row>
    <row r="1451">
      <c r="A1451" s="6" t="s">
        <v>3819</v>
      </c>
      <c r="B1451" s="6" t="s">
        <v>378</v>
      </c>
      <c r="C1451" s="6" t="s">
        <v>1897</v>
      </c>
      <c r="D1451" s="6" t="s">
        <v>3820</v>
      </c>
      <c r="E1451" s="6" t="s">
        <v>2342</v>
      </c>
      <c r="F1451" s="6" t="s">
        <v>170</v>
      </c>
      <c r="G1451" s="7">
        <v>1.6</v>
      </c>
      <c r="H1451" s="6" t="s">
        <v>3821</v>
      </c>
      <c r="I1451" s="6" t="s">
        <v>31</v>
      </c>
      <c r="J1451" s="6">
        <v>2016.0</v>
      </c>
      <c r="L1451" s="6">
        <v>1.0</v>
      </c>
      <c r="M1451" s="8">
        <f t="shared" si="3"/>
        <v>1.6</v>
      </c>
      <c r="P1451" s="9"/>
    </row>
    <row r="1452">
      <c r="A1452" s="6" t="s">
        <v>3819</v>
      </c>
      <c r="B1452" s="6" t="s">
        <v>378</v>
      </c>
      <c r="C1452" s="6" t="s">
        <v>1897</v>
      </c>
      <c r="D1452" s="6" t="s">
        <v>3820</v>
      </c>
      <c r="E1452" s="6" t="s">
        <v>2342</v>
      </c>
      <c r="F1452" s="6" t="s">
        <v>170</v>
      </c>
      <c r="G1452" s="7">
        <v>0.39</v>
      </c>
      <c r="H1452" s="6" t="s">
        <v>3822</v>
      </c>
      <c r="I1452" s="6" t="s">
        <v>20</v>
      </c>
      <c r="J1452" s="6">
        <v>2008.0</v>
      </c>
      <c r="L1452" s="6">
        <v>1.0</v>
      </c>
      <c r="M1452" s="8">
        <f t="shared" si="3"/>
        <v>0.39</v>
      </c>
      <c r="P1452" s="9"/>
    </row>
    <row r="1453">
      <c r="A1453" s="6" t="s">
        <v>3823</v>
      </c>
      <c r="B1453" s="6" t="s">
        <v>3824</v>
      </c>
      <c r="C1453" s="6" t="s">
        <v>295</v>
      </c>
      <c r="D1453" s="6" t="s">
        <v>3825</v>
      </c>
      <c r="E1453" s="6" t="s">
        <v>2754</v>
      </c>
      <c r="F1453" s="6" t="s">
        <v>170</v>
      </c>
      <c r="G1453" s="7">
        <v>0.09</v>
      </c>
      <c r="H1453" s="6" t="s">
        <v>1965</v>
      </c>
      <c r="I1453" s="6" t="s">
        <v>20</v>
      </c>
      <c r="J1453" s="6">
        <v>2022.0</v>
      </c>
      <c r="K1453" s="10">
        <v>46085.0</v>
      </c>
      <c r="L1453" s="6">
        <v>1.0</v>
      </c>
      <c r="M1453" s="8">
        <f t="shared" si="3"/>
        <v>0.09</v>
      </c>
      <c r="P1453" s="9"/>
    </row>
    <row r="1454">
      <c r="A1454" s="6" t="s">
        <v>3826</v>
      </c>
      <c r="B1454" s="6" t="s">
        <v>3232</v>
      </c>
      <c r="C1454" s="6" t="s">
        <v>295</v>
      </c>
      <c r="E1454" s="6" t="s">
        <v>2365</v>
      </c>
      <c r="F1454" s="6" t="s">
        <v>170</v>
      </c>
      <c r="G1454" s="7">
        <v>0.05</v>
      </c>
      <c r="H1454" s="6" t="s">
        <v>3827</v>
      </c>
      <c r="I1454" s="6" t="s">
        <v>20</v>
      </c>
      <c r="J1454" s="6">
        <v>2016.0</v>
      </c>
      <c r="K1454" s="10">
        <v>46058.0</v>
      </c>
      <c r="L1454" s="6">
        <v>1.0</v>
      </c>
      <c r="M1454" s="8">
        <f t="shared" si="3"/>
        <v>0.05</v>
      </c>
      <c r="P1454" s="9"/>
    </row>
    <row r="1455">
      <c r="A1455" s="6" t="s">
        <v>3828</v>
      </c>
      <c r="B1455" s="6" t="s">
        <v>3829</v>
      </c>
      <c r="C1455" s="6" t="s">
        <v>295</v>
      </c>
      <c r="D1455" s="6" t="s">
        <v>3830</v>
      </c>
      <c r="E1455" s="6" t="s">
        <v>2365</v>
      </c>
      <c r="F1455" s="6" t="s">
        <v>170</v>
      </c>
      <c r="G1455" s="7">
        <v>0.06</v>
      </c>
      <c r="H1455" s="6" t="s">
        <v>1965</v>
      </c>
      <c r="I1455" s="6" t="s">
        <v>20</v>
      </c>
      <c r="J1455" s="6">
        <v>2022.0</v>
      </c>
      <c r="K1455" s="10">
        <v>46084.0</v>
      </c>
      <c r="L1455" s="6">
        <v>1.0</v>
      </c>
      <c r="M1455" s="8">
        <f t="shared" si="3"/>
        <v>0.06</v>
      </c>
      <c r="P1455" s="9"/>
    </row>
    <row r="1456">
      <c r="A1456" s="6" t="s">
        <v>3831</v>
      </c>
      <c r="B1456" s="6" t="s">
        <v>3832</v>
      </c>
      <c r="C1456" s="6" t="s">
        <v>295</v>
      </c>
      <c r="D1456" s="6" t="s">
        <v>3833</v>
      </c>
      <c r="E1456" s="6" t="s">
        <v>2350</v>
      </c>
      <c r="F1456" s="6" t="s">
        <v>170</v>
      </c>
      <c r="G1456" s="7">
        <v>0.05</v>
      </c>
      <c r="H1456" s="6" t="s">
        <v>2202</v>
      </c>
      <c r="I1456" s="6" t="s">
        <v>20</v>
      </c>
      <c r="J1456" s="6">
        <v>2014.0</v>
      </c>
      <c r="K1456" s="10">
        <v>46025.0</v>
      </c>
      <c r="L1456" s="6">
        <v>1.0</v>
      </c>
      <c r="M1456" s="8">
        <f t="shared" si="3"/>
        <v>0.05</v>
      </c>
      <c r="P1456" s="9"/>
    </row>
    <row r="1457">
      <c r="A1457" s="6" t="s">
        <v>3834</v>
      </c>
      <c r="B1457" s="6" t="s">
        <v>3835</v>
      </c>
      <c r="C1457" s="6" t="s">
        <v>295</v>
      </c>
      <c r="E1457" s="6" t="s">
        <v>2779</v>
      </c>
      <c r="F1457" s="6" t="s">
        <v>170</v>
      </c>
      <c r="G1457" s="7">
        <v>0.03</v>
      </c>
      <c r="H1457" s="6" t="s">
        <v>1714</v>
      </c>
      <c r="I1457" s="6" t="s">
        <v>20</v>
      </c>
      <c r="J1457" s="6">
        <v>2020.0</v>
      </c>
      <c r="K1457" s="10">
        <v>46088.0</v>
      </c>
      <c r="L1457" s="6">
        <v>1.0</v>
      </c>
      <c r="M1457" s="8">
        <f t="shared" si="3"/>
        <v>0.03</v>
      </c>
      <c r="P1457" s="9"/>
    </row>
    <row r="1458">
      <c r="A1458" s="6" t="s">
        <v>3836</v>
      </c>
      <c r="B1458" s="6" t="s">
        <v>3837</v>
      </c>
      <c r="C1458" s="6" t="s">
        <v>295</v>
      </c>
      <c r="E1458" s="6" t="s">
        <v>3424</v>
      </c>
      <c r="F1458" s="6" t="s">
        <v>170</v>
      </c>
      <c r="G1458" s="7">
        <v>0.03</v>
      </c>
      <c r="H1458" s="6" t="s">
        <v>2242</v>
      </c>
      <c r="I1458" s="6" t="s">
        <v>20</v>
      </c>
      <c r="J1458" s="6">
        <v>2014.0</v>
      </c>
      <c r="K1458" s="10">
        <v>46058.0</v>
      </c>
      <c r="L1458" s="6">
        <v>1.0</v>
      </c>
      <c r="M1458" s="8">
        <f t="shared" si="3"/>
        <v>0.03</v>
      </c>
      <c r="P1458" s="9"/>
    </row>
    <row r="1459">
      <c r="A1459" s="6" t="s">
        <v>3838</v>
      </c>
      <c r="B1459" s="6" t="s">
        <v>378</v>
      </c>
      <c r="C1459" s="6" t="s">
        <v>295</v>
      </c>
      <c r="D1459" s="6" t="s">
        <v>3839</v>
      </c>
      <c r="E1459" s="6" t="s">
        <v>2342</v>
      </c>
      <c r="F1459" s="6" t="s">
        <v>170</v>
      </c>
      <c r="G1459" s="7">
        <v>0.03</v>
      </c>
      <c r="H1459" s="6" t="s">
        <v>2619</v>
      </c>
      <c r="I1459" s="6" t="s">
        <v>20</v>
      </c>
      <c r="J1459" s="6">
        <v>2019.0</v>
      </c>
      <c r="L1459" s="6">
        <v>1.0</v>
      </c>
      <c r="M1459" s="8">
        <f t="shared" si="3"/>
        <v>0.03</v>
      </c>
      <c r="P1459" s="9"/>
    </row>
    <row r="1460">
      <c r="A1460" s="6" t="s">
        <v>3840</v>
      </c>
      <c r="B1460" s="6" t="s">
        <v>378</v>
      </c>
      <c r="C1460" s="6" t="s">
        <v>295</v>
      </c>
      <c r="D1460" s="6" t="s">
        <v>3841</v>
      </c>
      <c r="E1460" s="6" t="s">
        <v>2342</v>
      </c>
      <c r="F1460" s="6" t="s">
        <v>170</v>
      </c>
      <c r="G1460" s="7">
        <v>0.01</v>
      </c>
      <c r="H1460" s="6" t="s">
        <v>2202</v>
      </c>
      <c r="I1460" s="6" t="s">
        <v>20</v>
      </c>
      <c r="J1460" s="6">
        <v>2014.0</v>
      </c>
      <c r="L1460" s="6">
        <v>1.0</v>
      </c>
      <c r="M1460" s="8">
        <f t="shared" si="3"/>
        <v>0.01</v>
      </c>
      <c r="P1460" s="9"/>
    </row>
    <row r="1461">
      <c r="A1461" s="6" t="s">
        <v>3842</v>
      </c>
      <c r="B1461" s="6" t="s">
        <v>378</v>
      </c>
      <c r="C1461" s="6" t="s">
        <v>1949</v>
      </c>
      <c r="D1461" s="6" t="s">
        <v>3843</v>
      </c>
      <c r="E1461" s="6" t="s">
        <v>2779</v>
      </c>
      <c r="F1461" s="6" t="s">
        <v>170</v>
      </c>
      <c r="G1461" s="7">
        <v>0.08</v>
      </c>
      <c r="H1461" s="6" t="s">
        <v>2550</v>
      </c>
      <c r="I1461" s="6" t="s">
        <v>20</v>
      </c>
      <c r="J1461" s="6">
        <v>2020.0</v>
      </c>
      <c r="L1461" s="6">
        <v>1.0</v>
      </c>
      <c r="M1461" s="8">
        <f t="shared" si="3"/>
        <v>0.08</v>
      </c>
      <c r="P1461" s="9"/>
    </row>
    <row r="1462">
      <c r="A1462" s="6" t="s">
        <v>3844</v>
      </c>
      <c r="B1462" s="6" t="s">
        <v>378</v>
      </c>
      <c r="C1462" s="6" t="s">
        <v>295</v>
      </c>
      <c r="D1462" s="6" t="s">
        <v>3845</v>
      </c>
      <c r="E1462" s="6" t="s">
        <v>2365</v>
      </c>
      <c r="F1462" s="6" t="s">
        <v>170</v>
      </c>
      <c r="G1462" s="7">
        <v>0.04</v>
      </c>
      <c r="H1462" s="6" t="s">
        <v>2202</v>
      </c>
      <c r="I1462" s="6" t="s">
        <v>20</v>
      </c>
      <c r="J1462" s="6">
        <v>2014.0</v>
      </c>
      <c r="L1462" s="6">
        <v>1.0</v>
      </c>
      <c r="M1462" s="8">
        <f t="shared" si="3"/>
        <v>0.04</v>
      </c>
      <c r="P1462" s="9"/>
    </row>
    <row r="1463">
      <c r="A1463" s="6" t="s">
        <v>3846</v>
      </c>
      <c r="B1463" s="6" t="s">
        <v>378</v>
      </c>
      <c r="C1463" s="6" t="s">
        <v>295</v>
      </c>
      <c r="D1463" s="6" t="s">
        <v>3847</v>
      </c>
      <c r="E1463" s="6" t="s">
        <v>2350</v>
      </c>
      <c r="F1463" s="6" t="s">
        <v>170</v>
      </c>
      <c r="G1463" s="7">
        <v>0.03</v>
      </c>
      <c r="H1463" s="6" t="s">
        <v>2788</v>
      </c>
      <c r="I1463" s="6" t="s">
        <v>20</v>
      </c>
      <c r="J1463" s="6">
        <v>2009.0</v>
      </c>
      <c r="L1463" s="6">
        <v>1.0</v>
      </c>
      <c r="M1463" s="8">
        <f t="shared" si="3"/>
        <v>0.03</v>
      </c>
      <c r="P1463" s="9"/>
    </row>
    <row r="1464">
      <c r="A1464" s="6" t="s">
        <v>3848</v>
      </c>
      <c r="B1464" s="6" t="s">
        <v>378</v>
      </c>
      <c r="C1464" s="6" t="s">
        <v>295</v>
      </c>
      <c r="D1464" s="6" t="s">
        <v>3849</v>
      </c>
      <c r="E1464" s="6" t="s">
        <v>2342</v>
      </c>
      <c r="F1464" s="6" t="s">
        <v>170</v>
      </c>
      <c r="G1464" s="7">
        <v>0.05</v>
      </c>
      <c r="H1464" s="6" t="s">
        <v>2568</v>
      </c>
      <c r="I1464" s="6" t="s">
        <v>20</v>
      </c>
      <c r="J1464" s="6">
        <v>2012.0</v>
      </c>
      <c r="L1464" s="6">
        <v>1.0</v>
      </c>
      <c r="M1464" s="8">
        <f t="shared" si="3"/>
        <v>0.05</v>
      </c>
      <c r="P1464" s="9"/>
    </row>
    <row r="1465">
      <c r="A1465" s="6" t="s">
        <v>3850</v>
      </c>
      <c r="B1465" s="6" t="s">
        <v>2669</v>
      </c>
      <c r="C1465" s="6" t="s">
        <v>1949</v>
      </c>
      <c r="E1465" s="6" t="s">
        <v>2779</v>
      </c>
      <c r="F1465" s="6" t="s">
        <v>170</v>
      </c>
      <c r="G1465" s="7">
        <v>0.05</v>
      </c>
      <c r="H1465" s="6" t="s">
        <v>3851</v>
      </c>
      <c r="I1465" s="6" t="s">
        <v>20</v>
      </c>
      <c r="J1465" s="6">
        <v>2007.0</v>
      </c>
      <c r="K1465" s="10">
        <v>46146.0</v>
      </c>
      <c r="L1465" s="6">
        <v>1.0</v>
      </c>
      <c r="M1465" s="8">
        <f t="shared" si="3"/>
        <v>0.05</v>
      </c>
      <c r="P1465" s="9"/>
    </row>
    <row r="1466">
      <c r="A1466" s="6" t="s">
        <v>3852</v>
      </c>
      <c r="B1466" s="6" t="s">
        <v>3853</v>
      </c>
      <c r="C1466" s="6" t="s">
        <v>295</v>
      </c>
      <c r="D1466" s="6" t="s">
        <v>3854</v>
      </c>
      <c r="E1466" s="6" t="s">
        <v>2365</v>
      </c>
      <c r="F1466" s="6" t="s">
        <v>170</v>
      </c>
      <c r="G1466" s="7">
        <v>0.09</v>
      </c>
      <c r="H1466" s="6" t="s">
        <v>2963</v>
      </c>
      <c r="I1466" s="6" t="s">
        <v>20</v>
      </c>
      <c r="J1466" s="6">
        <v>2006.0</v>
      </c>
      <c r="K1466" s="10">
        <v>46084.0</v>
      </c>
      <c r="L1466" s="6">
        <v>1.0</v>
      </c>
      <c r="M1466" s="8">
        <f t="shared" si="3"/>
        <v>0.09</v>
      </c>
      <c r="P1466" s="9"/>
    </row>
    <row r="1467">
      <c r="A1467" s="6" t="s">
        <v>3855</v>
      </c>
      <c r="B1467" s="6" t="s">
        <v>2662</v>
      </c>
      <c r="C1467" s="6" t="s">
        <v>295</v>
      </c>
      <c r="D1467" s="6" t="s">
        <v>3856</v>
      </c>
      <c r="E1467" s="6" t="s">
        <v>3424</v>
      </c>
      <c r="F1467" s="6" t="s">
        <v>170</v>
      </c>
      <c r="G1467" s="7">
        <v>0.05</v>
      </c>
      <c r="H1467" s="6" t="s">
        <v>1689</v>
      </c>
      <c r="I1467" s="6" t="s">
        <v>20</v>
      </c>
      <c r="J1467" s="6">
        <v>2020.0</v>
      </c>
      <c r="K1467" s="10">
        <v>46085.0</v>
      </c>
      <c r="L1467" s="6">
        <v>1.0</v>
      </c>
      <c r="M1467" s="8">
        <f t="shared" si="3"/>
        <v>0.05</v>
      </c>
      <c r="P1467" s="9"/>
    </row>
    <row r="1468">
      <c r="A1468" s="6" t="s">
        <v>3857</v>
      </c>
      <c r="B1468" s="6" t="s">
        <v>2662</v>
      </c>
      <c r="C1468" s="6" t="s">
        <v>295</v>
      </c>
      <c r="D1468" s="6" t="s">
        <v>3858</v>
      </c>
      <c r="E1468" s="6" t="s">
        <v>2754</v>
      </c>
      <c r="F1468" s="6" t="s">
        <v>170</v>
      </c>
      <c r="G1468" s="7">
        <v>0.03</v>
      </c>
      <c r="H1468" s="6" t="s">
        <v>2242</v>
      </c>
      <c r="I1468" s="6" t="s">
        <v>20</v>
      </c>
      <c r="J1468" s="6">
        <v>2014.0</v>
      </c>
      <c r="K1468" s="10">
        <v>46084.0</v>
      </c>
      <c r="L1468" s="6">
        <v>1.0</v>
      </c>
      <c r="M1468" s="8">
        <f t="shared" si="3"/>
        <v>0.03</v>
      </c>
      <c r="P1468" s="9"/>
    </row>
    <row r="1469">
      <c r="A1469" s="6" t="s">
        <v>3859</v>
      </c>
      <c r="B1469" s="6" t="s">
        <v>3860</v>
      </c>
      <c r="C1469" s="6" t="s">
        <v>295</v>
      </c>
      <c r="D1469" s="6" t="s">
        <v>3861</v>
      </c>
      <c r="E1469" s="6" t="s">
        <v>2754</v>
      </c>
      <c r="F1469" s="6" t="s">
        <v>170</v>
      </c>
      <c r="G1469" s="7">
        <v>0.06</v>
      </c>
      <c r="H1469" s="6" t="s">
        <v>2650</v>
      </c>
      <c r="I1469" s="6" t="s">
        <v>20</v>
      </c>
      <c r="J1469" s="6">
        <v>2021.0</v>
      </c>
      <c r="K1469" s="10">
        <v>46117.0</v>
      </c>
      <c r="L1469" s="6">
        <v>1.0</v>
      </c>
      <c r="M1469" s="8">
        <f t="shared" si="3"/>
        <v>0.06</v>
      </c>
      <c r="P1469" s="9"/>
    </row>
    <row r="1470">
      <c r="A1470" s="6" t="s">
        <v>3862</v>
      </c>
      <c r="B1470" s="6" t="s">
        <v>3863</v>
      </c>
      <c r="C1470" s="6" t="s">
        <v>295</v>
      </c>
      <c r="E1470" s="6" t="s">
        <v>3424</v>
      </c>
      <c r="F1470" s="6" t="s">
        <v>170</v>
      </c>
      <c r="G1470" s="7">
        <v>0.05</v>
      </c>
      <c r="H1470" s="6" t="s">
        <v>2202</v>
      </c>
      <c r="I1470" s="6" t="s">
        <v>20</v>
      </c>
      <c r="J1470" s="6">
        <v>2014.0</v>
      </c>
      <c r="K1470" s="10">
        <v>46085.0</v>
      </c>
      <c r="L1470" s="6">
        <v>1.0</v>
      </c>
      <c r="M1470" s="8">
        <f t="shared" si="3"/>
        <v>0.05</v>
      </c>
      <c r="P1470" s="9"/>
    </row>
    <row r="1471">
      <c r="A1471" s="6" t="s">
        <v>3864</v>
      </c>
      <c r="B1471" s="6" t="s">
        <v>3576</v>
      </c>
      <c r="C1471" s="6" t="s">
        <v>1897</v>
      </c>
      <c r="D1471" s="6" t="s">
        <v>3865</v>
      </c>
      <c r="E1471" s="6" t="s">
        <v>2779</v>
      </c>
      <c r="F1471" s="6" t="s">
        <v>170</v>
      </c>
      <c r="G1471" s="7">
        <v>0.25</v>
      </c>
      <c r="H1471" s="6" t="s">
        <v>3866</v>
      </c>
      <c r="I1471" s="6" t="s">
        <v>20</v>
      </c>
      <c r="J1471" s="6">
        <v>2005.0</v>
      </c>
      <c r="K1471" s="10">
        <v>46084.0</v>
      </c>
      <c r="L1471" s="6">
        <v>1.0</v>
      </c>
      <c r="M1471" s="8">
        <f t="shared" si="3"/>
        <v>0.25</v>
      </c>
      <c r="P1471" s="9"/>
    </row>
    <row r="1472">
      <c r="A1472" s="6" t="s">
        <v>3867</v>
      </c>
      <c r="B1472" s="6" t="s">
        <v>3868</v>
      </c>
      <c r="C1472" s="6" t="s">
        <v>295</v>
      </c>
      <c r="E1472" s="6" t="s">
        <v>2350</v>
      </c>
      <c r="F1472" s="6" t="s">
        <v>170</v>
      </c>
      <c r="G1472" s="7">
        <v>0.05</v>
      </c>
      <c r="H1472" s="6" t="s">
        <v>2372</v>
      </c>
      <c r="I1472" s="6" t="s">
        <v>20</v>
      </c>
      <c r="J1472" s="6">
        <v>2010.0</v>
      </c>
      <c r="K1472" s="10">
        <v>46056.0</v>
      </c>
      <c r="L1472" s="6">
        <v>1.0</v>
      </c>
      <c r="M1472" s="8">
        <f t="shared" si="3"/>
        <v>0.05</v>
      </c>
      <c r="P1472" s="9"/>
    </row>
    <row r="1473">
      <c r="A1473" s="6" t="s">
        <v>3869</v>
      </c>
      <c r="B1473" s="6" t="s">
        <v>2580</v>
      </c>
      <c r="C1473" s="6" t="s">
        <v>295</v>
      </c>
      <c r="D1473" s="6" t="s">
        <v>3870</v>
      </c>
      <c r="E1473" s="6" t="s">
        <v>2342</v>
      </c>
      <c r="F1473" s="6" t="s">
        <v>170</v>
      </c>
      <c r="G1473" s="7">
        <v>0.05</v>
      </c>
      <c r="H1473" s="6" t="s">
        <v>2003</v>
      </c>
      <c r="I1473" s="6" t="s">
        <v>20</v>
      </c>
      <c r="J1473" s="6">
        <v>2020.0</v>
      </c>
      <c r="K1473" s="10">
        <v>46054.0</v>
      </c>
      <c r="L1473" s="6">
        <v>1.0</v>
      </c>
      <c r="M1473" s="8">
        <f t="shared" si="3"/>
        <v>0.05</v>
      </c>
      <c r="P1473" s="9"/>
    </row>
    <row r="1474">
      <c r="A1474" s="6" t="s">
        <v>3871</v>
      </c>
      <c r="B1474" s="6" t="s">
        <v>2566</v>
      </c>
      <c r="C1474" s="6" t="s">
        <v>295</v>
      </c>
      <c r="E1474" s="6" t="s">
        <v>2365</v>
      </c>
      <c r="F1474" s="6" t="s">
        <v>170</v>
      </c>
      <c r="G1474" s="7">
        <v>0.06</v>
      </c>
      <c r="H1474" s="6" t="s">
        <v>2471</v>
      </c>
      <c r="I1474" s="6" t="s">
        <v>20</v>
      </c>
      <c r="J1474" s="6">
        <v>2012.0</v>
      </c>
      <c r="K1474" s="10">
        <v>46084.0</v>
      </c>
      <c r="L1474" s="6">
        <v>1.0</v>
      </c>
      <c r="M1474" s="8">
        <f t="shared" si="3"/>
        <v>0.06</v>
      </c>
      <c r="P1474" s="9"/>
    </row>
    <row r="1475">
      <c r="A1475" s="6" t="s">
        <v>3872</v>
      </c>
      <c r="B1475" s="6" t="s">
        <v>2382</v>
      </c>
      <c r="C1475" s="6" t="s">
        <v>295</v>
      </c>
      <c r="D1475" s="6" t="s">
        <v>3873</v>
      </c>
      <c r="E1475" s="6" t="s">
        <v>2754</v>
      </c>
      <c r="F1475" s="6" t="s">
        <v>170</v>
      </c>
      <c r="G1475" s="7">
        <v>0.1</v>
      </c>
      <c r="H1475" s="6" t="s">
        <v>1956</v>
      </c>
      <c r="I1475" s="6" t="s">
        <v>20</v>
      </c>
      <c r="J1475" s="6">
        <v>2021.0</v>
      </c>
      <c r="K1475" s="10">
        <v>46085.0</v>
      </c>
      <c r="L1475" s="6">
        <v>1.0</v>
      </c>
      <c r="M1475" s="8">
        <f t="shared" si="3"/>
        <v>0.1</v>
      </c>
      <c r="P1475" s="9"/>
    </row>
    <row r="1476">
      <c r="A1476" s="6" t="s">
        <v>3874</v>
      </c>
      <c r="B1476" s="6" t="s">
        <v>3875</v>
      </c>
      <c r="C1476" s="6" t="s">
        <v>295</v>
      </c>
      <c r="D1476" s="6" t="s">
        <v>3876</v>
      </c>
      <c r="E1476" s="6" t="s">
        <v>2350</v>
      </c>
      <c r="F1476" s="6" t="s">
        <v>170</v>
      </c>
      <c r="G1476" s="7">
        <v>0.03</v>
      </c>
      <c r="H1476" s="6" t="s">
        <v>1714</v>
      </c>
      <c r="I1476" s="6" t="s">
        <v>20</v>
      </c>
      <c r="J1476" s="6">
        <v>2020.0</v>
      </c>
      <c r="K1476" s="10">
        <v>46083.0</v>
      </c>
      <c r="L1476" s="6">
        <v>1.0</v>
      </c>
      <c r="M1476" s="8">
        <f t="shared" si="3"/>
        <v>0.03</v>
      </c>
      <c r="P1476" s="9"/>
    </row>
    <row r="1477">
      <c r="A1477" s="6" t="s">
        <v>3877</v>
      </c>
      <c r="B1477" s="6" t="s">
        <v>378</v>
      </c>
      <c r="C1477" s="6" t="s">
        <v>295</v>
      </c>
      <c r="D1477" s="6" t="s">
        <v>3878</v>
      </c>
      <c r="E1477" s="6" t="s">
        <v>930</v>
      </c>
      <c r="F1477" s="6" t="s">
        <v>170</v>
      </c>
      <c r="G1477" s="7">
        <v>0.03</v>
      </c>
      <c r="H1477" s="6" t="s">
        <v>2598</v>
      </c>
      <c r="I1477" s="6" t="s">
        <v>20</v>
      </c>
      <c r="J1477" s="6">
        <v>2017.0</v>
      </c>
      <c r="L1477" s="6">
        <v>1.0</v>
      </c>
      <c r="M1477" s="8">
        <f t="shared" si="3"/>
        <v>0.03</v>
      </c>
      <c r="P1477" s="9"/>
    </row>
    <row r="1478">
      <c r="A1478" s="6" t="s">
        <v>3879</v>
      </c>
      <c r="B1478" s="6" t="s">
        <v>378</v>
      </c>
      <c r="C1478" s="6" t="s">
        <v>295</v>
      </c>
      <c r="D1478" s="6" t="s">
        <v>3880</v>
      </c>
      <c r="E1478" s="6" t="s">
        <v>2779</v>
      </c>
      <c r="F1478" s="6" t="s">
        <v>170</v>
      </c>
      <c r="G1478" s="7">
        <v>0.05</v>
      </c>
      <c r="H1478" s="6" t="s">
        <v>1689</v>
      </c>
      <c r="I1478" s="6" t="s">
        <v>20</v>
      </c>
      <c r="J1478" s="6">
        <v>2020.0</v>
      </c>
      <c r="L1478" s="6">
        <v>1.0</v>
      </c>
      <c r="M1478" s="8">
        <f t="shared" si="3"/>
        <v>0.05</v>
      </c>
      <c r="P1478" s="9"/>
    </row>
    <row r="1479">
      <c r="A1479" s="6" t="s">
        <v>3881</v>
      </c>
      <c r="B1479" s="6" t="s">
        <v>378</v>
      </c>
      <c r="C1479" s="6" t="s">
        <v>1949</v>
      </c>
      <c r="D1479" s="6" t="s">
        <v>3882</v>
      </c>
      <c r="E1479" s="6" t="s">
        <v>3883</v>
      </c>
      <c r="F1479" s="6" t="s">
        <v>170</v>
      </c>
      <c r="G1479" s="7">
        <v>0.15</v>
      </c>
      <c r="H1479" s="6" t="s">
        <v>1625</v>
      </c>
      <c r="I1479" s="6" t="s">
        <v>20</v>
      </c>
      <c r="J1479" s="6">
        <v>2021.0</v>
      </c>
      <c r="L1479" s="6">
        <v>1.0</v>
      </c>
      <c r="M1479" s="8">
        <f t="shared" si="3"/>
        <v>0.15</v>
      </c>
      <c r="P1479" s="9"/>
    </row>
    <row r="1480">
      <c r="A1480" s="6" t="s">
        <v>3884</v>
      </c>
      <c r="B1480" s="6" t="s">
        <v>378</v>
      </c>
      <c r="C1480" s="6" t="s">
        <v>295</v>
      </c>
      <c r="D1480" s="6" t="s">
        <v>3885</v>
      </c>
      <c r="E1480" s="6" t="s">
        <v>2365</v>
      </c>
      <c r="F1480" s="6" t="s">
        <v>170</v>
      </c>
      <c r="G1480" s="7">
        <v>0.03</v>
      </c>
      <c r="H1480" s="6" t="s">
        <v>2474</v>
      </c>
      <c r="I1480" s="6" t="s">
        <v>20</v>
      </c>
      <c r="J1480" s="6">
        <v>2017.0</v>
      </c>
      <c r="L1480" s="6">
        <v>1.0</v>
      </c>
      <c r="M1480" s="8">
        <f t="shared" si="3"/>
        <v>0.03</v>
      </c>
      <c r="P1480" s="9"/>
    </row>
    <row r="1481">
      <c r="A1481" s="6" t="s">
        <v>3886</v>
      </c>
      <c r="B1481" s="6" t="s">
        <v>378</v>
      </c>
      <c r="C1481" s="6" t="s">
        <v>1897</v>
      </c>
      <c r="D1481" s="6" t="s">
        <v>3887</v>
      </c>
      <c r="E1481" s="6" t="s">
        <v>930</v>
      </c>
      <c r="F1481" s="6" t="s">
        <v>170</v>
      </c>
      <c r="G1481" s="7">
        <v>1.24</v>
      </c>
      <c r="H1481" s="6" t="s">
        <v>3888</v>
      </c>
      <c r="I1481" s="6" t="s">
        <v>20</v>
      </c>
      <c r="J1481" s="6">
        <v>2023.0</v>
      </c>
      <c r="L1481" s="6">
        <v>4.0</v>
      </c>
      <c r="M1481" s="8">
        <f t="shared" si="3"/>
        <v>4.96</v>
      </c>
      <c r="P1481" s="9"/>
    </row>
    <row r="1482">
      <c r="A1482" s="6" t="s">
        <v>3889</v>
      </c>
      <c r="B1482" s="6" t="s">
        <v>2058</v>
      </c>
      <c r="C1482" s="6" t="s">
        <v>1949</v>
      </c>
      <c r="D1482" s="6" t="s">
        <v>3890</v>
      </c>
      <c r="E1482" s="6" t="s">
        <v>2350</v>
      </c>
      <c r="F1482" s="6" t="s">
        <v>170</v>
      </c>
      <c r="G1482" s="7">
        <v>0.04</v>
      </c>
      <c r="H1482" s="6" t="s">
        <v>1664</v>
      </c>
      <c r="I1482" s="6" t="s">
        <v>20</v>
      </c>
      <c r="J1482" s="6">
        <v>2018.0</v>
      </c>
      <c r="L1482" s="6">
        <v>2.0</v>
      </c>
      <c r="M1482" s="8">
        <f t="shared" si="3"/>
        <v>0.08</v>
      </c>
      <c r="P1482" s="9"/>
    </row>
    <row r="1483">
      <c r="A1483" s="6" t="s">
        <v>3891</v>
      </c>
      <c r="B1483" s="6" t="s">
        <v>2058</v>
      </c>
      <c r="C1483" s="6" t="s">
        <v>295</v>
      </c>
      <c r="D1483" s="6" t="s">
        <v>3892</v>
      </c>
      <c r="E1483" s="6" t="s">
        <v>2365</v>
      </c>
      <c r="F1483" s="6" t="s">
        <v>170</v>
      </c>
      <c r="G1483" s="7">
        <v>0.05</v>
      </c>
      <c r="H1483" s="6" t="s">
        <v>3485</v>
      </c>
      <c r="I1483" s="6" t="s">
        <v>20</v>
      </c>
      <c r="J1483" s="6">
        <v>2012.0</v>
      </c>
      <c r="L1483" s="6">
        <v>1.0</v>
      </c>
      <c r="M1483" s="8">
        <f t="shared" si="3"/>
        <v>0.05</v>
      </c>
      <c r="P1483" s="9"/>
    </row>
    <row r="1484">
      <c r="A1484" s="6" t="s">
        <v>3893</v>
      </c>
      <c r="B1484" s="6" t="s">
        <v>2058</v>
      </c>
      <c r="C1484" s="6" t="s">
        <v>295</v>
      </c>
      <c r="D1484" s="6" t="s">
        <v>3894</v>
      </c>
      <c r="E1484" s="6" t="s">
        <v>930</v>
      </c>
      <c r="F1484" s="6" t="s">
        <v>170</v>
      </c>
      <c r="G1484" s="7">
        <v>3.15</v>
      </c>
      <c r="H1484" s="6" t="s">
        <v>3021</v>
      </c>
      <c r="I1484" s="6" t="s">
        <v>20</v>
      </c>
      <c r="J1484" s="6">
        <v>2023.0</v>
      </c>
      <c r="L1484" s="6">
        <v>3.0</v>
      </c>
      <c r="M1484" s="8">
        <f t="shared" si="3"/>
        <v>9.45</v>
      </c>
      <c r="P1484" s="9"/>
    </row>
    <row r="1485">
      <c r="A1485" s="6" t="s">
        <v>3893</v>
      </c>
      <c r="B1485" s="6" t="s">
        <v>2058</v>
      </c>
      <c r="C1485" s="6" t="s">
        <v>295</v>
      </c>
      <c r="D1485" s="6" t="s">
        <v>3894</v>
      </c>
      <c r="E1485" s="6" t="s">
        <v>930</v>
      </c>
      <c r="F1485" s="6" t="s">
        <v>170</v>
      </c>
      <c r="G1485" s="7">
        <v>4.75</v>
      </c>
      <c r="H1485" s="6" t="s">
        <v>3595</v>
      </c>
      <c r="I1485" s="6" t="s">
        <v>20</v>
      </c>
      <c r="J1485" s="6">
        <v>2020.0</v>
      </c>
      <c r="L1485" s="6">
        <v>1.0</v>
      </c>
      <c r="M1485" s="8">
        <f t="shared" si="3"/>
        <v>4.75</v>
      </c>
      <c r="P1485" s="9"/>
    </row>
    <row r="1486">
      <c r="A1486" s="6" t="s">
        <v>3895</v>
      </c>
      <c r="B1486" s="6" t="s">
        <v>2058</v>
      </c>
      <c r="C1486" s="6" t="s">
        <v>295</v>
      </c>
      <c r="D1486" s="6" t="s">
        <v>3896</v>
      </c>
      <c r="E1486" s="6" t="s">
        <v>2342</v>
      </c>
      <c r="F1486" s="6" t="s">
        <v>170</v>
      </c>
      <c r="G1486" s="7">
        <v>0.28</v>
      </c>
      <c r="H1486" s="6" t="s">
        <v>2456</v>
      </c>
      <c r="I1486" s="6" t="s">
        <v>20</v>
      </c>
      <c r="J1486" s="6">
        <v>2024.0</v>
      </c>
      <c r="L1486" s="6">
        <v>2.0</v>
      </c>
      <c r="M1486" s="8">
        <f t="shared" si="3"/>
        <v>0.56</v>
      </c>
      <c r="P1486" s="9"/>
    </row>
    <row r="1487">
      <c r="A1487" s="6" t="s">
        <v>3897</v>
      </c>
      <c r="B1487" s="6" t="s">
        <v>2058</v>
      </c>
      <c r="C1487" s="6" t="s">
        <v>295</v>
      </c>
      <c r="D1487" s="6" t="s">
        <v>3898</v>
      </c>
      <c r="E1487" s="6" t="s">
        <v>2350</v>
      </c>
      <c r="F1487" s="6" t="s">
        <v>170</v>
      </c>
      <c r="G1487" s="7">
        <v>0.21</v>
      </c>
      <c r="H1487" s="6" t="s">
        <v>1641</v>
      </c>
      <c r="I1487" s="6" t="s">
        <v>20</v>
      </c>
      <c r="J1487" s="6">
        <v>2019.0</v>
      </c>
      <c r="L1487" s="6">
        <v>4.0</v>
      </c>
      <c r="M1487" s="8">
        <f t="shared" si="3"/>
        <v>0.84</v>
      </c>
      <c r="P1487" s="9"/>
    </row>
    <row r="1488">
      <c r="A1488" s="6" t="s">
        <v>3899</v>
      </c>
      <c r="B1488" s="6" t="s">
        <v>2058</v>
      </c>
      <c r="C1488" s="6" t="s">
        <v>295</v>
      </c>
      <c r="D1488" s="6" t="s">
        <v>3900</v>
      </c>
      <c r="E1488" s="6" t="s">
        <v>930</v>
      </c>
      <c r="F1488" s="6" t="s">
        <v>170</v>
      </c>
      <c r="G1488" s="7">
        <v>3.07</v>
      </c>
      <c r="H1488" s="6" t="s">
        <v>2471</v>
      </c>
      <c r="I1488" s="6" t="s">
        <v>20</v>
      </c>
      <c r="J1488" s="6">
        <v>2012.0</v>
      </c>
      <c r="L1488" s="6">
        <v>1.0</v>
      </c>
      <c r="M1488" s="8">
        <f t="shared" si="3"/>
        <v>3.07</v>
      </c>
      <c r="P1488" s="9"/>
    </row>
    <row r="1489">
      <c r="A1489" s="6" t="s">
        <v>3901</v>
      </c>
      <c r="B1489" s="6" t="s">
        <v>2058</v>
      </c>
      <c r="C1489" s="6" t="s">
        <v>295</v>
      </c>
      <c r="D1489" s="6" t="s">
        <v>3902</v>
      </c>
      <c r="E1489" s="6" t="s">
        <v>2350</v>
      </c>
      <c r="F1489" s="6" t="s">
        <v>170</v>
      </c>
      <c r="G1489" s="7">
        <v>0.03</v>
      </c>
      <c r="H1489" s="6" t="s">
        <v>2598</v>
      </c>
      <c r="I1489" s="6" t="s">
        <v>20</v>
      </c>
      <c r="J1489" s="6">
        <v>2017.0</v>
      </c>
      <c r="L1489" s="6">
        <v>1.0</v>
      </c>
      <c r="M1489" s="8">
        <f t="shared" si="3"/>
        <v>0.03</v>
      </c>
      <c r="P1489" s="9"/>
    </row>
    <row r="1490">
      <c r="A1490" s="6" t="s">
        <v>3903</v>
      </c>
      <c r="B1490" s="6" t="s">
        <v>2058</v>
      </c>
      <c r="C1490" s="6" t="s">
        <v>295</v>
      </c>
      <c r="D1490" s="6" t="s">
        <v>3904</v>
      </c>
      <c r="E1490" s="6" t="s">
        <v>930</v>
      </c>
      <c r="F1490" s="6" t="s">
        <v>170</v>
      </c>
      <c r="G1490" s="7">
        <v>0.05</v>
      </c>
      <c r="H1490" s="6" t="s">
        <v>2006</v>
      </c>
      <c r="I1490" s="6" t="s">
        <v>20</v>
      </c>
      <c r="J1490" s="6">
        <v>2013.0</v>
      </c>
      <c r="L1490" s="6">
        <v>1.0</v>
      </c>
      <c r="M1490" s="8">
        <f t="shared" si="3"/>
        <v>0.05</v>
      </c>
      <c r="P1490" s="9"/>
    </row>
    <row r="1491">
      <c r="A1491" s="6" t="s">
        <v>3905</v>
      </c>
      <c r="B1491" s="6" t="s">
        <v>2058</v>
      </c>
      <c r="C1491" s="6" t="s">
        <v>1949</v>
      </c>
      <c r="D1491" s="6" t="s">
        <v>3906</v>
      </c>
      <c r="E1491" s="6" t="s">
        <v>2342</v>
      </c>
      <c r="F1491" s="6" t="s">
        <v>170</v>
      </c>
      <c r="G1491" s="7">
        <v>0.1</v>
      </c>
      <c r="H1491" s="6" t="s">
        <v>2003</v>
      </c>
      <c r="I1491" s="6" t="s">
        <v>20</v>
      </c>
      <c r="J1491" s="6">
        <v>2020.0</v>
      </c>
      <c r="L1491" s="6">
        <v>1.0</v>
      </c>
      <c r="M1491" s="8">
        <f t="shared" si="3"/>
        <v>0.1</v>
      </c>
      <c r="P1491" s="9"/>
    </row>
    <row r="1492">
      <c r="A1492" s="6" t="s">
        <v>3907</v>
      </c>
      <c r="B1492" s="6" t="s">
        <v>2058</v>
      </c>
      <c r="C1492" s="6" t="s">
        <v>295</v>
      </c>
      <c r="D1492" s="6" t="s">
        <v>3908</v>
      </c>
      <c r="E1492" s="6" t="s">
        <v>2754</v>
      </c>
      <c r="F1492" s="6" t="s">
        <v>170</v>
      </c>
      <c r="G1492" s="7">
        <v>0.06</v>
      </c>
      <c r="H1492" s="6" t="s">
        <v>3827</v>
      </c>
      <c r="I1492" s="6" t="s">
        <v>20</v>
      </c>
      <c r="J1492" s="6">
        <v>2016.0</v>
      </c>
      <c r="L1492" s="6">
        <v>1.0</v>
      </c>
      <c r="M1492" s="8">
        <f t="shared" si="3"/>
        <v>0.06</v>
      </c>
      <c r="P1492" s="9"/>
    </row>
    <row r="1493">
      <c r="A1493" s="6" t="s">
        <v>3909</v>
      </c>
      <c r="B1493" s="6" t="s">
        <v>2058</v>
      </c>
      <c r="C1493" s="6" t="s">
        <v>295</v>
      </c>
      <c r="D1493" s="6" t="s">
        <v>3910</v>
      </c>
      <c r="E1493" s="6" t="s">
        <v>2350</v>
      </c>
      <c r="F1493" s="6" t="s">
        <v>170</v>
      </c>
      <c r="G1493" s="7">
        <v>0.06</v>
      </c>
      <c r="H1493" s="6" t="s">
        <v>1641</v>
      </c>
      <c r="I1493" s="6" t="s">
        <v>20</v>
      </c>
      <c r="J1493" s="6">
        <v>2019.0</v>
      </c>
      <c r="L1493" s="6">
        <v>1.0</v>
      </c>
      <c r="M1493" s="8">
        <f t="shared" si="3"/>
        <v>0.06</v>
      </c>
      <c r="P1493" s="9"/>
    </row>
    <row r="1494">
      <c r="A1494" s="6" t="s">
        <v>3911</v>
      </c>
      <c r="B1494" s="6" t="s">
        <v>2058</v>
      </c>
      <c r="C1494" s="6" t="s">
        <v>295</v>
      </c>
      <c r="D1494" s="6" t="s">
        <v>3912</v>
      </c>
      <c r="E1494" s="6" t="s">
        <v>3913</v>
      </c>
      <c r="F1494" s="6" t="s">
        <v>170</v>
      </c>
      <c r="G1494" s="7">
        <v>1.31</v>
      </c>
      <c r="H1494" s="6" t="s">
        <v>2175</v>
      </c>
      <c r="I1494" s="6" t="s">
        <v>20</v>
      </c>
      <c r="J1494" s="6">
        <v>2018.0</v>
      </c>
      <c r="L1494" s="6">
        <v>1.0</v>
      </c>
      <c r="M1494" s="8">
        <f t="shared" si="3"/>
        <v>1.31</v>
      </c>
      <c r="P1494" s="9"/>
    </row>
    <row r="1495">
      <c r="A1495" s="6" t="s">
        <v>3914</v>
      </c>
      <c r="B1495" s="6" t="s">
        <v>1944</v>
      </c>
      <c r="C1495" s="6" t="s">
        <v>1949</v>
      </c>
      <c r="D1495" s="6" t="s">
        <v>3915</v>
      </c>
      <c r="E1495" s="6" t="s">
        <v>2342</v>
      </c>
      <c r="F1495" s="6" t="s">
        <v>170</v>
      </c>
      <c r="G1495" s="7">
        <v>0.13</v>
      </c>
      <c r="H1495" s="6" t="s">
        <v>1641</v>
      </c>
      <c r="I1495" s="6" t="s">
        <v>20</v>
      </c>
      <c r="J1495" s="6">
        <v>2019.0</v>
      </c>
      <c r="L1495" s="6">
        <v>1.0</v>
      </c>
      <c r="M1495" s="8">
        <f t="shared" si="3"/>
        <v>0.13</v>
      </c>
      <c r="P1495" s="9"/>
    </row>
    <row r="1496">
      <c r="A1496" s="6" t="s">
        <v>3916</v>
      </c>
      <c r="B1496" s="6" t="s">
        <v>1944</v>
      </c>
      <c r="C1496" s="6" t="s">
        <v>1949</v>
      </c>
      <c r="D1496" s="6" t="s">
        <v>3917</v>
      </c>
      <c r="E1496" s="6" t="s">
        <v>2350</v>
      </c>
      <c r="F1496" s="6" t="s">
        <v>170</v>
      </c>
      <c r="G1496" s="7">
        <v>0.06</v>
      </c>
      <c r="H1496" s="6" t="s">
        <v>2474</v>
      </c>
      <c r="I1496" s="6" t="s">
        <v>20</v>
      </c>
      <c r="J1496" s="6">
        <v>2017.0</v>
      </c>
      <c r="L1496" s="6">
        <v>1.0</v>
      </c>
      <c r="M1496" s="8">
        <f t="shared" si="3"/>
        <v>0.06</v>
      </c>
      <c r="P1496" s="9"/>
    </row>
    <row r="1497">
      <c r="A1497" s="6" t="s">
        <v>3918</v>
      </c>
      <c r="B1497" s="6" t="s">
        <v>2014</v>
      </c>
      <c r="C1497" s="6" t="s">
        <v>295</v>
      </c>
      <c r="D1497" s="6" t="s">
        <v>3919</v>
      </c>
      <c r="E1497" s="6" t="s">
        <v>2350</v>
      </c>
      <c r="F1497" s="6" t="s">
        <v>170</v>
      </c>
      <c r="G1497" s="7">
        <v>0.03</v>
      </c>
      <c r="H1497" s="6" t="s">
        <v>2242</v>
      </c>
      <c r="I1497" s="6" t="s">
        <v>20</v>
      </c>
      <c r="J1497" s="6">
        <v>2014.0</v>
      </c>
      <c r="L1497" s="6">
        <v>1.0</v>
      </c>
      <c r="M1497" s="8">
        <f t="shared" si="3"/>
        <v>0.03</v>
      </c>
      <c r="P1497" s="9"/>
    </row>
    <row r="1498">
      <c r="A1498" s="6" t="s">
        <v>3920</v>
      </c>
      <c r="B1498" s="6" t="s">
        <v>1944</v>
      </c>
      <c r="C1498" s="6" t="s">
        <v>295</v>
      </c>
      <c r="D1498" s="6" t="s">
        <v>3921</v>
      </c>
      <c r="E1498" s="6" t="s">
        <v>2365</v>
      </c>
      <c r="F1498" s="6" t="s">
        <v>170</v>
      </c>
      <c r="G1498" s="7">
        <v>0.04</v>
      </c>
      <c r="H1498" s="6" t="s">
        <v>2162</v>
      </c>
      <c r="I1498" s="6" t="s">
        <v>20</v>
      </c>
      <c r="J1498" s="6">
        <v>2021.0</v>
      </c>
      <c r="L1498" s="6">
        <v>1.0</v>
      </c>
      <c r="M1498" s="8">
        <f t="shared" si="3"/>
        <v>0.04</v>
      </c>
      <c r="P1498" s="9"/>
    </row>
    <row r="1499">
      <c r="A1499" s="6" t="s">
        <v>3922</v>
      </c>
      <c r="B1499" s="6" t="s">
        <v>2014</v>
      </c>
      <c r="C1499" s="6" t="s">
        <v>1949</v>
      </c>
      <c r="D1499" s="6" t="s">
        <v>3923</v>
      </c>
      <c r="E1499" s="6" t="s">
        <v>2350</v>
      </c>
      <c r="F1499" s="6" t="s">
        <v>170</v>
      </c>
      <c r="G1499" s="7">
        <v>0.06</v>
      </c>
      <c r="H1499" s="6" t="s">
        <v>2202</v>
      </c>
      <c r="I1499" s="6" t="s">
        <v>20</v>
      </c>
      <c r="J1499" s="6">
        <v>2014.0</v>
      </c>
      <c r="L1499" s="6">
        <v>1.0</v>
      </c>
      <c r="M1499" s="8">
        <f t="shared" si="3"/>
        <v>0.06</v>
      </c>
      <c r="P1499" s="9"/>
    </row>
    <row r="1500">
      <c r="A1500" s="6" t="s">
        <v>3924</v>
      </c>
      <c r="B1500" s="6" t="s">
        <v>1944</v>
      </c>
      <c r="C1500" s="6" t="s">
        <v>1949</v>
      </c>
      <c r="D1500" s="6" t="s">
        <v>3925</v>
      </c>
      <c r="E1500" s="6" t="s">
        <v>2342</v>
      </c>
      <c r="F1500" s="6" t="s">
        <v>170</v>
      </c>
      <c r="G1500" s="7">
        <v>0.15</v>
      </c>
      <c r="H1500" s="6" t="s">
        <v>2006</v>
      </c>
      <c r="I1500" s="6" t="s">
        <v>20</v>
      </c>
      <c r="J1500" s="6">
        <v>2013.0</v>
      </c>
      <c r="L1500" s="6">
        <v>1.0</v>
      </c>
      <c r="M1500" s="8">
        <f t="shared" si="3"/>
        <v>0.15</v>
      </c>
      <c r="P1500" s="9"/>
    </row>
    <row r="1501">
      <c r="A1501" s="6" t="s">
        <v>3926</v>
      </c>
      <c r="B1501" s="6" t="s">
        <v>2014</v>
      </c>
      <c r="C1501" s="6" t="s">
        <v>295</v>
      </c>
      <c r="D1501" s="6" t="s">
        <v>3927</v>
      </c>
      <c r="E1501" s="6" t="s">
        <v>2350</v>
      </c>
      <c r="F1501" s="6" t="s">
        <v>170</v>
      </c>
      <c r="G1501" s="7">
        <v>0.03</v>
      </c>
      <c r="H1501" s="6" t="s">
        <v>1714</v>
      </c>
      <c r="I1501" s="6" t="s">
        <v>20</v>
      </c>
      <c r="J1501" s="6">
        <v>2020.0</v>
      </c>
      <c r="L1501" s="6">
        <v>1.0</v>
      </c>
      <c r="M1501" s="8">
        <f t="shared" si="3"/>
        <v>0.03</v>
      </c>
      <c r="P1501" s="9"/>
    </row>
    <row r="1502">
      <c r="A1502" s="6" t="s">
        <v>3928</v>
      </c>
      <c r="B1502" s="6" t="s">
        <v>1944</v>
      </c>
      <c r="C1502" s="6" t="s">
        <v>1897</v>
      </c>
      <c r="D1502" s="6" t="s">
        <v>3929</v>
      </c>
      <c r="E1502" s="6" t="s">
        <v>2350</v>
      </c>
      <c r="F1502" s="6" t="s">
        <v>170</v>
      </c>
      <c r="G1502" s="7">
        <v>0.75</v>
      </c>
      <c r="H1502" s="6" t="s">
        <v>2511</v>
      </c>
      <c r="I1502" s="6" t="s">
        <v>20</v>
      </c>
      <c r="J1502" s="6">
        <v>2018.0</v>
      </c>
      <c r="L1502" s="6">
        <v>1.0</v>
      </c>
      <c r="M1502" s="8">
        <f t="shared" si="3"/>
        <v>0.75</v>
      </c>
      <c r="P1502" s="9"/>
    </row>
    <row r="1503">
      <c r="A1503" s="6" t="s">
        <v>3930</v>
      </c>
      <c r="B1503" s="6" t="s">
        <v>2424</v>
      </c>
      <c r="C1503" s="6" t="s">
        <v>1949</v>
      </c>
      <c r="D1503" s="6" t="s">
        <v>3931</v>
      </c>
      <c r="E1503" s="6" t="s">
        <v>2342</v>
      </c>
      <c r="F1503" s="6" t="s">
        <v>170</v>
      </c>
      <c r="G1503" s="7">
        <v>0.2</v>
      </c>
      <c r="H1503" s="6" t="s">
        <v>1664</v>
      </c>
      <c r="I1503" s="6" t="s">
        <v>20</v>
      </c>
      <c r="J1503" s="6">
        <v>2018.0</v>
      </c>
      <c r="L1503" s="6">
        <v>1.0</v>
      </c>
      <c r="M1503" s="8">
        <f t="shared" si="3"/>
        <v>0.2</v>
      </c>
      <c r="P1503" s="9"/>
    </row>
    <row r="1504">
      <c r="A1504" s="6" t="s">
        <v>3932</v>
      </c>
      <c r="B1504" s="6" t="s">
        <v>1952</v>
      </c>
      <c r="C1504" s="6" t="s">
        <v>295</v>
      </c>
      <c r="D1504" s="6" t="s">
        <v>3933</v>
      </c>
      <c r="E1504" s="6" t="s">
        <v>2342</v>
      </c>
      <c r="F1504" s="6" t="s">
        <v>170</v>
      </c>
      <c r="G1504" s="7">
        <v>0.49</v>
      </c>
      <c r="H1504" s="6" t="s">
        <v>3934</v>
      </c>
      <c r="I1504" s="6" t="s">
        <v>31</v>
      </c>
      <c r="J1504" s="6">
        <v>2023.0</v>
      </c>
      <c r="L1504" s="6">
        <v>1.0</v>
      </c>
      <c r="M1504" s="8">
        <f t="shared" si="3"/>
        <v>0.49</v>
      </c>
      <c r="P1504" s="9"/>
    </row>
    <row r="1505">
      <c r="A1505" s="6" t="s">
        <v>3932</v>
      </c>
      <c r="B1505" s="6" t="s">
        <v>1952</v>
      </c>
      <c r="C1505" s="6" t="s">
        <v>295</v>
      </c>
      <c r="D1505" s="6" t="s">
        <v>3933</v>
      </c>
      <c r="E1505" s="6" t="s">
        <v>2342</v>
      </c>
      <c r="F1505" s="6" t="s">
        <v>170</v>
      </c>
      <c r="G1505" s="7">
        <v>0.09</v>
      </c>
      <c r="H1505" s="6" t="s">
        <v>3934</v>
      </c>
      <c r="I1505" s="6" t="s">
        <v>20</v>
      </c>
      <c r="J1505" s="6">
        <v>2023.0</v>
      </c>
      <c r="L1505" s="6">
        <v>3.0</v>
      </c>
      <c r="M1505" s="8">
        <f t="shared" si="3"/>
        <v>0.27</v>
      </c>
      <c r="P1505" s="9"/>
    </row>
    <row r="1506">
      <c r="A1506" s="6" t="s">
        <v>3935</v>
      </c>
      <c r="B1506" s="6" t="s">
        <v>1952</v>
      </c>
      <c r="C1506" s="6" t="s">
        <v>295</v>
      </c>
      <c r="D1506" s="6" t="s">
        <v>3936</v>
      </c>
      <c r="E1506" s="6" t="s">
        <v>2342</v>
      </c>
      <c r="F1506" s="6" t="s">
        <v>170</v>
      </c>
      <c r="G1506" s="7">
        <v>0.05</v>
      </c>
      <c r="H1506" s="6" t="s">
        <v>2003</v>
      </c>
      <c r="I1506" s="6" t="s">
        <v>20</v>
      </c>
      <c r="J1506" s="6">
        <v>2020.0</v>
      </c>
      <c r="L1506" s="6">
        <v>1.0</v>
      </c>
      <c r="M1506" s="8">
        <f t="shared" si="3"/>
        <v>0.05</v>
      </c>
      <c r="P1506" s="9"/>
    </row>
    <row r="1507">
      <c r="A1507" s="6" t="s">
        <v>3937</v>
      </c>
      <c r="B1507" s="6" t="s">
        <v>3938</v>
      </c>
      <c r="C1507" s="6" t="s">
        <v>1897</v>
      </c>
      <c r="D1507" s="6" t="s">
        <v>3939</v>
      </c>
      <c r="E1507" s="6" t="s">
        <v>2365</v>
      </c>
      <c r="F1507" s="6" t="s">
        <v>170</v>
      </c>
      <c r="G1507" s="7">
        <v>0.45</v>
      </c>
      <c r="H1507" s="6" t="s">
        <v>3940</v>
      </c>
      <c r="I1507" s="6" t="s">
        <v>20</v>
      </c>
      <c r="J1507" s="6">
        <v>2007.0</v>
      </c>
      <c r="K1507" s="10">
        <v>46179.0</v>
      </c>
      <c r="L1507" s="6">
        <v>1.0</v>
      </c>
      <c r="M1507" s="8">
        <f t="shared" si="3"/>
        <v>0.45</v>
      </c>
      <c r="P1507" s="9"/>
    </row>
    <row r="1508">
      <c r="A1508" s="6" t="s">
        <v>3941</v>
      </c>
      <c r="B1508" s="6" t="s">
        <v>3942</v>
      </c>
      <c r="C1508" s="6" t="s">
        <v>1949</v>
      </c>
      <c r="D1508" s="6" t="s">
        <v>3943</v>
      </c>
      <c r="E1508" s="6" t="s">
        <v>2350</v>
      </c>
      <c r="F1508" s="6" t="s">
        <v>170</v>
      </c>
      <c r="G1508" s="7">
        <v>0.04</v>
      </c>
      <c r="H1508" s="6" t="s">
        <v>1641</v>
      </c>
      <c r="I1508" s="6" t="s">
        <v>20</v>
      </c>
      <c r="J1508" s="6">
        <v>2019.0</v>
      </c>
      <c r="K1508" s="10">
        <v>46023.0</v>
      </c>
      <c r="L1508" s="6">
        <v>1.0</v>
      </c>
      <c r="M1508" s="8">
        <f t="shared" si="3"/>
        <v>0.04</v>
      </c>
      <c r="P1508" s="9"/>
    </row>
    <row r="1509">
      <c r="A1509" s="6" t="s">
        <v>3944</v>
      </c>
      <c r="B1509" s="6" t="s">
        <v>2580</v>
      </c>
      <c r="C1509" s="6" t="s">
        <v>295</v>
      </c>
      <c r="D1509" s="6" t="s">
        <v>3945</v>
      </c>
      <c r="E1509" s="6" t="s">
        <v>2350</v>
      </c>
      <c r="F1509" s="6" t="s">
        <v>170</v>
      </c>
      <c r="G1509" s="7">
        <v>0.06</v>
      </c>
      <c r="H1509" s="6" t="s">
        <v>1694</v>
      </c>
      <c r="I1509" s="6" t="s">
        <v>20</v>
      </c>
      <c r="J1509" s="6">
        <v>2004.0</v>
      </c>
      <c r="K1509" s="10">
        <v>46055.0</v>
      </c>
      <c r="L1509" s="6">
        <v>1.0</v>
      </c>
      <c r="M1509" s="8">
        <f t="shared" si="3"/>
        <v>0.06</v>
      </c>
      <c r="P1509" s="9"/>
    </row>
    <row r="1510">
      <c r="A1510" s="6" t="s">
        <v>3946</v>
      </c>
      <c r="B1510" s="6" t="s">
        <v>3947</v>
      </c>
      <c r="C1510" s="6" t="s">
        <v>295</v>
      </c>
      <c r="D1510" s="6" t="s">
        <v>3948</v>
      </c>
      <c r="E1510" s="6" t="s">
        <v>2350</v>
      </c>
      <c r="F1510" s="6" t="s">
        <v>170</v>
      </c>
      <c r="G1510" s="7">
        <v>0.05</v>
      </c>
      <c r="H1510" s="6" t="s">
        <v>3421</v>
      </c>
      <c r="I1510" s="6" t="s">
        <v>20</v>
      </c>
      <c r="J1510" s="6">
        <v>2004.0</v>
      </c>
      <c r="K1510" s="10">
        <v>46055.0</v>
      </c>
      <c r="L1510" s="6">
        <v>1.0</v>
      </c>
      <c r="M1510" s="8">
        <f t="shared" si="3"/>
        <v>0.05</v>
      </c>
      <c r="P1510" s="9"/>
    </row>
    <row r="1511">
      <c r="A1511" s="6" t="s">
        <v>3949</v>
      </c>
      <c r="B1511" s="6" t="s">
        <v>3950</v>
      </c>
      <c r="C1511" s="6" t="s">
        <v>295</v>
      </c>
      <c r="D1511" s="6" t="s">
        <v>3951</v>
      </c>
      <c r="E1511" s="6" t="s">
        <v>930</v>
      </c>
      <c r="F1511" s="6" t="s">
        <v>170</v>
      </c>
      <c r="G1511" s="7">
        <v>0.05</v>
      </c>
      <c r="H1511" s="6" t="s">
        <v>1634</v>
      </c>
      <c r="I1511" s="6" t="s">
        <v>20</v>
      </c>
      <c r="J1511" s="6">
        <v>2005.0</v>
      </c>
      <c r="K1511" s="10">
        <v>46056.0</v>
      </c>
      <c r="L1511" s="6">
        <v>1.0</v>
      </c>
      <c r="M1511" s="8">
        <f t="shared" si="3"/>
        <v>0.05</v>
      </c>
      <c r="P1511" s="9"/>
    </row>
    <row r="1512">
      <c r="A1512" s="6" t="s">
        <v>3952</v>
      </c>
      <c r="B1512" s="6" t="s">
        <v>3336</v>
      </c>
      <c r="C1512" s="6" t="s">
        <v>1949</v>
      </c>
      <c r="D1512" s="6" t="s">
        <v>3953</v>
      </c>
      <c r="E1512" s="6" t="s">
        <v>2350</v>
      </c>
      <c r="F1512" s="6" t="s">
        <v>170</v>
      </c>
      <c r="G1512" s="7">
        <v>0.06</v>
      </c>
      <c r="H1512" s="6" t="s">
        <v>2202</v>
      </c>
      <c r="I1512" s="6" t="s">
        <v>20</v>
      </c>
      <c r="J1512" s="6">
        <v>2023.0</v>
      </c>
      <c r="K1512" s="10">
        <v>46116.0</v>
      </c>
      <c r="L1512" s="6">
        <v>1.0</v>
      </c>
      <c r="M1512" s="8">
        <f t="shared" si="3"/>
        <v>0.06</v>
      </c>
      <c r="P1512" s="9"/>
    </row>
    <row r="1513">
      <c r="A1513" s="6" t="s">
        <v>3954</v>
      </c>
      <c r="B1513" s="6" t="s">
        <v>3955</v>
      </c>
      <c r="C1513" s="6" t="s">
        <v>1949</v>
      </c>
      <c r="D1513" s="6" t="s">
        <v>3956</v>
      </c>
      <c r="E1513" s="6" t="s">
        <v>2350</v>
      </c>
      <c r="F1513" s="6" t="s">
        <v>170</v>
      </c>
      <c r="G1513" s="7">
        <v>0.19</v>
      </c>
      <c r="H1513" s="6" t="s">
        <v>2574</v>
      </c>
      <c r="I1513" s="6" t="s">
        <v>20</v>
      </c>
      <c r="J1513" s="6">
        <v>2004.0</v>
      </c>
      <c r="K1513" s="10">
        <v>46024.0</v>
      </c>
      <c r="L1513" s="6">
        <v>1.0</v>
      </c>
      <c r="M1513" s="8">
        <f t="shared" si="3"/>
        <v>0.19</v>
      </c>
      <c r="P1513" s="9"/>
    </row>
    <row r="1514">
      <c r="A1514" s="6" t="s">
        <v>3957</v>
      </c>
      <c r="B1514" s="6" t="s">
        <v>3958</v>
      </c>
      <c r="C1514" s="6" t="s">
        <v>295</v>
      </c>
      <c r="D1514" s="6" t="s">
        <v>3959</v>
      </c>
      <c r="E1514" s="6" t="s">
        <v>2365</v>
      </c>
      <c r="F1514" s="6" t="s">
        <v>170</v>
      </c>
      <c r="G1514" s="7">
        <v>0.06</v>
      </c>
      <c r="H1514" s="6" t="s">
        <v>1965</v>
      </c>
      <c r="I1514" s="6" t="s">
        <v>20</v>
      </c>
      <c r="J1514" s="6">
        <v>2022.0</v>
      </c>
      <c r="K1514" s="10">
        <v>46057.0</v>
      </c>
      <c r="L1514" s="6">
        <v>1.0</v>
      </c>
      <c r="M1514" s="8">
        <f t="shared" si="3"/>
        <v>0.06</v>
      </c>
      <c r="P1514" s="9"/>
    </row>
    <row r="1515">
      <c r="A1515" s="6" t="s">
        <v>3954</v>
      </c>
      <c r="B1515" s="6" t="s">
        <v>3955</v>
      </c>
      <c r="C1515" s="6" t="s">
        <v>1949</v>
      </c>
      <c r="D1515" s="6" t="s">
        <v>3956</v>
      </c>
      <c r="E1515" s="6" t="s">
        <v>2350</v>
      </c>
      <c r="F1515" s="6" t="s">
        <v>170</v>
      </c>
      <c r="G1515" s="7">
        <v>0.14</v>
      </c>
      <c r="H1515" s="6" t="s">
        <v>2574</v>
      </c>
      <c r="I1515" s="6" t="s">
        <v>20</v>
      </c>
      <c r="J1515" s="6">
        <v>2004.0</v>
      </c>
      <c r="K1515" s="10">
        <v>46024.0</v>
      </c>
      <c r="L1515" s="6">
        <v>1.0</v>
      </c>
      <c r="M1515" s="8">
        <f t="shared" si="3"/>
        <v>0.14</v>
      </c>
      <c r="N1515" s="6" t="s">
        <v>3960</v>
      </c>
      <c r="P1515" s="9"/>
    </row>
    <row r="1516">
      <c r="A1516" s="6" t="s">
        <v>3961</v>
      </c>
      <c r="B1516" s="6" t="s">
        <v>3962</v>
      </c>
      <c r="C1516" s="6" t="s">
        <v>1949</v>
      </c>
      <c r="D1516" s="6" t="s">
        <v>3963</v>
      </c>
      <c r="E1516" s="6" t="s">
        <v>2350</v>
      </c>
      <c r="F1516" s="6" t="s">
        <v>170</v>
      </c>
      <c r="G1516" s="7">
        <v>0.09</v>
      </c>
      <c r="H1516" s="6" t="s">
        <v>2003</v>
      </c>
      <c r="I1516" s="6" t="s">
        <v>20</v>
      </c>
      <c r="J1516" s="6">
        <v>2020.0</v>
      </c>
      <c r="K1516" s="10">
        <v>46083.0</v>
      </c>
      <c r="L1516" s="6">
        <v>1.0</v>
      </c>
      <c r="M1516" s="8">
        <f t="shared" si="3"/>
        <v>0.09</v>
      </c>
      <c r="P1516" s="9"/>
    </row>
    <row r="1517">
      <c r="A1517" s="6" t="s">
        <v>3964</v>
      </c>
      <c r="B1517" s="6" t="s">
        <v>3965</v>
      </c>
      <c r="C1517" s="6" t="s">
        <v>295</v>
      </c>
      <c r="D1517" s="6" t="s">
        <v>3966</v>
      </c>
      <c r="E1517" s="6" t="s">
        <v>2342</v>
      </c>
      <c r="F1517" s="6" t="s">
        <v>170</v>
      </c>
      <c r="G1517" s="7">
        <v>0.49</v>
      </c>
      <c r="H1517" s="6" t="s">
        <v>1704</v>
      </c>
      <c r="I1517" s="6" t="s">
        <v>20</v>
      </c>
      <c r="J1517" s="6">
        <v>2016.0</v>
      </c>
      <c r="K1517" s="10">
        <v>46082.0</v>
      </c>
      <c r="L1517" s="6">
        <v>1.0</v>
      </c>
      <c r="M1517" s="8">
        <f t="shared" si="3"/>
        <v>0.49</v>
      </c>
      <c r="P1517" s="9"/>
    </row>
    <row r="1518">
      <c r="A1518" s="6" t="s">
        <v>3967</v>
      </c>
      <c r="B1518" s="6" t="s">
        <v>3552</v>
      </c>
      <c r="C1518" s="6" t="s">
        <v>295</v>
      </c>
      <c r="D1518" s="6" t="s">
        <v>3968</v>
      </c>
      <c r="E1518" s="6" t="s">
        <v>2365</v>
      </c>
      <c r="F1518" s="6" t="s">
        <v>170</v>
      </c>
      <c r="G1518" s="7">
        <v>0.03</v>
      </c>
      <c r="H1518" s="6" t="s">
        <v>2511</v>
      </c>
      <c r="I1518" s="6" t="s">
        <v>20</v>
      </c>
      <c r="J1518" s="6">
        <v>2018.0</v>
      </c>
      <c r="K1518" s="10">
        <v>46084.0</v>
      </c>
      <c r="L1518" s="6">
        <v>1.0</v>
      </c>
      <c r="M1518" s="8">
        <f t="shared" si="3"/>
        <v>0.03</v>
      </c>
      <c r="P1518" s="9"/>
    </row>
    <row r="1519">
      <c r="A1519" s="6" t="s">
        <v>3969</v>
      </c>
      <c r="B1519" s="6" t="s">
        <v>3487</v>
      </c>
      <c r="C1519" s="6" t="s">
        <v>1897</v>
      </c>
      <c r="D1519" s="6" t="s">
        <v>3970</v>
      </c>
      <c r="E1519" s="6" t="s">
        <v>2365</v>
      </c>
      <c r="F1519" s="6" t="s">
        <v>170</v>
      </c>
      <c r="G1519" s="7">
        <v>0.21</v>
      </c>
      <c r="H1519" s="6" t="s">
        <v>2172</v>
      </c>
      <c r="I1519" s="6" t="s">
        <v>20</v>
      </c>
      <c r="J1519" s="6">
        <v>2021.0</v>
      </c>
      <c r="K1519" s="10">
        <v>46085.0</v>
      </c>
      <c r="L1519" s="6">
        <v>1.0</v>
      </c>
      <c r="M1519" s="8">
        <f t="shared" si="3"/>
        <v>0.21</v>
      </c>
      <c r="P1519" s="9"/>
    </row>
    <row r="1520">
      <c r="A1520" s="6" t="s">
        <v>3971</v>
      </c>
      <c r="B1520" s="6" t="s">
        <v>3465</v>
      </c>
      <c r="C1520" s="6" t="s">
        <v>295</v>
      </c>
      <c r="D1520" s="6" t="s">
        <v>3972</v>
      </c>
      <c r="E1520" s="6" t="s">
        <v>2342</v>
      </c>
      <c r="F1520" s="6" t="s">
        <v>170</v>
      </c>
      <c r="G1520" s="7">
        <v>0.03</v>
      </c>
      <c r="H1520" s="6" t="s">
        <v>2557</v>
      </c>
      <c r="I1520" s="6" t="s">
        <v>20</v>
      </c>
      <c r="J1520" s="6">
        <v>2017.0</v>
      </c>
      <c r="K1520" s="10">
        <v>46055.0</v>
      </c>
      <c r="L1520" s="6">
        <v>1.0</v>
      </c>
      <c r="M1520" s="8">
        <f t="shared" si="3"/>
        <v>0.03</v>
      </c>
      <c r="P1520" s="9"/>
    </row>
    <row r="1521">
      <c r="A1521" s="6" t="s">
        <v>3973</v>
      </c>
      <c r="B1521" s="6" t="s">
        <v>3974</v>
      </c>
      <c r="C1521" s="6" t="s">
        <v>1949</v>
      </c>
      <c r="D1521" s="6" t="s">
        <v>3975</v>
      </c>
      <c r="E1521" s="6" t="s">
        <v>2779</v>
      </c>
      <c r="F1521" s="6" t="s">
        <v>170</v>
      </c>
      <c r="G1521" s="7">
        <v>0.04</v>
      </c>
      <c r="H1521" s="6" t="s">
        <v>1956</v>
      </c>
      <c r="I1521" s="6" t="s">
        <v>20</v>
      </c>
      <c r="J1521" s="6">
        <v>2021.0</v>
      </c>
      <c r="K1521" s="10">
        <v>46116.0</v>
      </c>
      <c r="L1521" s="6">
        <v>1.0</v>
      </c>
      <c r="M1521" s="8">
        <f t="shared" si="3"/>
        <v>0.04</v>
      </c>
      <c r="P1521" s="9"/>
    </row>
    <row r="1522">
      <c r="A1522" s="6" t="s">
        <v>3976</v>
      </c>
      <c r="B1522" s="6" t="s">
        <v>3977</v>
      </c>
      <c r="C1522" s="6" t="s">
        <v>1897</v>
      </c>
      <c r="D1522" s="6" t="s">
        <v>3978</v>
      </c>
      <c r="E1522" s="6" t="s">
        <v>3913</v>
      </c>
      <c r="F1522" s="6" t="s">
        <v>170</v>
      </c>
      <c r="G1522" s="7">
        <v>0.19</v>
      </c>
      <c r="H1522" s="6" t="s">
        <v>3092</v>
      </c>
      <c r="I1522" s="6" t="s">
        <v>20</v>
      </c>
      <c r="J1522" s="6">
        <v>2015.0</v>
      </c>
      <c r="K1522" s="10">
        <v>46055.0</v>
      </c>
      <c r="L1522" s="6">
        <v>1.0</v>
      </c>
      <c r="M1522" s="8">
        <f t="shared" si="3"/>
        <v>0.19</v>
      </c>
      <c r="P1522" s="9"/>
    </row>
    <row r="1523">
      <c r="A1523" s="6" t="s">
        <v>3979</v>
      </c>
      <c r="B1523" s="6" t="s">
        <v>3427</v>
      </c>
      <c r="C1523" s="6" t="s">
        <v>295</v>
      </c>
      <c r="D1523" s="6" t="s">
        <v>3980</v>
      </c>
      <c r="E1523" s="6" t="s">
        <v>2350</v>
      </c>
      <c r="F1523" s="6" t="s">
        <v>170</v>
      </c>
      <c r="G1523" s="7">
        <v>1.75</v>
      </c>
      <c r="H1523" s="6" t="s">
        <v>1697</v>
      </c>
      <c r="I1523" s="6" t="s">
        <v>31</v>
      </c>
      <c r="J1523" s="6">
        <v>2003.0</v>
      </c>
      <c r="K1523" s="10">
        <v>46055.0</v>
      </c>
      <c r="L1523" s="6">
        <v>1.0</v>
      </c>
      <c r="M1523" s="8">
        <f t="shared" si="3"/>
        <v>1.75</v>
      </c>
      <c r="P1523" s="9"/>
    </row>
    <row r="1524">
      <c r="A1524" s="6" t="s">
        <v>3981</v>
      </c>
      <c r="B1524" s="6" t="s">
        <v>3982</v>
      </c>
      <c r="C1524" s="6" t="s">
        <v>1897</v>
      </c>
      <c r="D1524" s="6" t="s">
        <v>3983</v>
      </c>
      <c r="E1524" s="6" t="s">
        <v>2350</v>
      </c>
      <c r="F1524" s="6" t="s">
        <v>170</v>
      </c>
      <c r="G1524" s="7">
        <v>0.32</v>
      </c>
      <c r="H1524" s="6" t="s">
        <v>2175</v>
      </c>
      <c r="I1524" s="6" t="s">
        <v>20</v>
      </c>
      <c r="J1524" s="6">
        <v>2018.0</v>
      </c>
      <c r="K1524" s="10">
        <v>46082.0</v>
      </c>
      <c r="L1524" s="6">
        <v>1.0</v>
      </c>
      <c r="M1524" s="8">
        <f t="shared" si="3"/>
        <v>0.32</v>
      </c>
      <c r="P1524" s="9"/>
    </row>
    <row r="1525">
      <c r="A1525" s="6" t="s">
        <v>3984</v>
      </c>
      <c r="B1525" s="6" t="s">
        <v>3985</v>
      </c>
      <c r="C1525" s="6" t="s">
        <v>1897</v>
      </c>
      <c r="D1525" s="6" t="s">
        <v>3986</v>
      </c>
      <c r="E1525" s="6" t="s">
        <v>2350</v>
      </c>
      <c r="F1525" s="6" t="s">
        <v>170</v>
      </c>
      <c r="G1525" s="7">
        <v>0.59</v>
      </c>
      <c r="H1525" s="6" t="s">
        <v>2238</v>
      </c>
      <c r="I1525" s="6" t="s">
        <v>20</v>
      </c>
      <c r="J1525" s="6">
        <v>2024.0</v>
      </c>
      <c r="K1525" s="10">
        <v>46084.0</v>
      </c>
      <c r="L1525" s="6">
        <v>1.0</v>
      </c>
      <c r="M1525" s="8">
        <f t="shared" si="3"/>
        <v>0.59</v>
      </c>
      <c r="P1525" s="9"/>
    </row>
    <row r="1526">
      <c r="A1526" s="6" t="s">
        <v>3987</v>
      </c>
      <c r="B1526" s="6" t="s">
        <v>3985</v>
      </c>
      <c r="C1526" s="6" t="s">
        <v>1897</v>
      </c>
      <c r="D1526" s="6" t="s">
        <v>3988</v>
      </c>
      <c r="E1526" s="6" t="s">
        <v>3913</v>
      </c>
      <c r="F1526" s="6" t="s">
        <v>170</v>
      </c>
      <c r="G1526" s="7">
        <v>0.94</v>
      </c>
      <c r="H1526" s="6" t="s">
        <v>1664</v>
      </c>
      <c r="I1526" s="6" t="s">
        <v>20</v>
      </c>
      <c r="J1526" s="6">
        <v>2018.0</v>
      </c>
      <c r="K1526" s="10">
        <v>46024.0</v>
      </c>
      <c r="L1526" s="6">
        <v>1.0</v>
      </c>
      <c r="M1526" s="8">
        <f t="shared" si="3"/>
        <v>0.94</v>
      </c>
      <c r="P1526" s="9"/>
    </row>
    <row r="1527">
      <c r="A1527" s="6" t="s">
        <v>3989</v>
      </c>
      <c r="B1527" s="6" t="s">
        <v>2476</v>
      </c>
      <c r="C1527" s="6" t="s">
        <v>295</v>
      </c>
      <c r="D1527" s="6" t="s">
        <v>3990</v>
      </c>
      <c r="E1527" s="6" t="s">
        <v>3424</v>
      </c>
      <c r="F1527" s="6" t="s">
        <v>170</v>
      </c>
      <c r="G1527" s="7">
        <v>0.03</v>
      </c>
      <c r="H1527" s="6" t="s">
        <v>1987</v>
      </c>
      <c r="I1527" s="6" t="s">
        <v>20</v>
      </c>
      <c r="J1527" s="6">
        <v>2019.0</v>
      </c>
      <c r="K1527" s="10">
        <v>46085.0</v>
      </c>
      <c r="L1527" s="6">
        <v>1.0</v>
      </c>
      <c r="M1527" s="8">
        <f t="shared" si="3"/>
        <v>0.03</v>
      </c>
      <c r="P1527" s="9"/>
    </row>
    <row r="1528">
      <c r="A1528" s="6" t="s">
        <v>3991</v>
      </c>
      <c r="B1528" s="6" t="s">
        <v>3837</v>
      </c>
      <c r="C1528" s="6" t="s">
        <v>295</v>
      </c>
      <c r="D1528" s="6" t="s">
        <v>3992</v>
      </c>
      <c r="E1528" s="6" t="s">
        <v>2365</v>
      </c>
      <c r="F1528" s="6" t="s">
        <v>170</v>
      </c>
      <c r="G1528" s="7">
        <v>0.03</v>
      </c>
      <c r="H1528" s="6" t="s">
        <v>1664</v>
      </c>
      <c r="I1528" s="6" t="s">
        <v>20</v>
      </c>
      <c r="J1528" s="6">
        <v>2018.0</v>
      </c>
      <c r="K1528" s="10">
        <v>46116.0</v>
      </c>
      <c r="L1528" s="6">
        <v>1.0</v>
      </c>
      <c r="M1528" s="8">
        <f t="shared" si="3"/>
        <v>0.03</v>
      </c>
      <c r="P1528" s="9"/>
    </row>
    <row r="1529">
      <c r="A1529" s="6" t="s">
        <v>3993</v>
      </c>
      <c r="B1529" s="6" t="s">
        <v>2476</v>
      </c>
      <c r="C1529" s="6" t="s">
        <v>1949</v>
      </c>
      <c r="D1529" s="6" t="s">
        <v>3994</v>
      </c>
      <c r="E1529" s="6" t="s">
        <v>2342</v>
      </c>
      <c r="F1529" s="6" t="s">
        <v>170</v>
      </c>
      <c r="G1529" s="7">
        <v>0.08</v>
      </c>
      <c r="H1529" s="6" t="s">
        <v>2202</v>
      </c>
      <c r="I1529" s="6" t="s">
        <v>20</v>
      </c>
      <c r="J1529" s="6">
        <v>2014.0</v>
      </c>
      <c r="K1529" s="10">
        <v>46024.0</v>
      </c>
      <c r="L1529" s="6">
        <v>1.0</v>
      </c>
      <c r="M1529" s="8">
        <f t="shared" si="3"/>
        <v>0.08</v>
      </c>
      <c r="P1529" s="9"/>
    </row>
    <row r="1530">
      <c r="A1530" s="6" t="s">
        <v>3995</v>
      </c>
      <c r="B1530" s="6" t="s">
        <v>3996</v>
      </c>
      <c r="C1530" s="6" t="s">
        <v>295</v>
      </c>
      <c r="D1530" s="6" t="s">
        <v>3997</v>
      </c>
      <c r="E1530" s="6" t="s">
        <v>2365</v>
      </c>
      <c r="F1530" s="6" t="s">
        <v>170</v>
      </c>
      <c r="G1530" s="7">
        <v>0.06</v>
      </c>
      <c r="H1530" s="6" t="s">
        <v>1676</v>
      </c>
      <c r="I1530" s="6" t="s">
        <v>20</v>
      </c>
      <c r="J1530" s="6">
        <v>2008.0</v>
      </c>
      <c r="K1530" s="6" t="s">
        <v>750</v>
      </c>
      <c r="L1530" s="6">
        <v>1.0</v>
      </c>
      <c r="M1530" s="8">
        <f t="shared" si="3"/>
        <v>0.06</v>
      </c>
      <c r="P1530" s="9"/>
    </row>
    <row r="1531">
      <c r="A1531" s="6" t="s">
        <v>3998</v>
      </c>
      <c r="B1531" s="6" t="s">
        <v>3999</v>
      </c>
      <c r="C1531" s="6" t="s">
        <v>295</v>
      </c>
      <c r="E1531" s="6" t="s">
        <v>2350</v>
      </c>
      <c r="F1531" s="6" t="s">
        <v>170</v>
      </c>
      <c r="G1531" s="7">
        <v>0.06</v>
      </c>
      <c r="H1531" s="6" t="s">
        <v>2641</v>
      </c>
      <c r="I1531" s="6" t="s">
        <v>20</v>
      </c>
      <c r="J1531" s="6">
        <v>2013.0</v>
      </c>
      <c r="K1531" s="10">
        <v>46026.0</v>
      </c>
      <c r="L1531" s="6">
        <v>1.0</v>
      </c>
      <c r="M1531" s="8">
        <f t="shared" si="3"/>
        <v>0.06</v>
      </c>
      <c r="P1531" s="9"/>
    </row>
    <row r="1532">
      <c r="A1532" s="6" t="s">
        <v>4000</v>
      </c>
      <c r="B1532" s="6" t="s">
        <v>2411</v>
      </c>
      <c r="C1532" s="6" t="s">
        <v>295</v>
      </c>
      <c r="D1532" s="6" t="s">
        <v>4001</v>
      </c>
      <c r="E1532" s="6" t="s">
        <v>2350</v>
      </c>
      <c r="F1532" s="6" t="s">
        <v>170</v>
      </c>
      <c r="G1532" s="7">
        <v>0.06</v>
      </c>
      <c r="H1532" s="6" t="s">
        <v>3679</v>
      </c>
      <c r="I1532" s="6" t="s">
        <v>20</v>
      </c>
      <c r="J1532" s="6">
        <v>2022.0</v>
      </c>
      <c r="K1532" s="10">
        <v>46056.0</v>
      </c>
      <c r="L1532" s="6">
        <v>1.0</v>
      </c>
      <c r="M1532" s="8">
        <f t="shared" si="3"/>
        <v>0.06</v>
      </c>
      <c r="P1532" s="9"/>
    </row>
    <row r="1533">
      <c r="A1533" s="6" t="s">
        <v>4002</v>
      </c>
      <c r="B1533" s="6" t="s">
        <v>4003</v>
      </c>
      <c r="C1533" s="6" t="s">
        <v>1949</v>
      </c>
      <c r="D1533" s="6" t="s">
        <v>4004</v>
      </c>
      <c r="E1533" s="6" t="s">
        <v>2350</v>
      </c>
      <c r="F1533" s="6" t="s">
        <v>170</v>
      </c>
      <c r="G1533" s="7">
        <v>0.09</v>
      </c>
      <c r="H1533" s="6" t="s">
        <v>3425</v>
      </c>
      <c r="I1533" s="6" t="s">
        <v>20</v>
      </c>
      <c r="J1533" s="6">
        <v>2018.0</v>
      </c>
      <c r="K1533" s="10">
        <v>46055.0</v>
      </c>
      <c r="L1533" s="6">
        <v>1.0</v>
      </c>
      <c r="M1533" s="8">
        <f t="shared" si="3"/>
        <v>0.09</v>
      </c>
      <c r="P1533" s="9"/>
    </row>
    <row r="1534">
      <c r="A1534" s="6" t="s">
        <v>4005</v>
      </c>
      <c r="B1534" s="6" t="s">
        <v>2508</v>
      </c>
      <c r="C1534" s="6" t="s">
        <v>295</v>
      </c>
      <c r="E1534" s="6" t="s">
        <v>2350</v>
      </c>
      <c r="F1534" s="6" t="s">
        <v>170</v>
      </c>
      <c r="G1534" s="7">
        <v>0.03</v>
      </c>
      <c r="H1534" s="6" t="s">
        <v>2557</v>
      </c>
      <c r="I1534" s="6" t="s">
        <v>20</v>
      </c>
      <c r="J1534" s="6">
        <v>2017.0</v>
      </c>
      <c r="K1534" s="10">
        <v>46057.0</v>
      </c>
      <c r="L1534" s="6">
        <v>1.0</v>
      </c>
      <c r="M1534" s="8">
        <f t="shared" si="3"/>
        <v>0.03</v>
      </c>
      <c r="P1534" s="9"/>
    </row>
    <row r="1535">
      <c r="A1535" s="6" t="s">
        <v>4006</v>
      </c>
      <c r="B1535" s="6" t="s">
        <v>2621</v>
      </c>
      <c r="C1535" s="6" t="s">
        <v>1897</v>
      </c>
      <c r="D1535" s="6" t="s">
        <v>4007</v>
      </c>
      <c r="E1535" s="6" t="s">
        <v>3424</v>
      </c>
      <c r="F1535" s="6" t="s">
        <v>170</v>
      </c>
      <c r="G1535" s="7">
        <v>0.99</v>
      </c>
      <c r="H1535" s="6" t="s">
        <v>1711</v>
      </c>
      <c r="I1535" s="6" t="s">
        <v>20</v>
      </c>
      <c r="J1535" s="6">
        <v>2022.0</v>
      </c>
      <c r="K1535" s="10">
        <v>46084.0</v>
      </c>
      <c r="L1535" s="6">
        <v>1.0</v>
      </c>
      <c r="M1535" s="8">
        <f t="shared" si="3"/>
        <v>0.99</v>
      </c>
      <c r="P1535" s="9"/>
    </row>
    <row r="1536">
      <c r="A1536" s="6" t="s">
        <v>4008</v>
      </c>
      <c r="B1536" s="6" t="s">
        <v>4009</v>
      </c>
      <c r="C1536" s="6" t="s">
        <v>295</v>
      </c>
      <c r="D1536" s="6" t="s">
        <v>4010</v>
      </c>
      <c r="E1536" s="6" t="s">
        <v>3424</v>
      </c>
      <c r="F1536" s="6" t="s">
        <v>170</v>
      </c>
      <c r="G1536" s="7">
        <v>0.09</v>
      </c>
      <c r="H1536" s="6" t="s">
        <v>1634</v>
      </c>
      <c r="I1536" s="6" t="s">
        <v>20</v>
      </c>
      <c r="J1536" s="6">
        <v>2005.0</v>
      </c>
      <c r="K1536" s="10">
        <v>46084.0</v>
      </c>
      <c r="L1536" s="6">
        <v>1.0</v>
      </c>
      <c r="M1536" s="8">
        <f t="shared" si="3"/>
        <v>0.09</v>
      </c>
      <c r="P1536" s="9"/>
    </row>
    <row r="1537">
      <c r="A1537" s="6" t="s">
        <v>4011</v>
      </c>
      <c r="B1537" s="6" t="s">
        <v>3808</v>
      </c>
      <c r="C1537" s="6" t="s">
        <v>295</v>
      </c>
      <c r="D1537" s="6" t="s">
        <v>4012</v>
      </c>
      <c r="E1537" s="6" t="s">
        <v>2365</v>
      </c>
      <c r="F1537" s="6" t="s">
        <v>170</v>
      </c>
      <c r="G1537" s="7">
        <v>0.09</v>
      </c>
      <c r="H1537" s="6" t="s">
        <v>2003</v>
      </c>
      <c r="I1537" s="6" t="s">
        <v>20</v>
      </c>
      <c r="J1537" s="6">
        <v>2020.0</v>
      </c>
      <c r="K1537" s="10">
        <v>46115.0</v>
      </c>
      <c r="L1537" s="6">
        <v>1.0</v>
      </c>
      <c r="M1537" s="8">
        <f t="shared" si="3"/>
        <v>0.09</v>
      </c>
      <c r="P1537" s="9"/>
    </row>
    <row r="1538">
      <c r="A1538" s="6" t="s">
        <v>4013</v>
      </c>
      <c r="B1538" s="6" t="s">
        <v>4014</v>
      </c>
      <c r="C1538" s="6" t="s">
        <v>295</v>
      </c>
      <c r="D1538" s="6" t="s">
        <v>4015</v>
      </c>
      <c r="E1538" s="6" t="s">
        <v>2757</v>
      </c>
      <c r="F1538" s="6" t="s">
        <v>170</v>
      </c>
      <c r="G1538" s="7">
        <v>0.03</v>
      </c>
      <c r="H1538" s="6" t="s">
        <v>1987</v>
      </c>
      <c r="I1538" s="6" t="s">
        <v>20</v>
      </c>
      <c r="J1538" s="6">
        <v>2019.0</v>
      </c>
      <c r="K1538" s="10">
        <v>46148.0</v>
      </c>
      <c r="L1538" s="6">
        <v>1.0</v>
      </c>
      <c r="M1538" s="8">
        <f t="shared" si="3"/>
        <v>0.03</v>
      </c>
      <c r="P1538" s="9"/>
    </row>
    <row r="1539">
      <c r="A1539" s="6" t="s">
        <v>4016</v>
      </c>
      <c r="B1539" s="6" t="s">
        <v>2508</v>
      </c>
      <c r="C1539" s="6" t="s">
        <v>295</v>
      </c>
      <c r="D1539" s="6" t="s">
        <v>4017</v>
      </c>
      <c r="E1539" s="6" t="s">
        <v>2757</v>
      </c>
      <c r="F1539" s="6" t="s">
        <v>170</v>
      </c>
      <c r="G1539" s="7">
        <v>0.03</v>
      </c>
      <c r="H1539" s="6" t="s">
        <v>2557</v>
      </c>
      <c r="I1539" s="6" t="s">
        <v>20</v>
      </c>
      <c r="J1539" s="6">
        <v>2017.0</v>
      </c>
      <c r="K1539" s="10">
        <v>46117.0</v>
      </c>
      <c r="L1539" s="6">
        <v>1.0</v>
      </c>
      <c r="M1539" s="8">
        <f t="shared" si="3"/>
        <v>0.03</v>
      </c>
      <c r="P1539" s="9"/>
    </row>
    <row r="1540">
      <c r="A1540" s="6" t="s">
        <v>4018</v>
      </c>
      <c r="B1540" s="6" t="s">
        <v>2508</v>
      </c>
      <c r="C1540" s="6" t="s">
        <v>295</v>
      </c>
      <c r="D1540" s="6" t="s">
        <v>4019</v>
      </c>
      <c r="E1540" s="6" t="s">
        <v>2365</v>
      </c>
      <c r="F1540" s="6" t="s">
        <v>170</v>
      </c>
      <c r="G1540" s="7">
        <v>0.03</v>
      </c>
      <c r="H1540" s="6" t="s">
        <v>2557</v>
      </c>
      <c r="I1540" s="6" t="s">
        <v>20</v>
      </c>
      <c r="J1540" s="6">
        <v>2017.0</v>
      </c>
      <c r="K1540" s="10">
        <v>46084.0</v>
      </c>
      <c r="L1540" s="6">
        <v>1.0</v>
      </c>
      <c r="M1540" s="8">
        <f t="shared" si="3"/>
        <v>0.03</v>
      </c>
      <c r="P1540" s="9"/>
    </row>
    <row r="1541">
      <c r="A1541" s="6" t="s">
        <v>4020</v>
      </c>
      <c r="B1541" s="6" t="s">
        <v>2377</v>
      </c>
      <c r="C1541" s="6" t="s">
        <v>295</v>
      </c>
      <c r="D1541" s="6" t="s">
        <v>4021</v>
      </c>
      <c r="E1541" s="6" t="s">
        <v>930</v>
      </c>
      <c r="F1541" s="6" t="s">
        <v>170</v>
      </c>
      <c r="G1541" s="7">
        <v>0.09</v>
      </c>
      <c r="H1541" s="6" t="s">
        <v>1625</v>
      </c>
      <c r="I1541" s="6" t="s">
        <v>20</v>
      </c>
      <c r="J1541" s="6">
        <v>2021.0</v>
      </c>
      <c r="K1541" s="10">
        <v>46023.0</v>
      </c>
      <c r="L1541" s="6">
        <v>2.0</v>
      </c>
      <c r="M1541" s="8">
        <f t="shared" si="3"/>
        <v>0.18</v>
      </c>
      <c r="P1541" s="9"/>
    </row>
    <row r="1542">
      <c r="A1542" s="6" t="s">
        <v>4022</v>
      </c>
      <c r="B1542" s="6" t="s">
        <v>4023</v>
      </c>
      <c r="C1542" s="6" t="s">
        <v>295</v>
      </c>
      <c r="D1542" s="6" t="s">
        <v>4024</v>
      </c>
      <c r="E1542" s="6" t="s">
        <v>2754</v>
      </c>
      <c r="F1542" s="6" t="s">
        <v>170</v>
      </c>
      <c r="G1542" s="7">
        <v>0.09</v>
      </c>
      <c r="H1542" s="6" t="s">
        <v>1625</v>
      </c>
      <c r="I1542" s="6" t="s">
        <v>20</v>
      </c>
      <c r="J1542" s="6">
        <v>2021.0</v>
      </c>
      <c r="K1542" s="10">
        <v>46117.0</v>
      </c>
      <c r="L1542" s="6">
        <v>3.0</v>
      </c>
      <c r="M1542" s="8">
        <f t="shared" si="3"/>
        <v>0.27</v>
      </c>
      <c r="P1542" s="9"/>
    </row>
    <row r="1543">
      <c r="A1543" s="6" t="s">
        <v>4025</v>
      </c>
      <c r="B1543" s="6" t="s">
        <v>3808</v>
      </c>
      <c r="C1543" s="6" t="s">
        <v>295</v>
      </c>
      <c r="D1543" s="6" t="s">
        <v>4026</v>
      </c>
      <c r="E1543" s="6" t="s">
        <v>2350</v>
      </c>
      <c r="F1543" s="6" t="s">
        <v>170</v>
      </c>
      <c r="G1543" s="7">
        <v>0.08</v>
      </c>
      <c r="H1543" s="6" t="s">
        <v>1701</v>
      </c>
      <c r="I1543" s="6" t="s">
        <v>20</v>
      </c>
      <c r="J1543" s="6">
        <v>2008.0</v>
      </c>
      <c r="K1543" s="10">
        <v>46025.0</v>
      </c>
      <c r="L1543" s="6">
        <v>2.0</v>
      </c>
      <c r="M1543" s="8">
        <f t="shared" si="3"/>
        <v>0.16</v>
      </c>
      <c r="P1543" s="9"/>
    </row>
    <row r="1544">
      <c r="A1544" s="6" t="s">
        <v>4027</v>
      </c>
      <c r="B1544" s="6" t="s">
        <v>4028</v>
      </c>
      <c r="C1544" s="6" t="s">
        <v>2138</v>
      </c>
      <c r="D1544" s="6" t="s">
        <v>4029</v>
      </c>
      <c r="E1544" s="6" t="s">
        <v>2342</v>
      </c>
      <c r="F1544" s="6" t="s">
        <v>4030</v>
      </c>
      <c r="G1544" s="7">
        <v>0.04</v>
      </c>
      <c r="H1544" s="6" t="s">
        <v>1625</v>
      </c>
      <c r="I1544" s="6" t="s">
        <v>20</v>
      </c>
      <c r="J1544" s="6">
        <v>2021.0</v>
      </c>
      <c r="K1544" s="10">
        <v>46055.0</v>
      </c>
      <c r="L1544" s="6">
        <v>3.0</v>
      </c>
      <c r="M1544" s="8">
        <f t="shared" si="3"/>
        <v>0.12</v>
      </c>
      <c r="P1544" s="9"/>
    </row>
    <row r="1545">
      <c r="A1545" s="6" t="s">
        <v>4031</v>
      </c>
      <c r="B1545" s="6" t="s">
        <v>4032</v>
      </c>
      <c r="C1545" s="6" t="s">
        <v>2138</v>
      </c>
      <c r="D1545" s="6" t="s">
        <v>4029</v>
      </c>
      <c r="E1545" s="6" t="s">
        <v>2754</v>
      </c>
      <c r="F1545" s="6" t="s">
        <v>4030</v>
      </c>
      <c r="G1545" s="7">
        <v>0.03</v>
      </c>
      <c r="H1545" s="6" t="s">
        <v>2619</v>
      </c>
      <c r="I1545" s="6" t="s">
        <v>20</v>
      </c>
      <c r="J1545" s="6">
        <v>2019.0</v>
      </c>
      <c r="K1545" s="10">
        <v>46116.0</v>
      </c>
      <c r="L1545" s="6">
        <v>1.0</v>
      </c>
      <c r="M1545" s="8">
        <f t="shared" si="3"/>
        <v>0.03</v>
      </c>
      <c r="P1545" s="9"/>
    </row>
    <row r="1546">
      <c r="A1546" s="6" t="s">
        <v>4033</v>
      </c>
      <c r="B1546" s="6" t="s">
        <v>4034</v>
      </c>
      <c r="C1546" s="6" t="s">
        <v>2841</v>
      </c>
      <c r="D1546" s="6" t="s">
        <v>4035</v>
      </c>
      <c r="E1546" s="6" t="s">
        <v>4036</v>
      </c>
      <c r="F1546" s="6" t="s">
        <v>4030</v>
      </c>
      <c r="G1546" s="7">
        <v>0.1</v>
      </c>
      <c r="H1546" s="6" t="s">
        <v>3476</v>
      </c>
      <c r="I1546" s="6" t="s">
        <v>20</v>
      </c>
      <c r="J1546" s="6">
        <v>2023.0</v>
      </c>
      <c r="K1546" s="10">
        <v>46117.0</v>
      </c>
      <c r="L1546" s="6">
        <v>1.0</v>
      </c>
      <c r="M1546" s="8">
        <f t="shared" si="3"/>
        <v>0.1</v>
      </c>
      <c r="P1546" s="9"/>
    </row>
    <row r="1547">
      <c r="A1547" s="6" t="s">
        <v>4037</v>
      </c>
      <c r="B1547" s="6" t="s">
        <v>2969</v>
      </c>
      <c r="C1547" s="6" t="s">
        <v>2138</v>
      </c>
      <c r="D1547" s="6" t="s">
        <v>4038</v>
      </c>
      <c r="E1547" s="6" t="s">
        <v>930</v>
      </c>
      <c r="F1547" s="6" t="s">
        <v>4030</v>
      </c>
      <c r="G1547" s="7">
        <v>0.05</v>
      </c>
      <c r="H1547" s="6" t="s">
        <v>2242</v>
      </c>
      <c r="I1547" s="6" t="s">
        <v>20</v>
      </c>
      <c r="J1547" s="6">
        <v>2014.0</v>
      </c>
      <c r="L1547" s="6">
        <v>1.0</v>
      </c>
      <c r="M1547" s="8">
        <f t="shared" si="3"/>
        <v>0.05</v>
      </c>
      <c r="P1547" s="9"/>
    </row>
    <row r="1548">
      <c r="A1548" s="6" t="s">
        <v>4039</v>
      </c>
      <c r="B1548" s="6" t="s">
        <v>4040</v>
      </c>
      <c r="C1548" s="6" t="s">
        <v>2841</v>
      </c>
      <c r="D1548" s="6" t="s">
        <v>4041</v>
      </c>
      <c r="E1548" s="6" t="s">
        <v>2358</v>
      </c>
      <c r="F1548" s="6" t="s">
        <v>4030</v>
      </c>
      <c r="G1548" s="7">
        <v>0.09</v>
      </c>
      <c r="H1548" s="6" t="s">
        <v>2003</v>
      </c>
      <c r="I1548" s="6" t="s">
        <v>20</v>
      </c>
      <c r="J1548" s="6">
        <v>2020.0</v>
      </c>
      <c r="K1548" s="10">
        <v>46146.0</v>
      </c>
      <c r="L1548" s="6">
        <v>1.0</v>
      </c>
      <c r="M1548" s="8">
        <f t="shared" si="3"/>
        <v>0.09</v>
      </c>
      <c r="P1548" s="9"/>
    </row>
    <row r="1549">
      <c r="A1549" s="6" t="s">
        <v>4042</v>
      </c>
      <c r="B1549" s="6" t="s">
        <v>4043</v>
      </c>
      <c r="C1549" s="6" t="s">
        <v>295</v>
      </c>
      <c r="E1549" s="6" t="s">
        <v>1954</v>
      </c>
      <c r="F1549" s="6" t="s">
        <v>18</v>
      </c>
      <c r="G1549" s="7">
        <v>0.09</v>
      </c>
      <c r="H1549" s="6" t="s">
        <v>3851</v>
      </c>
      <c r="I1549" s="6" t="s">
        <v>20</v>
      </c>
      <c r="J1549" s="6">
        <v>2007.0</v>
      </c>
      <c r="K1549" s="10">
        <v>46055.0</v>
      </c>
      <c r="L1549" s="6">
        <v>2.0</v>
      </c>
      <c r="M1549" s="8">
        <f t="shared" si="3"/>
        <v>0.18</v>
      </c>
      <c r="P1549" s="9"/>
    </row>
    <row r="1550">
      <c r="A1550" s="6" t="s">
        <v>4044</v>
      </c>
      <c r="B1550" s="6" t="s">
        <v>4043</v>
      </c>
      <c r="C1550" s="6" t="s">
        <v>295</v>
      </c>
      <c r="E1550" s="6" t="s">
        <v>1954</v>
      </c>
      <c r="F1550" s="6" t="s">
        <v>18</v>
      </c>
      <c r="G1550" s="7">
        <v>0.09</v>
      </c>
      <c r="H1550" s="6" t="s">
        <v>4045</v>
      </c>
      <c r="I1550" s="6" t="s">
        <v>20</v>
      </c>
      <c r="J1550" s="6">
        <v>2014.0</v>
      </c>
      <c r="K1550" s="10">
        <v>46055.0</v>
      </c>
      <c r="L1550" s="6">
        <v>2.0</v>
      </c>
      <c r="M1550" s="8">
        <f t="shared" si="3"/>
        <v>0.18</v>
      </c>
      <c r="P1550" s="9"/>
    </row>
    <row r="1551">
      <c r="A1551" s="6" t="s">
        <v>4046</v>
      </c>
      <c r="B1551" s="6" t="s">
        <v>2058</v>
      </c>
      <c r="C1551" s="6" t="s">
        <v>1949</v>
      </c>
      <c r="D1551" s="6" t="s">
        <v>4047</v>
      </c>
      <c r="E1551" s="6" t="s">
        <v>2510</v>
      </c>
      <c r="F1551" s="6" t="s">
        <v>18</v>
      </c>
      <c r="G1551" s="7">
        <v>0.09</v>
      </c>
      <c r="H1551" s="6" t="s">
        <v>1625</v>
      </c>
      <c r="I1551" s="6" t="s">
        <v>20</v>
      </c>
      <c r="J1551" s="6">
        <v>2021.0</v>
      </c>
      <c r="L1551" s="6">
        <v>1.0</v>
      </c>
      <c r="M1551" s="8">
        <f t="shared" si="3"/>
        <v>0.09</v>
      </c>
      <c r="P1551" s="9"/>
    </row>
    <row r="1552">
      <c r="A1552" s="6" t="s">
        <v>4048</v>
      </c>
      <c r="B1552" s="6" t="s">
        <v>2058</v>
      </c>
      <c r="C1552" s="6" t="s">
        <v>295</v>
      </c>
      <c r="D1552" s="6" t="s">
        <v>4049</v>
      </c>
      <c r="E1552" s="6" t="s">
        <v>780</v>
      </c>
      <c r="F1552" s="6" t="s">
        <v>18</v>
      </c>
      <c r="G1552" s="7">
        <v>0.1</v>
      </c>
      <c r="H1552" s="6" t="s">
        <v>2456</v>
      </c>
      <c r="I1552" s="6" t="s">
        <v>20</v>
      </c>
      <c r="J1552" s="6">
        <v>2024.0</v>
      </c>
      <c r="L1552" s="6">
        <v>1.0</v>
      </c>
      <c r="M1552" s="8">
        <f t="shared" si="3"/>
        <v>0.1</v>
      </c>
      <c r="P1552" s="9"/>
    </row>
    <row r="1553">
      <c r="A1553" s="6" t="s">
        <v>4050</v>
      </c>
      <c r="B1553" s="6" t="s">
        <v>4051</v>
      </c>
      <c r="C1553" s="6" t="s">
        <v>1897</v>
      </c>
      <c r="D1553" s="6" t="s">
        <v>4052</v>
      </c>
      <c r="E1553" s="6" t="s">
        <v>2299</v>
      </c>
      <c r="F1553" s="6" t="s">
        <v>18</v>
      </c>
      <c r="G1553" s="7">
        <v>0.17</v>
      </c>
      <c r="H1553" s="6" t="s">
        <v>2650</v>
      </c>
      <c r="I1553" s="6" t="s">
        <v>20</v>
      </c>
      <c r="J1553" s="6">
        <v>2021.0</v>
      </c>
      <c r="L1553" s="6">
        <v>1.0</v>
      </c>
      <c r="M1553" s="8">
        <f t="shared" si="3"/>
        <v>0.17</v>
      </c>
      <c r="P1553" s="9"/>
    </row>
    <row r="1554">
      <c r="A1554" s="6" t="s">
        <v>4053</v>
      </c>
      <c r="B1554" s="6" t="s">
        <v>2058</v>
      </c>
      <c r="C1554" s="6" t="s">
        <v>1949</v>
      </c>
      <c r="D1554" s="6" t="s">
        <v>4054</v>
      </c>
      <c r="E1554" s="6" t="s">
        <v>2295</v>
      </c>
      <c r="F1554" s="6" t="s">
        <v>18</v>
      </c>
      <c r="G1554" s="7">
        <v>0.09</v>
      </c>
      <c r="H1554" s="6" t="s">
        <v>2550</v>
      </c>
      <c r="I1554" s="6" t="s">
        <v>20</v>
      </c>
      <c r="J1554" s="6">
        <v>2020.0</v>
      </c>
      <c r="L1554" s="6">
        <v>1.0</v>
      </c>
      <c r="M1554" s="8">
        <f t="shared" si="3"/>
        <v>0.09</v>
      </c>
      <c r="P1554" s="9"/>
    </row>
    <row r="1555">
      <c r="A1555" s="6" t="s">
        <v>4055</v>
      </c>
      <c r="B1555" s="6" t="s">
        <v>2058</v>
      </c>
      <c r="C1555" s="6" t="s">
        <v>295</v>
      </c>
      <c r="D1555" s="6" t="s">
        <v>4056</v>
      </c>
      <c r="E1555" s="6" t="s">
        <v>1954</v>
      </c>
      <c r="F1555" s="6" t="s">
        <v>18</v>
      </c>
      <c r="G1555" s="7">
        <v>0.05</v>
      </c>
      <c r="H1555" s="6" t="s">
        <v>2003</v>
      </c>
      <c r="I1555" s="6" t="s">
        <v>20</v>
      </c>
      <c r="J1555" s="6">
        <v>2020.0</v>
      </c>
      <c r="L1555" s="6">
        <v>1.0</v>
      </c>
      <c r="M1555" s="8">
        <f t="shared" si="3"/>
        <v>0.05</v>
      </c>
      <c r="P1555" s="9"/>
    </row>
    <row r="1556">
      <c r="A1556" s="6" t="s">
        <v>4057</v>
      </c>
      <c r="B1556" s="6" t="s">
        <v>2058</v>
      </c>
      <c r="C1556" s="6" t="s">
        <v>1949</v>
      </c>
      <c r="D1556" s="6" t="s">
        <v>4058</v>
      </c>
      <c r="E1556" s="6" t="s">
        <v>2292</v>
      </c>
      <c r="F1556" s="6" t="s">
        <v>18</v>
      </c>
      <c r="G1556" s="7">
        <v>0.15</v>
      </c>
      <c r="H1556" s="6" t="s">
        <v>1681</v>
      </c>
      <c r="I1556" s="6" t="s">
        <v>20</v>
      </c>
      <c r="J1556" s="6">
        <v>2015.0</v>
      </c>
      <c r="L1556" s="6">
        <v>1.0</v>
      </c>
      <c r="M1556" s="8">
        <f t="shared" si="3"/>
        <v>0.15</v>
      </c>
      <c r="P1556" s="9"/>
    </row>
    <row r="1557">
      <c r="A1557" s="6" t="s">
        <v>4059</v>
      </c>
      <c r="B1557" s="6" t="s">
        <v>2058</v>
      </c>
      <c r="C1557" s="6" t="s">
        <v>295</v>
      </c>
      <c r="D1557" s="6" t="s">
        <v>4060</v>
      </c>
      <c r="E1557" s="6" t="s">
        <v>780</v>
      </c>
      <c r="F1557" s="6" t="s">
        <v>18</v>
      </c>
      <c r="G1557" s="7">
        <v>0.05</v>
      </c>
      <c r="H1557" s="6" t="s">
        <v>2179</v>
      </c>
      <c r="I1557" s="6" t="s">
        <v>20</v>
      </c>
      <c r="J1557" s="6">
        <v>2018.0</v>
      </c>
      <c r="L1557" s="6">
        <v>1.0</v>
      </c>
      <c r="M1557" s="8">
        <f t="shared" si="3"/>
        <v>0.05</v>
      </c>
      <c r="P1557" s="9"/>
    </row>
    <row r="1558">
      <c r="A1558" s="6" t="s">
        <v>4061</v>
      </c>
      <c r="B1558" s="6" t="s">
        <v>2058</v>
      </c>
      <c r="C1558" s="6" t="s">
        <v>1949</v>
      </c>
      <c r="D1558" s="6" t="s">
        <v>4062</v>
      </c>
      <c r="E1558" s="6" t="s">
        <v>2556</v>
      </c>
      <c r="F1558" s="6" t="s">
        <v>18</v>
      </c>
      <c r="G1558" s="7">
        <v>0.18</v>
      </c>
      <c r="H1558" s="6" t="s">
        <v>1956</v>
      </c>
      <c r="I1558" s="6" t="s">
        <v>20</v>
      </c>
      <c r="J1558" s="6">
        <v>2021.0</v>
      </c>
      <c r="L1558" s="6">
        <v>2.0</v>
      </c>
      <c r="M1558" s="8">
        <f t="shared" si="3"/>
        <v>0.36</v>
      </c>
      <c r="P1558" s="9"/>
    </row>
    <row r="1559">
      <c r="A1559" s="6" t="s">
        <v>4063</v>
      </c>
      <c r="B1559" s="6" t="s">
        <v>1952</v>
      </c>
      <c r="C1559" s="6" t="s">
        <v>295</v>
      </c>
      <c r="D1559" s="6" t="s">
        <v>4064</v>
      </c>
      <c r="E1559" s="6" t="s">
        <v>2510</v>
      </c>
      <c r="F1559" s="6" t="s">
        <v>18</v>
      </c>
      <c r="G1559" s="7">
        <v>0.05</v>
      </c>
      <c r="H1559" s="6" t="s">
        <v>2456</v>
      </c>
      <c r="I1559" s="6" t="s">
        <v>20</v>
      </c>
      <c r="J1559" s="6">
        <v>2024.0</v>
      </c>
      <c r="L1559" s="6">
        <v>1.0</v>
      </c>
      <c r="M1559" s="8">
        <f t="shared" si="3"/>
        <v>0.05</v>
      </c>
      <c r="P1559" s="9"/>
    </row>
    <row r="1560">
      <c r="A1560" s="6" t="s">
        <v>4065</v>
      </c>
      <c r="B1560" s="6" t="s">
        <v>4066</v>
      </c>
      <c r="C1560" s="6" t="s">
        <v>1949</v>
      </c>
      <c r="D1560" s="6" t="s">
        <v>4067</v>
      </c>
      <c r="E1560" s="6" t="s">
        <v>2299</v>
      </c>
      <c r="F1560" s="6" t="s">
        <v>18</v>
      </c>
      <c r="G1560" s="7">
        <v>0.15</v>
      </c>
      <c r="H1560" s="6" t="s">
        <v>1711</v>
      </c>
      <c r="I1560" s="6" t="s">
        <v>20</v>
      </c>
      <c r="J1560" s="6">
        <v>2022.0</v>
      </c>
      <c r="L1560" s="6">
        <v>1.0</v>
      </c>
      <c r="M1560" s="8">
        <f t="shared" si="3"/>
        <v>0.15</v>
      </c>
      <c r="P1560" s="9"/>
    </row>
    <row r="1561">
      <c r="A1561" s="6" t="s">
        <v>4068</v>
      </c>
      <c r="B1561" s="6" t="s">
        <v>2014</v>
      </c>
      <c r="C1561" s="6" t="s">
        <v>295</v>
      </c>
      <c r="D1561" s="6" t="s">
        <v>4069</v>
      </c>
      <c r="E1561" s="6" t="s">
        <v>2295</v>
      </c>
      <c r="F1561" s="6" t="s">
        <v>18</v>
      </c>
      <c r="G1561" s="7">
        <v>0.08</v>
      </c>
      <c r="H1561" s="6" t="s">
        <v>2156</v>
      </c>
      <c r="I1561" s="6" t="s">
        <v>20</v>
      </c>
      <c r="J1561" s="6">
        <v>2014.0</v>
      </c>
      <c r="L1561" s="6">
        <v>1.0</v>
      </c>
      <c r="M1561" s="8">
        <f t="shared" si="3"/>
        <v>0.08</v>
      </c>
      <c r="P1561" s="9"/>
    </row>
    <row r="1562">
      <c r="A1562" s="6" t="s">
        <v>4070</v>
      </c>
      <c r="B1562" s="6" t="s">
        <v>2014</v>
      </c>
      <c r="C1562" s="6" t="s">
        <v>295</v>
      </c>
      <c r="D1562" s="6" t="s">
        <v>4071</v>
      </c>
      <c r="E1562" s="6" t="s">
        <v>2503</v>
      </c>
      <c r="F1562" s="6" t="s">
        <v>18</v>
      </c>
      <c r="G1562" s="7">
        <v>0.06</v>
      </c>
      <c r="H1562" s="6" t="s">
        <v>2372</v>
      </c>
      <c r="I1562" s="6" t="s">
        <v>20</v>
      </c>
      <c r="J1562" s="6">
        <v>2010.0</v>
      </c>
      <c r="L1562" s="6">
        <v>1.0</v>
      </c>
      <c r="M1562" s="8">
        <f t="shared" si="3"/>
        <v>0.06</v>
      </c>
      <c r="P1562" s="9"/>
    </row>
    <row r="1563">
      <c r="A1563" s="6" t="s">
        <v>4072</v>
      </c>
      <c r="B1563" s="6" t="s">
        <v>2014</v>
      </c>
      <c r="C1563" s="6" t="s">
        <v>295</v>
      </c>
      <c r="D1563" s="6" t="s">
        <v>4073</v>
      </c>
      <c r="E1563" s="6" t="s">
        <v>2295</v>
      </c>
      <c r="F1563" s="6" t="s">
        <v>18</v>
      </c>
      <c r="G1563" s="7">
        <v>0.04</v>
      </c>
      <c r="H1563" s="6" t="s">
        <v>1956</v>
      </c>
      <c r="I1563" s="6" t="s">
        <v>20</v>
      </c>
      <c r="J1563" s="6">
        <v>2021.0</v>
      </c>
      <c r="L1563" s="6">
        <v>1.0</v>
      </c>
      <c r="M1563" s="8">
        <f t="shared" si="3"/>
        <v>0.04</v>
      </c>
      <c r="P1563" s="9"/>
    </row>
    <row r="1564">
      <c r="A1564" s="6" t="s">
        <v>4074</v>
      </c>
      <c r="B1564" s="6" t="s">
        <v>2014</v>
      </c>
      <c r="C1564" s="6" t="s">
        <v>295</v>
      </c>
      <c r="D1564" s="6" t="s">
        <v>4075</v>
      </c>
      <c r="E1564" s="6" t="s">
        <v>2295</v>
      </c>
      <c r="F1564" s="6" t="s">
        <v>18</v>
      </c>
      <c r="G1564" s="7">
        <v>0.03</v>
      </c>
      <c r="H1564" s="6" t="s">
        <v>1987</v>
      </c>
      <c r="I1564" s="6" t="s">
        <v>20</v>
      </c>
      <c r="J1564" s="6">
        <v>2019.0</v>
      </c>
      <c r="L1564" s="6">
        <v>1.0</v>
      </c>
      <c r="M1564" s="8">
        <f t="shared" si="3"/>
        <v>0.03</v>
      </c>
      <c r="P1564" s="9"/>
    </row>
    <row r="1565">
      <c r="A1565" s="6" t="s">
        <v>4076</v>
      </c>
      <c r="B1565" s="6" t="s">
        <v>2014</v>
      </c>
      <c r="C1565" s="6" t="s">
        <v>295</v>
      </c>
      <c r="D1565" s="6" t="s">
        <v>4077</v>
      </c>
      <c r="E1565" s="6" t="s">
        <v>2295</v>
      </c>
      <c r="F1565" s="6" t="s">
        <v>18</v>
      </c>
      <c r="G1565" s="7">
        <v>0.06</v>
      </c>
      <c r="H1565" s="6" t="s">
        <v>1711</v>
      </c>
      <c r="I1565" s="6" t="s">
        <v>20</v>
      </c>
      <c r="J1565" s="6">
        <v>2022.0</v>
      </c>
      <c r="L1565" s="6">
        <v>1.0</v>
      </c>
      <c r="M1565" s="8">
        <f t="shared" si="3"/>
        <v>0.06</v>
      </c>
      <c r="P1565" s="9"/>
    </row>
    <row r="1566">
      <c r="A1566" s="6" t="s">
        <v>4078</v>
      </c>
      <c r="B1566" s="6" t="s">
        <v>1753</v>
      </c>
      <c r="C1566" s="6" t="s">
        <v>1949</v>
      </c>
      <c r="D1566" s="6" t="s">
        <v>4079</v>
      </c>
      <c r="E1566" s="6" t="s">
        <v>2299</v>
      </c>
      <c r="F1566" s="6" t="s">
        <v>18</v>
      </c>
      <c r="G1566" s="7">
        <v>0.11</v>
      </c>
      <c r="H1566" s="6" t="s">
        <v>4080</v>
      </c>
      <c r="I1566" s="6" t="s">
        <v>20</v>
      </c>
      <c r="J1566" s="6">
        <v>2025.0</v>
      </c>
      <c r="L1566" s="6">
        <v>1.0</v>
      </c>
      <c r="M1566" s="8">
        <f t="shared" si="3"/>
        <v>0.11</v>
      </c>
      <c r="P1566" s="9"/>
    </row>
    <row r="1567">
      <c r="A1567" s="6" t="s">
        <v>4081</v>
      </c>
      <c r="B1567" s="6" t="s">
        <v>378</v>
      </c>
      <c r="C1567" s="6" t="s">
        <v>1949</v>
      </c>
      <c r="D1567" s="6" t="s">
        <v>4082</v>
      </c>
      <c r="E1567" s="6" t="s">
        <v>2299</v>
      </c>
      <c r="F1567" s="6" t="s">
        <v>18</v>
      </c>
      <c r="G1567" s="7">
        <v>0.04</v>
      </c>
      <c r="H1567" s="6" t="s">
        <v>1956</v>
      </c>
      <c r="I1567" s="6" t="s">
        <v>20</v>
      </c>
      <c r="J1567" s="6">
        <v>2021.0</v>
      </c>
      <c r="L1567" s="6">
        <v>1.0</v>
      </c>
      <c r="M1567" s="8">
        <f t="shared" si="3"/>
        <v>0.04</v>
      </c>
      <c r="P1567" s="9"/>
    </row>
    <row r="1568">
      <c r="A1568" s="6" t="s">
        <v>4083</v>
      </c>
      <c r="B1568" s="6" t="s">
        <v>378</v>
      </c>
      <c r="C1568" s="6" t="s">
        <v>295</v>
      </c>
      <c r="D1568" s="6" t="s">
        <v>4084</v>
      </c>
      <c r="E1568" s="6" t="s">
        <v>2295</v>
      </c>
      <c r="F1568" s="6" t="s">
        <v>18</v>
      </c>
      <c r="G1568" s="7">
        <v>0.05</v>
      </c>
      <c r="H1568" s="6" t="s">
        <v>2471</v>
      </c>
      <c r="I1568" s="6" t="s">
        <v>20</v>
      </c>
      <c r="J1568" s="6">
        <v>2012.0</v>
      </c>
      <c r="L1568" s="6">
        <v>1.0</v>
      </c>
      <c r="M1568" s="8">
        <f t="shared" si="3"/>
        <v>0.05</v>
      </c>
      <c r="P1568" s="9"/>
    </row>
    <row r="1569">
      <c r="A1569" s="6" t="s">
        <v>4085</v>
      </c>
      <c r="B1569" s="6" t="s">
        <v>2014</v>
      </c>
      <c r="C1569" s="6" t="s">
        <v>295</v>
      </c>
      <c r="D1569" s="6" t="s">
        <v>4086</v>
      </c>
      <c r="E1569" s="6" t="s">
        <v>2295</v>
      </c>
      <c r="F1569" s="6" t="s">
        <v>18</v>
      </c>
      <c r="G1569" s="7">
        <v>0.03</v>
      </c>
      <c r="H1569" s="6" t="s">
        <v>1701</v>
      </c>
      <c r="I1569" s="6" t="s">
        <v>20</v>
      </c>
      <c r="J1569" s="6">
        <v>2008.0</v>
      </c>
      <c r="L1569" s="6">
        <v>1.0</v>
      </c>
      <c r="M1569" s="8">
        <f t="shared" si="3"/>
        <v>0.03</v>
      </c>
      <c r="P1569" s="9"/>
    </row>
    <row r="1570">
      <c r="A1570" s="6" t="s">
        <v>4087</v>
      </c>
      <c r="B1570" s="6" t="s">
        <v>378</v>
      </c>
      <c r="C1570" s="6" t="s">
        <v>295</v>
      </c>
      <c r="D1570" s="6" t="s">
        <v>4088</v>
      </c>
      <c r="E1570" s="6" t="s">
        <v>1954</v>
      </c>
      <c r="F1570" s="6" t="s">
        <v>18</v>
      </c>
      <c r="G1570" s="7">
        <v>0.13</v>
      </c>
      <c r="H1570" s="6" t="s">
        <v>2619</v>
      </c>
      <c r="I1570" s="6" t="s">
        <v>20</v>
      </c>
      <c r="J1570" s="6">
        <v>2019.0</v>
      </c>
      <c r="L1570" s="6">
        <v>1.0</v>
      </c>
      <c r="M1570" s="8">
        <f t="shared" si="3"/>
        <v>0.13</v>
      </c>
      <c r="P1570" s="9"/>
    </row>
    <row r="1571">
      <c r="A1571" s="6" t="s">
        <v>4089</v>
      </c>
      <c r="B1571" s="6" t="s">
        <v>378</v>
      </c>
      <c r="C1571" s="6" t="s">
        <v>295</v>
      </c>
      <c r="D1571" s="6" t="s">
        <v>4090</v>
      </c>
      <c r="E1571" s="6" t="s">
        <v>1954</v>
      </c>
      <c r="F1571" s="6" t="s">
        <v>18</v>
      </c>
      <c r="G1571" s="7">
        <v>0.03</v>
      </c>
      <c r="H1571" s="6" t="s">
        <v>2557</v>
      </c>
      <c r="I1571" s="6" t="s">
        <v>20</v>
      </c>
      <c r="J1571" s="6">
        <v>2017.0</v>
      </c>
      <c r="L1571" s="6">
        <v>1.0</v>
      </c>
      <c r="M1571" s="8">
        <f t="shared" si="3"/>
        <v>0.03</v>
      </c>
      <c r="P1571" s="9"/>
    </row>
    <row r="1572">
      <c r="A1572" s="6" t="s">
        <v>4091</v>
      </c>
      <c r="B1572" s="6" t="s">
        <v>378</v>
      </c>
      <c r="C1572" s="6" t="s">
        <v>295</v>
      </c>
      <c r="D1572" s="6" t="s">
        <v>4092</v>
      </c>
      <c r="E1572" s="6" t="s">
        <v>1954</v>
      </c>
      <c r="F1572" s="6" t="s">
        <v>18</v>
      </c>
      <c r="G1572" s="7">
        <v>0.05</v>
      </c>
      <c r="H1572" s="6" t="s">
        <v>1956</v>
      </c>
      <c r="I1572" s="6" t="s">
        <v>20</v>
      </c>
      <c r="J1572" s="6">
        <v>2021.0</v>
      </c>
      <c r="L1572" s="6">
        <v>1.0</v>
      </c>
      <c r="M1572" s="8">
        <f t="shared" si="3"/>
        <v>0.05</v>
      </c>
      <c r="P1572" s="9"/>
    </row>
    <row r="1573">
      <c r="A1573" s="6" t="s">
        <v>4093</v>
      </c>
      <c r="B1573" s="6" t="s">
        <v>378</v>
      </c>
      <c r="C1573" s="6" t="s">
        <v>295</v>
      </c>
      <c r="D1573" s="6" t="s">
        <v>4094</v>
      </c>
      <c r="E1573" s="6" t="s">
        <v>1954</v>
      </c>
      <c r="F1573" s="6" t="s">
        <v>18</v>
      </c>
      <c r="G1573" s="7">
        <v>0.06</v>
      </c>
      <c r="H1573" s="6" t="s">
        <v>3482</v>
      </c>
      <c r="I1573" s="6" t="s">
        <v>20</v>
      </c>
      <c r="J1573" s="6">
        <v>2011.0</v>
      </c>
      <c r="L1573" s="6">
        <v>1.0</v>
      </c>
      <c r="M1573" s="8">
        <f t="shared" si="3"/>
        <v>0.06</v>
      </c>
      <c r="P1573" s="9"/>
    </row>
    <row r="1574">
      <c r="A1574" s="6" t="s">
        <v>4095</v>
      </c>
      <c r="B1574" s="6" t="s">
        <v>378</v>
      </c>
      <c r="C1574" s="6" t="s">
        <v>1897</v>
      </c>
      <c r="D1574" s="6" t="s">
        <v>4096</v>
      </c>
      <c r="E1574" s="6" t="s">
        <v>2299</v>
      </c>
      <c r="F1574" s="6" t="s">
        <v>18</v>
      </c>
      <c r="G1574" s="7">
        <v>0.2</v>
      </c>
      <c r="H1574" s="6" t="s">
        <v>1641</v>
      </c>
      <c r="I1574" s="6" t="s">
        <v>20</v>
      </c>
      <c r="J1574" s="6">
        <v>2019.0</v>
      </c>
      <c r="L1574" s="6">
        <v>2.0</v>
      </c>
      <c r="M1574" s="8">
        <f t="shared" si="3"/>
        <v>0.4</v>
      </c>
      <c r="P1574" s="9"/>
    </row>
    <row r="1575">
      <c r="A1575" s="6" t="s">
        <v>4097</v>
      </c>
      <c r="B1575" s="6" t="s">
        <v>294</v>
      </c>
      <c r="C1575" s="6" t="s">
        <v>295</v>
      </c>
      <c r="D1575" s="6" t="s">
        <v>4098</v>
      </c>
      <c r="F1575" s="6" t="s">
        <v>80</v>
      </c>
      <c r="G1575" s="7">
        <v>0.18</v>
      </c>
      <c r="H1575" s="6" t="s">
        <v>2471</v>
      </c>
      <c r="I1575" s="6" t="s">
        <v>20</v>
      </c>
      <c r="J1575" s="6">
        <v>2012.0</v>
      </c>
      <c r="L1575" s="6">
        <v>2.0</v>
      </c>
      <c r="M1575" s="8">
        <f t="shared" si="3"/>
        <v>0.36</v>
      </c>
      <c r="P1575" s="9"/>
    </row>
    <row r="1576">
      <c r="A1576" s="6" t="s">
        <v>4099</v>
      </c>
      <c r="B1576" s="6" t="s">
        <v>2748</v>
      </c>
      <c r="C1576" s="6" t="s">
        <v>1949</v>
      </c>
      <c r="D1576" s="6" t="s">
        <v>4100</v>
      </c>
      <c r="E1576" s="6" t="s">
        <v>2664</v>
      </c>
      <c r="F1576" s="6" t="s">
        <v>18</v>
      </c>
      <c r="G1576" s="7">
        <v>0.06</v>
      </c>
      <c r="H1576" s="6" t="s">
        <v>1995</v>
      </c>
      <c r="I1576" s="6" t="s">
        <v>20</v>
      </c>
      <c r="J1576" s="6">
        <v>2016.0</v>
      </c>
      <c r="K1576" s="10">
        <v>46117.0</v>
      </c>
      <c r="L1576" s="6">
        <v>1.0</v>
      </c>
      <c r="M1576" s="8">
        <f t="shared" si="3"/>
        <v>0.06</v>
      </c>
      <c r="P1576" s="9"/>
    </row>
    <row r="1577">
      <c r="A1577" s="6" t="s">
        <v>4101</v>
      </c>
      <c r="B1577" s="6" t="s">
        <v>4102</v>
      </c>
      <c r="C1577" s="6" t="s">
        <v>295</v>
      </c>
      <c r="E1577" s="6" t="s">
        <v>2510</v>
      </c>
      <c r="F1577" s="6" t="s">
        <v>18</v>
      </c>
      <c r="G1577" s="7">
        <v>0.01</v>
      </c>
      <c r="H1577" s="6" t="s">
        <v>2619</v>
      </c>
      <c r="I1577" s="6" t="s">
        <v>20</v>
      </c>
      <c r="J1577" s="6">
        <v>2019.0</v>
      </c>
      <c r="K1577" s="10">
        <v>46180.0</v>
      </c>
      <c r="L1577" s="6">
        <v>1.0</v>
      </c>
      <c r="M1577" s="8">
        <f t="shared" si="3"/>
        <v>0.01</v>
      </c>
      <c r="P1577" s="9"/>
    </row>
    <row r="1578">
      <c r="A1578" s="6" t="s">
        <v>4103</v>
      </c>
      <c r="B1578" s="6" t="s">
        <v>4104</v>
      </c>
      <c r="C1578" s="6" t="s">
        <v>1949</v>
      </c>
      <c r="D1578" s="6" t="s">
        <v>4105</v>
      </c>
      <c r="E1578" s="6" t="s">
        <v>2295</v>
      </c>
      <c r="F1578" s="6" t="s">
        <v>18</v>
      </c>
      <c r="G1578" s="7">
        <v>0.04</v>
      </c>
      <c r="H1578" s="6" t="s">
        <v>1956</v>
      </c>
      <c r="I1578" s="6" t="s">
        <v>20</v>
      </c>
      <c r="J1578" s="6">
        <v>2021.0</v>
      </c>
      <c r="K1578" s="10">
        <v>46146.0</v>
      </c>
      <c r="L1578" s="6">
        <v>1.0</v>
      </c>
      <c r="M1578" s="8">
        <f t="shared" si="3"/>
        <v>0.04</v>
      </c>
      <c r="P1578" s="9"/>
    </row>
    <row r="1579">
      <c r="A1579" s="6" t="s">
        <v>4106</v>
      </c>
      <c r="B1579" s="6" t="s">
        <v>4107</v>
      </c>
      <c r="C1579" s="6" t="s">
        <v>295</v>
      </c>
      <c r="D1579" s="6" t="s">
        <v>4108</v>
      </c>
      <c r="E1579" s="6" t="s">
        <v>2299</v>
      </c>
      <c r="F1579" s="6" t="s">
        <v>18</v>
      </c>
      <c r="G1579" s="7">
        <v>0.07</v>
      </c>
      <c r="H1579" s="6" t="s">
        <v>2574</v>
      </c>
      <c r="I1579" s="6" t="s">
        <v>20</v>
      </c>
      <c r="J1579" s="6">
        <v>2004.0</v>
      </c>
      <c r="K1579" s="10">
        <v>46055.0</v>
      </c>
      <c r="L1579" s="6">
        <v>1.0</v>
      </c>
      <c r="M1579" s="8">
        <f t="shared" si="3"/>
        <v>0.07</v>
      </c>
      <c r="P1579" s="9"/>
    </row>
    <row r="1580">
      <c r="A1580" s="6" t="s">
        <v>4109</v>
      </c>
      <c r="B1580" s="6" t="s">
        <v>4110</v>
      </c>
      <c r="C1580" s="6" t="s">
        <v>295</v>
      </c>
      <c r="D1580" s="6" t="s">
        <v>4111</v>
      </c>
      <c r="E1580" s="6" t="s">
        <v>1954</v>
      </c>
      <c r="F1580" s="6" t="s">
        <v>18</v>
      </c>
      <c r="G1580" s="7">
        <v>0.09</v>
      </c>
      <c r="H1580" s="6" t="s">
        <v>1634</v>
      </c>
      <c r="I1580" s="6" t="s">
        <v>20</v>
      </c>
      <c r="J1580" s="6">
        <v>2005.0</v>
      </c>
      <c r="K1580" s="10">
        <v>46055.0</v>
      </c>
      <c r="L1580" s="6">
        <v>1.0</v>
      </c>
      <c r="M1580" s="8">
        <f t="shared" si="3"/>
        <v>0.09</v>
      </c>
      <c r="P1580" s="9"/>
    </row>
    <row r="1581">
      <c r="A1581" s="6" t="s">
        <v>4112</v>
      </c>
      <c r="B1581" s="6" t="s">
        <v>2508</v>
      </c>
      <c r="C1581" s="6" t="s">
        <v>295</v>
      </c>
      <c r="D1581" s="6" t="s">
        <v>4113</v>
      </c>
      <c r="E1581" s="6" t="s">
        <v>2295</v>
      </c>
      <c r="F1581" s="6" t="s">
        <v>18</v>
      </c>
      <c r="G1581" s="7">
        <v>0.09</v>
      </c>
      <c r="H1581" s="6" t="s">
        <v>2205</v>
      </c>
      <c r="I1581" s="6" t="s">
        <v>20</v>
      </c>
      <c r="J1581" s="6">
        <v>2023.0</v>
      </c>
      <c r="K1581" s="10">
        <v>46084.0</v>
      </c>
      <c r="L1581" s="6">
        <v>1.0</v>
      </c>
      <c r="M1581" s="8">
        <f t="shared" si="3"/>
        <v>0.09</v>
      </c>
      <c r="P1581" s="9"/>
    </row>
    <row r="1582">
      <c r="A1582" s="6" t="s">
        <v>4114</v>
      </c>
      <c r="B1582" s="6" t="s">
        <v>4115</v>
      </c>
      <c r="C1582" s="6" t="s">
        <v>295</v>
      </c>
      <c r="D1582" s="6" t="s">
        <v>4116</v>
      </c>
      <c r="E1582" s="6" t="s">
        <v>2295</v>
      </c>
      <c r="F1582" s="6" t="s">
        <v>18</v>
      </c>
      <c r="G1582" s="7">
        <v>0.08</v>
      </c>
      <c r="H1582" s="6" t="s">
        <v>1990</v>
      </c>
      <c r="I1582" s="6" t="s">
        <v>20</v>
      </c>
      <c r="J1582" s="6">
        <v>2011.0</v>
      </c>
      <c r="K1582" s="10">
        <v>46083.0</v>
      </c>
      <c r="L1582" s="6">
        <v>1.0</v>
      </c>
      <c r="M1582" s="8">
        <f t="shared" si="3"/>
        <v>0.08</v>
      </c>
      <c r="P1582" s="9"/>
    </row>
    <row r="1583">
      <c r="A1583" s="6" t="s">
        <v>4117</v>
      </c>
      <c r="B1583" s="6" t="s">
        <v>4118</v>
      </c>
      <c r="C1583" s="6" t="s">
        <v>295</v>
      </c>
      <c r="D1583" s="6" t="s">
        <v>4119</v>
      </c>
      <c r="E1583" s="6" t="s">
        <v>2295</v>
      </c>
      <c r="F1583" s="6" t="s">
        <v>18</v>
      </c>
      <c r="G1583" s="7">
        <v>0.15</v>
      </c>
      <c r="H1583" s="6" t="s">
        <v>4120</v>
      </c>
      <c r="I1583" s="6" t="s">
        <v>20</v>
      </c>
      <c r="J1583" s="6">
        <v>2015.0</v>
      </c>
      <c r="K1583" s="10">
        <v>46055.0</v>
      </c>
      <c r="L1583" s="6">
        <v>1.0</v>
      </c>
      <c r="M1583" s="8">
        <f t="shared" si="3"/>
        <v>0.15</v>
      </c>
      <c r="P1583" s="9"/>
    </row>
    <row r="1584">
      <c r="A1584" s="6" t="s">
        <v>4121</v>
      </c>
      <c r="B1584" s="6" t="s">
        <v>2669</v>
      </c>
      <c r="C1584" s="6" t="s">
        <v>1897</v>
      </c>
      <c r="D1584" s="6" t="s">
        <v>4122</v>
      </c>
      <c r="E1584" s="6" t="s">
        <v>2295</v>
      </c>
      <c r="F1584" s="6" t="s">
        <v>18</v>
      </c>
      <c r="G1584" s="7">
        <v>0.35</v>
      </c>
      <c r="H1584" s="6" t="s">
        <v>1990</v>
      </c>
      <c r="I1584" s="6" t="s">
        <v>20</v>
      </c>
      <c r="J1584" s="6">
        <v>2011.0</v>
      </c>
      <c r="K1584" s="6" t="s">
        <v>345</v>
      </c>
      <c r="L1584" s="6">
        <v>1.0</v>
      </c>
      <c r="M1584" s="8">
        <f t="shared" si="3"/>
        <v>0.35</v>
      </c>
      <c r="P1584" s="9"/>
    </row>
    <row r="1585">
      <c r="A1585" s="6" t="s">
        <v>4123</v>
      </c>
      <c r="B1585" s="6" t="s">
        <v>4124</v>
      </c>
      <c r="C1585" s="6" t="s">
        <v>295</v>
      </c>
      <c r="D1585" s="6" t="s">
        <v>4125</v>
      </c>
      <c r="E1585" s="6" t="s">
        <v>1954</v>
      </c>
      <c r="F1585" s="6" t="s">
        <v>18</v>
      </c>
      <c r="G1585" s="7">
        <v>0.05</v>
      </c>
      <c r="H1585" s="6" t="s">
        <v>2202</v>
      </c>
      <c r="I1585" s="6" t="s">
        <v>20</v>
      </c>
      <c r="J1585" s="6">
        <v>2014.0</v>
      </c>
      <c r="K1585" s="10">
        <v>46024.0</v>
      </c>
      <c r="L1585" s="6">
        <v>1.0</v>
      </c>
      <c r="M1585" s="8">
        <f t="shared" si="3"/>
        <v>0.05</v>
      </c>
      <c r="P1585" s="9"/>
    </row>
    <row r="1586">
      <c r="A1586" s="6" t="s">
        <v>4126</v>
      </c>
      <c r="B1586" s="6" t="s">
        <v>4127</v>
      </c>
      <c r="C1586" s="6" t="s">
        <v>295</v>
      </c>
      <c r="D1586" s="6" t="s">
        <v>4128</v>
      </c>
      <c r="E1586" s="6" t="s">
        <v>2299</v>
      </c>
      <c r="F1586" s="6" t="s">
        <v>18</v>
      </c>
      <c r="G1586" s="7">
        <v>0.07</v>
      </c>
      <c r="H1586" s="6" t="s">
        <v>2514</v>
      </c>
      <c r="I1586" s="6" t="s">
        <v>20</v>
      </c>
      <c r="J1586" s="6">
        <v>2005.0</v>
      </c>
      <c r="L1586" s="6">
        <v>1.0</v>
      </c>
      <c r="M1586" s="8">
        <f t="shared" si="3"/>
        <v>0.07</v>
      </c>
      <c r="P1586" s="9"/>
    </row>
    <row r="1587">
      <c r="A1587" s="6" t="s">
        <v>4129</v>
      </c>
      <c r="B1587" s="6" t="s">
        <v>2058</v>
      </c>
      <c r="C1587" s="6" t="s">
        <v>295</v>
      </c>
      <c r="D1587" s="6" t="s">
        <v>4130</v>
      </c>
      <c r="E1587" s="6" t="s">
        <v>2295</v>
      </c>
      <c r="F1587" s="6" t="s">
        <v>18</v>
      </c>
      <c r="G1587" s="7">
        <v>0.05</v>
      </c>
      <c r="H1587" s="6" t="s">
        <v>2202</v>
      </c>
      <c r="I1587" s="6" t="s">
        <v>20</v>
      </c>
      <c r="J1587" s="6">
        <v>2014.0</v>
      </c>
      <c r="L1587" s="6">
        <v>1.0</v>
      </c>
      <c r="M1587" s="8">
        <f t="shared" si="3"/>
        <v>0.05</v>
      </c>
      <c r="P1587" s="9"/>
    </row>
    <row r="1588">
      <c r="A1588" s="6" t="s">
        <v>4131</v>
      </c>
      <c r="B1588" s="6" t="s">
        <v>2058</v>
      </c>
      <c r="C1588" s="6" t="s">
        <v>295</v>
      </c>
      <c r="D1588" s="6" t="s">
        <v>4132</v>
      </c>
      <c r="E1588" s="6" t="s">
        <v>2342</v>
      </c>
      <c r="F1588" s="6" t="s">
        <v>170</v>
      </c>
      <c r="G1588" s="7">
        <v>0.06</v>
      </c>
      <c r="H1588" s="6" t="s">
        <v>1711</v>
      </c>
      <c r="I1588" s="6" t="s">
        <v>20</v>
      </c>
      <c r="J1588" s="6">
        <v>2022.0</v>
      </c>
      <c r="L1588" s="6">
        <v>1.0</v>
      </c>
      <c r="M1588" s="8">
        <f t="shared" si="3"/>
        <v>0.06</v>
      </c>
      <c r="P1588" s="9"/>
    </row>
    <row r="1589">
      <c r="A1589" s="6" t="s">
        <v>4133</v>
      </c>
      <c r="B1589" s="6" t="s">
        <v>2014</v>
      </c>
      <c r="C1589" s="6" t="s">
        <v>295</v>
      </c>
      <c r="D1589" s="6" t="s">
        <v>4134</v>
      </c>
      <c r="E1589" s="6" t="s">
        <v>2342</v>
      </c>
      <c r="F1589" s="6" t="s">
        <v>170</v>
      </c>
      <c r="G1589" s="7">
        <v>0.06</v>
      </c>
      <c r="H1589" s="6" t="s">
        <v>1711</v>
      </c>
      <c r="I1589" s="6" t="s">
        <v>20</v>
      </c>
      <c r="J1589" s="6">
        <v>2022.0</v>
      </c>
      <c r="L1589" s="6">
        <v>1.0</v>
      </c>
      <c r="M1589" s="8">
        <f t="shared" si="3"/>
        <v>0.06</v>
      </c>
      <c r="P1589" s="9"/>
    </row>
    <row r="1590">
      <c r="A1590" s="6" t="s">
        <v>4135</v>
      </c>
      <c r="B1590" s="6" t="s">
        <v>4136</v>
      </c>
      <c r="C1590" s="6" t="s">
        <v>295</v>
      </c>
      <c r="D1590" s="6" t="s">
        <v>4137</v>
      </c>
      <c r="E1590" s="6" t="s">
        <v>2350</v>
      </c>
      <c r="F1590" s="6" t="s">
        <v>170</v>
      </c>
      <c r="G1590" s="7">
        <v>0.05</v>
      </c>
      <c r="H1590" s="6" t="s">
        <v>1711</v>
      </c>
      <c r="I1590" s="6" t="s">
        <v>20</v>
      </c>
      <c r="J1590" s="6">
        <v>2022.0</v>
      </c>
      <c r="K1590" s="10">
        <v>46026.0</v>
      </c>
      <c r="L1590" s="6">
        <v>1.0</v>
      </c>
      <c r="M1590" s="8">
        <f t="shared" si="3"/>
        <v>0.05</v>
      </c>
      <c r="P1590" s="9"/>
    </row>
    <row r="1591">
      <c r="A1591" s="6" t="s">
        <v>4138</v>
      </c>
      <c r="B1591" s="6" t="s">
        <v>378</v>
      </c>
      <c r="C1591" s="6" t="s">
        <v>295</v>
      </c>
      <c r="D1591" s="6" t="s">
        <v>4139</v>
      </c>
      <c r="E1591" s="6" t="s">
        <v>2342</v>
      </c>
      <c r="F1591" s="6" t="s">
        <v>170</v>
      </c>
      <c r="G1591" s="7">
        <v>0.05</v>
      </c>
      <c r="H1591" s="6" t="s">
        <v>1711</v>
      </c>
      <c r="I1591" s="6" t="s">
        <v>20</v>
      </c>
      <c r="J1591" s="6">
        <v>2022.0</v>
      </c>
      <c r="L1591" s="6">
        <v>1.0</v>
      </c>
      <c r="M1591" s="8">
        <f t="shared" si="3"/>
        <v>0.05</v>
      </c>
      <c r="P1591" s="9"/>
    </row>
    <row r="1592">
      <c r="A1592" s="6" t="s">
        <v>4140</v>
      </c>
      <c r="B1592" s="6" t="s">
        <v>2014</v>
      </c>
      <c r="C1592" s="6" t="s">
        <v>295</v>
      </c>
      <c r="D1592" s="6" t="s">
        <v>4141</v>
      </c>
      <c r="E1592" s="6" t="s">
        <v>2365</v>
      </c>
      <c r="F1592" s="6" t="s">
        <v>170</v>
      </c>
      <c r="G1592" s="7">
        <v>0.06</v>
      </c>
      <c r="H1592" s="6" t="s">
        <v>1711</v>
      </c>
      <c r="I1592" s="6" t="s">
        <v>20</v>
      </c>
      <c r="J1592" s="6">
        <v>2022.0</v>
      </c>
      <c r="L1592" s="6">
        <v>1.0</v>
      </c>
      <c r="M1592" s="8">
        <f t="shared" si="3"/>
        <v>0.06</v>
      </c>
      <c r="P1592" s="9"/>
    </row>
    <row r="1593">
      <c r="A1593" s="6" t="s">
        <v>4142</v>
      </c>
      <c r="B1593" s="6" t="s">
        <v>4143</v>
      </c>
      <c r="C1593" s="6" t="s">
        <v>295</v>
      </c>
      <c r="D1593" s="6" t="s">
        <v>4144</v>
      </c>
      <c r="E1593" s="6" t="s">
        <v>2358</v>
      </c>
      <c r="F1593" s="6" t="s">
        <v>170</v>
      </c>
      <c r="G1593" s="7">
        <v>0.06</v>
      </c>
      <c r="H1593" s="6" t="s">
        <v>1711</v>
      </c>
      <c r="I1593" s="6" t="s">
        <v>20</v>
      </c>
      <c r="J1593" s="6">
        <v>2022.0</v>
      </c>
      <c r="K1593" s="10">
        <v>46117.0</v>
      </c>
      <c r="L1593" s="6">
        <v>1.0</v>
      </c>
      <c r="M1593" s="8">
        <f t="shared" si="3"/>
        <v>0.06</v>
      </c>
      <c r="P1593" s="9"/>
    </row>
    <row r="1594">
      <c r="A1594" s="6" t="s">
        <v>4145</v>
      </c>
      <c r="B1594" s="6" t="s">
        <v>378</v>
      </c>
      <c r="C1594" s="6" t="s">
        <v>295</v>
      </c>
      <c r="D1594" s="6" t="s">
        <v>4146</v>
      </c>
      <c r="E1594" s="6" t="s">
        <v>930</v>
      </c>
      <c r="F1594" s="6" t="s">
        <v>170</v>
      </c>
      <c r="G1594" s="7">
        <v>0.08</v>
      </c>
      <c r="H1594" s="6" t="s">
        <v>1711</v>
      </c>
      <c r="I1594" s="6" t="s">
        <v>20</v>
      </c>
      <c r="J1594" s="6">
        <v>2022.0</v>
      </c>
      <c r="L1594" s="6">
        <v>1.0</v>
      </c>
      <c r="M1594" s="8">
        <f t="shared" si="3"/>
        <v>0.08</v>
      </c>
      <c r="P1594" s="9"/>
    </row>
    <row r="1595">
      <c r="A1595" s="6" t="s">
        <v>4147</v>
      </c>
      <c r="B1595" s="6" t="s">
        <v>4148</v>
      </c>
      <c r="C1595" s="6" t="s">
        <v>295</v>
      </c>
      <c r="D1595" s="6" t="s">
        <v>4149</v>
      </c>
      <c r="E1595" s="6" t="s">
        <v>2754</v>
      </c>
      <c r="F1595" s="6" t="s">
        <v>170</v>
      </c>
      <c r="G1595" s="7">
        <v>0.06</v>
      </c>
      <c r="H1595" s="6" t="s">
        <v>1711</v>
      </c>
      <c r="I1595" s="6" t="s">
        <v>20</v>
      </c>
      <c r="J1595" s="6">
        <v>2022.0</v>
      </c>
      <c r="K1595" s="10">
        <v>46084.0</v>
      </c>
      <c r="L1595" s="6">
        <v>1.0</v>
      </c>
      <c r="M1595" s="8">
        <f t="shared" si="3"/>
        <v>0.06</v>
      </c>
      <c r="P1595" s="9"/>
    </row>
    <row r="1596">
      <c r="A1596" s="6" t="s">
        <v>4150</v>
      </c>
      <c r="B1596" s="6" t="s">
        <v>4151</v>
      </c>
      <c r="C1596" s="6" t="s">
        <v>1949</v>
      </c>
      <c r="D1596" s="6" t="s">
        <v>4152</v>
      </c>
      <c r="E1596" s="6" t="s">
        <v>2380</v>
      </c>
      <c r="F1596" s="6" t="s">
        <v>277</v>
      </c>
      <c r="G1596" s="7">
        <v>0.24</v>
      </c>
      <c r="H1596" s="6" t="s">
        <v>2552</v>
      </c>
      <c r="I1596" s="6" t="s">
        <v>20</v>
      </c>
      <c r="J1596" s="6">
        <v>2018.0</v>
      </c>
      <c r="K1596" s="10">
        <v>46115.0</v>
      </c>
      <c r="L1596" s="6">
        <v>1.0</v>
      </c>
      <c r="M1596" s="8">
        <f t="shared" si="3"/>
        <v>0.24</v>
      </c>
      <c r="P1596" s="9"/>
    </row>
    <row r="1597">
      <c r="A1597" s="6" t="s">
        <v>4153</v>
      </c>
      <c r="B1597" s="6" t="s">
        <v>4154</v>
      </c>
      <c r="C1597" s="6" t="s">
        <v>1949</v>
      </c>
      <c r="D1597" s="6" t="s">
        <v>4155</v>
      </c>
      <c r="E1597" s="6" t="s">
        <v>2380</v>
      </c>
      <c r="F1597" s="6" t="s">
        <v>277</v>
      </c>
      <c r="G1597" s="7">
        <v>0.06</v>
      </c>
      <c r="H1597" s="6" t="s">
        <v>4156</v>
      </c>
      <c r="I1597" s="6" t="s">
        <v>20</v>
      </c>
      <c r="J1597" s="6">
        <v>2007.0</v>
      </c>
      <c r="K1597" s="10">
        <v>46084.0</v>
      </c>
      <c r="L1597" s="6">
        <v>1.0</v>
      </c>
      <c r="M1597" s="8">
        <f t="shared" si="3"/>
        <v>0.06</v>
      </c>
      <c r="P1597" s="9"/>
    </row>
    <row r="1598">
      <c r="A1598" s="6" t="s">
        <v>4157</v>
      </c>
      <c r="B1598" s="6" t="s">
        <v>610</v>
      </c>
      <c r="C1598" s="6" t="s">
        <v>295</v>
      </c>
      <c r="D1598" s="6" t="s">
        <v>4158</v>
      </c>
      <c r="E1598" s="6" t="s">
        <v>2280</v>
      </c>
      <c r="F1598" s="6" t="s">
        <v>277</v>
      </c>
      <c r="G1598" s="7">
        <v>0.18</v>
      </c>
      <c r="H1598" s="6" t="s">
        <v>1631</v>
      </c>
      <c r="I1598" s="6" t="s">
        <v>20</v>
      </c>
      <c r="J1598" s="6">
        <v>2024.0</v>
      </c>
      <c r="L1598" s="6">
        <v>2.0</v>
      </c>
      <c r="M1598" s="8">
        <f t="shared" si="3"/>
        <v>0.36</v>
      </c>
      <c r="P1598" s="9"/>
    </row>
    <row r="1599">
      <c r="A1599" s="6" t="s">
        <v>4159</v>
      </c>
      <c r="B1599" s="6" t="s">
        <v>2058</v>
      </c>
      <c r="C1599" s="6" t="s">
        <v>295</v>
      </c>
      <c r="D1599" s="6" t="s">
        <v>4160</v>
      </c>
      <c r="E1599" s="6" t="s">
        <v>2380</v>
      </c>
      <c r="F1599" s="6" t="s">
        <v>277</v>
      </c>
      <c r="G1599" s="7">
        <v>0.05</v>
      </c>
      <c r="H1599" s="6" t="s">
        <v>1676</v>
      </c>
      <c r="I1599" s="6" t="s">
        <v>20</v>
      </c>
      <c r="J1599" s="6">
        <v>2008.0</v>
      </c>
      <c r="L1599" s="6">
        <v>1.0</v>
      </c>
      <c r="M1599" s="8">
        <f t="shared" si="3"/>
        <v>0.05</v>
      </c>
      <c r="P1599" s="9"/>
    </row>
    <row r="1600">
      <c r="A1600" s="6" t="s">
        <v>4161</v>
      </c>
      <c r="B1600" s="6" t="s">
        <v>2058</v>
      </c>
      <c r="C1600" s="6" t="s">
        <v>1949</v>
      </c>
      <c r="D1600" s="6" t="s">
        <v>4162</v>
      </c>
      <c r="E1600" s="6" t="s">
        <v>2287</v>
      </c>
      <c r="F1600" s="6" t="s">
        <v>277</v>
      </c>
      <c r="G1600" s="7">
        <v>0.06</v>
      </c>
      <c r="H1600" s="6" t="s">
        <v>2471</v>
      </c>
      <c r="I1600" s="6" t="s">
        <v>20</v>
      </c>
      <c r="J1600" s="6">
        <v>2012.0</v>
      </c>
      <c r="L1600" s="6">
        <v>1.0</v>
      </c>
      <c r="M1600" s="8">
        <f t="shared" si="3"/>
        <v>0.06</v>
      </c>
      <c r="P1600" s="9"/>
    </row>
    <row r="1601">
      <c r="A1601" s="6" t="s">
        <v>4163</v>
      </c>
      <c r="B1601" s="6" t="s">
        <v>4164</v>
      </c>
      <c r="C1601" s="6" t="s">
        <v>2138</v>
      </c>
      <c r="D1601" s="6" t="s">
        <v>4165</v>
      </c>
      <c r="E1601" s="6" t="s">
        <v>2318</v>
      </c>
      <c r="F1601" s="6" t="s">
        <v>88</v>
      </c>
      <c r="G1601" s="7">
        <v>0.12</v>
      </c>
      <c r="H1601" s="6" t="s">
        <v>3247</v>
      </c>
      <c r="I1601" s="6" t="s">
        <v>20</v>
      </c>
      <c r="J1601" s="6">
        <v>2022.0</v>
      </c>
      <c r="K1601" s="10">
        <v>46115.0</v>
      </c>
      <c r="L1601" s="6">
        <v>1.0</v>
      </c>
      <c r="M1601" s="8">
        <f t="shared" si="3"/>
        <v>0.12</v>
      </c>
      <c r="P1601" s="9"/>
    </row>
    <row r="1602">
      <c r="A1602" s="6" t="s">
        <v>4166</v>
      </c>
      <c r="B1602" s="6" t="s">
        <v>4167</v>
      </c>
      <c r="C1602" s="6" t="s">
        <v>2138</v>
      </c>
      <c r="D1602" s="6" t="s">
        <v>4168</v>
      </c>
      <c r="E1602" s="6" t="s">
        <v>915</v>
      </c>
      <c r="F1602" s="6" t="s">
        <v>88</v>
      </c>
      <c r="G1602" s="7">
        <v>0.2</v>
      </c>
      <c r="H1602" s="6" t="s">
        <v>1711</v>
      </c>
      <c r="I1602" s="6" t="s">
        <v>20</v>
      </c>
      <c r="J1602" s="6">
        <v>2022.0</v>
      </c>
      <c r="K1602" s="10">
        <v>46023.0</v>
      </c>
      <c r="L1602" s="6">
        <v>1.0</v>
      </c>
      <c r="M1602" s="8">
        <f t="shared" si="3"/>
        <v>0.2</v>
      </c>
      <c r="P1602" s="9"/>
    </row>
    <row r="1603">
      <c r="A1603" s="6" t="s">
        <v>4163</v>
      </c>
      <c r="B1603" s="6" t="s">
        <v>4164</v>
      </c>
      <c r="C1603" s="6" t="s">
        <v>2138</v>
      </c>
      <c r="D1603" s="6" t="s">
        <v>4165</v>
      </c>
      <c r="E1603" s="6" t="s">
        <v>2318</v>
      </c>
      <c r="F1603" s="6" t="s">
        <v>88</v>
      </c>
      <c r="G1603" s="7">
        <v>0.05</v>
      </c>
      <c r="H1603" s="6" t="s">
        <v>1711</v>
      </c>
      <c r="I1603" s="6" t="s">
        <v>20</v>
      </c>
      <c r="J1603" s="6">
        <v>2022.0</v>
      </c>
      <c r="K1603" s="10">
        <v>46115.0</v>
      </c>
      <c r="L1603" s="6">
        <v>1.0</v>
      </c>
      <c r="M1603" s="8">
        <f t="shared" si="3"/>
        <v>0.05</v>
      </c>
      <c r="P1603" s="9"/>
    </row>
    <row r="1604">
      <c r="A1604" s="6" t="s">
        <v>4169</v>
      </c>
      <c r="B1604" s="6" t="s">
        <v>4170</v>
      </c>
      <c r="C1604" s="6" t="s">
        <v>2138</v>
      </c>
      <c r="D1604" s="6" t="s">
        <v>4171</v>
      </c>
      <c r="E1604" s="6" t="s">
        <v>380</v>
      </c>
      <c r="F1604" s="6" t="s">
        <v>88</v>
      </c>
      <c r="G1604" s="7">
        <v>0.09</v>
      </c>
      <c r="H1604" s="6" t="s">
        <v>1711</v>
      </c>
      <c r="I1604" s="6" t="s">
        <v>20</v>
      </c>
      <c r="J1604" s="6">
        <v>2022.0</v>
      </c>
      <c r="K1604" s="10">
        <v>46024.0</v>
      </c>
      <c r="L1604" s="6">
        <v>1.0</v>
      </c>
      <c r="M1604" s="8">
        <f t="shared" si="3"/>
        <v>0.09</v>
      </c>
      <c r="P1604" s="9"/>
    </row>
    <row r="1605">
      <c r="A1605" s="6" t="s">
        <v>4172</v>
      </c>
      <c r="B1605" s="6" t="s">
        <v>3245</v>
      </c>
      <c r="C1605" s="6" t="s">
        <v>295</v>
      </c>
      <c r="D1605" s="6" t="s">
        <v>4173</v>
      </c>
      <c r="E1605" s="6" t="s">
        <v>2326</v>
      </c>
      <c r="F1605" s="6" t="s">
        <v>88</v>
      </c>
      <c r="G1605" s="7">
        <v>0.2</v>
      </c>
      <c r="H1605" s="6" t="s">
        <v>3247</v>
      </c>
      <c r="I1605" s="6" t="s">
        <v>20</v>
      </c>
      <c r="J1605" s="6">
        <v>2022.0</v>
      </c>
      <c r="K1605" s="10">
        <v>46055.0</v>
      </c>
      <c r="L1605" s="6">
        <v>2.0</v>
      </c>
      <c r="M1605" s="8">
        <f t="shared" si="3"/>
        <v>0.4</v>
      </c>
      <c r="P1605" s="9"/>
    </row>
    <row r="1606">
      <c r="A1606" s="6" t="s">
        <v>4174</v>
      </c>
      <c r="B1606" s="6" t="s">
        <v>4175</v>
      </c>
      <c r="C1606" s="6" t="s">
        <v>2138</v>
      </c>
      <c r="D1606" s="6" t="s">
        <v>4176</v>
      </c>
      <c r="E1606" s="6" t="s">
        <v>380</v>
      </c>
      <c r="F1606" s="6" t="s">
        <v>88</v>
      </c>
      <c r="G1606" s="7">
        <v>0.06</v>
      </c>
      <c r="H1606" s="6" t="s">
        <v>1711</v>
      </c>
      <c r="I1606" s="6" t="s">
        <v>20</v>
      </c>
      <c r="J1606" s="6">
        <v>2022.0</v>
      </c>
      <c r="L1606" s="6">
        <v>1.0</v>
      </c>
      <c r="M1606" s="8">
        <f t="shared" si="3"/>
        <v>0.06</v>
      </c>
      <c r="P1606" s="9"/>
    </row>
    <row r="1607">
      <c r="A1607" s="6" t="s">
        <v>4177</v>
      </c>
      <c r="B1607" s="6" t="s">
        <v>385</v>
      </c>
      <c r="C1607" s="6" t="s">
        <v>295</v>
      </c>
      <c r="D1607" s="6" t="s">
        <v>4178</v>
      </c>
      <c r="E1607" s="6" t="s">
        <v>2280</v>
      </c>
      <c r="F1607" s="6" t="s">
        <v>277</v>
      </c>
      <c r="G1607" s="7">
        <v>0.06</v>
      </c>
      <c r="H1607" s="6" t="s">
        <v>2797</v>
      </c>
      <c r="I1607" s="6" t="s">
        <v>20</v>
      </c>
      <c r="J1607" s="6">
        <v>2026.0</v>
      </c>
      <c r="L1607" s="6">
        <v>1.0</v>
      </c>
      <c r="M1607" s="8">
        <f t="shared" si="3"/>
        <v>0.06</v>
      </c>
      <c r="P1607" s="9"/>
    </row>
    <row r="1608">
      <c r="A1608" s="6" t="s">
        <v>4179</v>
      </c>
      <c r="B1608" s="6" t="s">
        <v>2058</v>
      </c>
      <c r="C1608" s="6" t="s">
        <v>295</v>
      </c>
      <c r="D1608" s="6" t="s">
        <v>4180</v>
      </c>
      <c r="E1608" s="6" t="s">
        <v>629</v>
      </c>
      <c r="F1608" s="6" t="s">
        <v>277</v>
      </c>
      <c r="G1608" s="7">
        <v>0.07</v>
      </c>
      <c r="H1608" s="6" t="s">
        <v>1714</v>
      </c>
      <c r="I1608" s="6" t="s">
        <v>20</v>
      </c>
      <c r="J1608" s="6">
        <v>2020.0</v>
      </c>
      <c r="L1608" s="6">
        <v>1.0</v>
      </c>
      <c r="M1608" s="8">
        <f t="shared" si="3"/>
        <v>0.07</v>
      </c>
      <c r="P1608" s="9"/>
    </row>
    <row r="1609">
      <c r="A1609" s="6" t="s">
        <v>4181</v>
      </c>
      <c r="B1609" s="6" t="s">
        <v>2748</v>
      </c>
      <c r="C1609" s="6" t="s">
        <v>295</v>
      </c>
      <c r="D1609" s="6" t="s">
        <v>4182</v>
      </c>
      <c r="E1609" s="6" t="s">
        <v>2280</v>
      </c>
      <c r="F1609" s="6" t="s">
        <v>277</v>
      </c>
      <c r="G1609" s="7">
        <v>0.04</v>
      </c>
      <c r="H1609" s="6" t="s">
        <v>1995</v>
      </c>
      <c r="I1609" s="6" t="s">
        <v>20</v>
      </c>
      <c r="J1609" s="6">
        <v>2016.0</v>
      </c>
      <c r="K1609" s="10">
        <v>46055.0</v>
      </c>
      <c r="L1609" s="6">
        <v>1.0</v>
      </c>
      <c r="M1609" s="8">
        <f t="shared" si="3"/>
        <v>0.04</v>
      </c>
      <c r="P1609" s="9"/>
    </row>
    <row r="1610">
      <c r="A1610" s="6" t="s">
        <v>4183</v>
      </c>
      <c r="B1610" s="6" t="s">
        <v>4184</v>
      </c>
      <c r="C1610" s="6" t="s">
        <v>295</v>
      </c>
      <c r="E1610" s="6" t="s">
        <v>1856</v>
      </c>
      <c r="F1610" s="6" t="s">
        <v>277</v>
      </c>
      <c r="G1610" s="7">
        <v>0.06</v>
      </c>
      <c r="H1610" s="6" t="s">
        <v>2156</v>
      </c>
      <c r="I1610" s="6" t="s">
        <v>20</v>
      </c>
      <c r="J1610" s="6">
        <v>2014.0</v>
      </c>
      <c r="K1610" s="10">
        <v>46083.0</v>
      </c>
      <c r="L1610" s="6">
        <v>1.0</v>
      </c>
      <c r="M1610" s="8">
        <f t="shared" si="3"/>
        <v>0.06</v>
      </c>
      <c r="P1610" s="9"/>
    </row>
    <row r="1611">
      <c r="A1611" s="6" t="s">
        <v>4185</v>
      </c>
      <c r="B1611" s="6" t="s">
        <v>4186</v>
      </c>
      <c r="C1611" s="6" t="s">
        <v>295</v>
      </c>
      <c r="E1611" s="6" t="s">
        <v>2287</v>
      </c>
      <c r="F1611" s="6" t="s">
        <v>277</v>
      </c>
      <c r="G1611" s="7">
        <v>0.05</v>
      </c>
      <c r="H1611" s="6" t="s">
        <v>1673</v>
      </c>
      <c r="I1611" s="6" t="s">
        <v>20</v>
      </c>
      <c r="J1611" s="6">
        <v>2012.0</v>
      </c>
      <c r="K1611" s="10">
        <v>46175.0</v>
      </c>
      <c r="L1611" s="6">
        <v>1.0</v>
      </c>
      <c r="M1611" s="8">
        <f t="shared" si="3"/>
        <v>0.05</v>
      </c>
      <c r="P1611" s="9"/>
    </row>
    <row r="1612">
      <c r="A1612" s="6" t="s">
        <v>4187</v>
      </c>
      <c r="B1612" s="6" t="s">
        <v>4188</v>
      </c>
      <c r="C1612" s="6" t="s">
        <v>295</v>
      </c>
      <c r="D1612" s="6" t="s">
        <v>4189</v>
      </c>
      <c r="E1612" s="6" t="s">
        <v>2280</v>
      </c>
      <c r="F1612" s="6" t="s">
        <v>277</v>
      </c>
      <c r="G1612" s="7">
        <v>0.08</v>
      </c>
      <c r="H1612" s="6" t="s">
        <v>297</v>
      </c>
      <c r="I1612" s="6" t="s">
        <v>20</v>
      </c>
      <c r="J1612" s="6">
        <v>2026.0</v>
      </c>
      <c r="K1612" s="10">
        <v>46055.0</v>
      </c>
      <c r="L1612" s="6">
        <v>1.0</v>
      </c>
      <c r="M1612" s="8">
        <f t="shared" si="3"/>
        <v>0.08</v>
      </c>
      <c r="P1612" s="9"/>
    </row>
    <row r="1613">
      <c r="A1613" s="6" t="s">
        <v>4190</v>
      </c>
      <c r="B1613" s="6" t="s">
        <v>2061</v>
      </c>
      <c r="C1613" s="6" t="s">
        <v>295</v>
      </c>
      <c r="E1613" s="6" t="s">
        <v>1856</v>
      </c>
      <c r="F1613" s="6" t="s">
        <v>277</v>
      </c>
      <c r="G1613" s="7">
        <v>0.09</v>
      </c>
      <c r="H1613" s="6" t="s">
        <v>4191</v>
      </c>
      <c r="I1613" s="6" t="s">
        <v>31</v>
      </c>
      <c r="J1613" s="6">
        <v>2001.0</v>
      </c>
      <c r="K1613" s="10">
        <v>46055.0</v>
      </c>
      <c r="L1613" s="6">
        <v>1.0</v>
      </c>
      <c r="M1613" s="8">
        <f t="shared" si="3"/>
        <v>0.09</v>
      </c>
      <c r="P1613" s="9"/>
    </row>
    <row r="1614">
      <c r="A1614" s="6" t="s">
        <v>4192</v>
      </c>
      <c r="B1614" s="6" t="s">
        <v>294</v>
      </c>
      <c r="C1614" s="6" t="s">
        <v>1949</v>
      </c>
      <c r="D1614" s="6" t="s">
        <v>4193</v>
      </c>
      <c r="F1614" s="6" t="s">
        <v>80</v>
      </c>
      <c r="G1614" s="7">
        <v>0.21</v>
      </c>
      <c r="H1614" s="6" t="s">
        <v>1664</v>
      </c>
      <c r="I1614" s="6" t="s">
        <v>20</v>
      </c>
      <c r="J1614" s="6">
        <v>2018.0</v>
      </c>
      <c r="L1614" s="6">
        <v>1.0</v>
      </c>
      <c r="M1614" s="8">
        <f t="shared" si="3"/>
        <v>0.21</v>
      </c>
      <c r="P1614" s="9"/>
    </row>
    <row r="1615">
      <c r="A1615" s="6" t="s">
        <v>4194</v>
      </c>
      <c r="B1615" s="6" t="s">
        <v>294</v>
      </c>
      <c r="C1615" s="6" t="s">
        <v>1949</v>
      </c>
      <c r="D1615" s="6" t="s">
        <v>4195</v>
      </c>
      <c r="F1615" s="6" t="s">
        <v>80</v>
      </c>
      <c r="G1615" s="7">
        <v>0.2</v>
      </c>
      <c r="H1615" s="6" t="s">
        <v>2769</v>
      </c>
      <c r="I1615" s="6" t="s">
        <v>20</v>
      </c>
      <c r="J1615" s="6">
        <v>2015.0</v>
      </c>
      <c r="L1615" s="6">
        <v>1.0</v>
      </c>
      <c r="M1615" s="8">
        <f t="shared" si="3"/>
        <v>0.2</v>
      </c>
      <c r="P1615" s="9"/>
    </row>
    <row r="1616">
      <c r="A1616" s="6" t="s">
        <v>4196</v>
      </c>
      <c r="B1616" s="6" t="s">
        <v>294</v>
      </c>
      <c r="C1616" s="6" t="s">
        <v>1897</v>
      </c>
      <c r="D1616" s="6" t="s">
        <v>4197</v>
      </c>
      <c r="F1616" s="6" t="s">
        <v>80</v>
      </c>
      <c r="G1616" s="7">
        <v>0.3</v>
      </c>
      <c r="H1616" s="6" t="s">
        <v>1995</v>
      </c>
      <c r="I1616" s="6" t="s">
        <v>20</v>
      </c>
      <c r="J1616" s="6">
        <v>2016.0</v>
      </c>
      <c r="L1616" s="6">
        <v>1.0</v>
      </c>
      <c r="M1616" s="8">
        <f t="shared" si="3"/>
        <v>0.3</v>
      </c>
      <c r="P1616" s="9"/>
    </row>
    <row r="1617">
      <c r="A1617" s="6" t="s">
        <v>4198</v>
      </c>
      <c r="B1617" s="6" t="s">
        <v>2736</v>
      </c>
      <c r="C1617" s="6" t="s">
        <v>295</v>
      </c>
      <c r="D1617" s="6" t="s">
        <v>4199</v>
      </c>
      <c r="F1617" s="6" t="s">
        <v>3177</v>
      </c>
      <c r="G1617" s="7">
        <v>0.09</v>
      </c>
      <c r="H1617" s="6" t="s">
        <v>1641</v>
      </c>
      <c r="I1617" s="6" t="s">
        <v>20</v>
      </c>
      <c r="J1617" s="6">
        <v>2019.0</v>
      </c>
      <c r="L1617" s="6">
        <v>2.0</v>
      </c>
      <c r="M1617" s="8">
        <f t="shared" si="3"/>
        <v>0.18</v>
      </c>
      <c r="P1617" s="9"/>
    </row>
    <row r="1618">
      <c r="A1618" s="6" t="s">
        <v>4200</v>
      </c>
      <c r="B1618" s="6" t="s">
        <v>1813</v>
      </c>
      <c r="C1618" s="6" t="s">
        <v>1667</v>
      </c>
      <c r="D1618" s="6" t="s">
        <v>4201</v>
      </c>
      <c r="E1618" s="6" t="s">
        <v>4202</v>
      </c>
      <c r="F1618" s="6" t="s">
        <v>80</v>
      </c>
      <c r="G1618" s="7">
        <v>0.21</v>
      </c>
      <c r="H1618" s="6" t="s">
        <v>2728</v>
      </c>
      <c r="I1618" s="6" t="s">
        <v>1791</v>
      </c>
      <c r="J1618" s="6">
        <v>2011.0</v>
      </c>
      <c r="L1618" s="6">
        <v>1.0</v>
      </c>
      <c r="M1618" s="8">
        <f t="shared" si="3"/>
        <v>0.21</v>
      </c>
      <c r="P1618" s="9"/>
    </row>
    <row r="1619">
      <c r="A1619" s="6" t="s">
        <v>4203</v>
      </c>
      <c r="B1619" s="6" t="s">
        <v>4204</v>
      </c>
      <c r="C1619" s="6" t="s">
        <v>295</v>
      </c>
      <c r="D1619" s="6" t="s">
        <v>4205</v>
      </c>
      <c r="E1619" s="6" t="s">
        <v>1853</v>
      </c>
      <c r="F1619" s="6" t="s">
        <v>277</v>
      </c>
      <c r="G1619" s="7">
        <v>0.05</v>
      </c>
      <c r="H1619" s="6" t="s">
        <v>2202</v>
      </c>
      <c r="I1619" s="6" t="s">
        <v>20</v>
      </c>
      <c r="J1619" s="6">
        <v>2014.0</v>
      </c>
      <c r="K1619" s="10">
        <v>46084.0</v>
      </c>
      <c r="L1619" s="6">
        <v>1.0</v>
      </c>
      <c r="M1619" s="8">
        <f t="shared" si="3"/>
        <v>0.05</v>
      </c>
      <c r="P1619" s="9"/>
    </row>
    <row r="1620">
      <c r="A1620" s="6" t="s">
        <v>4206</v>
      </c>
      <c r="B1620" s="6" t="s">
        <v>2058</v>
      </c>
      <c r="C1620" s="6" t="s">
        <v>295</v>
      </c>
      <c r="D1620" s="6" t="s">
        <v>4207</v>
      </c>
      <c r="E1620" s="6" t="s">
        <v>2380</v>
      </c>
      <c r="F1620" s="6" t="s">
        <v>277</v>
      </c>
      <c r="G1620" s="7">
        <v>0.06</v>
      </c>
      <c r="H1620" s="6" t="s">
        <v>2471</v>
      </c>
      <c r="I1620" s="6" t="s">
        <v>20</v>
      </c>
      <c r="J1620" s="6">
        <v>2012.0</v>
      </c>
      <c r="L1620" s="6">
        <v>1.0</v>
      </c>
      <c r="M1620" s="8">
        <f t="shared" si="3"/>
        <v>0.06</v>
      </c>
      <c r="P1620" s="9"/>
    </row>
    <row r="1621">
      <c r="A1621" s="6" t="s">
        <v>4208</v>
      </c>
      <c r="B1621" s="6" t="s">
        <v>2058</v>
      </c>
      <c r="C1621" s="6" t="s">
        <v>295</v>
      </c>
      <c r="D1621" s="6" t="s">
        <v>4209</v>
      </c>
      <c r="E1621" s="6" t="s">
        <v>1853</v>
      </c>
      <c r="F1621" s="6" t="s">
        <v>277</v>
      </c>
      <c r="G1621" s="7">
        <v>0.49</v>
      </c>
      <c r="H1621" s="6" t="s">
        <v>2536</v>
      </c>
      <c r="I1621" s="6" t="s">
        <v>20</v>
      </c>
      <c r="J1621" s="6">
        <v>2010.0</v>
      </c>
      <c r="L1621" s="6">
        <v>1.0</v>
      </c>
      <c r="M1621" s="8">
        <f t="shared" si="3"/>
        <v>0.49</v>
      </c>
      <c r="P1621" s="9"/>
    </row>
    <row r="1622">
      <c r="A1622" s="6" t="s">
        <v>4210</v>
      </c>
      <c r="B1622" s="6" t="s">
        <v>3962</v>
      </c>
      <c r="C1622" s="6" t="s">
        <v>295</v>
      </c>
      <c r="D1622" s="6" t="s">
        <v>4211</v>
      </c>
      <c r="E1622" s="6" t="s">
        <v>629</v>
      </c>
      <c r="F1622" s="6" t="s">
        <v>277</v>
      </c>
      <c r="G1622" s="7">
        <v>0.17</v>
      </c>
      <c r="H1622" s="6" t="s">
        <v>4212</v>
      </c>
      <c r="I1622" s="6" t="s">
        <v>20</v>
      </c>
      <c r="J1622" s="6">
        <v>2008.0</v>
      </c>
      <c r="K1622" s="10">
        <v>46023.0</v>
      </c>
      <c r="L1622" s="6">
        <v>4.0</v>
      </c>
      <c r="M1622" s="8">
        <f t="shared" si="3"/>
        <v>0.68</v>
      </c>
      <c r="P1622" s="9"/>
    </row>
    <row r="1623">
      <c r="A1623" s="6" t="s">
        <v>4213</v>
      </c>
      <c r="B1623" s="6" t="s">
        <v>2058</v>
      </c>
      <c r="C1623" s="6" t="s">
        <v>295</v>
      </c>
      <c r="D1623" s="6" t="s">
        <v>4214</v>
      </c>
      <c r="E1623" s="6" t="s">
        <v>2380</v>
      </c>
      <c r="F1623" s="6" t="s">
        <v>277</v>
      </c>
      <c r="G1623" s="7">
        <v>0.03</v>
      </c>
      <c r="H1623" s="6" t="s">
        <v>2552</v>
      </c>
      <c r="I1623" s="6" t="s">
        <v>20</v>
      </c>
      <c r="J1623" s="6">
        <v>2018.0</v>
      </c>
      <c r="L1623" s="6">
        <v>1.0</v>
      </c>
      <c r="M1623" s="8">
        <f t="shared" si="3"/>
        <v>0.03</v>
      </c>
      <c r="P1623" s="9"/>
    </row>
    <row r="1624">
      <c r="A1624" s="6" t="s">
        <v>4215</v>
      </c>
      <c r="B1624" s="6" t="s">
        <v>2058</v>
      </c>
      <c r="C1624" s="6" t="s">
        <v>295</v>
      </c>
      <c r="D1624" s="6" t="s">
        <v>4216</v>
      </c>
      <c r="E1624" s="6" t="s">
        <v>1758</v>
      </c>
      <c r="F1624" s="6" t="s">
        <v>277</v>
      </c>
      <c r="G1624" s="7">
        <v>0.05</v>
      </c>
      <c r="H1624" s="6" t="s">
        <v>1685</v>
      </c>
      <c r="I1624" s="6" t="s">
        <v>20</v>
      </c>
      <c r="J1624" s="6">
        <v>2021.0</v>
      </c>
      <c r="L1624" s="6">
        <v>1.0</v>
      </c>
      <c r="M1624" s="8">
        <f t="shared" si="3"/>
        <v>0.05</v>
      </c>
      <c r="P1624" s="9"/>
    </row>
    <row r="1625">
      <c r="A1625" s="6" t="s">
        <v>4217</v>
      </c>
      <c r="B1625" s="6" t="s">
        <v>4218</v>
      </c>
      <c r="C1625" s="6" t="s">
        <v>295</v>
      </c>
      <c r="D1625" s="6" t="s">
        <v>4219</v>
      </c>
      <c r="E1625" s="6" t="s">
        <v>1856</v>
      </c>
      <c r="F1625" s="6" t="s">
        <v>277</v>
      </c>
      <c r="G1625" s="7">
        <v>0.2</v>
      </c>
      <c r="H1625" s="6" t="s">
        <v>164</v>
      </c>
      <c r="I1625" s="6" t="s">
        <v>20</v>
      </c>
      <c r="J1625" s="6">
        <v>2014.0</v>
      </c>
      <c r="K1625" s="10">
        <v>46113.0</v>
      </c>
      <c r="L1625" s="6">
        <v>5.0</v>
      </c>
      <c r="M1625" s="8">
        <f t="shared" si="3"/>
        <v>1</v>
      </c>
      <c r="P1625" s="9"/>
    </row>
    <row r="1626">
      <c r="A1626" s="6" t="s">
        <v>4217</v>
      </c>
      <c r="B1626" s="6" t="s">
        <v>4218</v>
      </c>
      <c r="C1626" s="6" t="s">
        <v>295</v>
      </c>
      <c r="D1626" s="6" t="s">
        <v>4219</v>
      </c>
      <c r="E1626" s="6" t="s">
        <v>1856</v>
      </c>
      <c r="F1626" s="6" t="s">
        <v>277</v>
      </c>
      <c r="G1626" s="7">
        <v>12.96</v>
      </c>
      <c r="H1626" s="6" t="s">
        <v>164</v>
      </c>
      <c r="I1626" s="6" t="s">
        <v>31</v>
      </c>
      <c r="J1626" s="6">
        <v>2014.0</v>
      </c>
      <c r="K1626" s="10">
        <v>46113.0</v>
      </c>
      <c r="L1626" s="6">
        <v>1.0</v>
      </c>
      <c r="M1626" s="8">
        <f t="shared" si="3"/>
        <v>12.96</v>
      </c>
      <c r="P1626" s="9"/>
    </row>
    <row r="1627">
      <c r="A1627" s="6" t="s">
        <v>4220</v>
      </c>
      <c r="B1627" s="6" t="s">
        <v>2058</v>
      </c>
      <c r="C1627" s="6" t="s">
        <v>295</v>
      </c>
      <c r="D1627" s="6" t="s">
        <v>4221</v>
      </c>
      <c r="E1627" s="6" t="s">
        <v>1758</v>
      </c>
      <c r="F1627" s="6" t="s">
        <v>277</v>
      </c>
      <c r="G1627" s="7">
        <v>0.03</v>
      </c>
      <c r="H1627" s="6" t="s">
        <v>2598</v>
      </c>
      <c r="I1627" s="6" t="s">
        <v>20</v>
      </c>
      <c r="J1627" s="6">
        <v>2017.0</v>
      </c>
      <c r="L1627" s="6">
        <v>1.0</v>
      </c>
      <c r="M1627" s="8">
        <f t="shared" si="3"/>
        <v>0.03</v>
      </c>
      <c r="P1627" s="9"/>
    </row>
    <row r="1628">
      <c r="A1628" s="6" t="s">
        <v>4222</v>
      </c>
      <c r="B1628" s="6" t="s">
        <v>378</v>
      </c>
      <c r="C1628" s="6" t="s">
        <v>295</v>
      </c>
      <c r="D1628" s="6" t="s">
        <v>4223</v>
      </c>
      <c r="E1628" s="6" t="s">
        <v>2287</v>
      </c>
      <c r="F1628" s="6" t="s">
        <v>277</v>
      </c>
      <c r="G1628" s="7">
        <v>0.05</v>
      </c>
      <c r="H1628" s="6" t="s">
        <v>1708</v>
      </c>
      <c r="I1628" s="6" t="s">
        <v>20</v>
      </c>
      <c r="J1628" s="6">
        <v>2019.0</v>
      </c>
      <c r="L1628" s="6">
        <v>1.0</v>
      </c>
      <c r="M1628" s="8">
        <f t="shared" si="3"/>
        <v>0.05</v>
      </c>
      <c r="P1628" s="9"/>
    </row>
    <row r="1629">
      <c r="A1629" s="6" t="s">
        <v>4224</v>
      </c>
      <c r="B1629" s="6" t="s">
        <v>2058</v>
      </c>
      <c r="C1629" s="6" t="s">
        <v>295</v>
      </c>
      <c r="D1629" s="6" t="s">
        <v>4225</v>
      </c>
      <c r="E1629" s="6" t="s">
        <v>1856</v>
      </c>
      <c r="F1629" s="6" t="s">
        <v>277</v>
      </c>
      <c r="G1629" s="7">
        <v>0.03</v>
      </c>
      <c r="H1629" s="6" t="s">
        <v>2511</v>
      </c>
      <c r="I1629" s="6" t="s">
        <v>20</v>
      </c>
      <c r="J1629" s="6">
        <v>2018.0</v>
      </c>
      <c r="L1629" s="6">
        <v>1.0</v>
      </c>
      <c r="M1629" s="8">
        <f t="shared" si="3"/>
        <v>0.03</v>
      </c>
      <c r="P1629" s="9"/>
    </row>
    <row r="1630">
      <c r="A1630" s="6" t="s">
        <v>4226</v>
      </c>
      <c r="B1630" s="6" t="s">
        <v>378</v>
      </c>
      <c r="C1630" s="6" t="s">
        <v>295</v>
      </c>
      <c r="D1630" s="6" t="s">
        <v>4227</v>
      </c>
      <c r="E1630" s="6" t="s">
        <v>2280</v>
      </c>
      <c r="F1630" s="6" t="s">
        <v>277</v>
      </c>
      <c r="G1630" s="7">
        <v>0.07</v>
      </c>
      <c r="H1630" s="6" t="s">
        <v>3476</v>
      </c>
      <c r="I1630" s="6" t="s">
        <v>20</v>
      </c>
      <c r="J1630" s="6">
        <v>2023.0</v>
      </c>
      <c r="L1630" s="6">
        <v>2.0</v>
      </c>
      <c r="M1630" s="8">
        <f t="shared" si="3"/>
        <v>0.14</v>
      </c>
      <c r="P1630" s="9"/>
    </row>
    <row r="1631">
      <c r="A1631" s="6" t="s">
        <v>4228</v>
      </c>
      <c r="B1631" s="6" t="s">
        <v>294</v>
      </c>
      <c r="C1631" s="6" t="s">
        <v>1897</v>
      </c>
      <c r="D1631" s="6" t="s">
        <v>4229</v>
      </c>
      <c r="F1631" s="6" t="s">
        <v>80</v>
      </c>
      <c r="G1631" s="7">
        <v>0.23</v>
      </c>
      <c r="H1631" s="6" t="s">
        <v>3092</v>
      </c>
      <c r="I1631" s="6" t="s">
        <v>20</v>
      </c>
      <c r="J1631" s="6">
        <v>2015.0</v>
      </c>
      <c r="L1631" s="6">
        <v>1.0</v>
      </c>
      <c r="M1631" s="8">
        <f t="shared" si="3"/>
        <v>0.23</v>
      </c>
      <c r="P1631" s="9"/>
    </row>
    <row r="1632">
      <c r="A1632" s="6" t="s">
        <v>4230</v>
      </c>
      <c r="B1632" s="6" t="s">
        <v>378</v>
      </c>
      <c r="C1632" s="6" t="s">
        <v>295</v>
      </c>
      <c r="D1632" s="6" t="s">
        <v>4231</v>
      </c>
      <c r="E1632" s="6" t="s">
        <v>2280</v>
      </c>
      <c r="F1632" s="6" t="s">
        <v>277</v>
      </c>
      <c r="G1632" s="7">
        <v>0.03</v>
      </c>
      <c r="H1632" s="6" t="s">
        <v>2552</v>
      </c>
      <c r="I1632" s="6" t="s">
        <v>20</v>
      </c>
      <c r="J1632" s="6">
        <v>2018.0</v>
      </c>
      <c r="L1632" s="6">
        <v>1.0</v>
      </c>
      <c r="M1632" s="8">
        <f t="shared" si="3"/>
        <v>0.03</v>
      </c>
      <c r="P1632" s="9"/>
    </row>
    <row r="1633">
      <c r="A1633" s="6" t="s">
        <v>4232</v>
      </c>
      <c r="B1633" s="6" t="s">
        <v>4233</v>
      </c>
      <c r="C1633" s="6" t="s">
        <v>1949</v>
      </c>
      <c r="D1633" s="6" t="s">
        <v>4234</v>
      </c>
      <c r="E1633" s="6" t="s">
        <v>1853</v>
      </c>
      <c r="F1633" s="6" t="s">
        <v>277</v>
      </c>
      <c r="G1633" s="7">
        <v>0.09</v>
      </c>
      <c r="H1633" s="6" t="s">
        <v>1965</v>
      </c>
      <c r="I1633" s="6" t="s">
        <v>20</v>
      </c>
      <c r="J1633" s="6">
        <v>2022.0</v>
      </c>
      <c r="K1633" s="10">
        <v>46084.0</v>
      </c>
      <c r="L1633" s="6">
        <v>1.0</v>
      </c>
      <c r="M1633" s="8">
        <f t="shared" si="3"/>
        <v>0.09</v>
      </c>
      <c r="P1633" s="9"/>
    </row>
    <row r="1634">
      <c r="A1634" s="6" t="s">
        <v>4235</v>
      </c>
      <c r="B1634" s="6" t="s">
        <v>4236</v>
      </c>
      <c r="C1634" s="6" t="s">
        <v>295</v>
      </c>
      <c r="D1634" s="6" t="s">
        <v>4237</v>
      </c>
      <c r="E1634" s="6" t="s">
        <v>2839</v>
      </c>
      <c r="F1634" s="6" t="s">
        <v>277</v>
      </c>
      <c r="G1634" s="7">
        <v>0.05</v>
      </c>
      <c r="H1634" s="6" t="s">
        <v>1708</v>
      </c>
      <c r="I1634" s="6" t="s">
        <v>20</v>
      </c>
      <c r="J1634" s="6">
        <v>2019.0</v>
      </c>
      <c r="K1634" s="10">
        <v>46083.0</v>
      </c>
      <c r="L1634" s="6">
        <v>1.0</v>
      </c>
      <c r="M1634" s="8">
        <f t="shared" si="3"/>
        <v>0.05</v>
      </c>
      <c r="P1634" s="9"/>
    </row>
    <row r="1635">
      <c r="A1635" s="6" t="s">
        <v>4238</v>
      </c>
      <c r="B1635" s="6" t="s">
        <v>4239</v>
      </c>
      <c r="C1635" s="6" t="s">
        <v>1897</v>
      </c>
      <c r="D1635" s="6" t="s">
        <v>4240</v>
      </c>
      <c r="E1635" s="6" t="s">
        <v>629</v>
      </c>
      <c r="F1635" s="6" t="s">
        <v>277</v>
      </c>
      <c r="G1635" s="7">
        <v>0.3</v>
      </c>
      <c r="H1635" s="6" t="s">
        <v>2156</v>
      </c>
      <c r="I1635" s="6" t="s">
        <v>20</v>
      </c>
      <c r="J1635" s="6">
        <v>2014.0</v>
      </c>
      <c r="K1635" s="10">
        <v>46023.0</v>
      </c>
      <c r="L1635" s="6">
        <v>1.0</v>
      </c>
      <c r="M1635" s="8">
        <f t="shared" si="3"/>
        <v>0.3</v>
      </c>
      <c r="P1635" s="9"/>
    </row>
    <row r="1636">
      <c r="A1636" s="6" t="s">
        <v>4241</v>
      </c>
      <c r="B1636" s="6" t="s">
        <v>294</v>
      </c>
      <c r="C1636" s="6" t="s">
        <v>295</v>
      </c>
      <c r="D1636" s="6" t="s">
        <v>4242</v>
      </c>
      <c r="F1636" s="6" t="s">
        <v>80</v>
      </c>
      <c r="G1636" s="7">
        <v>0.3</v>
      </c>
      <c r="H1636" s="6" t="s">
        <v>2247</v>
      </c>
      <c r="I1636" s="6" t="s">
        <v>20</v>
      </c>
      <c r="J1636" s="6">
        <v>2017.0</v>
      </c>
      <c r="L1636" s="6">
        <v>2.0</v>
      </c>
      <c r="M1636" s="8">
        <f t="shared" si="3"/>
        <v>0.6</v>
      </c>
      <c r="P1636" s="9"/>
    </row>
    <row r="1637">
      <c r="A1637" s="6" t="s">
        <v>4243</v>
      </c>
      <c r="B1637" s="6" t="s">
        <v>378</v>
      </c>
      <c r="C1637" s="6" t="s">
        <v>295</v>
      </c>
      <c r="D1637" s="6" t="s">
        <v>4244</v>
      </c>
      <c r="E1637" s="6" t="s">
        <v>2280</v>
      </c>
      <c r="F1637" s="6" t="s">
        <v>277</v>
      </c>
      <c r="G1637" s="7">
        <v>0.07</v>
      </c>
      <c r="H1637" s="6" t="s">
        <v>1638</v>
      </c>
      <c r="I1637" s="6" t="s">
        <v>20</v>
      </c>
      <c r="J1637" s="6">
        <v>2024.0</v>
      </c>
      <c r="L1637" s="6">
        <v>1.0</v>
      </c>
      <c r="M1637" s="8">
        <f t="shared" si="3"/>
        <v>0.07</v>
      </c>
      <c r="P1637" s="9"/>
    </row>
    <row r="1638">
      <c r="A1638" s="6" t="s">
        <v>4245</v>
      </c>
      <c r="B1638" s="6" t="s">
        <v>3303</v>
      </c>
      <c r="C1638" s="6" t="s">
        <v>1897</v>
      </c>
      <c r="D1638" s="6" t="s">
        <v>4246</v>
      </c>
      <c r="E1638" s="6" t="s">
        <v>2380</v>
      </c>
      <c r="F1638" s="6" t="s">
        <v>277</v>
      </c>
      <c r="G1638" s="7">
        <v>0.25</v>
      </c>
      <c r="H1638" s="6" t="s">
        <v>2769</v>
      </c>
      <c r="I1638" s="6" t="s">
        <v>20</v>
      </c>
      <c r="J1638" s="6">
        <v>2015.0</v>
      </c>
      <c r="K1638" s="10">
        <v>46055.0</v>
      </c>
      <c r="L1638" s="6">
        <v>1.0</v>
      </c>
      <c r="M1638" s="8">
        <f t="shared" si="3"/>
        <v>0.25</v>
      </c>
      <c r="P1638" s="9"/>
    </row>
    <row r="1639">
      <c r="A1639" s="6" t="s">
        <v>4247</v>
      </c>
      <c r="B1639" s="6" t="s">
        <v>2316</v>
      </c>
      <c r="C1639" s="6" t="s">
        <v>295</v>
      </c>
      <c r="D1639" s="6" t="s">
        <v>4248</v>
      </c>
      <c r="E1639" s="6" t="s">
        <v>2380</v>
      </c>
      <c r="F1639" s="6" t="s">
        <v>277</v>
      </c>
      <c r="G1639" s="7">
        <v>0.03</v>
      </c>
      <c r="H1639" s="6" t="s">
        <v>1987</v>
      </c>
      <c r="I1639" s="6" t="s">
        <v>20</v>
      </c>
      <c r="J1639" s="6">
        <v>2019.0</v>
      </c>
      <c r="K1639" s="10">
        <v>46084.0</v>
      </c>
      <c r="L1639" s="6">
        <v>1.0</v>
      </c>
      <c r="M1639" s="8">
        <f t="shared" si="3"/>
        <v>0.03</v>
      </c>
      <c r="P1639" s="9"/>
    </row>
    <row r="1640">
      <c r="A1640" s="6" t="s">
        <v>4249</v>
      </c>
      <c r="B1640" s="6" t="s">
        <v>4250</v>
      </c>
      <c r="C1640" s="6" t="s">
        <v>1897</v>
      </c>
      <c r="D1640" s="6" t="s">
        <v>4251</v>
      </c>
      <c r="E1640" s="6" t="s">
        <v>4252</v>
      </c>
      <c r="F1640" s="6" t="s">
        <v>277</v>
      </c>
      <c r="G1640" s="7">
        <v>0.2</v>
      </c>
      <c r="H1640" s="6" t="s">
        <v>3092</v>
      </c>
      <c r="I1640" s="6" t="s">
        <v>20</v>
      </c>
      <c r="J1640" s="6">
        <v>2015.0</v>
      </c>
      <c r="K1640" s="10">
        <v>46116.0</v>
      </c>
      <c r="L1640" s="6">
        <v>1.0</v>
      </c>
      <c r="M1640" s="8">
        <f t="shared" si="3"/>
        <v>0.2</v>
      </c>
      <c r="P1640" s="9"/>
    </row>
    <row r="1641">
      <c r="A1641" s="6" t="s">
        <v>4253</v>
      </c>
      <c r="B1641" s="6" t="s">
        <v>4254</v>
      </c>
      <c r="C1641" s="6" t="s">
        <v>295</v>
      </c>
      <c r="D1641" s="6" t="s">
        <v>4255</v>
      </c>
      <c r="E1641" s="6" t="s">
        <v>1853</v>
      </c>
      <c r="F1641" s="6" t="s">
        <v>277</v>
      </c>
      <c r="G1641" s="7">
        <v>0.09</v>
      </c>
      <c r="H1641" s="6" t="s">
        <v>2471</v>
      </c>
      <c r="I1641" s="6" t="s">
        <v>20</v>
      </c>
      <c r="J1641" s="6">
        <v>2012.0</v>
      </c>
      <c r="K1641" s="10">
        <v>46055.0</v>
      </c>
      <c r="L1641" s="6">
        <v>1.0</v>
      </c>
      <c r="M1641" s="8">
        <f t="shared" si="3"/>
        <v>0.09</v>
      </c>
      <c r="P1641" s="9"/>
    </row>
    <row r="1642">
      <c r="A1642" s="6" t="s">
        <v>4256</v>
      </c>
      <c r="B1642" s="6" t="s">
        <v>3245</v>
      </c>
      <c r="C1642" s="6" t="s">
        <v>1949</v>
      </c>
      <c r="D1642" s="6" t="s">
        <v>4257</v>
      </c>
      <c r="E1642" s="6" t="s">
        <v>2280</v>
      </c>
      <c r="F1642" s="6" t="s">
        <v>277</v>
      </c>
      <c r="G1642" s="7">
        <v>0.15</v>
      </c>
      <c r="H1642" s="6" t="s">
        <v>1711</v>
      </c>
      <c r="I1642" s="6" t="s">
        <v>20</v>
      </c>
      <c r="J1642" s="6">
        <v>2022.0</v>
      </c>
      <c r="K1642" s="10">
        <v>46024.0</v>
      </c>
      <c r="L1642" s="6">
        <v>1.0</v>
      </c>
      <c r="M1642" s="8">
        <f t="shared" si="3"/>
        <v>0.15</v>
      </c>
      <c r="P1642" s="9"/>
    </row>
    <row r="1643">
      <c r="A1643" s="6" t="s">
        <v>4258</v>
      </c>
      <c r="B1643" s="6" t="s">
        <v>4259</v>
      </c>
      <c r="C1643" s="6" t="s">
        <v>295</v>
      </c>
      <c r="D1643" s="6" t="s">
        <v>4260</v>
      </c>
      <c r="E1643" s="6" t="s">
        <v>1853</v>
      </c>
      <c r="F1643" s="6" t="s">
        <v>277</v>
      </c>
      <c r="G1643" s="7">
        <v>0.03</v>
      </c>
      <c r="H1643" s="6" t="s">
        <v>2474</v>
      </c>
      <c r="I1643" s="6" t="s">
        <v>20</v>
      </c>
      <c r="J1643" s="6">
        <v>2017.0</v>
      </c>
      <c r="K1643" s="10">
        <v>46146.0</v>
      </c>
      <c r="L1643" s="6">
        <v>1.0</v>
      </c>
      <c r="M1643" s="8">
        <f t="shared" si="3"/>
        <v>0.03</v>
      </c>
      <c r="P1643" s="9"/>
    </row>
    <row r="1644">
      <c r="A1644" s="6" t="s">
        <v>4261</v>
      </c>
      <c r="B1644" s="6" t="s">
        <v>2058</v>
      </c>
      <c r="C1644" s="6" t="s">
        <v>1949</v>
      </c>
      <c r="D1644" s="6" t="s">
        <v>4262</v>
      </c>
      <c r="E1644" s="6" t="s">
        <v>2280</v>
      </c>
      <c r="F1644" s="6" t="s">
        <v>277</v>
      </c>
      <c r="G1644" s="7">
        <v>0.05</v>
      </c>
      <c r="H1644" s="6" t="s">
        <v>1641</v>
      </c>
      <c r="I1644" s="6" t="s">
        <v>20</v>
      </c>
      <c r="J1644" s="6">
        <v>2019.0</v>
      </c>
      <c r="L1644" s="6">
        <v>1.0</v>
      </c>
      <c r="M1644" s="8">
        <f t="shared" si="3"/>
        <v>0.05</v>
      </c>
      <c r="P1644" s="9"/>
    </row>
    <row r="1645">
      <c r="A1645" s="6" t="s">
        <v>4263</v>
      </c>
      <c r="B1645" s="6" t="s">
        <v>2058</v>
      </c>
      <c r="C1645" s="6" t="s">
        <v>1949</v>
      </c>
      <c r="D1645" s="6" t="s">
        <v>4264</v>
      </c>
      <c r="E1645" s="6" t="s">
        <v>2839</v>
      </c>
      <c r="F1645" s="6" t="s">
        <v>277</v>
      </c>
      <c r="G1645" s="7">
        <v>0.09</v>
      </c>
      <c r="H1645" s="6" t="s">
        <v>1711</v>
      </c>
      <c r="I1645" s="6" t="s">
        <v>20</v>
      </c>
      <c r="J1645" s="6">
        <v>2022.0</v>
      </c>
      <c r="L1645" s="6">
        <v>1.0</v>
      </c>
      <c r="M1645" s="8">
        <f t="shared" si="3"/>
        <v>0.09</v>
      </c>
      <c r="P1645" s="9"/>
    </row>
    <row r="1646">
      <c r="A1646" s="6" t="s">
        <v>4265</v>
      </c>
      <c r="B1646" s="6" t="s">
        <v>4266</v>
      </c>
      <c r="C1646" s="6" t="s">
        <v>295</v>
      </c>
      <c r="D1646" s="6" t="s">
        <v>4267</v>
      </c>
      <c r="E1646" s="6" t="s">
        <v>1856</v>
      </c>
      <c r="F1646" s="6" t="s">
        <v>277</v>
      </c>
      <c r="G1646" s="7">
        <v>0.07</v>
      </c>
      <c r="H1646" s="6" t="s">
        <v>2963</v>
      </c>
      <c r="I1646" s="6" t="s">
        <v>20</v>
      </c>
      <c r="J1646" s="6">
        <v>2006.0</v>
      </c>
      <c r="K1646" s="10">
        <v>46023.0</v>
      </c>
      <c r="L1646" s="6">
        <v>1.0</v>
      </c>
      <c r="M1646" s="8">
        <f t="shared" si="3"/>
        <v>0.07</v>
      </c>
      <c r="P1646" s="9"/>
    </row>
    <row r="1647">
      <c r="A1647" s="6" t="s">
        <v>4268</v>
      </c>
      <c r="B1647" s="6" t="s">
        <v>378</v>
      </c>
      <c r="C1647" s="6" t="s">
        <v>295</v>
      </c>
      <c r="D1647" s="6" t="s">
        <v>4269</v>
      </c>
      <c r="E1647" s="6" t="s">
        <v>1856</v>
      </c>
      <c r="F1647" s="6" t="s">
        <v>277</v>
      </c>
      <c r="G1647" s="7">
        <v>0.15</v>
      </c>
      <c r="H1647" s="6" t="s">
        <v>1711</v>
      </c>
      <c r="I1647" s="6" t="s">
        <v>20</v>
      </c>
      <c r="J1647" s="6">
        <v>2022.0</v>
      </c>
      <c r="L1647" s="6">
        <v>1.0</v>
      </c>
      <c r="M1647" s="8">
        <f t="shared" si="3"/>
        <v>0.15</v>
      </c>
      <c r="P1647" s="9"/>
    </row>
    <row r="1648">
      <c r="A1648" s="6" t="s">
        <v>4270</v>
      </c>
      <c r="B1648" s="6" t="s">
        <v>385</v>
      </c>
      <c r="C1648" s="6" t="s">
        <v>295</v>
      </c>
      <c r="D1648" s="6" t="s">
        <v>4271</v>
      </c>
      <c r="E1648" s="6" t="s">
        <v>1856</v>
      </c>
      <c r="F1648" s="6" t="s">
        <v>277</v>
      </c>
      <c r="G1648" s="7">
        <v>0.1</v>
      </c>
      <c r="H1648" s="6" t="s">
        <v>1631</v>
      </c>
      <c r="I1648" s="6" t="s">
        <v>20</v>
      </c>
      <c r="J1648" s="6">
        <v>2024.0</v>
      </c>
      <c r="L1648" s="6">
        <v>1.0</v>
      </c>
      <c r="M1648" s="8">
        <f t="shared" si="3"/>
        <v>0.1</v>
      </c>
      <c r="P1648" s="9"/>
    </row>
    <row r="1649">
      <c r="A1649" s="6" t="s">
        <v>4272</v>
      </c>
      <c r="B1649" s="6" t="s">
        <v>2058</v>
      </c>
      <c r="C1649" s="6" t="s">
        <v>295</v>
      </c>
      <c r="D1649" s="6" t="s">
        <v>4273</v>
      </c>
      <c r="E1649" s="6" t="s">
        <v>2280</v>
      </c>
      <c r="F1649" s="6" t="s">
        <v>277</v>
      </c>
      <c r="G1649" s="7">
        <v>0.14</v>
      </c>
      <c r="H1649" s="6" t="s">
        <v>2963</v>
      </c>
      <c r="I1649" s="6" t="s">
        <v>20</v>
      </c>
      <c r="J1649" s="6">
        <v>2006.0</v>
      </c>
      <c r="L1649" s="6">
        <v>1.0</v>
      </c>
      <c r="M1649" s="8">
        <f t="shared" si="3"/>
        <v>0.14</v>
      </c>
      <c r="P1649" s="9"/>
    </row>
    <row r="1650">
      <c r="A1650" s="6" t="s">
        <v>4274</v>
      </c>
      <c r="B1650" s="6" t="s">
        <v>4275</v>
      </c>
      <c r="C1650" s="6" t="s">
        <v>1897</v>
      </c>
      <c r="D1650" s="6" t="s">
        <v>4276</v>
      </c>
      <c r="E1650" s="6" t="s">
        <v>2321</v>
      </c>
      <c r="F1650" s="6" t="s">
        <v>88</v>
      </c>
      <c r="G1650" s="7">
        <v>0.4</v>
      </c>
      <c r="H1650" s="6" t="s">
        <v>2242</v>
      </c>
      <c r="I1650" s="6" t="s">
        <v>20</v>
      </c>
      <c r="J1650" s="6">
        <v>2014.0</v>
      </c>
      <c r="K1650" s="10">
        <v>46084.0</v>
      </c>
      <c r="L1650" s="6">
        <v>1.0</v>
      </c>
      <c r="M1650" s="8">
        <f t="shared" si="3"/>
        <v>0.4</v>
      </c>
      <c r="P1650" s="9"/>
    </row>
    <row r="1651">
      <c r="A1651" s="6" t="s">
        <v>4277</v>
      </c>
      <c r="B1651" s="6" t="s">
        <v>4278</v>
      </c>
      <c r="C1651" s="6" t="s">
        <v>295</v>
      </c>
      <c r="D1651" s="6" t="s">
        <v>4279</v>
      </c>
      <c r="E1651" s="6" t="s">
        <v>2326</v>
      </c>
      <c r="F1651" s="6" t="s">
        <v>88</v>
      </c>
      <c r="G1651" s="7">
        <v>0.02</v>
      </c>
      <c r="H1651" s="6" t="s">
        <v>2619</v>
      </c>
      <c r="I1651" s="6" t="s">
        <v>20</v>
      </c>
      <c r="J1651" s="6">
        <v>2019.0</v>
      </c>
      <c r="K1651" s="10">
        <v>46083.0</v>
      </c>
      <c r="L1651" s="6">
        <v>1.0</v>
      </c>
      <c r="M1651" s="8">
        <f t="shared" si="3"/>
        <v>0.02</v>
      </c>
      <c r="P1651" s="9"/>
    </row>
    <row r="1652">
      <c r="A1652" s="6" t="s">
        <v>4280</v>
      </c>
      <c r="B1652" s="6" t="s">
        <v>2177</v>
      </c>
      <c r="C1652" s="6" t="s">
        <v>1897</v>
      </c>
      <c r="D1652" s="6" t="s">
        <v>4281</v>
      </c>
      <c r="E1652" s="6" t="s">
        <v>4282</v>
      </c>
      <c r="F1652" s="6" t="s">
        <v>88</v>
      </c>
      <c r="G1652" s="7">
        <v>0.25</v>
      </c>
      <c r="H1652" s="6" t="s">
        <v>1984</v>
      </c>
      <c r="I1652" s="6" t="s">
        <v>20</v>
      </c>
      <c r="J1652" s="6">
        <v>2015.0</v>
      </c>
      <c r="K1652" s="10">
        <v>46147.0</v>
      </c>
      <c r="L1652" s="6">
        <v>1.0</v>
      </c>
      <c r="M1652" s="8">
        <f t="shared" si="3"/>
        <v>0.25</v>
      </c>
      <c r="P1652" s="9"/>
    </row>
    <row r="1653">
      <c r="A1653" s="6" t="s">
        <v>4283</v>
      </c>
      <c r="B1653" s="6" t="s">
        <v>4284</v>
      </c>
      <c r="C1653" s="6" t="s">
        <v>295</v>
      </c>
      <c r="D1653" s="6" t="s">
        <v>4285</v>
      </c>
      <c r="E1653" s="6" t="s">
        <v>2318</v>
      </c>
      <c r="F1653" s="6" t="s">
        <v>88</v>
      </c>
      <c r="G1653" s="7">
        <v>0.24</v>
      </c>
      <c r="H1653" s="6" t="s">
        <v>2175</v>
      </c>
      <c r="I1653" s="6" t="s">
        <v>31</v>
      </c>
      <c r="J1653" s="6">
        <v>2018.0</v>
      </c>
      <c r="K1653" s="10">
        <v>46082.0</v>
      </c>
      <c r="L1653" s="6">
        <v>1.0</v>
      </c>
      <c r="M1653" s="8">
        <f t="shared" si="3"/>
        <v>0.24</v>
      </c>
      <c r="P1653" s="9"/>
    </row>
    <row r="1654">
      <c r="A1654" s="6" t="s">
        <v>4286</v>
      </c>
      <c r="B1654" s="6" t="s">
        <v>2316</v>
      </c>
      <c r="C1654" s="6" t="s">
        <v>1897</v>
      </c>
      <c r="D1654" s="6" t="s">
        <v>4287</v>
      </c>
      <c r="E1654" s="6" t="s">
        <v>4288</v>
      </c>
      <c r="F1654" s="6" t="s">
        <v>88</v>
      </c>
      <c r="G1654" s="7">
        <v>0.17</v>
      </c>
      <c r="H1654" s="6" t="s">
        <v>2568</v>
      </c>
      <c r="I1654" s="6" t="s">
        <v>20</v>
      </c>
      <c r="J1654" s="6">
        <v>2012.0</v>
      </c>
      <c r="K1654" s="10">
        <v>46055.0</v>
      </c>
      <c r="L1654" s="6">
        <v>1.0</v>
      </c>
      <c r="M1654" s="8">
        <f t="shared" si="3"/>
        <v>0.17</v>
      </c>
      <c r="P1654" s="9"/>
    </row>
    <row r="1655">
      <c r="A1655" s="6" t="s">
        <v>4289</v>
      </c>
      <c r="B1655" s="6" t="s">
        <v>4290</v>
      </c>
      <c r="C1655" s="6" t="s">
        <v>295</v>
      </c>
      <c r="D1655" s="6" t="s">
        <v>4291</v>
      </c>
      <c r="E1655" s="6" t="s">
        <v>380</v>
      </c>
      <c r="F1655" s="6" t="s">
        <v>88</v>
      </c>
      <c r="G1655" s="7">
        <v>0.05</v>
      </c>
      <c r="H1655" s="6" t="s">
        <v>3092</v>
      </c>
      <c r="I1655" s="6" t="s">
        <v>20</v>
      </c>
      <c r="J1655" s="6">
        <v>2015.0</v>
      </c>
      <c r="K1655" s="10">
        <v>46024.0</v>
      </c>
      <c r="L1655" s="6">
        <v>1.0</v>
      </c>
      <c r="M1655" s="8">
        <f t="shared" si="3"/>
        <v>0.05</v>
      </c>
      <c r="P1655" s="9"/>
    </row>
    <row r="1656">
      <c r="A1656" s="6" t="s">
        <v>4292</v>
      </c>
      <c r="B1656" s="6" t="s">
        <v>2331</v>
      </c>
      <c r="C1656" s="6" t="s">
        <v>1897</v>
      </c>
      <c r="D1656" s="6" t="s">
        <v>4293</v>
      </c>
      <c r="E1656" s="6" t="s">
        <v>4294</v>
      </c>
      <c r="F1656" s="6" t="s">
        <v>88</v>
      </c>
      <c r="G1656" s="7">
        <v>0.5</v>
      </c>
      <c r="H1656" s="6" t="s">
        <v>2769</v>
      </c>
      <c r="I1656" s="6" t="s">
        <v>20</v>
      </c>
      <c r="J1656" s="6">
        <v>2015.0</v>
      </c>
      <c r="K1656" s="10">
        <v>46055.0</v>
      </c>
      <c r="L1656" s="6">
        <v>1.0</v>
      </c>
      <c r="M1656" s="8">
        <f t="shared" si="3"/>
        <v>0.5</v>
      </c>
      <c r="P1656" s="9"/>
    </row>
    <row r="1657">
      <c r="A1657" s="6" t="s">
        <v>4295</v>
      </c>
      <c r="B1657" s="6" t="s">
        <v>2221</v>
      </c>
      <c r="C1657" s="6" t="s">
        <v>295</v>
      </c>
      <c r="D1657" s="6" t="s">
        <v>4296</v>
      </c>
      <c r="E1657" s="6" t="s">
        <v>915</v>
      </c>
      <c r="F1657" s="6" t="s">
        <v>88</v>
      </c>
      <c r="G1657" s="7">
        <v>0.09</v>
      </c>
      <c r="H1657" s="6" t="s">
        <v>2205</v>
      </c>
      <c r="I1657" s="6" t="s">
        <v>20</v>
      </c>
      <c r="J1657" s="6">
        <v>2023.0</v>
      </c>
      <c r="K1657" s="10">
        <v>46054.0</v>
      </c>
      <c r="L1657" s="6">
        <v>4.0</v>
      </c>
      <c r="M1657" s="8">
        <f t="shared" si="3"/>
        <v>0.36</v>
      </c>
      <c r="P1657" s="9"/>
    </row>
    <row r="1658">
      <c r="A1658" s="6" t="s">
        <v>4297</v>
      </c>
      <c r="B1658" s="6" t="s">
        <v>4298</v>
      </c>
      <c r="C1658" s="6" t="s">
        <v>1897</v>
      </c>
      <c r="D1658" s="6" t="s">
        <v>4299</v>
      </c>
      <c r="E1658" s="6" t="s">
        <v>2326</v>
      </c>
      <c r="F1658" s="6" t="s">
        <v>88</v>
      </c>
      <c r="G1658" s="7">
        <v>0.19</v>
      </c>
      <c r="H1658" s="6" t="s">
        <v>2175</v>
      </c>
      <c r="I1658" s="6" t="s">
        <v>20</v>
      </c>
      <c r="J1658" s="6">
        <v>2018.0</v>
      </c>
      <c r="K1658" s="6" t="s">
        <v>750</v>
      </c>
      <c r="L1658" s="6">
        <v>1.0</v>
      </c>
      <c r="M1658" s="8">
        <f t="shared" si="3"/>
        <v>0.19</v>
      </c>
      <c r="P1658" s="9"/>
    </row>
    <row r="1659">
      <c r="A1659" s="6" t="s">
        <v>4300</v>
      </c>
      <c r="B1659" s="6" t="s">
        <v>4124</v>
      </c>
      <c r="C1659" s="6" t="s">
        <v>295</v>
      </c>
      <c r="E1659" s="6" t="s">
        <v>380</v>
      </c>
      <c r="F1659" s="6" t="s">
        <v>88</v>
      </c>
      <c r="G1659" s="7">
        <v>0.06</v>
      </c>
      <c r="H1659" s="6" t="s">
        <v>2202</v>
      </c>
      <c r="I1659" s="6" t="s">
        <v>20</v>
      </c>
      <c r="J1659" s="6">
        <v>2014.0</v>
      </c>
      <c r="K1659" s="10">
        <v>46024.0</v>
      </c>
      <c r="L1659" s="6">
        <v>5.0</v>
      </c>
      <c r="M1659" s="8">
        <f t="shared" si="3"/>
        <v>0.3</v>
      </c>
      <c r="P1659" s="9"/>
    </row>
    <row r="1660">
      <c r="A1660" s="6" t="s">
        <v>4301</v>
      </c>
      <c r="B1660" s="6" t="s">
        <v>3324</v>
      </c>
      <c r="C1660" s="6" t="s">
        <v>295</v>
      </c>
      <c r="D1660" s="6" t="s">
        <v>4302</v>
      </c>
      <c r="E1660" s="6" t="s">
        <v>2318</v>
      </c>
      <c r="F1660" s="6" t="s">
        <v>88</v>
      </c>
      <c r="G1660" s="7">
        <v>0.1</v>
      </c>
      <c r="H1660" s="6" t="s">
        <v>2162</v>
      </c>
      <c r="I1660" s="6" t="s">
        <v>20</v>
      </c>
      <c r="J1660" s="6">
        <v>2021.0</v>
      </c>
      <c r="K1660" s="10">
        <v>46024.0</v>
      </c>
      <c r="L1660" s="6">
        <v>4.0</v>
      </c>
      <c r="M1660" s="8">
        <f t="shared" si="3"/>
        <v>0.4</v>
      </c>
      <c r="P1660" s="9"/>
    </row>
    <row r="1661">
      <c r="A1661" s="6" t="s">
        <v>4303</v>
      </c>
      <c r="B1661" s="6" t="s">
        <v>2748</v>
      </c>
      <c r="C1661" s="6" t="s">
        <v>295</v>
      </c>
      <c r="D1661" s="6" t="s">
        <v>4304</v>
      </c>
      <c r="E1661" s="6" t="s">
        <v>380</v>
      </c>
      <c r="F1661" s="6" t="s">
        <v>88</v>
      </c>
      <c r="G1661" s="7">
        <v>0.05</v>
      </c>
      <c r="H1661" s="6" t="s">
        <v>1995</v>
      </c>
      <c r="I1661" s="6" t="s">
        <v>20</v>
      </c>
      <c r="J1661" s="6">
        <v>2016.0</v>
      </c>
      <c r="K1661" s="10">
        <v>46082.0</v>
      </c>
      <c r="L1661" s="6">
        <v>1.0</v>
      </c>
      <c r="M1661" s="8">
        <f t="shared" si="3"/>
        <v>0.05</v>
      </c>
      <c r="P1661" s="9"/>
    </row>
    <row r="1662">
      <c r="A1662" s="6" t="s">
        <v>4305</v>
      </c>
      <c r="B1662" s="6" t="s">
        <v>2316</v>
      </c>
      <c r="C1662" s="6" t="s">
        <v>295</v>
      </c>
      <c r="D1662" s="6" t="s">
        <v>4306</v>
      </c>
      <c r="E1662" s="6" t="s">
        <v>2318</v>
      </c>
      <c r="F1662" s="6" t="s">
        <v>88</v>
      </c>
      <c r="G1662" s="7">
        <v>0.2</v>
      </c>
      <c r="H1662" s="6" t="s">
        <v>2568</v>
      </c>
      <c r="I1662" s="6" t="s">
        <v>20</v>
      </c>
      <c r="J1662" s="6">
        <v>2012.0</v>
      </c>
      <c r="K1662" s="10">
        <v>46113.0</v>
      </c>
      <c r="L1662" s="6">
        <v>1.0</v>
      </c>
      <c r="M1662" s="8">
        <f t="shared" si="3"/>
        <v>0.2</v>
      </c>
      <c r="P1662" s="9"/>
    </row>
    <row r="1663">
      <c r="A1663" s="6" t="s">
        <v>4307</v>
      </c>
      <c r="B1663" s="6" t="s">
        <v>2061</v>
      </c>
      <c r="C1663" s="6" t="s">
        <v>295</v>
      </c>
      <c r="D1663" s="6" t="s">
        <v>4308</v>
      </c>
      <c r="E1663" s="6" t="s">
        <v>380</v>
      </c>
      <c r="F1663" s="6" t="s">
        <v>88</v>
      </c>
      <c r="G1663" s="7">
        <v>0.05</v>
      </c>
      <c r="H1663" s="6" t="s">
        <v>2471</v>
      </c>
      <c r="I1663" s="6" t="s">
        <v>20</v>
      </c>
      <c r="J1663" s="6">
        <v>2012.0</v>
      </c>
      <c r="K1663" s="10">
        <v>46024.0</v>
      </c>
      <c r="L1663" s="6">
        <v>1.0</v>
      </c>
      <c r="M1663" s="8">
        <f t="shared" si="3"/>
        <v>0.05</v>
      </c>
      <c r="P1663" s="9"/>
    </row>
    <row r="1664">
      <c r="A1664" s="6" t="s">
        <v>4309</v>
      </c>
      <c r="B1664" s="6" t="s">
        <v>4310</v>
      </c>
      <c r="C1664" s="6" t="s">
        <v>295</v>
      </c>
      <c r="D1664" s="6" t="s">
        <v>4311</v>
      </c>
      <c r="E1664" s="6" t="s">
        <v>380</v>
      </c>
      <c r="F1664" s="6" t="s">
        <v>88</v>
      </c>
      <c r="G1664" s="7">
        <v>0.22</v>
      </c>
      <c r="H1664" s="6" t="s">
        <v>2238</v>
      </c>
      <c r="I1664" s="6" t="s">
        <v>31</v>
      </c>
      <c r="J1664" s="6">
        <v>2024.0</v>
      </c>
      <c r="K1664" s="10">
        <v>46024.0</v>
      </c>
      <c r="L1664" s="6">
        <v>1.0</v>
      </c>
      <c r="M1664" s="8">
        <f t="shared" si="3"/>
        <v>0.22</v>
      </c>
      <c r="P1664" s="9"/>
    </row>
    <row r="1665">
      <c r="A1665" s="6" t="s">
        <v>4312</v>
      </c>
      <c r="B1665" s="6" t="s">
        <v>4313</v>
      </c>
      <c r="C1665" s="6" t="s">
        <v>1897</v>
      </c>
      <c r="D1665" s="6" t="s">
        <v>4314</v>
      </c>
      <c r="E1665" s="6" t="s">
        <v>4315</v>
      </c>
      <c r="F1665" s="6" t="s">
        <v>88</v>
      </c>
      <c r="G1665" s="7">
        <v>28.8</v>
      </c>
      <c r="H1665" s="6" t="s">
        <v>2172</v>
      </c>
      <c r="I1665" s="6" t="s">
        <v>20</v>
      </c>
      <c r="J1665" s="6">
        <v>2021.0</v>
      </c>
      <c r="K1665" s="10">
        <v>46241.0</v>
      </c>
      <c r="L1665" s="6">
        <v>1.0</v>
      </c>
      <c r="M1665" s="8">
        <f t="shared" si="3"/>
        <v>28.8</v>
      </c>
      <c r="P1665" s="9"/>
    </row>
    <row r="1666">
      <c r="A1666" s="6" t="s">
        <v>4316</v>
      </c>
      <c r="B1666" s="6" t="s">
        <v>2621</v>
      </c>
      <c r="C1666" s="6" t="s">
        <v>295</v>
      </c>
      <c r="D1666" s="6" t="s">
        <v>4317</v>
      </c>
      <c r="E1666" s="6" t="s">
        <v>2326</v>
      </c>
      <c r="F1666" s="6" t="s">
        <v>88</v>
      </c>
      <c r="G1666" s="7">
        <v>0.05</v>
      </c>
      <c r="H1666" s="6" t="s">
        <v>2578</v>
      </c>
      <c r="I1666" s="6" t="s">
        <v>31</v>
      </c>
      <c r="J1666" s="6">
        <v>2020.0</v>
      </c>
      <c r="K1666" s="10">
        <v>46084.0</v>
      </c>
      <c r="L1666" s="6">
        <v>1.0</v>
      </c>
      <c r="M1666" s="8">
        <f t="shared" si="3"/>
        <v>0.05</v>
      </c>
      <c r="P1666" s="9"/>
    </row>
    <row r="1667">
      <c r="A1667" s="6" t="s">
        <v>4318</v>
      </c>
      <c r="B1667" s="6" t="s">
        <v>4319</v>
      </c>
      <c r="C1667" s="6" t="s">
        <v>1897</v>
      </c>
      <c r="D1667" s="6" t="s">
        <v>4320</v>
      </c>
      <c r="E1667" s="6" t="s">
        <v>4321</v>
      </c>
      <c r="F1667" s="6" t="s">
        <v>88</v>
      </c>
      <c r="G1667" s="7">
        <v>0.25</v>
      </c>
      <c r="H1667" s="6" t="s">
        <v>2641</v>
      </c>
      <c r="I1667" s="6" t="s">
        <v>20</v>
      </c>
      <c r="J1667" s="6">
        <v>2013.0</v>
      </c>
      <c r="K1667" s="10">
        <v>46116.0</v>
      </c>
      <c r="L1667" s="6">
        <v>1.0</v>
      </c>
      <c r="M1667" s="8">
        <f t="shared" si="3"/>
        <v>0.25</v>
      </c>
      <c r="P1667" s="9"/>
    </row>
    <row r="1668">
      <c r="A1668" s="6" t="s">
        <v>4322</v>
      </c>
      <c r="B1668" s="6" t="s">
        <v>2621</v>
      </c>
      <c r="C1668" s="6" t="s">
        <v>1897</v>
      </c>
      <c r="D1668" s="6" t="s">
        <v>4323</v>
      </c>
      <c r="E1668" s="6" t="s">
        <v>4324</v>
      </c>
      <c r="F1668" s="6" t="s">
        <v>88</v>
      </c>
      <c r="G1668" s="7">
        <v>0.3</v>
      </c>
      <c r="H1668" s="6" t="s">
        <v>2172</v>
      </c>
      <c r="I1668" s="6" t="s">
        <v>20</v>
      </c>
      <c r="J1668" s="6">
        <v>2021.0</v>
      </c>
      <c r="K1668" s="10">
        <v>46025.0</v>
      </c>
      <c r="L1668" s="6">
        <v>1.0</v>
      </c>
      <c r="M1668" s="8">
        <f t="shared" si="3"/>
        <v>0.3</v>
      </c>
      <c r="P1668" s="9"/>
    </row>
    <row r="1669">
      <c r="A1669" s="6" t="s">
        <v>4325</v>
      </c>
      <c r="B1669" s="6" t="s">
        <v>2232</v>
      </c>
      <c r="C1669" s="6" t="s">
        <v>295</v>
      </c>
      <c r="D1669" s="6" t="s">
        <v>4326</v>
      </c>
      <c r="E1669" s="6" t="s">
        <v>2326</v>
      </c>
      <c r="F1669" s="6" t="s">
        <v>88</v>
      </c>
      <c r="G1669" s="7">
        <v>0.06</v>
      </c>
      <c r="H1669" s="6" t="s">
        <v>1711</v>
      </c>
      <c r="I1669" s="6" t="s">
        <v>20</v>
      </c>
      <c r="J1669" s="6">
        <v>2022.0</v>
      </c>
      <c r="K1669" s="10">
        <v>46179.0</v>
      </c>
      <c r="L1669" s="6">
        <v>3.0</v>
      </c>
      <c r="M1669" s="8">
        <f t="shared" si="3"/>
        <v>0.18</v>
      </c>
      <c r="P1669" s="9"/>
    </row>
    <row r="1670">
      <c r="A1670" s="6" t="s">
        <v>4327</v>
      </c>
      <c r="B1670" s="6" t="s">
        <v>4328</v>
      </c>
      <c r="C1670" s="6" t="s">
        <v>1949</v>
      </c>
      <c r="D1670" s="6" t="s">
        <v>4329</v>
      </c>
      <c r="E1670" s="6" t="s">
        <v>915</v>
      </c>
      <c r="F1670" s="6" t="s">
        <v>88</v>
      </c>
      <c r="G1670" s="7">
        <v>0.5</v>
      </c>
      <c r="H1670" s="6" t="s">
        <v>2175</v>
      </c>
      <c r="I1670" s="6" t="s">
        <v>31</v>
      </c>
      <c r="J1670" s="6">
        <v>2018.0</v>
      </c>
      <c r="L1670" s="6">
        <v>1.0</v>
      </c>
      <c r="M1670" s="8">
        <f t="shared" si="3"/>
        <v>0.5</v>
      </c>
      <c r="P1670" s="9"/>
    </row>
    <row r="1671">
      <c r="A1671" s="6" t="s">
        <v>4330</v>
      </c>
      <c r="B1671" s="6" t="s">
        <v>2014</v>
      </c>
      <c r="C1671" s="6" t="s">
        <v>295</v>
      </c>
      <c r="D1671" s="6" t="s">
        <v>4331</v>
      </c>
      <c r="E1671" s="6" t="s">
        <v>380</v>
      </c>
      <c r="F1671" s="6" t="s">
        <v>88</v>
      </c>
      <c r="G1671" s="7">
        <v>0.05</v>
      </c>
      <c r="H1671" s="6" t="s">
        <v>1673</v>
      </c>
      <c r="I1671" s="6" t="s">
        <v>20</v>
      </c>
      <c r="J1671" s="6">
        <v>2012.0</v>
      </c>
      <c r="L1671" s="6">
        <v>1.0</v>
      </c>
      <c r="M1671" s="8">
        <f t="shared" si="3"/>
        <v>0.05</v>
      </c>
      <c r="P1671" s="9"/>
    </row>
    <row r="1672">
      <c r="A1672" s="6" t="s">
        <v>4332</v>
      </c>
      <c r="B1672" s="6" t="s">
        <v>2017</v>
      </c>
      <c r="C1672" s="6" t="s">
        <v>295</v>
      </c>
      <c r="D1672" s="6" t="s">
        <v>4333</v>
      </c>
      <c r="E1672" s="6" t="s">
        <v>915</v>
      </c>
      <c r="F1672" s="6" t="s">
        <v>88</v>
      </c>
      <c r="G1672" s="7">
        <v>0.17</v>
      </c>
      <c r="H1672" s="6" t="s">
        <v>1638</v>
      </c>
      <c r="I1672" s="6" t="s">
        <v>20</v>
      </c>
      <c r="J1672" s="6">
        <v>2024.0</v>
      </c>
      <c r="K1672" s="10">
        <v>46023.0</v>
      </c>
      <c r="L1672" s="6">
        <v>2.0</v>
      </c>
      <c r="M1672" s="8">
        <f t="shared" si="3"/>
        <v>0.34</v>
      </c>
      <c r="P1672" s="9"/>
    </row>
    <row r="1673">
      <c r="A1673" s="6" t="s">
        <v>4334</v>
      </c>
      <c r="B1673" s="6" t="s">
        <v>2621</v>
      </c>
      <c r="C1673" s="6" t="s">
        <v>295</v>
      </c>
      <c r="D1673" s="6" t="s">
        <v>4335</v>
      </c>
      <c r="E1673" s="6" t="s">
        <v>2321</v>
      </c>
      <c r="F1673" s="6" t="s">
        <v>88</v>
      </c>
      <c r="G1673" s="7">
        <v>0.09</v>
      </c>
      <c r="H1673" s="6" t="s">
        <v>1625</v>
      </c>
      <c r="I1673" s="6" t="s">
        <v>20</v>
      </c>
      <c r="J1673" s="6">
        <v>2021.0</v>
      </c>
      <c r="K1673" s="10">
        <v>46084.0</v>
      </c>
      <c r="L1673" s="6">
        <v>2.0</v>
      </c>
      <c r="M1673" s="8">
        <f t="shared" si="3"/>
        <v>0.18</v>
      </c>
      <c r="P1673" s="9"/>
    </row>
    <row r="1674">
      <c r="A1674" s="6" t="s">
        <v>4336</v>
      </c>
      <c r="B1674" s="6" t="s">
        <v>2424</v>
      </c>
      <c r="C1674" s="6" t="s">
        <v>1897</v>
      </c>
      <c r="D1674" s="6" t="s">
        <v>4337</v>
      </c>
      <c r="E1674" s="6" t="s">
        <v>2321</v>
      </c>
      <c r="F1674" s="6" t="s">
        <v>88</v>
      </c>
      <c r="G1674" s="7">
        <v>0.27</v>
      </c>
      <c r="H1674" s="6" t="s">
        <v>1664</v>
      </c>
      <c r="I1674" s="6" t="s">
        <v>20</v>
      </c>
      <c r="J1674" s="6">
        <v>2018.0</v>
      </c>
      <c r="L1674" s="6">
        <v>1.0</v>
      </c>
      <c r="M1674" s="8">
        <f t="shared" si="3"/>
        <v>0.27</v>
      </c>
      <c r="P1674" s="9"/>
    </row>
    <row r="1675">
      <c r="A1675" s="6" t="s">
        <v>4338</v>
      </c>
      <c r="B1675" s="6" t="s">
        <v>2014</v>
      </c>
      <c r="C1675" s="6" t="s">
        <v>295</v>
      </c>
      <c r="D1675" s="6" t="s">
        <v>4339</v>
      </c>
      <c r="E1675" s="6" t="s">
        <v>3494</v>
      </c>
      <c r="F1675" s="6" t="s">
        <v>3169</v>
      </c>
      <c r="G1675" s="7">
        <v>16.0</v>
      </c>
      <c r="H1675" s="6" t="s">
        <v>1676</v>
      </c>
      <c r="I1675" s="6" t="s">
        <v>20</v>
      </c>
      <c r="J1675" s="6">
        <v>2008.0</v>
      </c>
      <c r="L1675" s="6">
        <v>1.0</v>
      </c>
      <c r="M1675" s="8">
        <f t="shared" si="3"/>
        <v>16</v>
      </c>
      <c r="P1675" s="9"/>
    </row>
    <row r="1676">
      <c r="A1676" s="6" t="s">
        <v>4340</v>
      </c>
      <c r="B1676" s="6" t="s">
        <v>2822</v>
      </c>
      <c r="C1676" s="6" t="s">
        <v>295</v>
      </c>
      <c r="D1676" s="6" t="s">
        <v>4341</v>
      </c>
      <c r="E1676" s="6" t="s">
        <v>915</v>
      </c>
      <c r="F1676" s="6" t="s">
        <v>88</v>
      </c>
      <c r="G1676" s="7">
        <v>0.33</v>
      </c>
      <c r="H1676" s="6" t="s">
        <v>3369</v>
      </c>
      <c r="I1676" s="6" t="s">
        <v>31</v>
      </c>
      <c r="J1676" s="6">
        <v>2025.0</v>
      </c>
      <c r="L1676" s="6">
        <v>2.0</v>
      </c>
      <c r="M1676" s="8">
        <f t="shared" si="3"/>
        <v>0.66</v>
      </c>
      <c r="P1676" s="9"/>
    </row>
    <row r="1677">
      <c r="A1677" s="6" t="s">
        <v>4342</v>
      </c>
      <c r="B1677" s="6" t="s">
        <v>2014</v>
      </c>
      <c r="C1677" s="6" t="s">
        <v>295</v>
      </c>
      <c r="D1677" s="6" t="s">
        <v>4343</v>
      </c>
      <c r="E1677" s="6" t="s">
        <v>915</v>
      </c>
      <c r="F1677" s="6" t="s">
        <v>88</v>
      </c>
      <c r="G1677" s="7">
        <v>0.33</v>
      </c>
      <c r="H1677" s="6" t="s">
        <v>1979</v>
      </c>
      <c r="I1677" s="6" t="s">
        <v>31</v>
      </c>
      <c r="J1677" s="6">
        <v>2022.0</v>
      </c>
      <c r="L1677" s="6">
        <v>1.0</v>
      </c>
      <c r="M1677" s="8">
        <f t="shared" si="3"/>
        <v>0.33</v>
      </c>
      <c r="P1677" s="9"/>
    </row>
    <row r="1678">
      <c r="A1678" s="6" t="s">
        <v>4344</v>
      </c>
      <c r="B1678" s="6" t="s">
        <v>4345</v>
      </c>
      <c r="C1678" s="6" t="s">
        <v>160</v>
      </c>
      <c r="D1678" s="6" t="s">
        <v>4346</v>
      </c>
      <c r="E1678" s="6" t="s">
        <v>380</v>
      </c>
      <c r="F1678" s="6" t="s">
        <v>88</v>
      </c>
      <c r="G1678" s="7">
        <v>0.99</v>
      </c>
      <c r="H1678" s="6" t="s">
        <v>2769</v>
      </c>
      <c r="I1678" s="6" t="s">
        <v>20</v>
      </c>
      <c r="J1678" s="6">
        <v>2015.0</v>
      </c>
      <c r="K1678" s="6" t="s">
        <v>1733</v>
      </c>
      <c r="L1678" s="6">
        <v>1.0</v>
      </c>
      <c r="M1678" s="8">
        <f t="shared" si="3"/>
        <v>0.99</v>
      </c>
      <c r="P1678" s="9"/>
    </row>
    <row r="1679">
      <c r="A1679" s="6" t="s">
        <v>4347</v>
      </c>
      <c r="B1679" s="6" t="s">
        <v>4348</v>
      </c>
      <c r="C1679" s="6" t="s">
        <v>295</v>
      </c>
      <c r="D1679" s="6" t="s">
        <v>4349</v>
      </c>
      <c r="E1679" s="6" t="s">
        <v>2326</v>
      </c>
      <c r="F1679" s="6" t="s">
        <v>88</v>
      </c>
      <c r="G1679" s="7">
        <v>0.06</v>
      </c>
      <c r="H1679" s="6" t="s">
        <v>1984</v>
      </c>
      <c r="I1679" s="6" t="s">
        <v>20</v>
      </c>
      <c r="J1679" s="6">
        <v>2015.0</v>
      </c>
      <c r="K1679" s="10">
        <v>46056.0</v>
      </c>
      <c r="L1679" s="6">
        <v>5.0</v>
      </c>
      <c r="M1679" s="8">
        <f t="shared" si="3"/>
        <v>0.3</v>
      </c>
      <c r="P1679" s="9"/>
    </row>
    <row r="1680">
      <c r="A1680" s="6" t="s">
        <v>4350</v>
      </c>
      <c r="B1680" s="6" t="s">
        <v>3496</v>
      </c>
      <c r="C1680" s="6" t="s">
        <v>1949</v>
      </c>
      <c r="D1680" s="6" t="s">
        <v>4351</v>
      </c>
      <c r="E1680" s="6" t="s">
        <v>2318</v>
      </c>
      <c r="F1680" s="6" t="s">
        <v>88</v>
      </c>
      <c r="G1680" s="7">
        <v>0.08</v>
      </c>
      <c r="H1680" s="6" t="s">
        <v>1676</v>
      </c>
      <c r="I1680" s="6" t="s">
        <v>20</v>
      </c>
      <c r="J1680" s="6">
        <v>2008.0</v>
      </c>
      <c r="K1680" s="10">
        <v>46084.0</v>
      </c>
      <c r="L1680" s="6">
        <v>1.0</v>
      </c>
      <c r="M1680" s="8">
        <f t="shared" si="3"/>
        <v>0.08</v>
      </c>
      <c r="P1680" s="9"/>
    </row>
    <row r="1681">
      <c r="A1681" s="6" t="s">
        <v>4352</v>
      </c>
      <c r="B1681" s="6" t="s">
        <v>378</v>
      </c>
      <c r="C1681" s="6" t="s">
        <v>295</v>
      </c>
      <c r="D1681" s="6" t="s">
        <v>4353</v>
      </c>
      <c r="E1681" s="6" t="s">
        <v>2326</v>
      </c>
      <c r="F1681" s="6" t="s">
        <v>88</v>
      </c>
      <c r="G1681" s="7">
        <v>0.05</v>
      </c>
      <c r="H1681" s="6" t="s">
        <v>4354</v>
      </c>
      <c r="I1681" s="6" t="s">
        <v>20</v>
      </c>
      <c r="J1681" s="6">
        <v>2014.0</v>
      </c>
      <c r="L1681" s="6">
        <v>1.0</v>
      </c>
      <c r="M1681" s="8">
        <f t="shared" si="3"/>
        <v>0.05</v>
      </c>
      <c r="P1681" s="9"/>
    </row>
    <row r="1682">
      <c r="A1682" s="6" t="s">
        <v>4355</v>
      </c>
      <c r="B1682" s="6" t="s">
        <v>3496</v>
      </c>
      <c r="C1682" s="6" t="s">
        <v>295</v>
      </c>
      <c r="D1682" s="6" t="s">
        <v>4356</v>
      </c>
      <c r="E1682" s="6" t="s">
        <v>2321</v>
      </c>
      <c r="F1682" s="6" t="s">
        <v>88</v>
      </c>
      <c r="G1682" s="7">
        <v>0.05</v>
      </c>
      <c r="H1682" s="6" t="s">
        <v>1676</v>
      </c>
      <c r="I1682" s="6" t="s">
        <v>20</v>
      </c>
      <c r="J1682" s="6">
        <v>2008.0</v>
      </c>
      <c r="K1682" s="10">
        <v>46084.0</v>
      </c>
      <c r="L1682" s="6">
        <v>1.0</v>
      </c>
      <c r="M1682" s="8">
        <f t="shared" si="3"/>
        <v>0.05</v>
      </c>
      <c r="P1682" s="9"/>
    </row>
    <row r="1683">
      <c r="A1683" s="6" t="s">
        <v>4357</v>
      </c>
      <c r="B1683" s="6" t="s">
        <v>4358</v>
      </c>
      <c r="C1683" s="6" t="s">
        <v>295</v>
      </c>
      <c r="D1683" s="6" t="s">
        <v>4359</v>
      </c>
      <c r="E1683" s="6" t="s">
        <v>2321</v>
      </c>
      <c r="F1683" s="6" t="s">
        <v>88</v>
      </c>
      <c r="G1683" s="7">
        <v>0.03</v>
      </c>
      <c r="H1683" s="6" t="s">
        <v>1704</v>
      </c>
      <c r="I1683" s="6" t="s">
        <v>20</v>
      </c>
      <c r="J1683" s="6">
        <v>2016.0</v>
      </c>
      <c r="K1683" s="10">
        <v>46116.0</v>
      </c>
      <c r="L1683" s="6">
        <v>2.0</v>
      </c>
      <c r="M1683" s="8">
        <f t="shared" si="3"/>
        <v>0.06</v>
      </c>
      <c r="P1683" s="9"/>
    </row>
    <row r="1684">
      <c r="A1684" s="6" t="s">
        <v>4360</v>
      </c>
      <c r="B1684" s="6" t="s">
        <v>378</v>
      </c>
      <c r="C1684" s="6" t="s">
        <v>295</v>
      </c>
      <c r="D1684" s="6" t="s">
        <v>4361</v>
      </c>
      <c r="E1684" s="6" t="s">
        <v>915</v>
      </c>
      <c r="F1684" s="6" t="s">
        <v>88</v>
      </c>
      <c r="G1684" s="7">
        <v>0.04</v>
      </c>
      <c r="H1684" s="6" t="s">
        <v>2471</v>
      </c>
      <c r="I1684" s="6" t="s">
        <v>20</v>
      </c>
      <c r="J1684" s="6">
        <v>2012.0</v>
      </c>
      <c r="L1684" s="6">
        <v>2.0</v>
      </c>
      <c r="M1684" s="8">
        <f t="shared" si="3"/>
        <v>0.08</v>
      </c>
      <c r="P1684" s="9"/>
    </row>
    <row r="1685">
      <c r="A1685" s="6" t="s">
        <v>4362</v>
      </c>
      <c r="B1685" s="6" t="s">
        <v>4358</v>
      </c>
      <c r="C1685" s="6" t="s">
        <v>295</v>
      </c>
      <c r="E1685" s="6" t="s">
        <v>4324</v>
      </c>
      <c r="F1685" s="6" t="s">
        <v>88</v>
      </c>
      <c r="G1685" s="7">
        <v>0.05</v>
      </c>
      <c r="H1685" s="6" t="s">
        <v>1995</v>
      </c>
      <c r="I1685" s="6" t="s">
        <v>20</v>
      </c>
      <c r="J1685" s="6">
        <v>2016.0</v>
      </c>
      <c r="K1685" s="10">
        <v>46143.0</v>
      </c>
      <c r="L1685" s="6">
        <v>3.0</v>
      </c>
      <c r="M1685" s="8">
        <f t="shared" si="3"/>
        <v>0.15</v>
      </c>
      <c r="P1685" s="9"/>
    </row>
    <row r="1686">
      <c r="A1686" s="6" t="s">
        <v>4363</v>
      </c>
      <c r="B1686" s="6" t="s">
        <v>4364</v>
      </c>
      <c r="C1686" s="6" t="s">
        <v>295</v>
      </c>
      <c r="D1686" s="6" t="s">
        <v>4365</v>
      </c>
      <c r="E1686" s="6" t="s">
        <v>380</v>
      </c>
      <c r="F1686" s="6" t="s">
        <v>88</v>
      </c>
      <c r="G1686" s="7">
        <v>0.07</v>
      </c>
      <c r="H1686" s="6" t="s">
        <v>2172</v>
      </c>
      <c r="I1686" s="6" t="s">
        <v>20</v>
      </c>
      <c r="J1686" s="6">
        <v>2021.0</v>
      </c>
      <c r="K1686" s="10">
        <v>46024.0</v>
      </c>
      <c r="L1686" s="6">
        <v>4.0</v>
      </c>
      <c r="M1686" s="8">
        <f t="shared" si="3"/>
        <v>0.28</v>
      </c>
      <c r="P1686" s="9"/>
    </row>
    <row r="1687">
      <c r="A1687" s="6" t="s">
        <v>4366</v>
      </c>
      <c r="B1687" s="6" t="s">
        <v>4367</v>
      </c>
      <c r="C1687" s="6" t="s">
        <v>295</v>
      </c>
      <c r="D1687" s="6" t="s">
        <v>4368</v>
      </c>
      <c r="E1687" s="6" t="s">
        <v>2318</v>
      </c>
      <c r="F1687" s="6" t="s">
        <v>88</v>
      </c>
      <c r="G1687" s="7">
        <v>0.07</v>
      </c>
      <c r="H1687" s="6" t="s">
        <v>2471</v>
      </c>
      <c r="I1687" s="6" t="s">
        <v>20</v>
      </c>
      <c r="J1687" s="6">
        <v>2012.0</v>
      </c>
      <c r="K1687" s="10">
        <v>46176.0</v>
      </c>
      <c r="L1687" s="6">
        <v>2.0</v>
      </c>
      <c r="M1687" s="8">
        <f t="shared" si="3"/>
        <v>0.14</v>
      </c>
      <c r="P1687" s="9"/>
    </row>
    <row r="1688">
      <c r="A1688" s="6" t="s">
        <v>4369</v>
      </c>
      <c r="B1688" s="6" t="s">
        <v>378</v>
      </c>
      <c r="C1688" s="6" t="s">
        <v>1949</v>
      </c>
      <c r="D1688" s="6" t="s">
        <v>4370</v>
      </c>
      <c r="E1688" s="6" t="s">
        <v>2318</v>
      </c>
      <c r="F1688" s="6" t="s">
        <v>88</v>
      </c>
      <c r="G1688" s="7">
        <v>0.25</v>
      </c>
      <c r="H1688" s="6" t="s">
        <v>2175</v>
      </c>
      <c r="I1688" s="6" t="s">
        <v>20</v>
      </c>
      <c r="J1688" s="6">
        <v>2018.0</v>
      </c>
      <c r="L1688" s="6">
        <v>1.0</v>
      </c>
      <c r="M1688" s="8">
        <f t="shared" si="3"/>
        <v>0.25</v>
      </c>
      <c r="P1688" s="9"/>
    </row>
    <row r="1689">
      <c r="A1689" s="6" t="s">
        <v>4369</v>
      </c>
      <c r="B1689" s="6" t="s">
        <v>378</v>
      </c>
      <c r="C1689" s="6" t="s">
        <v>295</v>
      </c>
      <c r="D1689" s="6" t="s">
        <v>4370</v>
      </c>
      <c r="E1689" s="6" t="s">
        <v>2318</v>
      </c>
      <c r="F1689" s="6" t="s">
        <v>88</v>
      </c>
      <c r="G1689" s="7">
        <v>0.25</v>
      </c>
      <c r="H1689" s="6" t="s">
        <v>2141</v>
      </c>
      <c r="I1689" s="6" t="s">
        <v>31</v>
      </c>
      <c r="J1689" s="6">
        <v>2023.0</v>
      </c>
      <c r="L1689" s="6">
        <v>1.0</v>
      </c>
      <c r="M1689" s="8"/>
      <c r="P1689" s="9"/>
    </row>
    <row r="1690">
      <c r="A1690" s="6" t="s">
        <v>4371</v>
      </c>
      <c r="B1690" s="6" t="s">
        <v>610</v>
      </c>
      <c r="C1690" s="6" t="s">
        <v>295</v>
      </c>
      <c r="D1690" s="6" t="s">
        <v>4372</v>
      </c>
      <c r="E1690" s="6" t="s">
        <v>2326</v>
      </c>
      <c r="F1690" s="6" t="s">
        <v>88</v>
      </c>
      <c r="G1690" s="7">
        <v>0.04</v>
      </c>
      <c r="H1690" s="6" t="s">
        <v>1631</v>
      </c>
      <c r="I1690" s="6" t="s">
        <v>20</v>
      </c>
      <c r="J1690" s="6">
        <v>2024.0</v>
      </c>
      <c r="L1690" s="6">
        <v>1.0</v>
      </c>
      <c r="M1690" s="8">
        <f t="shared" ref="M1690:M1712" si="4">L1690*G1690</f>
        <v>0.04</v>
      </c>
      <c r="P1690" s="9"/>
    </row>
    <row r="1691">
      <c r="A1691" s="6" t="s">
        <v>4373</v>
      </c>
      <c r="B1691" s="6" t="s">
        <v>378</v>
      </c>
      <c r="C1691" s="6" t="s">
        <v>1897</v>
      </c>
      <c r="D1691" s="6" t="s">
        <v>4374</v>
      </c>
      <c r="E1691" s="6" t="s">
        <v>4288</v>
      </c>
      <c r="F1691" s="6" t="s">
        <v>88</v>
      </c>
      <c r="G1691" s="7">
        <v>0.25</v>
      </c>
      <c r="H1691" s="6" t="s">
        <v>2190</v>
      </c>
      <c r="I1691" s="6" t="s">
        <v>20</v>
      </c>
      <c r="J1691" s="6">
        <v>2016.0</v>
      </c>
      <c r="L1691" s="6">
        <v>1.0</v>
      </c>
      <c r="M1691" s="8">
        <f t="shared" si="4"/>
        <v>0.25</v>
      </c>
      <c r="P1691" s="9"/>
    </row>
    <row r="1692">
      <c r="A1692" s="6" t="s">
        <v>4375</v>
      </c>
      <c r="B1692" s="6" t="s">
        <v>378</v>
      </c>
      <c r="C1692" s="6" t="s">
        <v>1949</v>
      </c>
      <c r="D1692" s="6" t="s">
        <v>4376</v>
      </c>
      <c r="E1692" s="6" t="s">
        <v>2318</v>
      </c>
      <c r="F1692" s="6" t="s">
        <v>88</v>
      </c>
      <c r="G1692" s="7">
        <v>0.13</v>
      </c>
      <c r="H1692" s="6" t="s">
        <v>1711</v>
      </c>
      <c r="I1692" s="6" t="s">
        <v>20</v>
      </c>
      <c r="J1692" s="6">
        <v>2022.0</v>
      </c>
      <c r="L1692" s="6">
        <v>1.0</v>
      </c>
      <c r="M1692" s="8">
        <f t="shared" si="4"/>
        <v>0.13</v>
      </c>
      <c r="P1692" s="9"/>
    </row>
    <row r="1693">
      <c r="A1693" s="6" t="s">
        <v>4377</v>
      </c>
      <c r="B1693" s="6" t="s">
        <v>378</v>
      </c>
      <c r="C1693" s="6" t="s">
        <v>1949</v>
      </c>
      <c r="D1693" s="6" t="s">
        <v>4378</v>
      </c>
      <c r="E1693" s="6" t="s">
        <v>4294</v>
      </c>
      <c r="F1693" s="6" t="s">
        <v>88</v>
      </c>
      <c r="G1693" s="7">
        <v>0.07</v>
      </c>
      <c r="H1693" s="6" t="s">
        <v>1641</v>
      </c>
      <c r="I1693" s="6" t="s">
        <v>20</v>
      </c>
      <c r="J1693" s="6">
        <v>2019.0</v>
      </c>
      <c r="L1693" s="6">
        <v>1.0</v>
      </c>
      <c r="M1693" s="8">
        <f t="shared" si="4"/>
        <v>0.07</v>
      </c>
      <c r="P1693" s="9"/>
    </row>
    <row r="1694">
      <c r="A1694" s="6" t="s">
        <v>4379</v>
      </c>
      <c r="B1694" s="6" t="s">
        <v>378</v>
      </c>
      <c r="C1694" s="6" t="s">
        <v>295</v>
      </c>
      <c r="D1694" s="6" t="s">
        <v>4380</v>
      </c>
      <c r="E1694" s="6" t="s">
        <v>4324</v>
      </c>
      <c r="F1694" s="6" t="s">
        <v>88</v>
      </c>
      <c r="G1694" s="7">
        <v>0.06</v>
      </c>
      <c r="H1694" s="6" t="s">
        <v>1641</v>
      </c>
      <c r="I1694" s="6" t="s">
        <v>20</v>
      </c>
      <c r="J1694" s="6">
        <v>2019.0</v>
      </c>
      <c r="L1694" s="6">
        <v>3.0</v>
      </c>
      <c r="M1694" s="8">
        <f t="shared" si="4"/>
        <v>0.18</v>
      </c>
      <c r="P1694" s="9"/>
    </row>
    <row r="1695">
      <c r="A1695" s="6" t="s">
        <v>4381</v>
      </c>
      <c r="B1695" s="6" t="s">
        <v>378</v>
      </c>
      <c r="C1695" s="6" t="s">
        <v>295</v>
      </c>
      <c r="D1695" s="6" t="s">
        <v>4382</v>
      </c>
      <c r="E1695" s="6" t="s">
        <v>380</v>
      </c>
      <c r="F1695" s="6" t="s">
        <v>88</v>
      </c>
      <c r="G1695" s="7">
        <v>0.04</v>
      </c>
      <c r="H1695" s="6" t="s">
        <v>1641</v>
      </c>
      <c r="I1695" s="6" t="s">
        <v>20</v>
      </c>
      <c r="J1695" s="6">
        <v>2019.0</v>
      </c>
      <c r="L1695" s="6">
        <v>2.0</v>
      </c>
      <c r="M1695" s="8">
        <f t="shared" si="4"/>
        <v>0.08</v>
      </c>
      <c r="P1695" s="9"/>
    </row>
    <row r="1696">
      <c r="A1696" s="6" t="s">
        <v>4383</v>
      </c>
      <c r="B1696" s="6" t="s">
        <v>378</v>
      </c>
      <c r="C1696" s="6" t="s">
        <v>295</v>
      </c>
      <c r="D1696" s="6" t="s">
        <v>4384</v>
      </c>
      <c r="E1696" s="6" t="s">
        <v>2326</v>
      </c>
      <c r="F1696" s="6" t="s">
        <v>88</v>
      </c>
      <c r="G1696" s="7">
        <v>0.3</v>
      </c>
      <c r="H1696" s="6" t="s">
        <v>2541</v>
      </c>
      <c r="I1696" s="6" t="s">
        <v>20</v>
      </c>
      <c r="J1696" s="6">
        <v>2017.0</v>
      </c>
      <c r="L1696" s="6">
        <v>2.0</v>
      </c>
      <c r="M1696" s="8">
        <f t="shared" si="4"/>
        <v>0.6</v>
      </c>
      <c r="P1696" s="9"/>
    </row>
    <row r="1697">
      <c r="A1697" s="6" t="s">
        <v>4385</v>
      </c>
      <c r="B1697" s="6" t="s">
        <v>378</v>
      </c>
      <c r="C1697" s="6" t="s">
        <v>295</v>
      </c>
      <c r="D1697" s="6" t="s">
        <v>4386</v>
      </c>
      <c r="E1697" s="6" t="s">
        <v>380</v>
      </c>
      <c r="F1697" s="6" t="s">
        <v>88</v>
      </c>
      <c r="G1697" s="7">
        <v>0.4</v>
      </c>
      <c r="H1697" s="6" t="s">
        <v>2186</v>
      </c>
      <c r="I1697" s="6" t="s">
        <v>31</v>
      </c>
      <c r="J1697" s="6">
        <v>2022.0</v>
      </c>
      <c r="L1697" s="6">
        <v>4.0</v>
      </c>
      <c r="M1697" s="8">
        <f t="shared" si="4"/>
        <v>1.6</v>
      </c>
      <c r="P1697" s="9"/>
    </row>
    <row r="1698">
      <c r="A1698" s="6" t="s">
        <v>4387</v>
      </c>
      <c r="B1698" s="6" t="s">
        <v>378</v>
      </c>
      <c r="C1698" s="6" t="s">
        <v>295</v>
      </c>
      <c r="D1698" s="6" t="s">
        <v>4388</v>
      </c>
      <c r="E1698" s="6" t="s">
        <v>380</v>
      </c>
      <c r="F1698" s="6" t="s">
        <v>88</v>
      </c>
      <c r="G1698" s="7">
        <v>0.25</v>
      </c>
      <c r="H1698" s="6" t="s">
        <v>2238</v>
      </c>
      <c r="I1698" s="6" t="s">
        <v>20</v>
      </c>
      <c r="J1698" s="6">
        <v>2024.0</v>
      </c>
      <c r="L1698" s="6">
        <v>1.0</v>
      </c>
      <c r="M1698" s="8">
        <f t="shared" si="4"/>
        <v>0.25</v>
      </c>
      <c r="P1698" s="9"/>
    </row>
    <row r="1699">
      <c r="A1699" s="6" t="s">
        <v>4389</v>
      </c>
      <c r="B1699" s="6" t="s">
        <v>378</v>
      </c>
      <c r="C1699" s="6" t="s">
        <v>295</v>
      </c>
      <c r="D1699" s="6" t="s">
        <v>4390</v>
      </c>
      <c r="E1699" s="6" t="s">
        <v>380</v>
      </c>
      <c r="F1699" s="6" t="s">
        <v>88</v>
      </c>
      <c r="G1699" s="7">
        <v>0.07</v>
      </c>
      <c r="H1699" s="6" t="s">
        <v>1664</v>
      </c>
      <c r="I1699" s="6" t="s">
        <v>20</v>
      </c>
      <c r="J1699" s="6">
        <v>2018.0</v>
      </c>
      <c r="L1699" s="6">
        <v>2.0</v>
      </c>
      <c r="M1699" s="8">
        <f t="shared" si="4"/>
        <v>0.14</v>
      </c>
      <c r="P1699" s="9"/>
    </row>
    <row r="1700">
      <c r="A1700" s="6" t="s">
        <v>4391</v>
      </c>
      <c r="B1700" s="6" t="s">
        <v>378</v>
      </c>
      <c r="C1700" s="6" t="s">
        <v>295</v>
      </c>
      <c r="D1700" s="6" t="s">
        <v>4392</v>
      </c>
      <c r="E1700" s="6" t="s">
        <v>915</v>
      </c>
      <c r="F1700" s="6" t="s">
        <v>88</v>
      </c>
      <c r="G1700" s="7">
        <v>2.02</v>
      </c>
      <c r="H1700" s="6" t="s">
        <v>2994</v>
      </c>
      <c r="I1700" s="6" t="s">
        <v>20</v>
      </c>
      <c r="J1700" s="6">
        <v>2011.0</v>
      </c>
      <c r="L1700" s="6">
        <v>2.0</v>
      </c>
      <c r="M1700" s="8">
        <f t="shared" si="4"/>
        <v>4.04</v>
      </c>
      <c r="P1700" s="9"/>
    </row>
    <row r="1701">
      <c r="A1701" s="6" t="s">
        <v>4393</v>
      </c>
      <c r="B1701" s="6" t="s">
        <v>378</v>
      </c>
      <c r="C1701" s="6" t="s">
        <v>295</v>
      </c>
      <c r="D1701" s="6" t="s">
        <v>4394</v>
      </c>
      <c r="E1701" s="6" t="s">
        <v>380</v>
      </c>
      <c r="F1701" s="6" t="s">
        <v>88</v>
      </c>
      <c r="G1701" s="7">
        <v>0.2</v>
      </c>
      <c r="H1701" s="6" t="s">
        <v>1739</v>
      </c>
      <c r="I1701" s="6" t="s">
        <v>20</v>
      </c>
      <c r="J1701" s="6">
        <v>2023.0</v>
      </c>
      <c r="L1701" s="6">
        <v>1.0</v>
      </c>
      <c r="M1701" s="8">
        <f t="shared" si="4"/>
        <v>0.2</v>
      </c>
      <c r="P1701" s="9"/>
    </row>
    <row r="1702">
      <c r="A1702" s="6" t="s">
        <v>4395</v>
      </c>
      <c r="B1702" s="6" t="s">
        <v>378</v>
      </c>
      <c r="C1702" s="6" t="s">
        <v>295</v>
      </c>
      <c r="D1702" s="6" t="s">
        <v>4396</v>
      </c>
      <c r="E1702" s="6" t="s">
        <v>380</v>
      </c>
      <c r="F1702" s="6" t="s">
        <v>88</v>
      </c>
      <c r="G1702" s="7">
        <v>0.05</v>
      </c>
      <c r="H1702" s="6" t="s">
        <v>4397</v>
      </c>
      <c r="I1702" s="6" t="s">
        <v>20</v>
      </c>
      <c r="J1702" s="6">
        <v>2021.0</v>
      </c>
      <c r="L1702" s="6">
        <v>2.0</v>
      </c>
      <c r="M1702" s="8">
        <f t="shared" si="4"/>
        <v>0.1</v>
      </c>
      <c r="P1702" s="9"/>
    </row>
    <row r="1703">
      <c r="A1703" s="6" t="s">
        <v>4398</v>
      </c>
      <c r="B1703" s="6" t="s">
        <v>378</v>
      </c>
      <c r="C1703" s="6" t="s">
        <v>295</v>
      </c>
      <c r="D1703" s="6" t="s">
        <v>4399</v>
      </c>
      <c r="E1703" s="6" t="s">
        <v>380</v>
      </c>
      <c r="F1703" s="6" t="s">
        <v>88</v>
      </c>
      <c r="G1703" s="7">
        <v>0.04</v>
      </c>
      <c r="H1703" s="6" t="s">
        <v>1644</v>
      </c>
      <c r="I1703" s="6" t="s">
        <v>20</v>
      </c>
      <c r="J1703" s="6">
        <v>2018.0</v>
      </c>
      <c r="L1703" s="6">
        <v>4.0</v>
      </c>
      <c r="M1703" s="8">
        <f t="shared" si="4"/>
        <v>0.16</v>
      </c>
      <c r="P1703" s="9"/>
    </row>
    <row r="1704">
      <c r="A1704" s="6" t="s">
        <v>4400</v>
      </c>
      <c r="B1704" s="6" t="s">
        <v>4401</v>
      </c>
      <c r="C1704" s="6" t="s">
        <v>295</v>
      </c>
      <c r="D1704" s="6" t="s">
        <v>4402</v>
      </c>
      <c r="E1704" s="6" t="s">
        <v>4321</v>
      </c>
      <c r="F1704" s="6" t="s">
        <v>88</v>
      </c>
      <c r="G1704" s="7">
        <v>0.05</v>
      </c>
      <c r="H1704" s="6" t="s">
        <v>2769</v>
      </c>
      <c r="I1704" s="6" t="s">
        <v>20</v>
      </c>
      <c r="J1704" s="6">
        <v>2015.0</v>
      </c>
      <c r="K1704" s="10">
        <v>46179.0</v>
      </c>
      <c r="L1704" s="6">
        <v>1.0</v>
      </c>
      <c r="M1704" s="8">
        <f t="shared" si="4"/>
        <v>0.05</v>
      </c>
      <c r="P1704" s="9"/>
    </row>
    <row r="1705">
      <c r="A1705" s="6" t="s">
        <v>4403</v>
      </c>
      <c r="B1705" s="6" t="s">
        <v>2316</v>
      </c>
      <c r="C1705" s="6" t="s">
        <v>295</v>
      </c>
      <c r="E1705" s="6" t="s">
        <v>2318</v>
      </c>
      <c r="F1705" s="6" t="s">
        <v>88</v>
      </c>
      <c r="G1705" s="7">
        <v>0.03</v>
      </c>
      <c r="H1705" s="6" t="s">
        <v>2552</v>
      </c>
      <c r="I1705" s="6" t="s">
        <v>20</v>
      </c>
      <c r="J1705" s="6">
        <v>2018.0</v>
      </c>
      <c r="K1705" s="10">
        <v>46083.0</v>
      </c>
      <c r="L1705" s="6">
        <v>3.0</v>
      </c>
      <c r="M1705" s="8">
        <f t="shared" si="4"/>
        <v>0.09</v>
      </c>
      <c r="P1705" s="9"/>
    </row>
    <row r="1706">
      <c r="A1706" s="6" t="s">
        <v>4404</v>
      </c>
      <c r="B1706" s="6" t="s">
        <v>4405</v>
      </c>
      <c r="C1706" s="6" t="s">
        <v>295</v>
      </c>
      <c r="E1706" s="6" t="s">
        <v>2318</v>
      </c>
      <c r="F1706" s="6" t="s">
        <v>88</v>
      </c>
      <c r="G1706" s="7">
        <v>0.02</v>
      </c>
      <c r="H1706" s="6" t="s">
        <v>2619</v>
      </c>
      <c r="I1706" s="6" t="s">
        <v>20</v>
      </c>
      <c r="J1706" s="6">
        <v>2019.0</v>
      </c>
      <c r="K1706" s="10">
        <v>46056.0</v>
      </c>
      <c r="L1706" s="6">
        <v>2.0</v>
      </c>
      <c r="M1706" s="8">
        <f t="shared" si="4"/>
        <v>0.04</v>
      </c>
      <c r="P1706" s="9"/>
    </row>
    <row r="1707">
      <c r="A1707" s="6" t="s">
        <v>4406</v>
      </c>
      <c r="B1707" s="6" t="s">
        <v>3311</v>
      </c>
      <c r="C1707" s="6" t="s">
        <v>295</v>
      </c>
      <c r="D1707" s="6" t="s">
        <v>4407</v>
      </c>
      <c r="E1707" s="6" t="s">
        <v>2318</v>
      </c>
      <c r="F1707" s="6" t="s">
        <v>88</v>
      </c>
      <c r="G1707" s="7">
        <v>0.09</v>
      </c>
      <c r="H1707" s="6" t="s">
        <v>2006</v>
      </c>
      <c r="I1707" s="6" t="s">
        <v>20</v>
      </c>
      <c r="J1707" s="6">
        <v>2013.0</v>
      </c>
      <c r="K1707" s="10">
        <v>46083.0</v>
      </c>
      <c r="L1707" s="6">
        <v>1.0</v>
      </c>
      <c r="M1707" s="8">
        <f t="shared" si="4"/>
        <v>0.09</v>
      </c>
      <c r="P1707" s="9"/>
    </row>
    <row r="1708">
      <c r="A1708" s="6" t="s">
        <v>4408</v>
      </c>
      <c r="B1708" s="6" t="s">
        <v>4409</v>
      </c>
      <c r="C1708" s="6" t="s">
        <v>295</v>
      </c>
      <c r="D1708" s="6" t="s">
        <v>4410</v>
      </c>
      <c r="E1708" s="6" t="s">
        <v>4282</v>
      </c>
      <c r="F1708" s="6" t="s">
        <v>88</v>
      </c>
      <c r="G1708" s="7">
        <v>0.14</v>
      </c>
      <c r="H1708" s="6" t="s">
        <v>2162</v>
      </c>
      <c r="I1708" s="6" t="s">
        <v>31</v>
      </c>
      <c r="J1708" s="6">
        <v>2021.0</v>
      </c>
      <c r="K1708" s="10">
        <v>46115.0</v>
      </c>
      <c r="L1708" s="6">
        <v>4.0</v>
      </c>
      <c r="M1708" s="8">
        <f t="shared" si="4"/>
        <v>0.56</v>
      </c>
      <c r="P1708" s="9"/>
    </row>
    <row r="1709">
      <c r="A1709" s="6" t="s">
        <v>4411</v>
      </c>
      <c r="B1709" s="6" t="s">
        <v>3390</v>
      </c>
      <c r="C1709" s="6" t="s">
        <v>295</v>
      </c>
      <c r="D1709" s="6" t="s">
        <v>3650</v>
      </c>
      <c r="E1709" s="6" t="s">
        <v>2318</v>
      </c>
      <c r="F1709" s="6" t="s">
        <v>88</v>
      </c>
      <c r="G1709" s="7">
        <v>0.06</v>
      </c>
      <c r="H1709" s="6" t="s">
        <v>4412</v>
      </c>
      <c r="I1709" s="6" t="s">
        <v>20</v>
      </c>
      <c r="J1709" s="6">
        <v>2019.0</v>
      </c>
      <c r="K1709" s="10">
        <v>46055.0</v>
      </c>
      <c r="L1709" s="6">
        <v>2.0</v>
      </c>
      <c r="M1709" s="8">
        <f t="shared" si="4"/>
        <v>0.12</v>
      </c>
      <c r="P1709" s="9"/>
    </row>
    <row r="1710">
      <c r="A1710" s="6" t="s">
        <v>4413</v>
      </c>
      <c r="B1710" s="6" t="s">
        <v>4414</v>
      </c>
      <c r="C1710" s="6" t="s">
        <v>295</v>
      </c>
      <c r="E1710" s="6" t="s">
        <v>380</v>
      </c>
      <c r="F1710" s="6" t="s">
        <v>88</v>
      </c>
      <c r="G1710" s="7">
        <v>0.03</v>
      </c>
      <c r="H1710" s="6" t="s">
        <v>1704</v>
      </c>
      <c r="I1710" s="6" t="s">
        <v>20</v>
      </c>
      <c r="J1710" s="6">
        <v>2016.0</v>
      </c>
      <c r="K1710" s="10">
        <v>46024.0</v>
      </c>
      <c r="L1710" s="6">
        <v>2.0</v>
      </c>
      <c r="M1710" s="8">
        <f t="shared" si="4"/>
        <v>0.06</v>
      </c>
      <c r="P1710" s="9"/>
    </row>
    <row r="1711">
      <c r="A1711" s="6" t="s">
        <v>4415</v>
      </c>
      <c r="B1711" s="6" t="s">
        <v>378</v>
      </c>
      <c r="C1711" s="6" t="s">
        <v>295</v>
      </c>
      <c r="D1711" s="6" t="s">
        <v>4416</v>
      </c>
      <c r="E1711" s="6" t="s">
        <v>915</v>
      </c>
      <c r="F1711" s="6" t="s">
        <v>88</v>
      </c>
      <c r="G1711" s="7">
        <v>0.25</v>
      </c>
      <c r="H1711" s="6" t="s">
        <v>2699</v>
      </c>
      <c r="I1711" s="6" t="s">
        <v>20</v>
      </c>
      <c r="J1711" s="6">
        <v>2010.0</v>
      </c>
      <c r="L1711" s="6">
        <v>4.0</v>
      </c>
      <c r="M1711" s="8">
        <f t="shared" si="4"/>
        <v>1</v>
      </c>
      <c r="P1711" s="9"/>
    </row>
    <row r="1712">
      <c r="A1712" s="6" t="s">
        <v>4417</v>
      </c>
      <c r="B1712" s="6" t="s">
        <v>378</v>
      </c>
      <c r="C1712" s="6" t="s">
        <v>295</v>
      </c>
      <c r="D1712" s="6" t="s">
        <v>4418</v>
      </c>
      <c r="E1712" s="6" t="s">
        <v>915</v>
      </c>
      <c r="F1712" s="6" t="s">
        <v>88</v>
      </c>
      <c r="G1712" s="7">
        <v>0.5</v>
      </c>
      <c r="H1712" s="6" t="s">
        <v>1711</v>
      </c>
      <c r="I1712" s="6" t="s">
        <v>20</v>
      </c>
      <c r="J1712" s="6">
        <v>2022.0</v>
      </c>
      <c r="L1712" s="6">
        <v>2.0</v>
      </c>
      <c r="M1712" s="8">
        <f t="shared" si="4"/>
        <v>1</v>
      </c>
      <c r="P1712" s="9"/>
    </row>
    <row r="1713">
      <c r="A1713" s="6" t="s">
        <v>4417</v>
      </c>
      <c r="B1713" s="6" t="s">
        <v>378</v>
      </c>
      <c r="C1713" s="6" t="s">
        <v>1897</v>
      </c>
      <c r="D1713" s="6" t="s">
        <v>4418</v>
      </c>
      <c r="E1713" s="6" t="s">
        <v>915</v>
      </c>
      <c r="F1713" s="6" t="s">
        <v>88</v>
      </c>
      <c r="G1713" s="7">
        <v>1.8</v>
      </c>
      <c r="H1713" s="6" t="s">
        <v>4419</v>
      </c>
      <c r="I1713" s="6" t="s">
        <v>20</v>
      </c>
      <c r="J1713" s="6">
        <v>2022.0</v>
      </c>
      <c r="L1713" s="6">
        <v>1.0</v>
      </c>
      <c r="M1713" s="8"/>
      <c r="P1713" s="9"/>
    </row>
    <row r="1714">
      <c r="A1714" s="6" t="s">
        <v>4420</v>
      </c>
      <c r="B1714" s="6" t="s">
        <v>378</v>
      </c>
      <c r="C1714" s="6" t="s">
        <v>1949</v>
      </c>
      <c r="D1714" s="6" t="s">
        <v>4421</v>
      </c>
      <c r="E1714" s="6" t="s">
        <v>915</v>
      </c>
      <c r="F1714" s="6" t="s">
        <v>88</v>
      </c>
      <c r="G1714" s="7">
        <v>1.0</v>
      </c>
      <c r="H1714" s="6" t="s">
        <v>1625</v>
      </c>
      <c r="I1714" s="6" t="s">
        <v>20</v>
      </c>
      <c r="J1714" s="6">
        <v>2021.0</v>
      </c>
      <c r="L1714" s="6">
        <v>2.0</v>
      </c>
      <c r="M1714" s="8">
        <f t="shared" ref="M1714:M4028" si="5">L1714*G1714</f>
        <v>2</v>
      </c>
      <c r="P1714" s="9"/>
    </row>
    <row r="1715">
      <c r="A1715" s="6" t="s">
        <v>4422</v>
      </c>
      <c r="B1715" s="6" t="s">
        <v>4401</v>
      </c>
      <c r="C1715" s="6" t="s">
        <v>295</v>
      </c>
      <c r="D1715" s="6" t="s">
        <v>4423</v>
      </c>
      <c r="E1715" s="6" t="s">
        <v>2321</v>
      </c>
      <c r="F1715" s="6" t="s">
        <v>88</v>
      </c>
      <c r="G1715" s="7">
        <v>0.05</v>
      </c>
      <c r="H1715" s="6" t="s">
        <v>2994</v>
      </c>
      <c r="I1715" s="6" t="s">
        <v>20</v>
      </c>
      <c r="J1715" s="6">
        <v>2011.0</v>
      </c>
      <c r="K1715" s="10">
        <v>46145.0</v>
      </c>
      <c r="L1715" s="6">
        <v>1.0</v>
      </c>
      <c r="M1715" s="8">
        <f t="shared" si="5"/>
        <v>0.05</v>
      </c>
      <c r="P1715" s="9"/>
    </row>
    <row r="1716">
      <c r="A1716" s="6" t="s">
        <v>4424</v>
      </c>
      <c r="B1716" s="6" t="s">
        <v>2621</v>
      </c>
      <c r="C1716" s="6" t="s">
        <v>295</v>
      </c>
      <c r="D1716" s="6" t="s">
        <v>4425</v>
      </c>
      <c r="E1716" s="6" t="s">
        <v>380</v>
      </c>
      <c r="F1716" s="6" t="s">
        <v>88</v>
      </c>
      <c r="G1716" s="7">
        <v>0.09</v>
      </c>
      <c r="H1716" s="6" t="s">
        <v>2471</v>
      </c>
      <c r="I1716" s="6" t="s">
        <v>20</v>
      </c>
      <c r="J1716" s="6">
        <v>2012.0</v>
      </c>
      <c r="K1716" s="10">
        <v>46023.0</v>
      </c>
      <c r="L1716" s="6">
        <v>1.0</v>
      </c>
      <c r="M1716" s="8">
        <f t="shared" si="5"/>
        <v>0.09</v>
      </c>
      <c r="P1716" s="9"/>
    </row>
    <row r="1717">
      <c r="A1717" s="6" t="s">
        <v>4426</v>
      </c>
      <c r="B1717" s="6" t="s">
        <v>2017</v>
      </c>
      <c r="C1717" s="6" t="s">
        <v>295</v>
      </c>
      <c r="D1717" s="6" t="s">
        <v>4427</v>
      </c>
      <c r="E1717" s="6" t="s">
        <v>2326</v>
      </c>
      <c r="F1717" s="6" t="s">
        <v>88</v>
      </c>
      <c r="G1717" s="7">
        <v>0.05</v>
      </c>
      <c r="H1717" s="6" t="s">
        <v>2471</v>
      </c>
      <c r="I1717" s="6" t="s">
        <v>20</v>
      </c>
      <c r="J1717" s="6">
        <v>2012.0</v>
      </c>
      <c r="K1717" s="10">
        <v>46083.0</v>
      </c>
      <c r="L1717" s="6">
        <v>1.0</v>
      </c>
      <c r="M1717" s="8">
        <f t="shared" si="5"/>
        <v>0.05</v>
      </c>
      <c r="P1717" s="9"/>
    </row>
    <row r="1718">
      <c r="A1718" s="6" t="s">
        <v>4428</v>
      </c>
      <c r="B1718" s="6" t="s">
        <v>378</v>
      </c>
      <c r="C1718" s="6" t="s">
        <v>1897</v>
      </c>
      <c r="D1718" s="6" t="s">
        <v>4429</v>
      </c>
      <c r="E1718" s="6" t="s">
        <v>915</v>
      </c>
      <c r="F1718" s="6" t="s">
        <v>88</v>
      </c>
      <c r="G1718" s="7">
        <v>4.0</v>
      </c>
      <c r="H1718" s="6" t="s">
        <v>4430</v>
      </c>
      <c r="I1718" s="6" t="s">
        <v>20</v>
      </c>
      <c r="J1718" s="6">
        <v>2024.0</v>
      </c>
      <c r="L1718" s="6">
        <v>4.0</v>
      </c>
      <c r="M1718" s="8">
        <f t="shared" si="5"/>
        <v>16</v>
      </c>
      <c r="P1718" s="9"/>
    </row>
    <row r="1719">
      <c r="A1719" s="6" t="s">
        <v>4431</v>
      </c>
      <c r="B1719" s="6" t="s">
        <v>378</v>
      </c>
      <c r="C1719" s="6" t="s">
        <v>1897</v>
      </c>
      <c r="D1719" s="6" t="s">
        <v>4432</v>
      </c>
      <c r="E1719" s="6" t="s">
        <v>4321</v>
      </c>
      <c r="F1719" s="6" t="s">
        <v>88</v>
      </c>
      <c r="G1719" s="7">
        <v>0.25</v>
      </c>
      <c r="H1719" s="6" t="s">
        <v>2619</v>
      </c>
      <c r="I1719" s="6" t="s">
        <v>20</v>
      </c>
      <c r="J1719" s="6">
        <v>2019.0</v>
      </c>
      <c r="L1719" s="6">
        <v>2.0</v>
      </c>
      <c r="M1719" s="8">
        <f t="shared" si="5"/>
        <v>0.5</v>
      </c>
      <c r="P1719" s="9"/>
    </row>
    <row r="1720">
      <c r="A1720" s="6" t="s">
        <v>4433</v>
      </c>
      <c r="B1720" s="6" t="s">
        <v>378</v>
      </c>
      <c r="C1720" s="6" t="s">
        <v>1897</v>
      </c>
      <c r="D1720" s="6" t="s">
        <v>4434</v>
      </c>
      <c r="E1720" s="6" t="s">
        <v>4324</v>
      </c>
      <c r="F1720" s="6" t="s">
        <v>88</v>
      </c>
      <c r="G1720" s="7">
        <v>0.5</v>
      </c>
      <c r="H1720" s="6" t="s">
        <v>1990</v>
      </c>
      <c r="I1720" s="6" t="s">
        <v>20</v>
      </c>
      <c r="J1720" s="6">
        <v>2011.0</v>
      </c>
      <c r="L1720" s="6">
        <v>1.0</v>
      </c>
      <c r="M1720" s="8">
        <f t="shared" si="5"/>
        <v>0.5</v>
      </c>
      <c r="P1720" s="9"/>
    </row>
    <row r="1721">
      <c r="A1721" s="6" t="s">
        <v>4435</v>
      </c>
      <c r="B1721" s="6" t="s">
        <v>378</v>
      </c>
      <c r="C1721" s="6" t="s">
        <v>295</v>
      </c>
      <c r="D1721" s="6" t="s">
        <v>4436</v>
      </c>
      <c r="E1721" s="6" t="s">
        <v>915</v>
      </c>
      <c r="F1721" s="6" t="s">
        <v>88</v>
      </c>
      <c r="G1721" s="7">
        <v>0.05</v>
      </c>
      <c r="H1721" s="6" t="s">
        <v>2467</v>
      </c>
      <c r="I1721" s="6" t="s">
        <v>20</v>
      </c>
      <c r="J1721" s="6">
        <v>2017.0</v>
      </c>
      <c r="L1721" s="6">
        <v>2.0</v>
      </c>
      <c r="M1721" s="8">
        <f t="shared" si="5"/>
        <v>0.1</v>
      </c>
      <c r="P1721" s="9"/>
    </row>
    <row r="1722">
      <c r="A1722" s="6" t="s">
        <v>4437</v>
      </c>
      <c r="B1722" s="6" t="s">
        <v>378</v>
      </c>
      <c r="C1722" s="6" t="s">
        <v>1949</v>
      </c>
      <c r="D1722" s="6" t="s">
        <v>4438</v>
      </c>
      <c r="E1722" s="6" t="s">
        <v>915</v>
      </c>
      <c r="F1722" s="6" t="s">
        <v>88</v>
      </c>
      <c r="G1722" s="7">
        <v>0.03</v>
      </c>
      <c r="H1722" s="6" t="s">
        <v>1704</v>
      </c>
      <c r="I1722" s="6" t="s">
        <v>20</v>
      </c>
      <c r="J1722" s="6">
        <v>2016.0</v>
      </c>
      <c r="L1722" s="6">
        <v>1.0</v>
      </c>
      <c r="M1722" s="8">
        <f t="shared" si="5"/>
        <v>0.03</v>
      </c>
      <c r="P1722" s="9"/>
    </row>
    <row r="1723">
      <c r="A1723" s="6" t="s">
        <v>4439</v>
      </c>
      <c r="B1723" s="6" t="s">
        <v>378</v>
      </c>
      <c r="C1723" s="6" t="s">
        <v>295</v>
      </c>
      <c r="D1723" s="6" t="s">
        <v>4440</v>
      </c>
      <c r="E1723" s="6" t="s">
        <v>915</v>
      </c>
      <c r="F1723" s="6" t="s">
        <v>88</v>
      </c>
      <c r="G1723" s="7">
        <v>0.2</v>
      </c>
      <c r="H1723" s="6" t="s">
        <v>2557</v>
      </c>
      <c r="I1723" s="6" t="s">
        <v>20</v>
      </c>
      <c r="J1723" s="6">
        <v>2017.0</v>
      </c>
      <c r="L1723" s="6">
        <v>4.0</v>
      </c>
      <c r="M1723" s="8">
        <f t="shared" si="5"/>
        <v>0.8</v>
      </c>
      <c r="P1723" s="9"/>
    </row>
    <row r="1724">
      <c r="A1724" s="6" t="s">
        <v>4441</v>
      </c>
      <c r="B1724" s="6" t="s">
        <v>378</v>
      </c>
      <c r="C1724" s="6" t="s">
        <v>295</v>
      </c>
      <c r="D1724" s="6" t="s">
        <v>4390</v>
      </c>
      <c r="E1724" s="6" t="s">
        <v>380</v>
      </c>
      <c r="F1724" s="6" t="s">
        <v>88</v>
      </c>
      <c r="G1724" s="7">
        <v>0.29</v>
      </c>
      <c r="H1724" s="6" t="s">
        <v>2003</v>
      </c>
      <c r="I1724" s="6" t="s">
        <v>31</v>
      </c>
      <c r="J1724" s="6">
        <v>2020.0</v>
      </c>
      <c r="L1724" s="6">
        <v>1.0</v>
      </c>
      <c r="M1724" s="8">
        <f t="shared" si="5"/>
        <v>0.29</v>
      </c>
      <c r="P1724" s="9"/>
    </row>
    <row r="1725">
      <c r="A1725" s="6" t="s">
        <v>4442</v>
      </c>
      <c r="B1725" s="6" t="s">
        <v>378</v>
      </c>
      <c r="C1725" s="6" t="s">
        <v>295</v>
      </c>
      <c r="D1725" s="6" t="s">
        <v>4443</v>
      </c>
      <c r="E1725" s="6" t="s">
        <v>380</v>
      </c>
      <c r="F1725" s="6" t="s">
        <v>88</v>
      </c>
      <c r="G1725" s="7">
        <v>0.08</v>
      </c>
      <c r="H1725" s="6" t="s">
        <v>2172</v>
      </c>
      <c r="I1725" s="6" t="s">
        <v>20</v>
      </c>
      <c r="J1725" s="6">
        <v>2021.0</v>
      </c>
      <c r="L1725" s="6">
        <v>3.0</v>
      </c>
      <c r="M1725" s="8">
        <f t="shared" si="5"/>
        <v>0.24</v>
      </c>
      <c r="P1725" s="9"/>
    </row>
    <row r="1726">
      <c r="A1726" s="6" t="s">
        <v>4444</v>
      </c>
      <c r="B1726" s="6" t="s">
        <v>2058</v>
      </c>
      <c r="C1726" s="6" t="s">
        <v>1949</v>
      </c>
      <c r="D1726" s="6" t="s">
        <v>4445</v>
      </c>
      <c r="E1726" s="6" t="s">
        <v>4321</v>
      </c>
      <c r="F1726" s="6" t="s">
        <v>88</v>
      </c>
      <c r="G1726" s="7">
        <v>0.1</v>
      </c>
      <c r="H1726" s="6" t="s">
        <v>2219</v>
      </c>
      <c r="I1726" s="6" t="s">
        <v>20</v>
      </c>
      <c r="J1726" s="6">
        <v>2024.0</v>
      </c>
      <c r="L1726" s="6">
        <v>4.0</v>
      </c>
      <c r="M1726" s="8">
        <f t="shared" si="5"/>
        <v>0.4</v>
      </c>
      <c r="P1726" s="9"/>
    </row>
    <row r="1727">
      <c r="A1727" s="6" t="s">
        <v>4446</v>
      </c>
      <c r="B1727" s="6" t="s">
        <v>2058</v>
      </c>
      <c r="C1727" s="6" t="s">
        <v>295</v>
      </c>
      <c r="D1727" s="6" t="s">
        <v>4447</v>
      </c>
      <c r="E1727" s="6" t="s">
        <v>2318</v>
      </c>
      <c r="F1727" s="6" t="s">
        <v>88</v>
      </c>
      <c r="G1727" s="7">
        <v>0.06</v>
      </c>
      <c r="H1727" s="6" t="s">
        <v>1641</v>
      </c>
      <c r="I1727" s="6" t="s">
        <v>20</v>
      </c>
      <c r="J1727" s="6">
        <v>2019.0</v>
      </c>
      <c r="L1727" s="6">
        <v>3.0</v>
      </c>
      <c r="M1727" s="8">
        <f t="shared" si="5"/>
        <v>0.18</v>
      </c>
      <c r="P1727" s="9"/>
    </row>
    <row r="1728">
      <c r="A1728" s="6" t="s">
        <v>4448</v>
      </c>
      <c r="B1728" s="6" t="s">
        <v>2316</v>
      </c>
      <c r="C1728" s="6" t="s">
        <v>295</v>
      </c>
      <c r="D1728" s="6" t="s">
        <v>4449</v>
      </c>
      <c r="E1728" s="6" t="s">
        <v>2318</v>
      </c>
      <c r="F1728" s="6" t="s">
        <v>88</v>
      </c>
      <c r="G1728" s="7">
        <v>0.06</v>
      </c>
      <c r="H1728" s="6" t="s">
        <v>1979</v>
      </c>
      <c r="I1728" s="6" t="s">
        <v>20</v>
      </c>
      <c r="J1728" s="6">
        <v>2022.0</v>
      </c>
      <c r="K1728" s="10">
        <v>46083.0</v>
      </c>
      <c r="L1728" s="6">
        <v>1.0</v>
      </c>
      <c r="M1728" s="8">
        <f t="shared" si="5"/>
        <v>0.06</v>
      </c>
      <c r="P1728" s="9"/>
    </row>
    <row r="1729">
      <c r="A1729" s="6" t="s">
        <v>4450</v>
      </c>
      <c r="B1729" s="6" t="s">
        <v>2014</v>
      </c>
      <c r="C1729" s="6" t="s">
        <v>295</v>
      </c>
      <c r="D1729" s="6" t="s">
        <v>4451</v>
      </c>
      <c r="E1729" s="6" t="s">
        <v>2318</v>
      </c>
      <c r="F1729" s="6" t="s">
        <v>88</v>
      </c>
      <c r="G1729" s="7">
        <v>0.05</v>
      </c>
      <c r="H1729" s="6" t="s">
        <v>2471</v>
      </c>
      <c r="I1729" s="6" t="s">
        <v>20</v>
      </c>
      <c r="J1729" s="6">
        <v>2012.0</v>
      </c>
      <c r="L1729" s="6">
        <v>1.0</v>
      </c>
      <c r="M1729" s="8">
        <f t="shared" si="5"/>
        <v>0.05</v>
      </c>
      <c r="P1729" s="9"/>
    </row>
    <row r="1730">
      <c r="A1730" s="6" t="s">
        <v>4411</v>
      </c>
      <c r="B1730" s="6" t="s">
        <v>3390</v>
      </c>
      <c r="C1730" s="6" t="s">
        <v>295</v>
      </c>
      <c r="D1730" s="6" t="s">
        <v>3650</v>
      </c>
      <c r="E1730" s="6" t="s">
        <v>2318</v>
      </c>
      <c r="F1730" s="6" t="s">
        <v>88</v>
      </c>
      <c r="G1730" s="7">
        <v>0.03</v>
      </c>
      <c r="H1730" s="6" t="s">
        <v>1704</v>
      </c>
      <c r="I1730" s="6" t="s">
        <v>20</v>
      </c>
      <c r="J1730" s="6">
        <v>2016.0</v>
      </c>
      <c r="K1730" s="10">
        <v>46055.0</v>
      </c>
      <c r="L1730" s="6">
        <v>2.0</v>
      </c>
      <c r="M1730" s="8">
        <f t="shared" si="5"/>
        <v>0.06</v>
      </c>
      <c r="P1730" s="9"/>
    </row>
    <row r="1731">
      <c r="A1731" s="6" t="s">
        <v>4452</v>
      </c>
      <c r="B1731" s="6" t="s">
        <v>3792</v>
      </c>
      <c r="C1731" s="6" t="s">
        <v>1949</v>
      </c>
      <c r="D1731" s="6" t="s">
        <v>4453</v>
      </c>
      <c r="E1731" s="6" t="s">
        <v>380</v>
      </c>
      <c r="F1731" s="6" t="s">
        <v>88</v>
      </c>
      <c r="G1731" s="7">
        <v>0.13</v>
      </c>
      <c r="H1731" s="6" t="s">
        <v>1641</v>
      </c>
      <c r="I1731" s="6" t="s">
        <v>20</v>
      </c>
      <c r="J1731" s="6">
        <v>2019.0</v>
      </c>
      <c r="K1731" s="6" t="s">
        <v>564</v>
      </c>
      <c r="L1731" s="6">
        <v>1.0</v>
      </c>
      <c r="M1731" s="8">
        <f t="shared" si="5"/>
        <v>0.13</v>
      </c>
      <c r="P1731" s="9"/>
    </row>
    <row r="1732">
      <c r="A1732" s="6" t="s">
        <v>4454</v>
      </c>
      <c r="B1732" s="6" t="s">
        <v>4455</v>
      </c>
      <c r="C1732" s="6" t="s">
        <v>1949</v>
      </c>
      <c r="D1732" s="6" t="s">
        <v>4456</v>
      </c>
      <c r="E1732" s="6" t="s">
        <v>915</v>
      </c>
      <c r="F1732" s="6" t="s">
        <v>88</v>
      </c>
      <c r="G1732" s="7">
        <v>0.15</v>
      </c>
      <c r="H1732" s="6" t="s">
        <v>1641</v>
      </c>
      <c r="I1732" s="6" t="s">
        <v>20</v>
      </c>
      <c r="J1732" s="6">
        <v>2019.0</v>
      </c>
      <c r="K1732" s="10">
        <v>46023.0</v>
      </c>
      <c r="L1732" s="6">
        <v>4.0</v>
      </c>
      <c r="M1732" s="8">
        <f t="shared" si="5"/>
        <v>0.6</v>
      </c>
      <c r="P1732" s="9"/>
    </row>
    <row r="1733">
      <c r="A1733" s="6" t="s">
        <v>4457</v>
      </c>
      <c r="B1733" s="6" t="s">
        <v>4458</v>
      </c>
      <c r="C1733" s="6" t="s">
        <v>295</v>
      </c>
      <c r="D1733" s="6" t="s">
        <v>4459</v>
      </c>
      <c r="E1733" s="6" t="s">
        <v>2318</v>
      </c>
      <c r="F1733" s="6" t="s">
        <v>88</v>
      </c>
      <c r="G1733" s="7">
        <v>0.1</v>
      </c>
      <c r="H1733" s="6" t="s">
        <v>1987</v>
      </c>
      <c r="I1733" s="6" t="s">
        <v>20</v>
      </c>
      <c r="J1733" s="6">
        <v>2019.0</v>
      </c>
      <c r="K1733" s="10">
        <v>46024.0</v>
      </c>
      <c r="L1733" s="6">
        <v>2.0</v>
      </c>
      <c r="M1733" s="8">
        <f t="shared" si="5"/>
        <v>0.2</v>
      </c>
      <c r="P1733" s="9"/>
    </row>
    <row r="1734">
      <c r="A1734" s="6" t="s">
        <v>4460</v>
      </c>
      <c r="B1734" s="6" t="s">
        <v>4461</v>
      </c>
      <c r="C1734" s="6" t="s">
        <v>160</v>
      </c>
      <c r="D1734" s="6" t="s">
        <v>4462</v>
      </c>
      <c r="E1734" s="6" t="s">
        <v>2809</v>
      </c>
      <c r="F1734" s="6" t="s">
        <v>88</v>
      </c>
      <c r="G1734" s="7">
        <v>0.5</v>
      </c>
      <c r="H1734" s="6" t="s">
        <v>1641</v>
      </c>
      <c r="I1734" s="6" t="s">
        <v>20</v>
      </c>
      <c r="J1734" s="6">
        <v>2019.0</v>
      </c>
      <c r="K1734" s="10">
        <v>46146.0</v>
      </c>
      <c r="L1734" s="6">
        <v>1.0</v>
      </c>
      <c r="M1734" s="8">
        <f t="shared" si="5"/>
        <v>0.5</v>
      </c>
      <c r="P1734" s="9"/>
    </row>
    <row r="1735">
      <c r="A1735" s="6" t="s">
        <v>4463</v>
      </c>
      <c r="B1735" s="6" t="s">
        <v>2621</v>
      </c>
      <c r="C1735" s="6" t="s">
        <v>295</v>
      </c>
      <c r="D1735" s="6" t="s">
        <v>4464</v>
      </c>
      <c r="E1735" s="6" t="s">
        <v>4324</v>
      </c>
      <c r="F1735" s="6" t="s">
        <v>88</v>
      </c>
      <c r="G1735" s="7">
        <v>0.17</v>
      </c>
      <c r="H1735" s="6" t="s">
        <v>2471</v>
      </c>
      <c r="I1735" s="6" t="s">
        <v>20</v>
      </c>
      <c r="J1735" s="6">
        <v>2012.0</v>
      </c>
      <c r="K1735" s="10">
        <v>46055.0</v>
      </c>
      <c r="L1735" s="6">
        <v>3.0</v>
      </c>
      <c r="M1735" s="8">
        <f t="shared" si="5"/>
        <v>0.51</v>
      </c>
      <c r="P1735" s="9"/>
    </row>
    <row r="1736">
      <c r="A1736" s="6" t="s">
        <v>4465</v>
      </c>
      <c r="B1736" s="6" t="s">
        <v>4466</v>
      </c>
      <c r="C1736" s="6" t="s">
        <v>1897</v>
      </c>
      <c r="D1736" s="6" t="s">
        <v>4467</v>
      </c>
      <c r="E1736" s="6" t="s">
        <v>2318</v>
      </c>
      <c r="F1736" s="6" t="s">
        <v>88</v>
      </c>
      <c r="G1736" s="7">
        <v>0.15</v>
      </c>
      <c r="H1736" s="6" t="s">
        <v>3092</v>
      </c>
      <c r="I1736" s="6" t="s">
        <v>20</v>
      </c>
      <c r="J1736" s="6">
        <v>2015.0</v>
      </c>
      <c r="K1736" s="10">
        <v>46083.0</v>
      </c>
      <c r="L1736" s="6">
        <v>1.0</v>
      </c>
      <c r="M1736" s="8">
        <f t="shared" si="5"/>
        <v>0.15</v>
      </c>
      <c r="P1736" s="9"/>
    </row>
    <row r="1737">
      <c r="A1737" s="6" t="s">
        <v>4468</v>
      </c>
      <c r="B1737" s="6" t="s">
        <v>2316</v>
      </c>
      <c r="C1737" s="6" t="s">
        <v>1897</v>
      </c>
      <c r="D1737" s="6" t="s">
        <v>4469</v>
      </c>
      <c r="E1737" s="6" t="s">
        <v>2318</v>
      </c>
      <c r="F1737" s="6" t="s">
        <v>88</v>
      </c>
      <c r="G1737" s="7">
        <v>0.22</v>
      </c>
      <c r="H1737" s="6" t="s">
        <v>2990</v>
      </c>
      <c r="I1737" s="6" t="s">
        <v>20</v>
      </c>
      <c r="J1737" s="6">
        <v>2013.0</v>
      </c>
      <c r="K1737" s="10">
        <v>46083.0</v>
      </c>
      <c r="L1737" s="6">
        <v>1.0</v>
      </c>
      <c r="M1737" s="8">
        <f t="shared" si="5"/>
        <v>0.22</v>
      </c>
      <c r="P1737" s="9"/>
    </row>
    <row r="1738">
      <c r="A1738" s="6" t="s">
        <v>4470</v>
      </c>
      <c r="B1738" s="6" t="s">
        <v>4471</v>
      </c>
      <c r="C1738" s="6" t="s">
        <v>295</v>
      </c>
      <c r="D1738" s="6" t="s">
        <v>4472</v>
      </c>
      <c r="E1738" s="6" t="s">
        <v>2318</v>
      </c>
      <c r="F1738" s="6" t="s">
        <v>88</v>
      </c>
      <c r="G1738" s="7">
        <v>0.26</v>
      </c>
      <c r="H1738" s="6" t="s">
        <v>2219</v>
      </c>
      <c r="I1738" s="6" t="s">
        <v>31</v>
      </c>
      <c r="J1738" s="6">
        <v>2026.0</v>
      </c>
      <c r="K1738" s="10">
        <v>46024.0</v>
      </c>
      <c r="L1738" s="6">
        <v>1.0</v>
      </c>
      <c r="M1738" s="8">
        <f t="shared" si="5"/>
        <v>0.26</v>
      </c>
      <c r="P1738" s="9"/>
    </row>
    <row r="1739">
      <c r="A1739" s="6" t="s">
        <v>4473</v>
      </c>
      <c r="B1739" s="6" t="s">
        <v>3792</v>
      </c>
      <c r="C1739" s="6" t="s">
        <v>295</v>
      </c>
      <c r="D1739" s="6" t="s">
        <v>4474</v>
      </c>
      <c r="E1739" s="6" t="s">
        <v>2318</v>
      </c>
      <c r="F1739" s="6" t="s">
        <v>88</v>
      </c>
      <c r="G1739" s="7">
        <v>0.2</v>
      </c>
      <c r="H1739" s="6" t="s">
        <v>1619</v>
      </c>
      <c r="I1739" s="6" t="s">
        <v>31</v>
      </c>
      <c r="J1739" s="6">
        <v>2022.0</v>
      </c>
      <c r="K1739" s="6" t="s">
        <v>3153</v>
      </c>
      <c r="L1739" s="6">
        <v>1.0</v>
      </c>
      <c r="M1739" s="8">
        <f t="shared" si="5"/>
        <v>0.2</v>
      </c>
      <c r="P1739" s="9"/>
    </row>
    <row r="1740">
      <c r="A1740" s="6" t="s">
        <v>4475</v>
      </c>
      <c r="B1740" s="6" t="s">
        <v>4476</v>
      </c>
      <c r="C1740" s="6" t="s">
        <v>295</v>
      </c>
      <c r="D1740" s="6" t="s">
        <v>4477</v>
      </c>
      <c r="E1740" s="6" t="s">
        <v>2318</v>
      </c>
      <c r="F1740" s="6" t="s">
        <v>88</v>
      </c>
      <c r="G1740" s="7">
        <v>0.04</v>
      </c>
      <c r="H1740" s="6" t="s">
        <v>2550</v>
      </c>
      <c r="I1740" s="6" t="s">
        <v>20</v>
      </c>
      <c r="J1740" s="6">
        <v>2020.0</v>
      </c>
      <c r="K1740" s="10">
        <v>46055.0</v>
      </c>
      <c r="L1740" s="6">
        <v>1.0</v>
      </c>
      <c r="M1740" s="8">
        <f t="shared" si="5"/>
        <v>0.04</v>
      </c>
      <c r="P1740" s="9"/>
    </row>
    <row r="1741">
      <c r="A1741" s="6" t="s">
        <v>4478</v>
      </c>
      <c r="B1741" s="6" t="s">
        <v>4479</v>
      </c>
      <c r="C1741" s="6" t="s">
        <v>1949</v>
      </c>
      <c r="D1741" s="6" t="s">
        <v>4480</v>
      </c>
      <c r="E1741" s="6" t="s">
        <v>2318</v>
      </c>
      <c r="F1741" s="6" t="s">
        <v>88</v>
      </c>
      <c r="G1741" s="7">
        <v>0.14</v>
      </c>
      <c r="H1741" s="6" t="s">
        <v>1631</v>
      </c>
      <c r="I1741" s="6" t="s">
        <v>20</v>
      </c>
      <c r="J1741" s="6">
        <v>2024.0</v>
      </c>
      <c r="K1741" s="10">
        <v>46056.0</v>
      </c>
      <c r="L1741" s="6">
        <v>1.0</v>
      </c>
      <c r="M1741" s="8">
        <f t="shared" si="5"/>
        <v>0.14</v>
      </c>
      <c r="P1741" s="9"/>
    </row>
    <row r="1742">
      <c r="A1742" s="6" t="s">
        <v>4481</v>
      </c>
      <c r="B1742" s="6" t="s">
        <v>2621</v>
      </c>
      <c r="C1742" s="6" t="s">
        <v>295</v>
      </c>
      <c r="D1742" s="6" t="s">
        <v>4482</v>
      </c>
      <c r="E1742" s="6" t="s">
        <v>380</v>
      </c>
      <c r="F1742" s="6" t="s">
        <v>88</v>
      </c>
      <c r="G1742" s="7">
        <v>0.06</v>
      </c>
      <c r="H1742" s="6" t="s">
        <v>3295</v>
      </c>
      <c r="I1742" s="6" t="s">
        <v>20</v>
      </c>
      <c r="J1742" s="6">
        <v>2013.0</v>
      </c>
      <c r="K1742" s="6" t="s">
        <v>3153</v>
      </c>
      <c r="L1742" s="6">
        <v>1.0</v>
      </c>
      <c r="M1742" s="8">
        <f t="shared" si="5"/>
        <v>0.06</v>
      </c>
      <c r="P1742" s="9"/>
    </row>
    <row r="1743">
      <c r="A1743" s="6" t="s">
        <v>4483</v>
      </c>
      <c r="B1743" s="6" t="s">
        <v>4484</v>
      </c>
      <c r="C1743" s="6" t="s">
        <v>295</v>
      </c>
      <c r="D1743" s="6" t="s">
        <v>4485</v>
      </c>
      <c r="E1743" s="6" t="s">
        <v>2326</v>
      </c>
      <c r="F1743" s="6" t="s">
        <v>88</v>
      </c>
      <c r="G1743" s="7">
        <v>0.05</v>
      </c>
      <c r="H1743" s="6" t="s">
        <v>3295</v>
      </c>
      <c r="I1743" s="6" t="s">
        <v>20</v>
      </c>
      <c r="J1743" s="6">
        <v>2013.0</v>
      </c>
      <c r="K1743" s="10">
        <v>46114.0</v>
      </c>
      <c r="L1743" s="6">
        <v>1.0</v>
      </c>
      <c r="M1743" s="8">
        <f t="shared" si="5"/>
        <v>0.05</v>
      </c>
      <c r="P1743" s="9"/>
    </row>
    <row r="1744">
      <c r="A1744" s="6" t="s">
        <v>4486</v>
      </c>
      <c r="B1744" s="6" t="s">
        <v>2058</v>
      </c>
      <c r="C1744" s="6" t="s">
        <v>1949</v>
      </c>
      <c r="D1744" s="6" t="s">
        <v>4487</v>
      </c>
      <c r="E1744" s="6" t="s">
        <v>2318</v>
      </c>
      <c r="F1744" s="6" t="s">
        <v>88</v>
      </c>
      <c r="G1744" s="7">
        <v>0.06</v>
      </c>
      <c r="H1744" s="6" t="s">
        <v>2619</v>
      </c>
      <c r="I1744" s="6" t="s">
        <v>20</v>
      </c>
      <c r="J1744" s="6">
        <v>2019.0</v>
      </c>
      <c r="L1744" s="6">
        <v>6.0</v>
      </c>
      <c r="M1744" s="8">
        <f t="shared" si="5"/>
        <v>0.36</v>
      </c>
      <c r="P1744" s="9"/>
    </row>
    <row r="1745">
      <c r="A1745" s="6" t="s">
        <v>4488</v>
      </c>
      <c r="B1745" s="6" t="s">
        <v>2669</v>
      </c>
      <c r="C1745" s="6" t="s">
        <v>295</v>
      </c>
      <c r="D1745" s="6" t="s">
        <v>4489</v>
      </c>
      <c r="E1745" s="6" t="s">
        <v>4282</v>
      </c>
      <c r="F1745" s="6" t="s">
        <v>88</v>
      </c>
      <c r="G1745" s="7">
        <v>0.04</v>
      </c>
      <c r="H1745" s="6" t="s">
        <v>3295</v>
      </c>
      <c r="I1745" s="6" t="s">
        <v>20</v>
      </c>
      <c r="J1745" s="6">
        <v>2013.0</v>
      </c>
      <c r="K1745" s="10">
        <v>46145.0</v>
      </c>
      <c r="L1745" s="6">
        <v>2.0</v>
      </c>
      <c r="M1745" s="8">
        <f t="shared" si="5"/>
        <v>0.08</v>
      </c>
      <c r="P1745" s="9"/>
    </row>
    <row r="1746">
      <c r="A1746" s="6" t="s">
        <v>4490</v>
      </c>
      <c r="B1746" s="6" t="s">
        <v>4491</v>
      </c>
      <c r="C1746" s="6" t="s">
        <v>1949</v>
      </c>
      <c r="D1746" s="6" t="s">
        <v>4492</v>
      </c>
      <c r="E1746" s="6" t="s">
        <v>4493</v>
      </c>
      <c r="F1746" s="6" t="s">
        <v>88</v>
      </c>
      <c r="G1746" s="7">
        <v>0.47</v>
      </c>
      <c r="H1746" s="6" t="s">
        <v>3476</v>
      </c>
      <c r="I1746" s="6" t="s">
        <v>20</v>
      </c>
      <c r="J1746" s="6">
        <v>2023.0</v>
      </c>
      <c r="K1746" s="10">
        <v>46082.0</v>
      </c>
      <c r="L1746" s="6">
        <v>3.0</v>
      </c>
      <c r="M1746" s="8">
        <f t="shared" si="5"/>
        <v>1.41</v>
      </c>
      <c r="P1746" s="9"/>
    </row>
    <row r="1747">
      <c r="A1747" s="6" t="s">
        <v>4411</v>
      </c>
      <c r="B1747" s="6" t="s">
        <v>3390</v>
      </c>
      <c r="C1747" s="6" t="s">
        <v>295</v>
      </c>
      <c r="D1747" s="6" t="s">
        <v>3650</v>
      </c>
      <c r="E1747" s="6" t="s">
        <v>2318</v>
      </c>
      <c r="F1747" s="6" t="s">
        <v>88</v>
      </c>
      <c r="G1747" s="7">
        <v>0.25</v>
      </c>
      <c r="H1747" s="6" t="s">
        <v>4494</v>
      </c>
      <c r="I1747" s="6" t="s">
        <v>31</v>
      </c>
      <c r="J1747" s="6">
        <v>2013.0</v>
      </c>
      <c r="K1747" s="10">
        <v>46055.0</v>
      </c>
      <c r="L1747" s="6">
        <v>1.0</v>
      </c>
      <c r="M1747" s="8">
        <f t="shared" si="5"/>
        <v>0.25</v>
      </c>
      <c r="P1747" s="9"/>
    </row>
    <row r="1748">
      <c r="A1748" s="6" t="s">
        <v>4495</v>
      </c>
      <c r="B1748" s="6" t="s">
        <v>2316</v>
      </c>
      <c r="C1748" s="6" t="s">
        <v>295</v>
      </c>
      <c r="D1748" s="6" t="s">
        <v>4496</v>
      </c>
      <c r="E1748" s="6" t="s">
        <v>4324</v>
      </c>
      <c r="F1748" s="6" t="s">
        <v>88</v>
      </c>
      <c r="G1748" s="7">
        <v>0.09</v>
      </c>
      <c r="H1748" s="6" t="s">
        <v>2536</v>
      </c>
      <c r="I1748" s="6" t="s">
        <v>20</v>
      </c>
      <c r="J1748" s="6">
        <v>2010.0</v>
      </c>
      <c r="K1748" s="10">
        <v>46055.0</v>
      </c>
      <c r="L1748" s="6">
        <v>1.0</v>
      </c>
      <c r="M1748" s="8">
        <f t="shared" si="5"/>
        <v>0.09</v>
      </c>
      <c r="P1748" s="9"/>
    </row>
    <row r="1749">
      <c r="A1749" s="6" t="s">
        <v>4497</v>
      </c>
      <c r="B1749" s="6" t="s">
        <v>2316</v>
      </c>
      <c r="C1749" s="6" t="s">
        <v>295</v>
      </c>
      <c r="D1749" s="6" t="s">
        <v>4498</v>
      </c>
      <c r="E1749" s="6" t="s">
        <v>380</v>
      </c>
      <c r="F1749" s="6" t="s">
        <v>88</v>
      </c>
      <c r="G1749" s="7">
        <v>0.06</v>
      </c>
      <c r="H1749" s="6" t="s">
        <v>1990</v>
      </c>
      <c r="I1749" s="6" t="s">
        <v>20</v>
      </c>
      <c r="J1749" s="6">
        <v>2011.0</v>
      </c>
      <c r="K1749" s="10">
        <v>46023.0</v>
      </c>
      <c r="L1749" s="6">
        <v>1.0</v>
      </c>
      <c r="M1749" s="8">
        <f t="shared" si="5"/>
        <v>0.06</v>
      </c>
      <c r="P1749" s="9"/>
    </row>
    <row r="1750">
      <c r="A1750" s="6" t="s">
        <v>4499</v>
      </c>
      <c r="B1750" s="6" t="s">
        <v>3576</v>
      </c>
      <c r="C1750" s="6" t="s">
        <v>1897</v>
      </c>
      <c r="D1750" s="6" t="s">
        <v>4500</v>
      </c>
      <c r="E1750" s="6" t="s">
        <v>4288</v>
      </c>
      <c r="F1750" s="6" t="s">
        <v>88</v>
      </c>
      <c r="G1750" s="7">
        <v>1.19</v>
      </c>
      <c r="H1750" s="6" t="s">
        <v>2514</v>
      </c>
      <c r="I1750" s="6" t="s">
        <v>20</v>
      </c>
      <c r="J1750" s="6">
        <v>2005.0</v>
      </c>
      <c r="K1750" s="10">
        <v>46116.0</v>
      </c>
      <c r="L1750" s="6">
        <v>1.0</v>
      </c>
      <c r="M1750" s="8">
        <f t="shared" si="5"/>
        <v>1.19</v>
      </c>
      <c r="P1750" s="9"/>
    </row>
    <row r="1751">
      <c r="A1751" s="6" t="s">
        <v>4501</v>
      </c>
      <c r="B1751" s="6" t="s">
        <v>2748</v>
      </c>
      <c r="C1751" s="6" t="s">
        <v>295</v>
      </c>
      <c r="D1751" s="6" t="s">
        <v>4502</v>
      </c>
      <c r="E1751" s="6" t="s">
        <v>2318</v>
      </c>
      <c r="F1751" s="6" t="s">
        <v>88</v>
      </c>
      <c r="G1751" s="7">
        <v>0.05</v>
      </c>
      <c r="H1751" s="6" t="s">
        <v>1995</v>
      </c>
      <c r="I1751" s="6" t="s">
        <v>20</v>
      </c>
      <c r="J1751" s="6">
        <v>2016.0</v>
      </c>
      <c r="K1751" s="10">
        <v>46083.0</v>
      </c>
      <c r="L1751" s="6">
        <v>2.0</v>
      </c>
      <c r="M1751" s="8">
        <f t="shared" si="5"/>
        <v>0.1</v>
      </c>
      <c r="P1751" s="9"/>
    </row>
    <row r="1752">
      <c r="A1752" s="6" t="s">
        <v>4503</v>
      </c>
      <c r="B1752" s="6" t="s">
        <v>2017</v>
      </c>
      <c r="C1752" s="6" t="s">
        <v>295</v>
      </c>
      <c r="D1752" s="6" t="s">
        <v>4504</v>
      </c>
      <c r="E1752" s="6" t="s">
        <v>380</v>
      </c>
      <c r="F1752" s="6" t="s">
        <v>88</v>
      </c>
      <c r="G1752" s="7">
        <v>0.03</v>
      </c>
      <c r="H1752" s="6" t="s">
        <v>2619</v>
      </c>
      <c r="I1752" s="6" t="s">
        <v>20</v>
      </c>
      <c r="J1752" s="6">
        <v>2019.0</v>
      </c>
      <c r="K1752" s="10">
        <v>46054.0</v>
      </c>
      <c r="L1752" s="6">
        <v>1.0</v>
      </c>
      <c r="M1752" s="8">
        <f t="shared" si="5"/>
        <v>0.03</v>
      </c>
      <c r="P1752" s="9"/>
    </row>
    <row r="1753">
      <c r="A1753" s="6" t="s">
        <v>4505</v>
      </c>
      <c r="B1753" s="6" t="s">
        <v>1944</v>
      </c>
      <c r="C1753" s="6" t="s">
        <v>1897</v>
      </c>
      <c r="D1753" s="6" t="s">
        <v>4506</v>
      </c>
      <c r="E1753" s="6" t="s">
        <v>2326</v>
      </c>
      <c r="F1753" s="6" t="s">
        <v>88</v>
      </c>
      <c r="G1753" s="7">
        <v>0.35</v>
      </c>
      <c r="H1753" s="6" t="s">
        <v>1664</v>
      </c>
      <c r="I1753" s="6" t="s">
        <v>20</v>
      </c>
      <c r="J1753" s="6">
        <v>2018.0</v>
      </c>
      <c r="L1753" s="6">
        <v>1.0</v>
      </c>
      <c r="M1753" s="8">
        <f t="shared" si="5"/>
        <v>0.35</v>
      </c>
      <c r="P1753" s="9"/>
    </row>
    <row r="1754">
      <c r="A1754" s="6" t="s">
        <v>4507</v>
      </c>
      <c r="B1754" s="6" t="s">
        <v>2014</v>
      </c>
      <c r="C1754" s="6" t="s">
        <v>295</v>
      </c>
      <c r="D1754" s="6" t="s">
        <v>4508</v>
      </c>
      <c r="E1754" s="6" t="s">
        <v>915</v>
      </c>
      <c r="F1754" s="6" t="s">
        <v>88</v>
      </c>
      <c r="G1754" s="7">
        <v>0.7</v>
      </c>
      <c r="H1754" s="6" t="s">
        <v>2650</v>
      </c>
      <c r="I1754" s="6" t="s">
        <v>20</v>
      </c>
      <c r="J1754" s="6">
        <v>2021.0</v>
      </c>
      <c r="L1754" s="6">
        <v>2.0</v>
      </c>
      <c r="M1754" s="8">
        <f t="shared" si="5"/>
        <v>1.4</v>
      </c>
      <c r="P1754" s="9"/>
    </row>
    <row r="1755">
      <c r="A1755" s="6" t="s">
        <v>4509</v>
      </c>
      <c r="B1755" s="6" t="s">
        <v>2822</v>
      </c>
      <c r="C1755" s="6" t="s">
        <v>295</v>
      </c>
      <c r="D1755" s="6" t="s">
        <v>4510</v>
      </c>
      <c r="E1755" s="6" t="s">
        <v>915</v>
      </c>
      <c r="F1755" s="6" t="s">
        <v>88</v>
      </c>
      <c r="G1755" s="7">
        <v>0.49</v>
      </c>
      <c r="H1755" s="6" t="s">
        <v>1959</v>
      </c>
      <c r="I1755" s="6" t="s">
        <v>20</v>
      </c>
      <c r="J1755" s="6">
        <v>2024.0</v>
      </c>
      <c r="L1755" s="6">
        <v>3.0</v>
      </c>
      <c r="M1755" s="8">
        <f t="shared" si="5"/>
        <v>1.47</v>
      </c>
      <c r="P1755" s="9"/>
    </row>
    <row r="1756">
      <c r="A1756" s="6" t="s">
        <v>4511</v>
      </c>
      <c r="B1756" s="6" t="s">
        <v>2014</v>
      </c>
      <c r="C1756" s="6" t="s">
        <v>295</v>
      </c>
      <c r="D1756" s="6" t="s">
        <v>4512</v>
      </c>
      <c r="E1756" s="6" t="s">
        <v>380</v>
      </c>
      <c r="F1756" s="6" t="s">
        <v>88</v>
      </c>
      <c r="G1756" s="7">
        <v>0.13</v>
      </c>
      <c r="H1756" s="6" t="s">
        <v>2384</v>
      </c>
      <c r="I1756" s="6" t="s">
        <v>20</v>
      </c>
      <c r="J1756" s="6">
        <v>2019.0</v>
      </c>
      <c r="L1756" s="6">
        <v>2.0</v>
      </c>
      <c r="M1756" s="8">
        <f t="shared" si="5"/>
        <v>0.26</v>
      </c>
      <c r="P1756" s="9"/>
    </row>
    <row r="1757">
      <c r="A1757" s="6" t="s">
        <v>4513</v>
      </c>
      <c r="B1757" s="6" t="s">
        <v>2014</v>
      </c>
      <c r="C1757" s="6" t="s">
        <v>295</v>
      </c>
      <c r="D1757" s="6" t="s">
        <v>4514</v>
      </c>
      <c r="E1757" s="6" t="s">
        <v>380</v>
      </c>
      <c r="F1757" s="6" t="s">
        <v>88</v>
      </c>
      <c r="G1757" s="7">
        <v>0.15</v>
      </c>
      <c r="H1757" s="6" t="s">
        <v>2769</v>
      </c>
      <c r="I1757" s="6" t="s">
        <v>31</v>
      </c>
      <c r="J1757" s="6">
        <v>2015.0</v>
      </c>
      <c r="L1757" s="6">
        <v>1.0</v>
      </c>
      <c r="M1757" s="8">
        <f t="shared" si="5"/>
        <v>0.15</v>
      </c>
      <c r="P1757" s="9"/>
    </row>
    <row r="1758">
      <c r="A1758" s="6" t="s">
        <v>4515</v>
      </c>
      <c r="B1758" s="6" t="s">
        <v>1944</v>
      </c>
      <c r="C1758" s="6" t="s">
        <v>1897</v>
      </c>
      <c r="D1758" s="6" t="s">
        <v>4516</v>
      </c>
      <c r="E1758" s="6" t="s">
        <v>4324</v>
      </c>
      <c r="F1758" s="6" t="s">
        <v>88</v>
      </c>
      <c r="G1758" s="7">
        <v>0.56</v>
      </c>
      <c r="H1758" s="6" t="s">
        <v>3217</v>
      </c>
      <c r="I1758" s="6" t="s">
        <v>20</v>
      </c>
      <c r="J1758" s="6">
        <v>2014.0</v>
      </c>
      <c r="L1758" s="6">
        <v>1.0</v>
      </c>
      <c r="M1758" s="8">
        <f t="shared" si="5"/>
        <v>0.56</v>
      </c>
      <c r="P1758" s="9"/>
    </row>
    <row r="1759">
      <c r="A1759" s="6" t="s">
        <v>4517</v>
      </c>
      <c r="B1759" s="6" t="s">
        <v>2014</v>
      </c>
      <c r="C1759" s="6" t="s">
        <v>295</v>
      </c>
      <c r="D1759" s="6" t="s">
        <v>4518</v>
      </c>
      <c r="E1759" s="6" t="s">
        <v>915</v>
      </c>
      <c r="F1759" s="6" t="s">
        <v>88</v>
      </c>
      <c r="G1759" s="7">
        <v>0.43</v>
      </c>
      <c r="H1759" s="6" t="s">
        <v>2990</v>
      </c>
      <c r="I1759" s="6" t="s">
        <v>20</v>
      </c>
      <c r="J1759" s="6">
        <v>2013.0</v>
      </c>
      <c r="L1759" s="6">
        <v>1.0</v>
      </c>
      <c r="M1759" s="8">
        <f t="shared" si="5"/>
        <v>0.43</v>
      </c>
      <c r="P1759" s="9"/>
    </row>
    <row r="1760">
      <c r="A1760" s="6" t="s">
        <v>4519</v>
      </c>
      <c r="B1760" s="6" t="s">
        <v>2058</v>
      </c>
      <c r="C1760" s="6" t="s">
        <v>295</v>
      </c>
      <c r="D1760" s="6" t="s">
        <v>4520</v>
      </c>
      <c r="E1760" s="6" t="s">
        <v>2321</v>
      </c>
      <c r="F1760" s="6" t="s">
        <v>88</v>
      </c>
      <c r="G1760" s="7">
        <v>0.23</v>
      </c>
      <c r="H1760" s="6" t="s">
        <v>4521</v>
      </c>
      <c r="I1760" s="6" t="s">
        <v>20</v>
      </c>
      <c r="J1760" s="6">
        <v>2003.0</v>
      </c>
      <c r="L1760" s="6">
        <v>1.0</v>
      </c>
      <c r="M1760" s="8">
        <f t="shared" si="5"/>
        <v>0.23</v>
      </c>
      <c r="P1760" s="9"/>
    </row>
    <row r="1761">
      <c r="A1761" s="6" t="s">
        <v>4522</v>
      </c>
      <c r="B1761" s="6" t="s">
        <v>385</v>
      </c>
      <c r="C1761" s="6" t="s">
        <v>1949</v>
      </c>
      <c r="D1761" s="6" t="s">
        <v>4523</v>
      </c>
      <c r="E1761" s="6" t="s">
        <v>2318</v>
      </c>
      <c r="F1761" s="6" t="s">
        <v>88</v>
      </c>
      <c r="G1761" s="7">
        <v>0.09</v>
      </c>
      <c r="H1761" s="6" t="s">
        <v>2219</v>
      </c>
      <c r="I1761" s="6" t="s">
        <v>20</v>
      </c>
      <c r="J1761" s="6">
        <v>2024.0</v>
      </c>
      <c r="L1761" s="6">
        <v>3.0</v>
      </c>
      <c r="M1761" s="8">
        <f t="shared" si="5"/>
        <v>0.27</v>
      </c>
      <c r="P1761" s="9"/>
    </row>
    <row r="1762">
      <c r="A1762" s="6" t="s">
        <v>4524</v>
      </c>
      <c r="B1762" s="6" t="s">
        <v>2058</v>
      </c>
      <c r="C1762" s="6" t="s">
        <v>1897</v>
      </c>
      <c r="D1762" s="6" t="s">
        <v>4525</v>
      </c>
      <c r="E1762" s="6" t="s">
        <v>4526</v>
      </c>
      <c r="F1762" s="6" t="s">
        <v>88</v>
      </c>
      <c r="G1762" s="7">
        <v>0.73</v>
      </c>
      <c r="H1762" s="6" t="s">
        <v>2769</v>
      </c>
      <c r="I1762" s="6" t="s">
        <v>20</v>
      </c>
      <c r="J1762" s="6">
        <v>2015.0</v>
      </c>
      <c r="L1762" s="6">
        <v>1.0</v>
      </c>
      <c r="M1762" s="8">
        <f t="shared" si="5"/>
        <v>0.73</v>
      </c>
      <c r="P1762" s="9"/>
    </row>
    <row r="1763">
      <c r="A1763" s="6" t="s">
        <v>4527</v>
      </c>
      <c r="B1763" s="6" t="s">
        <v>2058</v>
      </c>
      <c r="C1763" s="6" t="s">
        <v>295</v>
      </c>
      <c r="D1763" s="6" t="s">
        <v>4528</v>
      </c>
      <c r="E1763" s="6" t="s">
        <v>915</v>
      </c>
      <c r="F1763" s="6" t="s">
        <v>88</v>
      </c>
      <c r="G1763" s="7">
        <v>0.3</v>
      </c>
      <c r="H1763" s="6" t="s">
        <v>2688</v>
      </c>
      <c r="I1763" s="6" t="s">
        <v>20</v>
      </c>
      <c r="J1763" s="6">
        <v>2010.0</v>
      </c>
      <c r="L1763" s="6">
        <v>1.0</v>
      </c>
      <c r="M1763" s="8">
        <f t="shared" si="5"/>
        <v>0.3</v>
      </c>
      <c r="P1763" s="9"/>
    </row>
    <row r="1764">
      <c r="A1764" s="6" t="s">
        <v>4529</v>
      </c>
      <c r="B1764" s="6" t="s">
        <v>2058</v>
      </c>
      <c r="C1764" s="6" t="s">
        <v>1897</v>
      </c>
      <c r="D1764" s="6" t="s">
        <v>4530</v>
      </c>
      <c r="E1764" s="6" t="s">
        <v>4288</v>
      </c>
      <c r="F1764" s="6" t="s">
        <v>88</v>
      </c>
      <c r="G1764" s="7">
        <v>1.99</v>
      </c>
      <c r="H1764" s="6" t="s">
        <v>4531</v>
      </c>
      <c r="I1764" s="6" t="s">
        <v>31</v>
      </c>
      <c r="J1764" s="6">
        <v>2021.0</v>
      </c>
      <c r="L1764" s="6">
        <v>1.0</v>
      </c>
      <c r="M1764" s="8">
        <f t="shared" si="5"/>
        <v>1.99</v>
      </c>
      <c r="P1764" s="9"/>
    </row>
    <row r="1765">
      <c r="A1765" s="6" t="s">
        <v>4532</v>
      </c>
      <c r="B1765" s="6" t="s">
        <v>2058</v>
      </c>
      <c r="C1765" s="6" t="s">
        <v>295</v>
      </c>
      <c r="D1765" s="6" t="s">
        <v>2323</v>
      </c>
      <c r="E1765" s="6" t="s">
        <v>2318</v>
      </c>
      <c r="F1765" s="6" t="s">
        <v>88</v>
      </c>
      <c r="G1765" s="7">
        <v>0.29</v>
      </c>
      <c r="H1765" s="6" t="s">
        <v>3485</v>
      </c>
      <c r="I1765" s="6" t="s">
        <v>31</v>
      </c>
      <c r="J1765" s="6">
        <v>2012.0</v>
      </c>
      <c r="L1765" s="6">
        <v>1.0</v>
      </c>
      <c r="M1765" s="8">
        <f t="shared" si="5"/>
        <v>0.29</v>
      </c>
      <c r="P1765" s="9"/>
    </row>
    <row r="1766">
      <c r="A1766" s="6" t="s">
        <v>4533</v>
      </c>
      <c r="B1766" s="6" t="s">
        <v>2058</v>
      </c>
      <c r="C1766" s="6" t="s">
        <v>295</v>
      </c>
      <c r="D1766" s="6" t="s">
        <v>4534</v>
      </c>
      <c r="E1766" s="6" t="s">
        <v>380</v>
      </c>
      <c r="F1766" s="6" t="s">
        <v>88</v>
      </c>
      <c r="G1766" s="7">
        <v>0.2</v>
      </c>
      <c r="H1766" s="6" t="s">
        <v>2619</v>
      </c>
      <c r="I1766" s="6" t="s">
        <v>20</v>
      </c>
      <c r="J1766" s="6">
        <v>2019.0</v>
      </c>
      <c r="L1766" s="6">
        <v>1.0</v>
      </c>
      <c r="M1766" s="8">
        <f t="shared" si="5"/>
        <v>0.2</v>
      </c>
      <c r="P1766" s="9"/>
    </row>
    <row r="1767">
      <c r="A1767" s="6" t="s">
        <v>4535</v>
      </c>
      <c r="B1767" s="6" t="s">
        <v>2058</v>
      </c>
      <c r="C1767" s="6" t="s">
        <v>1949</v>
      </c>
      <c r="D1767" s="6" t="s">
        <v>4536</v>
      </c>
      <c r="E1767" s="6" t="s">
        <v>380</v>
      </c>
      <c r="F1767" s="6" t="s">
        <v>88</v>
      </c>
      <c r="G1767" s="7">
        <v>0.25</v>
      </c>
      <c r="H1767" s="6" t="s">
        <v>4537</v>
      </c>
      <c r="I1767" s="6" t="s">
        <v>20</v>
      </c>
      <c r="J1767" s="6">
        <v>2021.0</v>
      </c>
      <c r="L1767" s="6">
        <v>2.0</v>
      </c>
      <c r="M1767" s="8">
        <f t="shared" si="5"/>
        <v>0.5</v>
      </c>
      <c r="P1767" s="9"/>
    </row>
    <row r="1768">
      <c r="A1768" s="6" t="s">
        <v>4538</v>
      </c>
      <c r="B1768" s="6" t="s">
        <v>378</v>
      </c>
      <c r="C1768" s="6" t="s">
        <v>295</v>
      </c>
      <c r="D1768" s="6" t="s">
        <v>4539</v>
      </c>
      <c r="E1768" s="6" t="s">
        <v>915</v>
      </c>
      <c r="F1768" s="6" t="s">
        <v>88</v>
      </c>
      <c r="G1768" s="7">
        <v>0.05</v>
      </c>
      <c r="H1768" s="6" t="s">
        <v>2242</v>
      </c>
      <c r="I1768" s="6" t="s">
        <v>20</v>
      </c>
      <c r="J1768" s="6">
        <v>2014.0</v>
      </c>
      <c r="L1768" s="6">
        <v>1.0</v>
      </c>
      <c r="M1768" s="8">
        <f t="shared" si="5"/>
        <v>0.05</v>
      </c>
      <c r="P1768" s="9"/>
    </row>
    <row r="1769">
      <c r="A1769" s="6" t="s">
        <v>4540</v>
      </c>
      <c r="B1769" s="6" t="s">
        <v>378</v>
      </c>
      <c r="C1769" s="6" t="s">
        <v>295</v>
      </c>
      <c r="D1769" s="6" t="s">
        <v>4541</v>
      </c>
      <c r="E1769" s="6" t="s">
        <v>4288</v>
      </c>
      <c r="F1769" s="6" t="s">
        <v>88</v>
      </c>
      <c r="G1769" s="7">
        <v>0.03</v>
      </c>
      <c r="H1769" s="6" t="s">
        <v>2471</v>
      </c>
      <c r="I1769" s="6" t="s">
        <v>20</v>
      </c>
      <c r="J1769" s="6">
        <v>2012.0</v>
      </c>
      <c r="L1769" s="6">
        <v>1.0</v>
      </c>
      <c r="M1769" s="8">
        <f t="shared" si="5"/>
        <v>0.03</v>
      </c>
      <c r="P1769" s="9"/>
    </row>
    <row r="1770">
      <c r="A1770" s="6" t="s">
        <v>4542</v>
      </c>
      <c r="B1770" s="6" t="s">
        <v>2969</v>
      </c>
      <c r="C1770" s="6" t="s">
        <v>2138</v>
      </c>
      <c r="D1770" s="6" t="s">
        <v>4543</v>
      </c>
      <c r="E1770" s="6" t="s">
        <v>915</v>
      </c>
      <c r="F1770" s="6" t="s">
        <v>88</v>
      </c>
      <c r="G1770" s="7">
        <v>0.05</v>
      </c>
      <c r="H1770" s="6" t="s">
        <v>2568</v>
      </c>
      <c r="I1770" s="6" t="s">
        <v>20</v>
      </c>
      <c r="J1770" s="6">
        <v>2012.0</v>
      </c>
      <c r="L1770" s="6">
        <v>1.0</v>
      </c>
      <c r="M1770" s="8">
        <f t="shared" si="5"/>
        <v>0.05</v>
      </c>
      <c r="P1770" s="9"/>
    </row>
    <row r="1771">
      <c r="A1771" s="6" t="s">
        <v>4544</v>
      </c>
      <c r="B1771" s="6" t="s">
        <v>2014</v>
      </c>
      <c r="C1771" s="6" t="s">
        <v>295</v>
      </c>
      <c r="D1771" s="6" t="s">
        <v>4545</v>
      </c>
      <c r="E1771" s="6" t="s">
        <v>1743</v>
      </c>
      <c r="F1771" s="6" t="s">
        <v>152</v>
      </c>
      <c r="G1771" s="7">
        <v>0.06</v>
      </c>
      <c r="H1771" s="6" t="s">
        <v>2641</v>
      </c>
      <c r="I1771" s="6" t="s">
        <v>20</v>
      </c>
      <c r="J1771" s="6">
        <v>2013.0</v>
      </c>
      <c r="L1771" s="6">
        <v>4.0</v>
      </c>
      <c r="M1771" s="8">
        <f t="shared" si="5"/>
        <v>0.24</v>
      </c>
      <c r="P1771" s="9"/>
    </row>
    <row r="1772">
      <c r="A1772" s="6" t="s">
        <v>4546</v>
      </c>
      <c r="B1772" s="6" t="s">
        <v>378</v>
      </c>
      <c r="C1772" s="6" t="s">
        <v>295</v>
      </c>
      <c r="D1772" s="6" t="s">
        <v>4547</v>
      </c>
      <c r="E1772" s="6" t="s">
        <v>1779</v>
      </c>
      <c r="F1772" s="6" t="s">
        <v>152</v>
      </c>
      <c r="G1772" s="7">
        <v>0.06</v>
      </c>
      <c r="H1772" s="6" t="s">
        <v>2186</v>
      </c>
      <c r="I1772" s="6" t="s">
        <v>20</v>
      </c>
      <c r="J1772" s="6">
        <v>2022.0</v>
      </c>
      <c r="L1772" s="6">
        <v>2.0</v>
      </c>
      <c r="M1772" s="8">
        <f t="shared" si="5"/>
        <v>0.12</v>
      </c>
      <c r="P1772" s="9"/>
    </row>
    <row r="1773">
      <c r="A1773" s="6" t="s">
        <v>4546</v>
      </c>
      <c r="B1773" s="6" t="s">
        <v>378</v>
      </c>
      <c r="C1773" s="6" t="s">
        <v>295</v>
      </c>
      <c r="D1773" s="6" t="s">
        <v>4547</v>
      </c>
      <c r="E1773" s="6" t="s">
        <v>1779</v>
      </c>
      <c r="F1773" s="6" t="s">
        <v>152</v>
      </c>
      <c r="G1773" s="7">
        <v>0.05</v>
      </c>
      <c r="H1773" s="6" t="s">
        <v>4548</v>
      </c>
      <c r="I1773" s="6" t="s">
        <v>20</v>
      </c>
      <c r="J1773" s="6">
        <v>2014.0</v>
      </c>
      <c r="L1773" s="6">
        <v>4.0</v>
      </c>
      <c r="M1773" s="8">
        <f t="shared" si="5"/>
        <v>0.2</v>
      </c>
      <c r="P1773" s="9"/>
    </row>
    <row r="1774">
      <c r="A1774" s="6" t="s">
        <v>4549</v>
      </c>
      <c r="B1774" s="6" t="s">
        <v>378</v>
      </c>
      <c r="C1774" s="6" t="s">
        <v>1949</v>
      </c>
      <c r="D1774" s="6" t="s">
        <v>4550</v>
      </c>
      <c r="E1774" s="6" t="s">
        <v>713</v>
      </c>
      <c r="F1774" s="6" t="s">
        <v>152</v>
      </c>
      <c r="G1774" s="7">
        <v>0.23</v>
      </c>
      <c r="H1774" s="6" t="s">
        <v>2471</v>
      </c>
      <c r="I1774" s="6" t="s">
        <v>20</v>
      </c>
      <c r="J1774" s="6">
        <v>2012.0</v>
      </c>
      <c r="L1774" s="6">
        <v>4.0</v>
      </c>
      <c r="M1774" s="8">
        <f t="shared" si="5"/>
        <v>0.92</v>
      </c>
      <c r="P1774" s="9"/>
    </row>
    <row r="1775">
      <c r="A1775" s="6" t="s">
        <v>4551</v>
      </c>
      <c r="B1775" s="6" t="s">
        <v>378</v>
      </c>
      <c r="C1775" s="6" t="s">
        <v>295</v>
      </c>
      <c r="D1775" s="6" t="s">
        <v>4552</v>
      </c>
      <c r="E1775" s="6" t="s">
        <v>1761</v>
      </c>
      <c r="F1775" s="6" t="s">
        <v>152</v>
      </c>
      <c r="G1775" s="7">
        <v>0.06</v>
      </c>
      <c r="H1775" s="6" t="s">
        <v>2372</v>
      </c>
      <c r="I1775" s="6" t="s">
        <v>20</v>
      </c>
      <c r="J1775" s="6">
        <v>2010.0</v>
      </c>
      <c r="L1775" s="6">
        <v>4.0</v>
      </c>
      <c r="M1775" s="8">
        <f t="shared" si="5"/>
        <v>0.24</v>
      </c>
      <c r="P1775" s="9"/>
    </row>
    <row r="1776">
      <c r="A1776" s="6" t="s">
        <v>4553</v>
      </c>
      <c r="B1776" s="6" t="s">
        <v>378</v>
      </c>
      <c r="C1776" s="6" t="s">
        <v>295</v>
      </c>
      <c r="D1776" s="6" t="s">
        <v>4554</v>
      </c>
      <c r="E1776" s="6" t="s">
        <v>713</v>
      </c>
      <c r="F1776" s="6" t="s">
        <v>152</v>
      </c>
      <c r="G1776" s="7">
        <v>0.03</v>
      </c>
      <c r="H1776" s="6" t="s">
        <v>1714</v>
      </c>
      <c r="I1776" s="6" t="s">
        <v>20</v>
      </c>
      <c r="J1776" s="6">
        <v>2020.0</v>
      </c>
      <c r="L1776" s="6">
        <v>4.0</v>
      </c>
      <c r="M1776" s="8">
        <f t="shared" si="5"/>
        <v>0.12</v>
      </c>
      <c r="P1776" s="9"/>
    </row>
    <row r="1777">
      <c r="A1777" s="6" t="s">
        <v>4555</v>
      </c>
      <c r="B1777" s="6" t="s">
        <v>378</v>
      </c>
      <c r="C1777" s="6" t="s">
        <v>295</v>
      </c>
      <c r="D1777" s="6" t="s">
        <v>4556</v>
      </c>
      <c r="E1777" s="6" t="s">
        <v>1743</v>
      </c>
      <c r="F1777" s="6" t="s">
        <v>152</v>
      </c>
      <c r="G1777" s="7">
        <v>0.14</v>
      </c>
      <c r="H1777" s="6" t="s">
        <v>1956</v>
      </c>
      <c r="I1777" s="6" t="s">
        <v>31</v>
      </c>
      <c r="J1777" s="6">
        <v>2021.0</v>
      </c>
      <c r="L1777" s="6">
        <v>4.0</v>
      </c>
      <c r="M1777" s="8">
        <f t="shared" si="5"/>
        <v>0.56</v>
      </c>
      <c r="P1777" s="9"/>
    </row>
    <row r="1778">
      <c r="A1778" s="6" t="s">
        <v>4557</v>
      </c>
      <c r="B1778" s="6" t="s">
        <v>378</v>
      </c>
      <c r="C1778" s="6" t="s">
        <v>295</v>
      </c>
      <c r="D1778" s="6" t="s">
        <v>4558</v>
      </c>
      <c r="E1778" s="6" t="s">
        <v>1743</v>
      </c>
      <c r="F1778" s="6" t="s">
        <v>152</v>
      </c>
      <c r="G1778" s="7">
        <v>0.03</v>
      </c>
      <c r="H1778" s="6" t="s">
        <v>2619</v>
      </c>
      <c r="I1778" s="6" t="s">
        <v>31</v>
      </c>
      <c r="J1778" s="6">
        <v>2019.0</v>
      </c>
      <c r="L1778" s="6">
        <v>4.0</v>
      </c>
      <c r="M1778" s="8">
        <f t="shared" si="5"/>
        <v>0.12</v>
      </c>
      <c r="P1778" s="9"/>
    </row>
    <row r="1779">
      <c r="A1779" s="6" t="s">
        <v>4559</v>
      </c>
      <c r="B1779" s="6" t="s">
        <v>2014</v>
      </c>
      <c r="C1779" s="6" t="s">
        <v>295</v>
      </c>
      <c r="D1779" s="6" t="s">
        <v>4560</v>
      </c>
      <c r="E1779" s="6" t="s">
        <v>1743</v>
      </c>
      <c r="F1779" s="6" t="s">
        <v>152</v>
      </c>
      <c r="G1779" s="7">
        <v>0.06</v>
      </c>
      <c r="H1779" s="6" t="s">
        <v>2550</v>
      </c>
      <c r="I1779" s="6" t="s">
        <v>20</v>
      </c>
      <c r="J1779" s="6">
        <v>2020.0</v>
      </c>
      <c r="L1779" s="6">
        <v>4.0</v>
      </c>
      <c r="M1779" s="8">
        <f t="shared" si="5"/>
        <v>0.24</v>
      </c>
      <c r="P1779" s="9"/>
    </row>
    <row r="1780">
      <c r="A1780" s="6" t="s">
        <v>4561</v>
      </c>
      <c r="B1780" s="6" t="s">
        <v>3716</v>
      </c>
      <c r="C1780" s="6" t="s">
        <v>295</v>
      </c>
      <c r="D1780" s="6" t="s">
        <v>4562</v>
      </c>
      <c r="E1780" s="6" t="s">
        <v>1779</v>
      </c>
      <c r="F1780" s="6" t="s">
        <v>152</v>
      </c>
      <c r="G1780" s="7">
        <v>0.03</v>
      </c>
      <c r="H1780" s="6" t="s">
        <v>2511</v>
      </c>
      <c r="I1780" s="6" t="s">
        <v>20</v>
      </c>
      <c r="J1780" s="6">
        <v>2018.0</v>
      </c>
      <c r="K1780" s="10">
        <v>46055.0</v>
      </c>
      <c r="L1780" s="6">
        <v>7.0</v>
      </c>
      <c r="M1780" s="8">
        <f t="shared" si="5"/>
        <v>0.21</v>
      </c>
      <c r="P1780" s="9"/>
    </row>
    <row r="1781">
      <c r="A1781" s="6" t="s">
        <v>4561</v>
      </c>
      <c r="B1781" s="6" t="s">
        <v>3716</v>
      </c>
      <c r="C1781" s="6" t="s">
        <v>295</v>
      </c>
      <c r="D1781" s="6" t="s">
        <v>4562</v>
      </c>
      <c r="E1781" s="6" t="s">
        <v>1779</v>
      </c>
      <c r="F1781" s="6" t="s">
        <v>152</v>
      </c>
      <c r="G1781" s="7">
        <v>0.03</v>
      </c>
      <c r="H1781" s="6" t="s">
        <v>2557</v>
      </c>
      <c r="I1781" s="6" t="s">
        <v>20</v>
      </c>
      <c r="J1781" s="6">
        <v>2017.0</v>
      </c>
      <c r="K1781" s="10">
        <v>46055.0</v>
      </c>
      <c r="L1781" s="6">
        <v>1.0</v>
      </c>
      <c r="M1781" s="8">
        <f t="shared" si="5"/>
        <v>0.03</v>
      </c>
      <c r="P1781" s="9"/>
    </row>
    <row r="1782">
      <c r="A1782" s="6" t="s">
        <v>4563</v>
      </c>
      <c r="B1782" s="6" t="s">
        <v>3792</v>
      </c>
      <c r="C1782" s="6" t="s">
        <v>295</v>
      </c>
      <c r="D1782" s="6" t="s">
        <v>4564</v>
      </c>
      <c r="E1782" s="6" t="s">
        <v>1743</v>
      </c>
      <c r="F1782" s="6" t="s">
        <v>152</v>
      </c>
      <c r="G1782" s="7">
        <v>0.08</v>
      </c>
      <c r="H1782" s="6" t="s">
        <v>2568</v>
      </c>
      <c r="I1782" s="6" t="s">
        <v>20</v>
      </c>
      <c r="J1782" s="6">
        <v>2012.0</v>
      </c>
      <c r="K1782" s="6" t="s">
        <v>564</v>
      </c>
      <c r="L1782" s="6">
        <v>5.0</v>
      </c>
      <c r="M1782" s="8">
        <f t="shared" si="5"/>
        <v>0.4</v>
      </c>
      <c r="P1782" s="9"/>
    </row>
    <row r="1783">
      <c r="A1783" s="6" t="s">
        <v>4565</v>
      </c>
      <c r="B1783" s="6" t="s">
        <v>4566</v>
      </c>
      <c r="C1783" s="6" t="s">
        <v>295</v>
      </c>
      <c r="D1783" s="6" t="s">
        <v>4567</v>
      </c>
      <c r="E1783" s="6" t="s">
        <v>1779</v>
      </c>
      <c r="F1783" s="6" t="s">
        <v>152</v>
      </c>
      <c r="G1783" s="7">
        <v>0.29</v>
      </c>
      <c r="H1783" s="6" t="s">
        <v>297</v>
      </c>
      <c r="I1783" s="6" t="s">
        <v>31</v>
      </c>
      <c r="J1783" s="6">
        <v>2026.0</v>
      </c>
      <c r="K1783" s="10">
        <v>46083.0</v>
      </c>
      <c r="L1783" s="6">
        <v>1.0</v>
      </c>
      <c r="M1783" s="8">
        <f t="shared" si="5"/>
        <v>0.29</v>
      </c>
      <c r="P1783" s="9"/>
    </row>
    <row r="1784">
      <c r="A1784" s="6" t="s">
        <v>4565</v>
      </c>
      <c r="B1784" s="6" t="s">
        <v>4566</v>
      </c>
      <c r="C1784" s="6" t="s">
        <v>295</v>
      </c>
      <c r="D1784" s="6" t="s">
        <v>4567</v>
      </c>
      <c r="E1784" s="6" t="s">
        <v>1779</v>
      </c>
      <c r="F1784" s="6" t="s">
        <v>152</v>
      </c>
      <c r="G1784" s="7">
        <v>0.07</v>
      </c>
      <c r="H1784" s="6" t="s">
        <v>297</v>
      </c>
      <c r="I1784" s="6" t="s">
        <v>31</v>
      </c>
      <c r="J1784" s="6">
        <v>2026.0</v>
      </c>
      <c r="K1784" s="10">
        <v>46083.0</v>
      </c>
      <c r="L1784" s="6">
        <v>3.0</v>
      </c>
      <c r="M1784" s="8">
        <f t="shared" si="5"/>
        <v>0.21</v>
      </c>
      <c r="P1784" s="9"/>
    </row>
    <row r="1785">
      <c r="A1785" s="6" t="s">
        <v>4568</v>
      </c>
      <c r="B1785" s="6" t="s">
        <v>4569</v>
      </c>
      <c r="C1785" s="6" t="s">
        <v>295</v>
      </c>
      <c r="D1785" s="6" t="s">
        <v>4570</v>
      </c>
      <c r="E1785" s="6" t="s">
        <v>1743</v>
      </c>
      <c r="F1785" s="6" t="s">
        <v>152</v>
      </c>
      <c r="G1785" s="7">
        <v>0.25</v>
      </c>
      <c r="H1785" s="6" t="s">
        <v>1631</v>
      </c>
      <c r="I1785" s="6" t="s">
        <v>31</v>
      </c>
      <c r="J1785" s="6">
        <v>2024.0</v>
      </c>
      <c r="K1785" s="10">
        <v>46054.0</v>
      </c>
      <c r="L1785" s="6">
        <v>4.0</v>
      </c>
      <c r="M1785" s="8">
        <f t="shared" si="5"/>
        <v>1</v>
      </c>
      <c r="P1785" s="9"/>
    </row>
    <row r="1786">
      <c r="A1786" s="6" t="s">
        <v>4571</v>
      </c>
      <c r="B1786" s="6" t="s">
        <v>4572</v>
      </c>
      <c r="C1786" s="6" t="s">
        <v>295</v>
      </c>
      <c r="D1786" s="6" t="s">
        <v>4573</v>
      </c>
      <c r="E1786" s="6" t="s">
        <v>1802</v>
      </c>
      <c r="F1786" s="6" t="s">
        <v>152</v>
      </c>
      <c r="G1786" s="7">
        <v>0.08</v>
      </c>
      <c r="H1786" s="6" t="s">
        <v>4574</v>
      </c>
      <c r="I1786" s="6" t="s">
        <v>20</v>
      </c>
      <c r="J1786" s="6">
        <v>2024.0</v>
      </c>
      <c r="K1786" s="10">
        <v>46084.0</v>
      </c>
      <c r="L1786" s="6">
        <v>6.0</v>
      </c>
      <c r="M1786" s="8">
        <f t="shared" si="5"/>
        <v>0.48</v>
      </c>
      <c r="P1786" s="9"/>
    </row>
    <row r="1787">
      <c r="A1787" s="6" t="s">
        <v>4575</v>
      </c>
      <c r="B1787" s="6" t="s">
        <v>4576</v>
      </c>
      <c r="C1787" s="6" t="s">
        <v>295</v>
      </c>
      <c r="D1787" s="6" t="s">
        <v>4577</v>
      </c>
      <c r="E1787" s="6" t="s">
        <v>713</v>
      </c>
      <c r="F1787" s="6" t="s">
        <v>152</v>
      </c>
      <c r="G1787" s="7">
        <v>0.06</v>
      </c>
      <c r="H1787" s="6" t="s">
        <v>1673</v>
      </c>
      <c r="I1787" s="6" t="s">
        <v>20</v>
      </c>
      <c r="J1787" s="6">
        <v>2012.0</v>
      </c>
      <c r="K1787" s="10">
        <v>46023.0</v>
      </c>
      <c r="L1787" s="6">
        <v>4.0</v>
      </c>
      <c r="M1787" s="8">
        <f t="shared" si="5"/>
        <v>0.24</v>
      </c>
      <c r="P1787" s="9"/>
    </row>
    <row r="1788">
      <c r="A1788" s="6" t="s">
        <v>270</v>
      </c>
      <c r="B1788" s="6" t="s">
        <v>2411</v>
      </c>
      <c r="C1788" s="6" t="s">
        <v>295</v>
      </c>
      <c r="D1788" s="6" t="s">
        <v>4578</v>
      </c>
      <c r="E1788" s="6" t="s">
        <v>713</v>
      </c>
      <c r="F1788" s="6" t="s">
        <v>152</v>
      </c>
      <c r="G1788" s="7">
        <v>0.07</v>
      </c>
      <c r="H1788" s="6" t="s">
        <v>2247</v>
      </c>
      <c r="I1788" s="6" t="s">
        <v>20</v>
      </c>
      <c r="J1788" s="6">
        <v>2017.0</v>
      </c>
      <c r="K1788" s="10">
        <v>46023.0</v>
      </c>
      <c r="L1788" s="6">
        <v>4.0</v>
      </c>
      <c r="M1788" s="8">
        <f t="shared" si="5"/>
        <v>0.28</v>
      </c>
      <c r="P1788" s="9"/>
    </row>
    <row r="1789">
      <c r="A1789" s="6" t="s">
        <v>4579</v>
      </c>
      <c r="B1789" s="6" t="s">
        <v>2508</v>
      </c>
      <c r="C1789" s="6" t="s">
        <v>295</v>
      </c>
      <c r="E1789" s="6" t="s">
        <v>1743</v>
      </c>
      <c r="F1789" s="6" t="s">
        <v>152</v>
      </c>
      <c r="G1789" s="7">
        <v>0.03</v>
      </c>
      <c r="H1789" s="6" t="s">
        <v>2557</v>
      </c>
      <c r="I1789" s="6" t="s">
        <v>20</v>
      </c>
      <c r="J1789" s="6">
        <v>2017.0</v>
      </c>
      <c r="K1789" s="10">
        <v>46025.0</v>
      </c>
      <c r="L1789" s="6">
        <v>6.0</v>
      </c>
      <c r="M1789" s="8">
        <f t="shared" si="5"/>
        <v>0.18</v>
      </c>
      <c r="P1789" s="9"/>
    </row>
    <row r="1790">
      <c r="A1790" s="6" t="s">
        <v>4580</v>
      </c>
      <c r="B1790" s="6" t="s">
        <v>2053</v>
      </c>
      <c r="C1790" s="6" t="s">
        <v>295</v>
      </c>
      <c r="D1790" s="6" t="s">
        <v>4581</v>
      </c>
      <c r="E1790" s="6" t="s">
        <v>1838</v>
      </c>
      <c r="F1790" s="6" t="s">
        <v>152</v>
      </c>
      <c r="G1790" s="7">
        <v>0.08</v>
      </c>
      <c r="H1790" s="6" t="s">
        <v>2247</v>
      </c>
      <c r="I1790" s="6" t="s">
        <v>20</v>
      </c>
      <c r="J1790" s="6">
        <v>2017.0</v>
      </c>
      <c r="K1790" s="10">
        <v>46084.0</v>
      </c>
      <c r="L1790" s="6">
        <v>4.0</v>
      </c>
      <c r="M1790" s="8">
        <f t="shared" si="5"/>
        <v>0.32</v>
      </c>
      <c r="P1790" s="9"/>
    </row>
    <row r="1791">
      <c r="A1791" s="6" t="s">
        <v>4582</v>
      </c>
      <c r="B1791" s="6" t="s">
        <v>2106</v>
      </c>
      <c r="C1791" s="6" t="s">
        <v>295</v>
      </c>
      <c r="D1791" s="6" t="s">
        <v>4583</v>
      </c>
      <c r="E1791" s="6" t="s">
        <v>1743</v>
      </c>
      <c r="F1791" s="6" t="s">
        <v>152</v>
      </c>
      <c r="G1791" s="7">
        <v>0.06</v>
      </c>
      <c r="H1791" s="6" t="s">
        <v>2156</v>
      </c>
      <c r="I1791" s="6" t="s">
        <v>20</v>
      </c>
      <c r="J1791" s="6">
        <v>2014.0</v>
      </c>
      <c r="K1791" s="10">
        <v>46054.0</v>
      </c>
      <c r="L1791" s="6">
        <v>4.0</v>
      </c>
      <c r="M1791" s="8">
        <f t="shared" si="5"/>
        <v>0.24</v>
      </c>
      <c r="P1791" s="9"/>
    </row>
    <row r="1792">
      <c r="A1792" s="6" t="s">
        <v>4584</v>
      </c>
      <c r="B1792" s="6" t="s">
        <v>4585</v>
      </c>
      <c r="C1792" s="6" t="s">
        <v>295</v>
      </c>
      <c r="D1792" s="6" t="s">
        <v>4586</v>
      </c>
      <c r="E1792" s="6" t="s">
        <v>1779</v>
      </c>
      <c r="F1792" s="6" t="s">
        <v>152</v>
      </c>
      <c r="G1792" s="7">
        <v>0.5</v>
      </c>
      <c r="H1792" s="6" t="s">
        <v>2186</v>
      </c>
      <c r="I1792" s="6" t="s">
        <v>20</v>
      </c>
      <c r="J1792" s="6">
        <v>2022.0</v>
      </c>
      <c r="K1792" s="10">
        <v>46024.0</v>
      </c>
      <c r="L1792" s="6">
        <v>8.0</v>
      </c>
      <c r="M1792" s="8">
        <f t="shared" si="5"/>
        <v>4</v>
      </c>
      <c r="P1792" s="9"/>
    </row>
    <row r="1793">
      <c r="A1793" s="6" t="s">
        <v>4587</v>
      </c>
      <c r="B1793" s="6" t="s">
        <v>2662</v>
      </c>
      <c r="C1793" s="6" t="s">
        <v>295</v>
      </c>
      <c r="D1793" s="6" t="s">
        <v>4588</v>
      </c>
      <c r="E1793" s="6" t="s">
        <v>2426</v>
      </c>
      <c r="F1793" s="6" t="s">
        <v>152</v>
      </c>
      <c r="G1793" s="7">
        <v>0.03</v>
      </c>
      <c r="H1793" s="6" t="s">
        <v>1714</v>
      </c>
      <c r="I1793" s="6" t="s">
        <v>20</v>
      </c>
      <c r="J1793" s="6">
        <v>2020.0</v>
      </c>
      <c r="K1793" s="10">
        <v>46176.0</v>
      </c>
      <c r="L1793" s="6">
        <v>8.0</v>
      </c>
      <c r="M1793" s="8">
        <f t="shared" si="5"/>
        <v>0.24</v>
      </c>
      <c r="P1793" s="9"/>
    </row>
    <row r="1794">
      <c r="A1794" s="6" t="s">
        <v>4589</v>
      </c>
      <c r="B1794" s="6" t="s">
        <v>2106</v>
      </c>
      <c r="C1794" s="6" t="s">
        <v>295</v>
      </c>
      <c r="D1794" s="6" t="s">
        <v>4590</v>
      </c>
      <c r="E1794" s="6" t="s">
        <v>1779</v>
      </c>
      <c r="F1794" s="6" t="s">
        <v>152</v>
      </c>
      <c r="G1794" s="7">
        <v>0.03</v>
      </c>
      <c r="H1794" s="6" t="s">
        <v>2619</v>
      </c>
      <c r="I1794" s="6" t="s">
        <v>20</v>
      </c>
      <c r="J1794" s="6">
        <v>2019.0</v>
      </c>
      <c r="K1794" s="10">
        <v>46055.0</v>
      </c>
      <c r="L1794" s="6">
        <v>1.0</v>
      </c>
      <c r="M1794" s="8">
        <f t="shared" si="5"/>
        <v>0.03</v>
      </c>
      <c r="P1794" s="9"/>
    </row>
    <row r="1795">
      <c r="A1795" s="6" t="s">
        <v>4591</v>
      </c>
      <c r="B1795" s="6" t="s">
        <v>3465</v>
      </c>
      <c r="C1795" s="6" t="s">
        <v>295</v>
      </c>
      <c r="D1795" s="6" t="s">
        <v>4592</v>
      </c>
      <c r="E1795" s="6" t="s">
        <v>1761</v>
      </c>
      <c r="F1795" s="6" t="s">
        <v>152</v>
      </c>
      <c r="G1795" s="7">
        <v>0.03</v>
      </c>
      <c r="H1795" s="6" t="s">
        <v>2557</v>
      </c>
      <c r="I1795" s="6" t="s">
        <v>20</v>
      </c>
      <c r="J1795" s="6">
        <v>2017.0</v>
      </c>
      <c r="K1795" s="10">
        <v>46084.0</v>
      </c>
      <c r="L1795" s="6">
        <v>3.0</v>
      </c>
      <c r="M1795" s="8">
        <f t="shared" si="5"/>
        <v>0.09</v>
      </c>
      <c r="P1795" s="9"/>
    </row>
    <row r="1796">
      <c r="A1796" s="6" t="s">
        <v>4593</v>
      </c>
      <c r="B1796" s="6" t="s">
        <v>4594</v>
      </c>
      <c r="C1796" s="6" t="s">
        <v>1897</v>
      </c>
      <c r="D1796" s="6" t="s">
        <v>4595</v>
      </c>
      <c r="E1796" s="6" t="s">
        <v>1761</v>
      </c>
      <c r="F1796" s="6" t="s">
        <v>152</v>
      </c>
      <c r="G1796" s="7">
        <v>0.85</v>
      </c>
      <c r="H1796" s="6" t="s">
        <v>2372</v>
      </c>
      <c r="I1796" s="6" t="s">
        <v>20</v>
      </c>
      <c r="J1796" s="6">
        <v>2010.0</v>
      </c>
      <c r="K1796" s="10">
        <v>46083.0</v>
      </c>
      <c r="L1796" s="6">
        <v>3.0</v>
      </c>
      <c r="M1796" s="8">
        <f t="shared" si="5"/>
        <v>2.55</v>
      </c>
      <c r="P1796" s="9"/>
    </row>
    <row r="1797">
      <c r="A1797" s="6" t="s">
        <v>4596</v>
      </c>
      <c r="B1797" s="6" t="s">
        <v>2621</v>
      </c>
      <c r="C1797" s="6" t="s">
        <v>295</v>
      </c>
      <c r="D1797" s="6" t="s">
        <v>4597</v>
      </c>
      <c r="E1797" s="6" t="s">
        <v>1838</v>
      </c>
      <c r="F1797" s="6" t="s">
        <v>152</v>
      </c>
      <c r="G1797" s="7">
        <v>0.06</v>
      </c>
      <c r="H1797" s="6" t="s">
        <v>2172</v>
      </c>
      <c r="I1797" s="6" t="s">
        <v>20</v>
      </c>
      <c r="J1797" s="6">
        <v>2021.0</v>
      </c>
      <c r="K1797" s="10">
        <v>46144.0</v>
      </c>
      <c r="L1797" s="6">
        <v>2.0</v>
      </c>
      <c r="M1797" s="8">
        <f t="shared" si="5"/>
        <v>0.12</v>
      </c>
      <c r="P1797" s="9"/>
    </row>
    <row r="1798">
      <c r="A1798" s="6" t="s">
        <v>4598</v>
      </c>
      <c r="B1798" s="6" t="s">
        <v>4599</v>
      </c>
      <c r="C1798" s="6" t="s">
        <v>1949</v>
      </c>
      <c r="D1798" s="6" t="s">
        <v>4600</v>
      </c>
      <c r="E1798" s="6" t="s">
        <v>713</v>
      </c>
      <c r="F1798" s="6" t="s">
        <v>152</v>
      </c>
      <c r="G1798" s="7">
        <v>0.3</v>
      </c>
      <c r="H1798" s="6" t="s">
        <v>2372</v>
      </c>
      <c r="I1798" s="6" t="s">
        <v>20</v>
      </c>
      <c r="J1798" s="6">
        <v>2010.0</v>
      </c>
      <c r="K1798" s="6" t="s">
        <v>750</v>
      </c>
      <c r="L1798" s="6">
        <v>3.0</v>
      </c>
      <c r="M1798" s="8">
        <f t="shared" si="5"/>
        <v>0.9</v>
      </c>
      <c r="P1798" s="9"/>
    </row>
    <row r="1799">
      <c r="A1799" s="6" t="s">
        <v>4601</v>
      </c>
      <c r="B1799" s="6" t="s">
        <v>2411</v>
      </c>
      <c r="C1799" s="6" t="s">
        <v>295</v>
      </c>
      <c r="D1799" s="6" t="s">
        <v>4602</v>
      </c>
      <c r="E1799" s="6" t="s">
        <v>1743</v>
      </c>
      <c r="F1799" s="6" t="s">
        <v>152</v>
      </c>
      <c r="G1799" s="7">
        <v>0.06</v>
      </c>
      <c r="H1799" s="6" t="s">
        <v>2175</v>
      </c>
      <c r="I1799" s="6" t="s">
        <v>20</v>
      </c>
      <c r="J1799" s="6">
        <v>2018.0</v>
      </c>
      <c r="K1799" s="10">
        <v>46023.0</v>
      </c>
      <c r="L1799" s="6">
        <v>4.0</v>
      </c>
      <c r="M1799" s="8">
        <f t="shared" si="5"/>
        <v>0.24</v>
      </c>
      <c r="P1799" s="9"/>
    </row>
    <row r="1800">
      <c r="A1800" s="6" t="s">
        <v>4603</v>
      </c>
      <c r="B1800" s="6" t="s">
        <v>4604</v>
      </c>
      <c r="C1800" s="6" t="s">
        <v>295</v>
      </c>
      <c r="D1800" s="6" t="s">
        <v>4605</v>
      </c>
      <c r="E1800" s="6" t="s">
        <v>713</v>
      </c>
      <c r="F1800" s="6" t="s">
        <v>152</v>
      </c>
      <c r="G1800" s="7">
        <v>0.06</v>
      </c>
      <c r="H1800" s="6" t="s">
        <v>1708</v>
      </c>
      <c r="I1800" s="6" t="s">
        <v>20</v>
      </c>
      <c r="J1800" s="6">
        <v>2019.0</v>
      </c>
      <c r="K1800" s="10">
        <v>46023.0</v>
      </c>
      <c r="L1800" s="6">
        <v>1.0</v>
      </c>
      <c r="M1800" s="8">
        <f t="shared" si="5"/>
        <v>0.06</v>
      </c>
      <c r="P1800" s="9"/>
    </row>
    <row r="1801">
      <c r="A1801" s="6" t="s">
        <v>4606</v>
      </c>
      <c r="B1801" s="6" t="s">
        <v>3465</v>
      </c>
      <c r="C1801" s="6" t="s">
        <v>295</v>
      </c>
      <c r="D1801" s="6" t="s">
        <v>4607</v>
      </c>
      <c r="E1801" s="6" t="s">
        <v>2426</v>
      </c>
      <c r="F1801" s="6" t="s">
        <v>152</v>
      </c>
      <c r="G1801" s="7">
        <v>0.06</v>
      </c>
      <c r="H1801" s="6" t="s">
        <v>2641</v>
      </c>
      <c r="I1801" s="6" t="s">
        <v>20</v>
      </c>
      <c r="J1801" s="6">
        <v>2013.0</v>
      </c>
      <c r="K1801" s="10">
        <v>46114.0</v>
      </c>
      <c r="L1801" s="6">
        <v>1.0</v>
      </c>
      <c r="M1801" s="8">
        <f t="shared" si="5"/>
        <v>0.06</v>
      </c>
      <c r="P1801" s="9"/>
    </row>
    <row r="1802">
      <c r="A1802" s="6" t="s">
        <v>4608</v>
      </c>
      <c r="B1802" s="6" t="s">
        <v>4609</v>
      </c>
      <c r="C1802" s="6" t="s">
        <v>2138</v>
      </c>
      <c r="D1802" s="6" t="s">
        <v>4610</v>
      </c>
      <c r="E1802" s="6" t="s">
        <v>1779</v>
      </c>
      <c r="F1802" s="6" t="s">
        <v>152</v>
      </c>
      <c r="G1802" s="7">
        <v>0.06</v>
      </c>
      <c r="H1802" s="6" t="s">
        <v>1673</v>
      </c>
      <c r="I1802" s="6" t="s">
        <v>20</v>
      </c>
      <c r="J1802" s="6">
        <v>2012.0</v>
      </c>
      <c r="K1802" s="10">
        <v>46056.0</v>
      </c>
      <c r="L1802" s="6">
        <v>1.0</v>
      </c>
      <c r="M1802" s="8">
        <f t="shared" si="5"/>
        <v>0.06</v>
      </c>
      <c r="P1802" s="9"/>
    </row>
    <row r="1803">
      <c r="A1803" s="6" t="s">
        <v>4611</v>
      </c>
      <c r="B1803" s="6" t="s">
        <v>4612</v>
      </c>
      <c r="C1803" s="6" t="s">
        <v>295</v>
      </c>
      <c r="D1803" s="6" t="s">
        <v>4613</v>
      </c>
      <c r="E1803" s="6" t="s">
        <v>1743</v>
      </c>
      <c r="F1803" s="6" t="s">
        <v>152</v>
      </c>
      <c r="G1803" s="7">
        <v>0.06</v>
      </c>
      <c r="H1803" s="6" t="s">
        <v>2372</v>
      </c>
      <c r="I1803" s="6" t="s">
        <v>20</v>
      </c>
      <c r="J1803" s="6">
        <v>2010.0</v>
      </c>
      <c r="K1803" s="10">
        <v>46024.0</v>
      </c>
      <c r="L1803" s="6">
        <v>1.0</v>
      </c>
      <c r="M1803" s="8">
        <f t="shared" si="5"/>
        <v>0.06</v>
      </c>
      <c r="P1803" s="9"/>
    </row>
    <row r="1804">
      <c r="A1804" s="6" t="s">
        <v>4614</v>
      </c>
      <c r="B1804" s="6" t="s">
        <v>4615</v>
      </c>
      <c r="C1804" s="6" t="s">
        <v>295</v>
      </c>
      <c r="D1804" s="6" t="s">
        <v>4616</v>
      </c>
      <c r="E1804" s="6" t="s">
        <v>1779</v>
      </c>
      <c r="F1804" s="6" t="s">
        <v>152</v>
      </c>
      <c r="G1804" s="7">
        <v>0.06</v>
      </c>
      <c r="H1804" s="6" t="s">
        <v>4617</v>
      </c>
      <c r="I1804" s="6" t="s">
        <v>20</v>
      </c>
      <c r="J1804" s="6">
        <v>2014.0</v>
      </c>
      <c r="K1804" s="10">
        <v>46113.0</v>
      </c>
      <c r="L1804" s="6">
        <v>1.0</v>
      </c>
      <c r="M1804" s="8">
        <f t="shared" si="5"/>
        <v>0.06</v>
      </c>
      <c r="P1804" s="9"/>
    </row>
    <row r="1805">
      <c r="A1805" s="6" t="s">
        <v>4618</v>
      </c>
      <c r="B1805" s="6" t="s">
        <v>4619</v>
      </c>
      <c r="C1805" s="6" t="s">
        <v>295</v>
      </c>
      <c r="D1805" s="6" t="s">
        <v>4620</v>
      </c>
      <c r="E1805" s="6" t="s">
        <v>1779</v>
      </c>
      <c r="F1805" s="6" t="s">
        <v>152</v>
      </c>
      <c r="G1805" s="7">
        <v>0.07</v>
      </c>
      <c r="H1805" s="6" t="s">
        <v>2500</v>
      </c>
      <c r="I1805" s="6" t="s">
        <v>20</v>
      </c>
      <c r="J1805" s="6">
        <v>2015.0</v>
      </c>
      <c r="K1805" s="10">
        <v>46024.0</v>
      </c>
      <c r="L1805" s="6">
        <v>1.0</v>
      </c>
      <c r="M1805" s="8">
        <f t="shared" si="5"/>
        <v>0.07</v>
      </c>
      <c r="P1805" s="9"/>
    </row>
    <row r="1806">
      <c r="A1806" s="6" t="s">
        <v>4621</v>
      </c>
      <c r="B1806" s="6" t="s">
        <v>3465</v>
      </c>
      <c r="C1806" s="6" t="s">
        <v>1897</v>
      </c>
      <c r="D1806" s="6" t="s">
        <v>4622</v>
      </c>
      <c r="E1806" s="6" t="s">
        <v>2426</v>
      </c>
      <c r="F1806" s="6" t="s">
        <v>152</v>
      </c>
      <c r="G1806" s="7">
        <v>0.5</v>
      </c>
      <c r="H1806" s="6" t="s">
        <v>2190</v>
      </c>
      <c r="I1806" s="6" t="s">
        <v>20</v>
      </c>
      <c r="J1806" s="6">
        <v>2016.0</v>
      </c>
      <c r="K1806" s="10">
        <v>46116.0</v>
      </c>
      <c r="L1806" s="6">
        <v>1.0</v>
      </c>
      <c r="M1806" s="8">
        <f t="shared" si="5"/>
        <v>0.5</v>
      </c>
      <c r="P1806" s="9"/>
    </row>
    <row r="1807">
      <c r="A1807" s="6" t="s">
        <v>4623</v>
      </c>
      <c r="B1807" s="6" t="s">
        <v>4624</v>
      </c>
      <c r="C1807" s="6" t="s">
        <v>295</v>
      </c>
      <c r="D1807" s="6" t="s">
        <v>4625</v>
      </c>
      <c r="E1807" s="6" t="s">
        <v>713</v>
      </c>
      <c r="F1807" s="6" t="s">
        <v>152</v>
      </c>
      <c r="G1807" s="7">
        <v>0.03</v>
      </c>
      <c r="H1807" s="6" t="s">
        <v>2242</v>
      </c>
      <c r="I1807" s="6" t="s">
        <v>20</v>
      </c>
      <c r="J1807" s="6">
        <v>2014.0</v>
      </c>
      <c r="K1807" s="10">
        <v>46054.0</v>
      </c>
      <c r="L1807" s="6">
        <v>1.0</v>
      </c>
      <c r="M1807" s="8">
        <f t="shared" si="5"/>
        <v>0.03</v>
      </c>
      <c r="P1807" s="9"/>
    </row>
    <row r="1808">
      <c r="A1808" s="6" t="s">
        <v>4626</v>
      </c>
      <c r="B1808" s="6" t="s">
        <v>4627</v>
      </c>
      <c r="C1808" s="6" t="s">
        <v>295</v>
      </c>
      <c r="D1808" s="6" t="s">
        <v>4628</v>
      </c>
      <c r="E1808" s="6" t="s">
        <v>4629</v>
      </c>
      <c r="F1808" s="6" t="s">
        <v>152</v>
      </c>
      <c r="G1808" s="7">
        <v>0.07</v>
      </c>
      <c r="H1808" s="6" t="s">
        <v>297</v>
      </c>
      <c r="I1808" s="6" t="s">
        <v>20</v>
      </c>
      <c r="J1808" s="6">
        <v>2026.0</v>
      </c>
      <c r="K1808" s="10">
        <v>46054.0</v>
      </c>
      <c r="L1808" s="6">
        <v>1.0</v>
      </c>
      <c r="M1808" s="8">
        <f t="shared" si="5"/>
        <v>0.07</v>
      </c>
      <c r="P1808" s="9"/>
    </row>
    <row r="1809">
      <c r="A1809" s="6" t="s">
        <v>4630</v>
      </c>
      <c r="B1809" s="6" t="s">
        <v>2316</v>
      </c>
      <c r="C1809" s="6" t="s">
        <v>295</v>
      </c>
      <c r="D1809" s="6" t="s">
        <v>4631</v>
      </c>
      <c r="E1809" s="6" t="s">
        <v>713</v>
      </c>
      <c r="F1809" s="6" t="s">
        <v>152</v>
      </c>
      <c r="G1809" s="7">
        <v>0.08</v>
      </c>
      <c r="H1809" s="6" t="s">
        <v>2500</v>
      </c>
      <c r="I1809" s="6" t="s">
        <v>20</v>
      </c>
      <c r="J1809" s="6">
        <v>2015.0</v>
      </c>
      <c r="K1809" s="6" t="s">
        <v>1733</v>
      </c>
      <c r="L1809" s="6">
        <v>1.0</v>
      </c>
      <c r="M1809" s="8">
        <f t="shared" si="5"/>
        <v>0.08</v>
      </c>
      <c r="P1809" s="9"/>
    </row>
    <row r="1810">
      <c r="A1810" s="6" t="s">
        <v>4632</v>
      </c>
      <c r="B1810" s="6" t="s">
        <v>3303</v>
      </c>
      <c r="C1810" s="6" t="s">
        <v>295</v>
      </c>
      <c r="D1810" s="6" t="s">
        <v>4633</v>
      </c>
      <c r="E1810" s="6" t="s">
        <v>1779</v>
      </c>
      <c r="F1810" s="6" t="s">
        <v>152</v>
      </c>
      <c r="G1810" s="7">
        <v>0.05</v>
      </c>
      <c r="H1810" s="6" t="s">
        <v>2990</v>
      </c>
      <c r="I1810" s="6" t="s">
        <v>20</v>
      </c>
      <c r="J1810" s="6">
        <v>2013.0</v>
      </c>
      <c r="K1810" s="10">
        <v>46113.0</v>
      </c>
      <c r="L1810" s="6">
        <v>1.0</v>
      </c>
      <c r="M1810" s="8">
        <f t="shared" si="5"/>
        <v>0.05</v>
      </c>
      <c r="P1810" s="9"/>
    </row>
    <row r="1811">
      <c r="A1811" s="6" t="s">
        <v>4634</v>
      </c>
      <c r="B1811" s="6" t="s">
        <v>3293</v>
      </c>
      <c r="C1811" s="6" t="s">
        <v>1897</v>
      </c>
      <c r="D1811" s="6" t="s">
        <v>4635</v>
      </c>
      <c r="E1811" s="6" t="s">
        <v>1779</v>
      </c>
      <c r="F1811" s="6" t="s">
        <v>152</v>
      </c>
      <c r="G1811" s="7">
        <v>10.7</v>
      </c>
      <c r="H1811" s="6" t="s">
        <v>2172</v>
      </c>
      <c r="I1811" s="6" t="s">
        <v>31</v>
      </c>
      <c r="J1811" s="6">
        <v>2021.0</v>
      </c>
      <c r="K1811" s="10">
        <v>46083.0</v>
      </c>
      <c r="L1811" s="6">
        <v>1.0</v>
      </c>
      <c r="M1811" s="8">
        <f t="shared" si="5"/>
        <v>10.7</v>
      </c>
      <c r="P1811" s="9"/>
    </row>
    <row r="1812">
      <c r="A1812" s="6" t="s">
        <v>4636</v>
      </c>
      <c r="B1812" s="6" t="s">
        <v>2411</v>
      </c>
      <c r="C1812" s="6" t="s">
        <v>1897</v>
      </c>
      <c r="D1812" s="6" t="s">
        <v>4637</v>
      </c>
      <c r="E1812" s="6" t="s">
        <v>1755</v>
      </c>
      <c r="F1812" s="6" t="s">
        <v>152</v>
      </c>
      <c r="G1812" s="7">
        <v>0.12</v>
      </c>
      <c r="H1812" s="6" t="s">
        <v>2769</v>
      </c>
      <c r="I1812" s="6" t="s">
        <v>20</v>
      </c>
      <c r="J1812" s="6">
        <v>2015.0</v>
      </c>
      <c r="K1812" s="10">
        <v>46085.0</v>
      </c>
      <c r="L1812" s="6">
        <v>1.0</v>
      </c>
      <c r="M1812" s="8">
        <f t="shared" si="5"/>
        <v>0.12</v>
      </c>
      <c r="P1812" s="9"/>
    </row>
    <row r="1813">
      <c r="A1813" s="6" t="s">
        <v>4638</v>
      </c>
      <c r="B1813" s="6" t="s">
        <v>4639</v>
      </c>
      <c r="C1813" s="6" t="s">
        <v>295</v>
      </c>
      <c r="D1813" s="6" t="s">
        <v>4640</v>
      </c>
      <c r="E1813" s="6" t="s">
        <v>1761</v>
      </c>
      <c r="F1813" s="6" t="s">
        <v>152</v>
      </c>
      <c r="G1813" s="7">
        <v>0.03</v>
      </c>
      <c r="H1813" s="6" t="s">
        <v>2619</v>
      </c>
      <c r="I1813" s="6" t="s">
        <v>20</v>
      </c>
      <c r="J1813" s="6">
        <v>2019.0</v>
      </c>
      <c r="K1813" s="10">
        <v>46084.0</v>
      </c>
      <c r="L1813" s="6">
        <v>1.0</v>
      </c>
      <c r="M1813" s="8">
        <f t="shared" si="5"/>
        <v>0.03</v>
      </c>
      <c r="P1813" s="9"/>
    </row>
    <row r="1814">
      <c r="A1814" s="6" t="s">
        <v>4641</v>
      </c>
      <c r="B1814" s="6" t="s">
        <v>3303</v>
      </c>
      <c r="C1814" s="6" t="s">
        <v>295</v>
      </c>
      <c r="D1814" s="6" t="s">
        <v>4642</v>
      </c>
      <c r="E1814" s="6" t="s">
        <v>1743</v>
      </c>
      <c r="F1814" s="6" t="s">
        <v>152</v>
      </c>
      <c r="G1814" s="7">
        <v>0.06</v>
      </c>
      <c r="H1814" s="6" t="s">
        <v>1990</v>
      </c>
      <c r="I1814" s="6" t="s">
        <v>20</v>
      </c>
      <c r="J1814" s="6">
        <v>2011.0</v>
      </c>
      <c r="K1814" s="10">
        <v>46054.0</v>
      </c>
      <c r="L1814" s="6">
        <v>1.0</v>
      </c>
      <c r="M1814" s="8">
        <f t="shared" si="5"/>
        <v>0.06</v>
      </c>
      <c r="P1814" s="9"/>
    </row>
    <row r="1815">
      <c r="A1815" s="6" t="s">
        <v>4643</v>
      </c>
      <c r="B1815" s="6" t="s">
        <v>2491</v>
      </c>
      <c r="C1815" s="6" t="s">
        <v>295</v>
      </c>
      <c r="D1815" s="6" t="s">
        <v>4644</v>
      </c>
      <c r="E1815" s="6" t="s">
        <v>1838</v>
      </c>
      <c r="F1815" s="6" t="s">
        <v>152</v>
      </c>
      <c r="G1815" s="7">
        <v>0.06</v>
      </c>
      <c r="H1815" s="6" t="s">
        <v>2500</v>
      </c>
      <c r="I1815" s="6" t="s">
        <v>20</v>
      </c>
      <c r="J1815" s="6">
        <v>2015.0</v>
      </c>
      <c r="K1815" s="10">
        <v>46115.0</v>
      </c>
      <c r="L1815" s="6">
        <v>3.0</v>
      </c>
      <c r="M1815" s="8">
        <f t="shared" si="5"/>
        <v>0.18</v>
      </c>
      <c r="P1815" s="9"/>
    </row>
    <row r="1816">
      <c r="A1816" s="6" t="s">
        <v>4645</v>
      </c>
      <c r="B1816" s="6" t="s">
        <v>4646</v>
      </c>
      <c r="C1816" s="6" t="s">
        <v>295</v>
      </c>
      <c r="D1816" s="6" t="s">
        <v>4647</v>
      </c>
      <c r="E1816" s="6" t="s">
        <v>1743</v>
      </c>
      <c r="F1816" s="6" t="s">
        <v>152</v>
      </c>
      <c r="G1816" s="7">
        <v>0.04</v>
      </c>
      <c r="H1816" s="6" t="s">
        <v>2186</v>
      </c>
      <c r="I1816" s="6" t="s">
        <v>20</v>
      </c>
      <c r="J1816" s="6">
        <v>2022.0</v>
      </c>
      <c r="K1816" s="10">
        <v>46023.0</v>
      </c>
      <c r="L1816" s="6">
        <v>3.0</v>
      </c>
      <c r="M1816" s="8">
        <f t="shared" si="5"/>
        <v>0.12</v>
      </c>
      <c r="P1816" s="9"/>
    </row>
    <row r="1817">
      <c r="A1817" s="6" t="s">
        <v>4648</v>
      </c>
      <c r="B1817" s="6" t="s">
        <v>2476</v>
      </c>
      <c r="C1817" s="6" t="s">
        <v>295</v>
      </c>
      <c r="E1817" s="6" t="s">
        <v>1743</v>
      </c>
      <c r="F1817" s="6" t="s">
        <v>152</v>
      </c>
      <c r="G1817" s="7">
        <v>0.05</v>
      </c>
      <c r="H1817" s="6" t="s">
        <v>2500</v>
      </c>
      <c r="I1817" s="6" t="s">
        <v>20</v>
      </c>
      <c r="J1817" s="6">
        <v>2015.0</v>
      </c>
      <c r="K1817" s="10">
        <v>46025.0</v>
      </c>
      <c r="L1817" s="6">
        <v>1.0</v>
      </c>
      <c r="M1817" s="8">
        <f t="shared" si="5"/>
        <v>0.05</v>
      </c>
      <c r="P1817" s="9"/>
    </row>
    <row r="1818">
      <c r="A1818" s="6" t="s">
        <v>4649</v>
      </c>
      <c r="B1818" s="6" t="s">
        <v>2411</v>
      </c>
      <c r="C1818" s="6" t="s">
        <v>295</v>
      </c>
      <c r="D1818" s="6" t="s">
        <v>4650</v>
      </c>
      <c r="E1818" s="6" t="s">
        <v>1838</v>
      </c>
      <c r="F1818" s="6" t="s">
        <v>152</v>
      </c>
      <c r="G1818" s="7">
        <v>0.05</v>
      </c>
      <c r="H1818" s="6" t="s">
        <v>2006</v>
      </c>
      <c r="I1818" s="6" t="s">
        <v>20</v>
      </c>
      <c r="J1818" s="6">
        <v>2013.0</v>
      </c>
      <c r="K1818" s="10">
        <v>46145.0</v>
      </c>
      <c r="L1818" s="6">
        <v>1.0</v>
      </c>
      <c r="M1818" s="8">
        <f t="shared" si="5"/>
        <v>0.05</v>
      </c>
      <c r="P1818" s="9"/>
    </row>
    <row r="1819">
      <c r="A1819" s="6" t="s">
        <v>4651</v>
      </c>
      <c r="B1819" s="6" t="s">
        <v>2508</v>
      </c>
      <c r="C1819" s="6" t="s">
        <v>295</v>
      </c>
      <c r="D1819" s="6" t="s">
        <v>4652</v>
      </c>
      <c r="E1819" s="6" t="s">
        <v>1838</v>
      </c>
      <c r="F1819" s="6" t="s">
        <v>152</v>
      </c>
      <c r="G1819" s="7">
        <v>0.03</v>
      </c>
      <c r="H1819" s="6" t="s">
        <v>2511</v>
      </c>
      <c r="I1819" s="6" t="s">
        <v>20</v>
      </c>
      <c r="J1819" s="6">
        <v>2018.0</v>
      </c>
      <c r="K1819" s="10">
        <v>46144.0</v>
      </c>
      <c r="L1819" s="6">
        <v>1.0</v>
      </c>
      <c r="M1819" s="8">
        <f t="shared" si="5"/>
        <v>0.03</v>
      </c>
      <c r="P1819" s="9"/>
    </row>
    <row r="1820">
      <c r="A1820" s="6" t="s">
        <v>4653</v>
      </c>
      <c r="B1820" s="6" t="s">
        <v>2053</v>
      </c>
      <c r="C1820" s="6" t="s">
        <v>1949</v>
      </c>
      <c r="D1820" s="6" t="s">
        <v>4654</v>
      </c>
      <c r="E1820" s="6" t="s">
        <v>1802</v>
      </c>
      <c r="F1820" s="6" t="s">
        <v>152</v>
      </c>
      <c r="G1820" s="7">
        <v>0.09</v>
      </c>
      <c r="H1820" s="6" t="s">
        <v>2568</v>
      </c>
      <c r="I1820" s="6" t="s">
        <v>20</v>
      </c>
      <c r="J1820" s="6">
        <v>2012.0</v>
      </c>
      <c r="K1820" s="10">
        <v>46116.0</v>
      </c>
      <c r="L1820" s="6">
        <v>4.0</v>
      </c>
      <c r="M1820" s="8">
        <f t="shared" si="5"/>
        <v>0.36</v>
      </c>
      <c r="P1820" s="9"/>
    </row>
    <row r="1821">
      <c r="A1821" s="6" t="s">
        <v>4655</v>
      </c>
      <c r="B1821" s="6" t="s">
        <v>4656</v>
      </c>
      <c r="C1821" s="6" t="s">
        <v>295</v>
      </c>
      <c r="D1821" s="6" t="s">
        <v>4657</v>
      </c>
      <c r="E1821" s="6" t="s">
        <v>1743</v>
      </c>
      <c r="F1821" s="6" t="s">
        <v>152</v>
      </c>
      <c r="G1821" s="7">
        <v>0.06</v>
      </c>
      <c r="H1821" s="6" t="s">
        <v>1995</v>
      </c>
      <c r="I1821" s="6" t="s">
        <v>20</v>
      </c>
      <c r="J1821" s="6">
        <v>2016.0</v>
      </c>
      <c r="K1821" s="10">
        <v>46055.0</v>
      </c>
      <c r="L1821" s="6">
        <v>1.0</v>
      </c>
      <c r="M1821" s="8">
        <f t="shared" si="5"/>
        <v>0.06</v>
      </c>
      <c r="P1821" s="9"/>
    </row>
    <row r="1822">
      <c r="A1822" s="6" t="s">
        <v>4658</v>
      </c>
      <c r="B1822" s="6" t="s">
        <v>2411</v>
      </c>
      <c r="C1822" s="6" t="s">
        <v>295</v>
      </c>
      <c r="D1822" s="6" t="s">
        <v>4659</v>
      </c>
      <c r="E1822" s="6" t="s">
        <v>1743</v>
      </c>
      <c r="F1822" s="6" t="s">
        <v>152</v>
      </c>
      <c r="G1822" s="7">
        <v>0.02</v>
      </c>
      <c r="H1822" s="6" t="s">
        <v>2619</v>
      </c>
      <c r="I1822" s="6" t="s">
        <v>20</v>
      </c>
      <c r="J1822" s="6">
        <v>2019.0</v>
      </c>
      <c r="K1822" s="10">
        <v>46055.0</v>
      </c>
      <c r="L1822" s="6">
        <v>1.0</v>
      </c>
      <c r="M1822" s="8">
        <f t="shared" si="5"/>
        <v>0.02</v>
      </c>
      <c r="P1822" s="9"/>
    </row>
    <row r="1823">
      <c r="A1823" s="6" t="s">
        <v>4660</v>
      </c>
      <c r="B1823" s="6" t="s">
        <v>2662</v>
      </c>
      <c r="C1823" s="6" t="s">
        <v>295</v>
      </c>
      <c r="E1823" s="6" t="s">
        <v>2426</v>
      </c>
      <c r="F1823" s="6" t="s">
        <v>152</v>
      </c>
      <c r="G1823" s="7">
        <v>0.05</v>
      </c>
      <c r="H1823" s="6" t="s">
        <v>2990</v>
      </c>
      <c r="I1823" s="6" t="s">
        <v>20</v>
      </c>
      <c r="J1823" s="6">
        <v>2013.0</v>
      </c>
      <c r="K1823" s="10">
        <v>46145.0</v>
      </c>
      <c r="L1823" s="6">
        <v>2.0</v>
      </c>
      <c r="M1823" s="8">
        <f t="shared" si="5"/>
        <v>0.1</v>
      </c>
      <c r="P1823" s="9"/>
    </row>
    <row r="1824">
      <c r="A1824" s="6" t="s">
        <v>4661</v>
      </c>
      <c r="B1824" s="6" t="s">
        <v>4599</v>
      </c>
      <c r="C1824" s="6" t="s">
        <v>1949</v>
      </c>
      <c r="D1824" s="6" t="s">
        <v>4662</v>
      </c>
      <c r="E1824" s="6" t="s">
        <v>1811</v>
      </c>
      <c r="F1824" s="6" t="s">
        <v>152</v>
      </c>
      <c r="G1824" s="7">
        <v>0.43</v>
      </c>
      <c r="H1824" s="6" t="s">
        <v>2746</v>
      </c>
      <c r="I1824" s="6" t="s">
        <v>20</v>
      </c>
      <c r="J1824" s="6">
        <v>2009.0</v>
      </c>
      <c r="K1824" s="10">
        <v>46023.0</v>
      </c>
      <c r="L1824" s="6">
        <v>3.0</v>
      </c>
      <c r="M1824" s="8">
        <f t="shared" si="5"/>
        <v>1.29</v>
      </c>
      <c r="P1824" s="9"/>
    </row>
    <row r="1825">
      <c r="A1825" s="6" t="s">
        <v>4663</v>
      </c>
      <c r="B1825" s="6" t="s">
        <v>3133</v>
      </c>
      <c r="C1825" s="6" t="s">
        <v>295</v>
      </c>
      <c r="D1825" s="6" t="s">
        <v>4664</v>
      </c>
      <c r="E1825" s="6" t="s">
        <v>1802</v>
      </c>
      <c r="F1825" s="6" t="s">
        <v>152</v>
      </c>
      <c r="G1825" s="7">
        <v>0.2</v>
      </c>
      <c r="H1825" s="6" t="s">
        <v>2797</v>
      </c>
      <c r="I1825" s="6" t="s">
        <v>31</v>
      </c>
      <c r="J1825" s="6">
        <v>2026.0</v>
      </c>
      <c r="K1825" s="10">
        <v>46178.0</v>
      </c>
      <c r="L1825" s="6">
        <v>1.0</v>
      </c>
      <c r="M1825" s="8">
        <f t="shared" si="5"/>
        <v>0.2</v>
      </c>
      <c r="P1825" s="9"/>
    </row>
    <row r="1826">
      <c r="A1826" s="6" t="s">
        <v>4665</v>
      </c>
      <c r="B1826" s="6" t="s">
        <v>2411</v>
      </c>
      <c r="C1826" s="6" t="s">
        <v>1949</v>
      </c>
      <c r="D1826" s="6" t="s">
        <v>4666</v>
      </c>
      <c r="E1826" s="6" t="s">
        <v>713</v>
      </c>
      <c r="F1826" s="6" t="s">
        <v>152</v>
      </c>
      <c r="G1826" s="7">
        <v>1.6</v>
      </c>
      <c r="H1826" s="6" t="s">
        <v>1644</v>
      </c>
      <c r="I1826" s="6" t="s">
        <v>31</v>
      </c>
      <c r="J1826" s="6">
        <v>2018.0</v>
      </c>
      <c r="K1826" s="10">
        <v>46023.0</v>
      </c>
      <c r="L1826" s="6">
        <v>1.0</v>
      </c>
      <c r="M1826" s="8">
        <f t="shared" si="5"/>
        <v>1.6</v>
      </c>
      <c r="P1826" s="9"/>
    </row>
    <row r="1827">
      <c r="A1827" s="6" t="s">
        <v>4667</v>
      </c>
      <c r="B1827" s="6" t="s">
        <v>4668</v>
      </c>
      <c r="C1827" s="6" t="s">
        <v>1897</v>
      </c>
      <c r="D1827" s="6" t="s">
        <v>4669</v>
      </c>
      <c r="E1827" s="6" t="s">
        <v>1755</v>
      </c>
      <c r="F1827" s="6" t="s">
        <v>152</v>
      </c>
      <c r="G1827" s="7">
        <v>0.45</v>
      </c>
      <c r="H1827" s="6" t="s">
        <v>2641</v>
      </c>
      <c r="I1827" s="6" t="s">
        <v>20</v>
      </c>
      <c r="J1827" s="6">
        <v>2013.0</v>
      </c>
      <c r="K1827" s="10">
        <v>46084.0</v>
      </c>
      <c r="L1827" s="6">
        <v>1.0</v>
      </c>
      <c r="M1827" s="8">
        <f t="shared" si="5"/>
        <v>0.45</v>
      </c>
      <c r="P1827" s="9"/>
    </row>
    <row r="1828">
      <c r="A1828" s="6" t="s">
        <v>4670</v>
      </c>
      <c r="B1828" s="6" t="s">
        <v>4671</v>
      </c>
      <c r="C1828" s="6" t="s">
        <v>295</v>
      </c>
      <c r="D1828" s="6" t="s">
        <v>4672</v>
      </c>
      <c r="E1828" s="6" t="s">
        <v>1779</v>
      </c>
      <c r="F1828" s="6" t="s">
        <v>152</v>
      </c>
      <c r="G1828" s="7">
        <v>0.14</v>
      </c>
      <c r="H1828" s="6" t="s">
        <v>2151</v>
      </c>
      <c r="I1828" s="6" t="s">
        <v>20</v>
      </c>
      <c r="J1828" s="6">
        <v>2013.0</v>
      </c>
      <c r="K1828" s="10">
        <v>46055.0</v>
      </c>
      <c r="L1828" s="6">
        <v>1.0</v>
      </c>
      <c r="M1828" s="8">
        <f t="shared" si="5"/>
        <v>0.14</v>
      </c>
      <c r="P1828" s="9"/>
    </row>
    <row r="1829">
      <c r="A1829" s="6" t="s">
        <v>4673</v>
      </c>
      <c r="B1829" s="6" t="s">
        <v>2621</v>
      </c>
      <c r="C1829" s="6" t="s">
        <v>295</v>
      </c>
      <c r="D1829" s="6" t="s">
        <v>3650</v>
      </c>
      <c r="E1829" s="6" t="s">
        <v>1885</v>
      </c>
      <c r="F1829" s="6" t="s">
        <v>152</v>
      </c>
      <c r="G1829" s="7">
        <v>0.05</v>
      </c>
      <c r="H1829" s="6" t="s">
        <v>1990</v>
      </c>
      <c r="I1829" s="6" t="s">
        <v>20</v>
      </c>
      <c r="J1829" s="6">
        <v>2011.0</v>
      </c>
      <c r="K1829" s="10">
        <v>46083.0</v>
      </c>
      <c r="L1829" s="6">
        <v>1.0</v>
      </c>
      <c r="M1829" s="8">
        <f t="shared" si="5"/>
        <v>0.05</v>
      </c>
      <c r="P1829" s="9"/>
    </row>
    <row r="1830">
      <c r="A1830" s="6" t="s">
        <v>4674</v>
      </c>
      <c r="B1830" s="6" t="s">
        <v>2078</v>
      </c>
      <c r="C1830" s="6" t="s">
        <v>295</v>
      </c>
      <c r="D1830" s="6" t="s">
        <v>4675</v>
      </c>
      <c r="E1830" s="6" t="s">
        <v>2426</v>
      </c>
      <c r="F1830" s="6" t="s">
        <v>152</v>
      </c>
      <c r="G1830" s="7">
        <v>0.03</v>
      </c>
      <c r="H1830" s="6" t="s">
        <v>2242</v>
      </c>
      <c r="I1830" s="6" t="s">
        <v>20</v>
      </c>
      <c r="J1830" s="6">
        <v>2014.0</v>
      </c>
      <c r="K1830" s="10">
        <v>46113.0</v>
      </c>
      <c r="L1830" s="6">
        <v>1.0</v>
      </c>
      <c r="M1830" s="8">
        <f t="shared" si="5"/>
        <v>0.03</v>
      </c>
      <c r="P1830" s="9"/>
    </row>
    <row r="1831">
      <c r="A1831" s="6" t="s">
        <v>4676</v>
      </c>
      <c r="B1831" s="6" t="s">
        <v>378</v>
      </c>
      <c r="C1831" s="6" t="s">
        <v>295</v>
      </c>
      <c r="D1831" s="6" t="s">
        <v>4677</v>
      </c>
      <c r="E1831" s="6" t="s">
        <v>1811</v>
      </c>
      <c r="F1831" s="6" t="s">
        <v>152</v>
      </c>
      <c r="G1831" s="7">
        <v>0.08</v>
      </c>
      <c r="H1831" s="6" t="s">
        <v>2641</v>
      </c>
      <c r="I1831" s="6" t="s">
        <v>20</v>
      </c>
      <c r="J1831" s="6">
        <v>2013.0</v>
      </c>
      <c r="L1831" s="6">
        <v>3.0</v>
      </c>
      <c r="M1831" s="8">
        <f t="shared" si="5"/>
        <v>0.24</v>
      </c>
      <c r="P1831" s="9"/>
    </row>
    <row r="1832">
      <c r="A1832" s="6" t="s">
        <v>4678</v>
      </c>
      <c r="B1832" s="6" t="s">
        <v>378</v>
      </c>
      <c r="C1832" s="6" t="s">
        <v>295</v>
      </c>
      <c r="D1832" s="6" t="s">
        <v>4679</v>
      </c>
      <c r="E1832" s="6" t="s">
        <v>1743</v>
      </c>
      <c r="F1832" s="6" t="s">
        <v>152</v>
      </c>
      <c r="G1832" s="7">
        <v>0.05</v>
      </c>
      <c r="H1832" s="6" t="s">
        <v>2990</v>
      </c>
      <c r="I1832" s="6" t="s">
        <v>20</v>
      </c>
      <c r="J1832" s="6">
        <v>2013.0</v>
      </c>
      <c r="L1832" s="6">
        <v>1.0</v>
      </c>
      <c r="M1832" s="8">
        <f t="shared" si="5"/>
        <v>0.05</v>
      </c>
      <c r="P1832" s="9"/>
    </row>
    <row r="1833">
      <c r="A1833" s="6" t="s">
        <v>4680</v>
      </c>
      <c r="B1833" s="6" t="s">
        <v>378</v>
      </c>
      <c r="C1833" s="6" t="s">
        <v>295</v>
      </c>
      <c r="D1833" s="6" t="s">
        <v>4681</v>
      </c>
      <c r="E1833" s="6" t="s">
        <v>713</v>
      </c>
      <c r="F1833" s="6" t="s">
        <v>152</v>
      </c>
      <c r="G1833" s="7">
        <v>0.05</v>
      </c>
      <c r="H1833" s="6" t="s">
        <v>2641</v>
      </c>
      <c r="I1833" s="6" t="s">
        <v>20</v>
      </c>
      <c r="J1833" s="6">
        <v>2013.0</v>
      </c>
      <c r="L1833" s="6">
        <v>1.0</v>
      </c>
      <c r="M1833" s="8">
        <f t="shared" si="5"/>
        <v>0.05</v>
      </c>
      <c r="P1833" s="9"/>
    </row>
    <row r="1834">
      <c r="A1834" s="6" t="s">
        <v>4682</v>
      </c>
      <c r="B1834" s="6" t="s">
        <v>378</v>
      </c>
      <c r="C1834" s="6" t="s">
        <v>295</v>
      </c>
      <c r="D1834" s="6" t="s">
        <v>4683</v>
      </c>
      <c r="E1834" s="6" t="s">
        <v>1779</v>
      </c>
      <c r="F1834" s="6" t="s">
        <v>152</v>
      </c>
      <c r="G1834" s="7">
        <v>0.3</v>
      </c>
      <c r="H1834" s="6" t="s">
        <v>2175</v>
      </c>
      <c r="I1834" s="6" t="s">
        <v>31</v>
      </c>
      <c r="J1834" s="6">
        <v>2018.0</v>
      </c>
      <c r="L1834" s="6">
        <v>1.0</v>
      </c>
      <c r="M1834" s="8">
        <f t="shared" si="5"/>
        <v>0.3</v>
      </c>
      <c r="P1834" s="9"/>
    </row>
    <row r="1835">
      <c r="A1835" s="6" t="s">
        <v>4684</v>
      </c>
      <c r="B1835" s="6" t="s">
        <v>378</v>
      </c>
      <c r="C1835" s="6" t="s">
        <v>295</v>
      </c>
      <c r="D1835" s="6" t="s">
        <v>4685</v>
      </c>
      <c r="E1835" s="6" t="s">
        <v>1743</v>
      </c>
      <c r="F1835" s="6" t="s">
        <v>152</v>
      </c>
      <c r="G1835" s="7">
        <v>0.1</v>
      </c>
      <c r="H1835" s="6" t="s">
        <v>1711</v>
      </c>
      <c r="I1835" s="6" t="s">
        <v>20</v>
      </c>
      <c r="J1835" s="6">
        <v>2022.0</v>
      </c>
      <c r="L1835" s="6">
        <v>1.0</v>
      </c>
      <c r="M1835" s="8">
        <f t="shared" si="5"/>
        <v>0.1</v>
      </c>
      <c r="P1835" s="9"/>
    </row>
    <row r="1836">
      <c r="A1836" s="6" t="s">
        <v>4686</v>
      </c>
      <c r="B1836" s="6" t="s">
        <v>378</v>
      </c>
      <c r="C1836" s="6" t="s">
        <v>295</v>
      </c>
      <c r="D1836" s="6" t="s">
        <v>4687</v>
      </c>
      <c r="E1836" s="6" t="s">
        <v>1779</v>
      </c>
      <c r="F1836" s="6" t="s">
        <v>152</v>
      </c>
      <c r="G1836" s="7">
        <v>0.06</v>
      </c>
      <c r="H1836" s="6" t="s">
        <v>2631</v>
      </c>
      <c r="I1836" s="6" t="s">
        <v>20</v>
      </c>
      <c r="J1836" s="6">
        <v>2006.0</v>
      </c>
      <c r="L1836" s="6">
        <v>1.0</v>
      </c>
      <c r="M1836" s="8">
        <f t="shared" si="5"/>
        <v>0.06</v>
      </c>
      <c r="P1836" s="9"/>
    </row>
    <row r="1837">
      <c r="A1837" s="6" t="s">
        <v>4688</v>
      </c>
      <c r="B1837" s="6" t="s">
        <v>378</v>
      </c>
      <c r="C1837" s="6" t="s">
        <v>295</v>
      </c>
      <c r="D1837" s="6" t="s">
        <v>4689</v>
      </c>
      <c r="E1837" s="6" t="s">
        <v>1743</v>
      </c>
      <c r="F1837" s="6" t="s">
        <v>152</v>
      </c>
      <c r="G1837" s="7">
        <v>0.05</v>
      </c>
      <c r="H1837" s="6" t="s">
        <v>2568</v>
      </c>
      <c r="I1837" s="6" t="s">
        <v>20</v>
      </c>
      <c r="J1837" s="6">
        <v>2012.0</v>
      </c>
      <c r="L1837" s="6">
        <v>1.0</v>
      </c>
      <c r="M1837" s="8">
        <f t="shared" si="5"/>
        <v>0.05</v>
      </c>
      <c r="P1837" s="9"/>
    </row>
    <row r="1838">
      <c r="A1838" s="6" t="s">
        <v>4690</v>
      </c>
      <c r="B1838" s="6" t="s">
        <v>378</v>
      </c>
      <c r="C1838" s="6" t="s">
        <v>295</v>
      </c>
      <c r="D1838" s="6" t="s">
        <v>4691</v>
      </c>
      <c r="E1838" s="6" t="s">
        <v>2444</v>
      </c>
      <c r="F1838" s="6" t="s">
        <v>152</v>
      </c>
      <c r="G1838" s="7">
        <v>0.05</v>
      </c>
      <c r="H1838" s="6" t="s">
        <v>1673</v>
      </c>
      <c r="I1838" s="6" t="s">
        <v>20</v>
      </c>
      <c r="J1838" s="6">
        <v>2012.0</v>
      </c>
      <c r="L1838" s="6">
        <v>1.0</v>
      </c>
      <c r="M1838" s="8">
        <f t="shared" si="5"/>
        <v>0.05</v>
      </c>
      <c r="P1838" s="9"/>
    </row>
    <row r="1839">
      <c r="A1839" s="6" t="s">
        <v>4692</v>
      </c>
      <c r="B1839" s="6" t="s">
        <v>378</v>
      </c>
      <c r="C1839" s="6" t="s">
        <v>295</v>
      </c>
      <c r="D1839" s="6" t="s">
        <v>4693</v>
      </c>
      <c r="E1839" s="6" t="s">
        <v>1743</v>
      </c>
      <c r="F1839" s="6" t="s">
        <v>152</v>
      </c>
      <c r="G1839" s="7">
        <v>0.05</v>
      </c>
      <c r="H1839" s="6" t="s">
        <v>2619</v>
      </c>
      <c r="I1839" s="6" t="s">
        <v>20</v>
      </c>
      <c r="J1839" s="6">
        <v>2019.0</v>
      </c>
      <c r="L1839" s="6">
        <v>2.0</v>
      </c>
      <c r="M1839" s="8">
        <f t="shared" si="5"/>
        <v>0.1</v>
      </c>
      <c r="P1839" s="9"/>
    </row>
    <row r="1840">
      <c r="A1840" s="6" t="s">
        <v>4694</v>
      </c>
      <c r="B1840" s="6" t="s">
        <v>378</v>
      </c>
      <c r="C1840" s="6" t="s">
        <v>295</v>
      </c>
      <c r="D1840" s="6" t="s">
        <v>4695</v>
      </c>
      <c r="E1840" s="6" t="s">
        <v>1743</v>
      </c>
      <c r="F1840" s="6" t="s">
        <v>152</v>
      </c>
      <c r="G1840" s="7">
        <v>0.4</v>
      </c>
      <c r="H1840" s="6" t="s">
        <v>1634</v>
      </c>
      <c r="I1840" s="6" t="s">
        <v>20</v>
      </c>
      <c r="J1840" s="6">
        <v>2005.0</v>
      </c>
      <c r="L1840" s="6">
        <v>3.0</v>
      </c>
      <c r="M1840" s="8">
        <f t="shared" si="5"/>
        <v>1.2</v>
      </c>
      <c r="P1840" s="9"/>
    </row>
    <row r="1841">
      <c r="A1841" s="6" t="s">
        <v>4696</v>
      </c>
      <c r="B1841" s="6" t="s">
        <v>378</v>
      </c>
      <c r="C1841" s="6" t="s">
        <v>295</v>
      </c>
      <c r="D1841" s="6" t="s">
        <v>4697</v>
      </c>
      <c r="E1841" s="6" t="s">
        <v>1743</v>
      </c>
      <c r="F1841" s="6" t="s">
        <v>152</v>
      </c>
      <c r="G1841" s="7">
        <v>0.08</v>
      </c>
      <c r="H1841" s="6" t="s">
        <v>1990</v>
      </c>
      <c r="I1841" s="6" t="s">
        <v>20</v>
      </c>
      <c r="J1841" s="6">
        <v>2011.0</v>
      </c>
      <c r="L1841" s="6">
        <v>4.0</v>
      </c>
      <c r="M1841" s="8">
        <f t="shared" si="5"/>
        <v>0.32</v>
      </c>
      <c r="P1841" s="9"/>
    </row>
    <row r="1842">
      <c r="A1842" s="6" t="s">
        <v>4698</v>
      </c>
      <c r="B1842" s="6" t="s">
        <v>1944</v>
      </c>
      <c r="C1842" s="6" t="s">
        <v>295</v>
      </c>
      <c r="D1842" s="6" t="s">
        <v>4699</v>
      </c>
      <c r="E1842" s="6" t="s">
        <v>1743</v>
      </c>
      <c r="F1842" s="6" t="s">
        <v>152</v>
      </c>
      <c r="G1842" s="7">
        <v>0.09</v>
      </c>
      <c r="H1842" s="6" t="s">
        <v>3476</v>
      </c>
      <c r="I1842" s="6" t="s">
        <v>20</v>
      </c>
      <c r="J1842" s="6">
        <v>2023.0</v>
      </c>
      <c r="L1842" s="6">
        <v>1.0</v>
      </c>
      <c r="M1842" s="8">
        <f t="shared" si="5"/>
        <v>0.09</v>
      </c>
      <c r="P1842" s="9"/>
    </row>
    <row r="1843">
      <c r="A1843" s="6" t="s">
        <v>4700</v>
      </c>
      <c r="B1843" s="6" t="s">
        <v>2058</v>
      </c>
      <c r="C1843" s="6" t="s">
        <v>1897</v>
      </c>
      <c r="D1843" s="6" t="s">
        <v>4701</v>
      </c>
      <c r="E1843" s="6" t="s">
        <v>2426</v>
      </c>
      <c r="F1843" s="6" t="s">
        <v>152</v>
      </c>
      <c r="G1843" s="7">
        <v>0.38</v>
      </c>
      <c r="H1843" s="6" t="s">
        <v>2471</v>
      </c>
      <c r="I1843" s="6" t="s">
        <v>20</v>
      </c>
      <c r="J1843" s="6">
        <v>2012.0</v>
      </c>
      <c r="L1843" s="6">
        <v>1.0</v>
      </c>
      <c r="M1843" s="8">
        <f t="shared" si="5"/>
        <v>0.38</v>
      </c>
      <c r="P1843" s="9"/>
    </row>
    <row r="1844">
      <c r="A1844" s="6" t="s">
        <v>4702</v>
      </c>
      <c r="B1844" s="6" t="s">
        <v>378</v>
      </c>
      <c r="C1844" s="6" t="s">
        <v>295</v>
      </c>
      <c r="D1844" s="6" t="s">
        <v>4703</v>
      </c>
      <c r="E1844" s="6" t="s">
        <v>1743</v>
      </c>
      <c r="F1844" s="6" t="s">
        <v>152</v>
      </c>
      <c r="G1844" s="7">
        <v>0.3</v>
      </c>
      <c r="H1844" s="6" t="s">
        <v>1664</v>
      </c>
      <c r="I1844" s="6" t="s">
        <v>31</v>
      </c>
      <c r="J1844" s="6">
        <v>2018.0</v>
      </c>
      <c r="L1844" s="6">
        <v>1.0</v>
      </c>
      <c r="M1844" s="8">
        <f t="shared" si="5"/>
        <v>0.3</v>
      </c>
      <c r="P1844" s="9"/>
    </row>
    <row r="1845">
      <c r="A1845" s="6" t="s">
        <v>4704</v>
      </c>
      <c r="B1845" s="6" t="s">
        <v>2058</v>
      </c>
      <c r="C1845" s="6" t="s">
        <v>295</v>
      </c>
      <c r="D1845" s="6" t="s">
        <v>4705</v>
      </c>
      <c r="E1845" s="6" t="s">
        <v>1838</v>
      </c>
      <c r="F1845" s="6" t="s">
        <v>152</v>
      </c>
      <c r="G1845" s="7">
        <v>0.05</v>
      </c>
      <c r="H1845" s="6" t="s">
        <v>2006</v>
      </c>
      <c r="I1845" s="6" t="s">
        <v>20</v>
      </c>
      <c r="J1845" s="6">
        <v>2013.0</v>
      </c>
      <c r="L1845" s="6">
        <v>1.0</v>
      </c>
      <c r="M1845" s="8">
        <f t="shared" si="5"/>
        <v>0.05</v>
      </c>
      <c r="P1845" s="9"/>
    </row>
    <row r="1846">
      <c r="A1846" s="6" t="s">
        <v>4706</v>
      </c>
      <c r="B1846" s="6" t="s">
        <v>378</v>
      </c>
      <c r="C1846" s="6" t="s">
        <v>295</v>
      </c>
      <c r="D1846" s="6" t="s">
        <v>4707</v>
      </c>
      <c r="E1846" s="6" t="s">
        <v>1743</v>
      </c>
      <c r="F1846" s="6" t="s">
        <v>152</v>
      </c>
      <c r="G1846" s="7">
        <v>0.05</v>
      </c>
      <c r="H1846" s="6" t="s">
        <v>2006</v>
      </c>
      <c r="I1846" s="6" t="s">
        <v>20</v>
      </c>
      <c r="J1846" s="6">
        <v>2013.0</v>
      </c>
      <c r="L1846" s="6">
        <v>1.0</v>
      </c>
      <c r="M1846" s="8">
        <f t="shared" si="5"/>
        <v>0.05</v>
      </c>
      <c r="P1846" s="9"/>
    </row>
    <row r="1847">
      <c r="A1847" s="6" t="s">
        <v>4708</v>
      </c>
      <c r="B1847" s="6" t="s">
        <v>378</v>
      </c>
      <c r="C1847" s="6" t="s">
        <v>295</v>
      </c>
      <c r="D1847" s="6" t="s">
        <v>4709</v>
      </c>
      <c r="E1847" s="6" t="s">
        <v>1779</v>
      </c>
      <c r="F1847" s="6" t="s">
        <v>152</v>
      </c>
      <c r="G1847" s="7">
        <v>0.05</v>
      </c>
      <c r="H1847" s="6" t="s">
        <v>2990</v>
      </c>
      <c r="I1847" s="6" t="s">
        <v>20</v>
      </c>
      <c r="J1847" s="6">
        <v>2013.0</v>
      </c>
      <c r="L1847" s="6">
        <v>1.0</v>
      </c>
      <c r="M1847" s="8">
        <f t="shared" si="5"/>
        <v>0.05</v>
      </c>
      <c r="P1847" s="9"/>
    </row>
    <row r="1848">
      <c r="A1848" s="6" t="s">
        <v>4710</v>
      </c>
      <c r="B1848" s="6" t="s">
        <v>378</v>
      </c>
      <c r="C1848" s="6" t="s">
        <v>295</v>
      </c>
      <c r="D1848" s="6" t="s">
        <v>4711</v>
      </c>
      <c r="E1848" s="6" t="s">
        <v>713</v>
      </c>
      <c r="F1848" s="6" t="s">
        <v>152</v>
      </c>
      <c r="G1848" s="7">
        <v>0.05</v>
      </c>
      <c r="H1848" s="6" t="s">
        <v>2568</v>
      </c>
      <c r="I1848" s="6" t="s">
        <v>20</v>
      </c>
      <c r="J1848" s="6">
        <v>2012.0</v>
      </c>
      <c r="L1848" s="6">
        <v>1.0</v>
      </c>
      <c r="M1848" s="8">
        <f t="shared" si="5"/>
        <v>0.05</v>
      </c>
      <c r="P1848" s="9"/>
    </row>
    <row r="1849">
      <c r="A1849" s="6" t="s">
        <v>4712</v>
      </c>
      <c r="B1849" s="6" t="s">
        <v>378</v>
      </c>
      <c r="C1849" s="6" t="s">
        <v>295</v>
      </c>
      <c r="D1849" s="6" t="s">
        <v>4713</v>
      </c>
      <c r="E1849" s="6" t="s">
        <v>1779</v>
      </c>
      <c r="F1849" s="6" t="s">
        <v>152</v>
      </c>
      <c r="G1849" s="7">
        <v>0.07</v>
      </c>
      <c r="H1849" s="6" t="s">
        <v>3421</v>
      </c>
      <c r="I1849" s="6" t="s">
        <v>20</v>
      </c>
      <c r="J1849" s="6">
        <v>2004.0</v>
      </c>
      <c r="L1849" s="6">
        <v>1.0</v>
      </c>
      <c r="M1849" s="8">
        <f t="shared" si="5"/>
        <v>0.07</v>
      </c>
      <c r="P1849" s="9"/>
    </row>
    <row r="1850">
      <c r="A1850" s="6" t="s">
        <v>4714</v>
      </c>
      <c r="B1850" s="6" t="s">
        <v>378</v>
      </c>
      <c r="C1850" s="6" t="s">
        <v>295</v>
      </c>
      <c r="D1850" s="6" t="s">
        <v>4715</v>
      </c>
      <c r="E1850" s="6" t="s">
        <v>4716</v>
      </c>
      <c r="F1850" s="6" t="s">
        <v>152</v>
      </c>
      <c r="G1850" s="7">
        <v>2.48</v>
      </c>
      <c r="H1850" s="6" t="s">
        <v>1681</v>
      </c>
      <c r="I1850" s="6" t="s">
        <v>20</v>
      </c>
      <c r="J1850" s="6">
        <v>2015.0</v>
      </c>
      <c r="L1850" s="6">
        <v>4.0</v>
      </c>
      <c r="M1850" s="8">
        <f t="shared" si="5"/>
        <v>9.92</v>
      </c>
      <c r="P1850" s="9"/>
    </row>
    <row r="1851">
      <c r="A1851" s="6" t="s">
        <v>4717</v>
      </c>
      <c r="B1851" s="6" t="s">
        <v>378</v>
      </c>
      <c r="C1851" s="6" t="s">
        <v>295</v>
      </c>
      <c r="D1851" s="6" t="s">
        <v>4718</v>
      </c>
      <c r="E1851" s="6" t="s">
        <v>1779</v>
      </c>
      <c r="F1851" s="6" t="s">
        <v>152</v>
      </c>
      <c r="G1851" s="7">
        <v>3.15</v>
      </c>
      <c r="H1851" s="6" t="s">
        <v>1965</v>
      </c>
      <c r="I1851" s="6" t="s">
        <v>20</v>
      </c>
      <c r="J1851" s="6">
        <v>2022.0</v>
      </c>
      <c r="L1851" s="6">
        <v>1.0</v>
      </c>
      <c r="M1851" s="8">
        <f t="shared" si="5"/>
        <v>3.15</v>
      </c>
      <c r="P1851" s="9"/>
    </row>
    <row r="1852">
      <c r="A1852" s="6" t="s">
        <v>4719</v>
      </c>
      <c r="B1852" s="6" t="s">
        <v>2058</v>
      </c>
      <c r="C1852" s="6" t="s">
        <v>295</v>
      </c>
      <c r="D1852" s="6" t="s">
        <v>3239</v>
      </c>
      <c r="E1852" s="6" t="s">
        <v>1743</v>
      </c>
      <c r="F1852" s="6" t="s">
        <v>152</v>
      </c>
      <c r="G1852" s="7">
        <v>0.23</v>
      </c>
      <c r="H1852" s="6" t="s">
        <v>4720</v>
      </c>
      <c r="I1852" s="6" t="s">
        <v>20</v>
      </c>
      <c r="J1852" s="6">
        <v>2012.0</v>
      </c>
      <c r="L1852" s="6">
        <v>1.0</v>
      </c>
      <c r="M1852" s="8">
        <f t="shared" si="5"/>
        <v>0.23</v>
      </c>
      <c r="P1852" s="9"/>
    </row>
    <row r="1853">
      <c r="A1853" s="6" t="s">
        <v>4719</v>
      </c>
      <c r="B1853" s="6" t="s">
        <v>2058</v>
      </c>
      <c r="C1853" s="6" t="s">
        <v>295</v>
      </c>
      <c r="D1853" s="6" t="s">
        <v>3239</v>
      </c>
      <c r="E1853" s="6" t="s">
        <v>1743</v>
      </c>
      <c r="F1853" s="6" t="s">
        <v>152</v>
      </c>
      <c r="G1853" s="7">
        <v>0.23</v>
      </c>
      <c r="H1853" s="6" t="s">
        <v>4720</v>
      </c>
      <c r="I1853" s="6" t="s">
        <v>20</v>
      </c>
      <c r="J1853" s="6">
        <v>2012.0</v>
      </c>
      <c r="L1853" s="6">
        <v>1.0</v>
      </c>
      <c r="M1853" s="8">
        <f t="shared" si="5"/>
        <v>0.23</v>
      </c>
      <c r="P1853" s="9"/>
    </row>
    <row r="1854">
      <c r="A1854" s="6" t="s">
        <v>4719</v>
      </c>
      <c r="B1854" s="6" t="s">
        <v>2058</v>
      </c>
      <c r="C1854" s="6" t="s">
        <v>295</v>
      </c>
      <c r="D1854" s="6" t="s">
        <v>3239</v>
      </c>
      <c r="E1854" s="6" t="s">
        <v>1743</v>
      </c>
      <c r="F1854" s="6" t="s">
        <v>152</v>
      </c>
      <c r="G1854" s="7">
        <v>0.23</v>
      </c>
      <c r="H1854" s="6" t="s">
        <v>4720</v>
      </c>
      <c r="I1854" s="6" t="s">
        <v>20</v>
      </c>
      <c r="J1854" s="6">
        <v>2012.0</v>
      </c>
      <c r="L1854" s="6">
        <v>1.0</v>
      </c>
      <c r="M1854" s="8">
        <f t="shared" si="5"/>
        <v>0.23</v>
      </c>
      <c r="P1854" s="9"/>
    </row>
    <row r="1855">
      <c r="A1855" s="6" t="s">
        <v>4719</v>
      </c>
      <c r="B1855" s="6" t="s">
        <v>2058</v>
      </c>
      <c r="C1855" s="6" t="s">
        <v>295</v>
      </c>
      <c r="D1855" s="6" t="s">
        <v>3239</v>
      </c>
      <c r="E1855" s="6" t="s">
        <v>1743</v>
      </c>
      <c r="F1855" s="6" t="s">
        <v>152</v>
      </c>
      <c r="G1855" s="7">
        <v>0.2</v>
      </c>
      <c r="H1855" s="6" t="s">
        <v>4721</v>
      </c>
      <c r="I1855" s="6" t="s">
        <v>20</v>
      </c>
      <c r="J1855" s="6">
        <v>2020.0</v>
      </c>
      <c r="L1855" s="6">
        <v>1.0</v>
      </c>
      <c r="M1855" s="8">
        <f t="shared" si="5"/>
        <v>0.2</v>
      </c>
      <c r="P1855" s="9"/>
    </row>
    <row r="1856">
      <c r="A1856" s="6" t="s">
        <v>4719</v>
      </c>
      <c r="B1856" s="6" t="s">
        <v>2058</v>
      </c>
      <c r="C1856" s="6" t="s">
        <v>295</v>
      </c>
      <c r="D1856" s="6" t="s">
        <v>3239</v>
      </c>
      <c r="E1856" s="6" t="s">
        <v>1743</v>
      </c>
      <c r="F1856" s="6" t="s">
        <v>152</v>
      </c>
      <c r="G1856" s="7">
        <v>0.12</v>
      </c>
      <c r="H1856" s="6" t="s">
        <v>4722</v>
      </c>
      <c r="I1856" s="6" t="s">
        <v>20</v>
      </c>
      <c r="J1856" s="6">
        <v>2020.0</v>
      </c>
      <c r="L1856" s="6">
        <v>1.0</v>
      </c>
      <c r="M1856" s="8">
        <f t="shared" si="5"/>
        <v>0.12</v>
      </c>
      <c r="P1856" s="9"/>
    </row>
    <row r="1857">
      <c r="A1857" s="6" t="s">
        <v>4723</v>
      </c>
      <c r="B1857" s="6" t="s">
        <v>378</v>
      </c>
      <c r="C1857" s="6" t="s">
        <v>295</v>
      </c>
      <c r="D1857" s="6" t="s">
        <v>4724</v>
      </c>
      <c r="E1857" s="6" t="s">
        <v>713</v>
      </c>
      <c r="F1857" s="6" t="s">
        <v>152</v>
      </c>
      <c r="G1857" s="7">
        <v>0.18</v>
      </c>
      <c r="H1857" s="6" t="s">
        <v>2175</v>
      </c>
      <c r="I1857" s="6" t="s">
        <v>20</v>
      </c>
      <c r="J1857" s="6">
        <v>2018.0</v>
      </c>
      <c r="L1857" s="6">
        <v>1.0</v>
      </c>
      <c r="M1857" s="8">
        <f t="shared" si="5"/>
        <v>0.18</v>
      </c>
      <c r="P1857" s="9"/>
    </row>
    <row r="1858">
      <c r="A1858" s="6" t="s">
        <v>4725</v>
      </c>
      <c r="B1858" s="6" t="s">
        <v>378</v>
      </c>
      <c r="C1858" s="6" t="s">
        <v>295</v>
      </c>
      <c r="D1858" s="6" t="s">
        <v>4726</v>
      </c>
      <c r="E1858" s="6" t="s">
        <v>1743</v>
      </c>
      <c r="F1858" s="6" t="s">
        <v>152</v>
      </c>
      <c r="G1858" s="7">
        <v>2.84</v>
      </c>
      <c r="H1858" s="6" t="s">
        <v>4727</v>
      </c>
      <c r="I1858" s="6" t="s">
        <v>20</v>
      </c>
      <c r="J1858" s="6">
        <v>2007.0</v>
      </c>
      <c r="L1858" s="6">
        <v>1.0</v>
      </c>
      <c r="M1858" s="8">
        <f t="shared" si="5"/>
        <v>2.84</v>
      </c>
      <c r="P1858" s="9"/>
    </row>
    <row r="1859">
      <c r="A1859" s="6" t="s">
        <v>4728</v>
      </c>
      <c r="B1859" s="6" t="s">
        <v>610</v>
      </c>
      <c r="C1859" s="6" t="s">
        <v>295</v>
      </c>
      <c r="D1859" s="6" t="s">
        <v>4729</v>
      </c>
      <c r="E1859" s="6" t="s">
        <v>1743</v>
      </c>
      <c r="F1859" s="6" t="s">
        <v>152</v>
      </c>
      <c r="G1859" s="7">
        <v>0.07</v>
      </c>
      <c r="H1859" s="6" t="s">
        <v>1631</v>
      </c>
      <c r="I1859" s="6" t="s">
        <v>20</v>
      </c>
      <c r="J1859" s="6">
        <v>2024.0</v>
      </c>
      <c r="L1859" s="6">
        <v>1.0</v>
      </c>
      <c r="M1859" s="8">
        <f t="shared" si="5"/>
        <v>0.07</v>
      </c>
      <c r="P1859" s="9"/>
    </row>
    <row r="1860">
      <c r="A1860" s="6" t="s">
        <v>4730</v>
      </c>
      <c r="B1860" s="6" t="s">
        <v>378</v>
      </c>
      <c r="C1860" s="6" t="s">
        <v>1897</v>
      </c>
      <c r="D1860" s="6" t="s">
        <v>4731</v>
      </c>
      <c r="E1860" s="6" t="s">
        <v>4321</v>
      </c>
      <c r="F1860" s="6" t="s">
        <v>88</v>
      </c>
      <c r="G1860" s="7">
        <v>0.09</v>
      </c>
      <c r="H1860" s="6" t="s">
        <v>2574</v>
      </c>
      <c r="I1860" s="6" t="s">
        <v>20</v>
      </c>
      <c r="J1860" s="6">
        <v>2004.0</v>
      </c>
      <c r="L1860" s="6">
        <v>1.0</v>
      </c>
      <c r="M1860" s="8">
        <f t="shared" si="5"/>
        <v>0.09</v>
      </c>
      <c r="P1860" s="9"/>
    </row>
    <row r="1861">
      <c r="A1861" s="6" t="s">
        <v>4732</v>
      </c>
      <c r="B1861" s="6" t="s">
        <v>378</v>
      </c>
      <c r="C1861" s="6" t="s">
        <v>1949</v>
      </c>
      <c r="D1861" s="6" t="s">
        <v>4733</v>
      </c>
      <c r="E1861" s="6" t="s">
        <v>2444</v>
      </c>
      <c r="F1861" s="6" t="s">
        <v>152</v>
      </c>
      <c r="G1861" s="7">
        <v>0.09</v>
      </c>
      <c r="H1861" s="6" t="s">
        <v>3092</v>
      </c>
      <c r="I1861" s="6" t="s">
        <v>20</v>
      </c>
      <c r="J1861" s="6">
        <v>2015.0</v>
      </c>
      <c r="L1861" s="6">
        <v>1.0</v>
      </c>
      <c r="M1861" s="8">
        <f t="shared" si="5"/>
        <v>0.09</v>
      </c>
      <c r="P1861" s="9"/>
    </row>
    <row r="1862">
      <c r="A1862" s="6" t="s">
        <v>4734</v>
      </c>
      <c r="B1862" s="6" t="s">
        <v>378</v>
      </c>
      <c r="C1862" s="6" t="s">
        <v>295</v>
      </c>
      <c r="D1862" s="6" t="s">
        <v>4735</v>
      </c>
      <c r="E1862" s="6" t="s">
        <v>713</v>
      </c>
      <c r="F1862" s="6" t="s">
        <v>152</v>
      </c>
      <c r="G1862" s="7">
        <v>0.09</v>
      </c>
      <c r="H1862" s="6" t="s">
        <v>2688</v>
      </c>
      <c r="I1862" s="6" t="s">
        <v>20</v>
      </c>
      <c r="J1862" s="6">
        <v>2010.0</v>
      </c>
      <c r="L1862" s="6">
        <v>1.0</v>
      </c>
      <c r="M1862" s="8">
        <f t="shared" si="5"/>
        <v>0.09</v>
      </c>
      <c r="P1862" s="9"/>
    </row>
    <row r="1863">
      <c r="A1863" s="6" t="s">
        <v>4736</v>
      </c>
      <c r="B1863" s="6" t="s">
        <v>610</v>
      </c>
      <c r="C1863" s="6" t="s">
        <v>295</v>
      </c>
      <c r="D1863" s="6" t="s">
        <v>4737</v>
      </c>
      <c r="E1863" s="6" t="s">
        <v>713</v>
      </c>
      <c r="F1863" s="6" t="s">
        <v>152</v>
      </c>
      <c r="G1863" s="7">
        <v>0.19</v>
      </c>
      <c r="H1863" s="6" t="s">
        <v>1959</v>
      </c>
      <c r="I1863" s="6" t="s">
        <v>31</v>
      </c>
      <c r="J1863" s="6">
        <v>2024.0</v>
      </c>
      <c r="L1863" s="6">
        <v>2.0</v>
      </c>
      <c r="M1863" s="8">
        <f t="shared" si="5"/>
        <v>0.38</v>
      </c>
      <c r="P1863" s="9"/>
    </row>
    <row r="1864">
      <c r="A1864" s="6" t="s">
        <v>4738</v>
      </c>
      <c r="B1864" s="6" t="s">
        <v>1944</v>
      </c>
      <c r="C1864" s="6" t="s">
        <v>1949</v>
      </c>
      <c r="D1864" s="6" t="s">
        <v>4739</v>
      </c>
      <c r="E1864" s="6" t="s">
        <v>1779</v>
      </c>
      <c r="F1864" s="6" t="s">
        <v>152</v>
      </c>
      <c r="G1864" s="7">
        <v>0.75</v>
      </c>
      <c r="H1864" s="6" t="s">
        <v>2175</v>
      </c>
      <c r="I1864" s="6" t="s">
        <v>31</v>
      </c>
      <c r="J1864" s="6">
        <v>2018.0</v>
      </c>
      <c r="L1864" s="6">
        <v>1.0</v>
      </c>
      <c r="M1864" s="8">
        <f t="shared" si="5"/>
        <v>0.75</v>
      </c>
      <c r="P1864" s="9"/>
    </row>
    <row r="1865">
      <c r="A1865" s="6" t="s">
        <v>4740</v>
      </c>
      <c r="B1865" s="6" t="s">
        <v>2014</v>
      </c>
      <c r="C1865" s="6" t="s">
        <v>295</v>
      </c>
      <c r="D1865" s="6" t="s">
        <v>4741</v>
      </c>
      <c r="E1865" s="6" t="s">
        <v>713</v>
      </c>
      <c r="F1865" s="6" t="s">
        <v>152</v>
      </c>
      <c r="G1865" s="7">
        <v>1.48</v>
      </c>
      <c r="H1865" s="6" t="s">
        <v>2788</v>
      </c>
      <c r="I1865" s="6" t="s">
        <v>20</v>
      </c>
      <c r="J1865" s="6">
        <v>2009.0</v>
      </c>
      <c r="L1865" s="6">
        <v>2.0</v>
      </c>
      <c r="M1865" s="8">
        <f t="shared" si="5"/>
        <v>2.96</v>
      </c>
      <c r="P1865" s="9"/>
    </row>
    <row r="1866">
      <c r="A1866" s="6" t="s">
        <v>4678</v>
      </c>
      <c r="B1866" s="6" t="s">
        <v>378</v>
      </c>
      <c r="C1866" s="6" t="s">
        <v>295</v>
      </c>
      <c r="D1866" s="6" t="s">
        <v>4679</v>
      </c>
      <c r="E1866" s="6" t="s">
        <v>1743</v>
      </c>
      <c r="F1866" s="6" t="s">
        <v>152</v>
      </c>
      <c r="G1866" s="7">
        <v>0.35</v>
      </c>
      <c r="H1866" s="6" t="s">
        <v>3679</v>
      </c>
      <c r="I1866" s="6" t="s">
        <v>31</v>
      </c>
      <c r="J1866" s="6">
        <v>2022.0</v>
      </c>
      <c r="L1866" s="6">
        <v>2.0</v>
      </c>
      <c r="M1866" s="8">
        <f t="shared" si="5"/>
        <v>0.7</v>
      </c>
      <c r="P1866" s="9"/>
    </row>
    <row r="1867">
      <c r="A1867" s="6" t="s">
        <v>4742</v>
      </c>
      <c r="B1867" s="6" t="s">
        <v>610</v>
      </c>
      <c r="C1867" s="6" t="s">
        <v>295</v>
      </c>
      <c r="D1867" s="6" t="s">
        <v>4743</v>
      </c>
      <c r="E1867" s="6" t="s">
        <v>1743</v>
      </c>
      <c r="F1867" s="6" t="s">
        <v>152</v>
      </c>
      <c r="G1867" s="8"/>
      <c r="H1867" s="6" t="s">
        <v>2797</v>
      </c>
      <c r="I1867" s="6" t="s">
        <v>31</v>
      </c>
      <c r="J1867" s="6">
        <v>2026.0</v>
      </c>
      <c r="L1867" s="6">
        <v>1.0</v>
      </c>
      <c r="M1867" s="8">
        <f t="shared" si="5"/>
        <v>0</v>
      </c>
      <c r="P1867" s="9"/>
    </row>
    <row r="1868">
      <c r="A1868" s="6" t="s">
        <v>4744</v>
      </c>
      <c r="B1868" s="6" t="s">
        <v>378</v>
      </c>
      <c r="C1868" s="6" t="s">
        <v>295</v>
      </c>
      <c r="D1868" s="6" t="s">
        <v>4745</v>
      </c>
      <c r="E1868" s="6" t="s">
        <v>1779</v>
      </c>
      <c r="F1868" s="6" t="s">
        <v>152</v>
      </c>
      <c r="G1868" s="7">
        <v>0.02</v>
      </c>
      <c r="H1868" s="6" t="s">
        <v>2619</v>
      </c>
      <c r="I1868" s="6" t="s">
        <v>20</v>
      </c>
      <c r="J1868" s="6">
        <v>2019.0</v>
      </c>
      <c r="L1868" s="6">
        <v>2.0</v>
      </c>
      <c r="M1868" s="8">
        <f t="shared" si="5"/>
        <v>0.04</v>
      </c>
      <c r="P1868" s="9"/>
    </row>
    <row r="1869">
      <c r="A1869" s="6" t="s">
        <v>4746</v>
      </c>
      <c r="B1869" s="6" t="s">
        <v>378</v>
      </c>
      <c r="C1869" s="6" t="s">
        <v>295</v>
      </c>
      <c r="D1869" s="6" t="s">
        <v>4747</v>
      </c>
      <c r="E1869" s="6" t="s">
        <v>1779</v>
      </c>
      <c r="F1869" s="6" t="s">
        <v>152</v>
      </c>
      <c r="G1869" s="7">
        <v>0.2</v>
      </c>
      <c r="H1869" s="6" t="s">
        <v>3230</v>
      </c>
      <c r="I1869" s="6" t="s">
        <v>20</v>
      </c>
      <c r="J1869" s="6">
        <v>2016.0</v>
      </c>
      <c r="L1869" s="6">
        <v>2.0</v>
      </c>
      <c r="M1869" s="8">
        <f t="shared" si="5"/>
        <v>0.4</v>
      </c>
      <c r="P1869" s="9"/>
    </row>
    <row r="1870">
      <c r="A1870" s="6" t="s">
        <v>4748</v>
      </c>
      <c r="B1870" s="6" t="s">
        <v>2014</v>
      </c>
      <c r="C1870" s="6" t="s">
        <v>295</v>
      </c>
      <c r="D1870" s="6" t="s">
        <v>4749</v>
      </c>
      <c r="E1870" s="6" t="s">
        <v>1779</v>
      </c>
      <c r="F1870" s="6" t="s">
        <v>152</v>
      </c>
      <c r="G1870" s="7">
        <v>0.05</v>
      </c>
      <c r="H1870" s="6" t="s">
        <v>2372</v>
      </c>
      <c r="I1870" s="6" t="s">
        <v>20</v>
      </c>
      <c r="J1870" s="6">
        <v>2010.0</v>
      </c>
      <c r="L1870" s="6">
        <v>1.0</v>
      </c>
      <c r="M1870" s="8">
        <f t="shared" si="5"/>
        <v>0.05</v>
      </c>
      <c r="P1870" s="9"/>
    </row>
    <row r="1871">
      <c r="A1871" s="6" t="s">
        <v>4750</v>
      </c>
      <c r="B1871" s="6" t="s">
        <v>4751</v>
      </c>
      <c r="C1871" s="6" t="s">
        <v>1949</v>
      </c>
      <c r="D1871" s="6" t="s">
        <v>4560</v>
      </c>
      <c r="E1871" s="6" t="s">
        <v>1779</v>
      </c>
      <c r="F1871" s="6" t="s">
        <v>152</v>
      </c>
      <c r="G1871" s="7">
        <v>0.1</v>
      </c>
      <c r="H1871" s="6" t="s">
        <v>3940</v>
      </c>
      <c r="I1871" s="6" t="s">
        <v>20</v>
      </c>
      <c r="J1871" s="6">
        <v>2007.0</v>
      </c>
      <c r="L1871" s="6">
        <v>1.0</v>
      </c>
      <c r="M1871" s="8">
        <f t="shared" si="5"/>
        <v>0.1</v>
      </c>
      <c r="P1871" s="9"/>
    </row>
    <row r="1872">
      <c r="A1872" s="6" t="s">
        <v>4752</v>
      </c>
      <c r="B1872" s="6" t="s">
        <v>2058</v>
      </c>
      <c r="C1872" s="6" t="s">
        <v>295</v>
      </c>
      <c r="D1872" s="6" t="s">
        <v>4753</v>
      </c>
      <c r="E1872" s="6" t="s">
        <v>713</v>
      </c>
      <c r="F1872" s="6" t="s">
        <v>152</v>
      </c>
      <c r="G1872" s="7">
        <v>0.08</v>
      </c>
      <c r="H1872" s="6" t="s">
        <v>3827</v>
      </c>
      <c r="I1872" s="6" t="s">
        <v>20</v>
      </c>
      <c r="J1872" s="6">
        <v>2016.0</v>
      </c>
      <c r="L1872" s="6">
        <v>2.0</v>
      </c>
      <c r="M1872" s="8">
        <f t="shared" si="5"/>
        <v>0.16</v>
      </c>
      <c r="P1872" s="9"/>
    </row>
    <row r="1873">
      <c r="A1873" s="6" t="s">
        <v>4754</v>
      </c>
      <c r="B1873" s="6" t="s">
        <v>378</v>
      </c>
      <c r="C1873" s="6" t="s">
        <v>295</v>
      </c>
      <c r="D1873" s="6" t="s">
        <v>4755</v>
      </c>
      <c r="E1873" s="6" t="s">
        <v>1761</v>
      </c>
      <c r="F1873" s="6" t="s">
        <v>152</v>
      </c>
      <c r="G1873" s="7">
        <v>0.41</v>
      </c>
      <c r="H1873" s="6" t="s">
        <v>3940</v>
      </c>
      <c r="I1873" s="6" t="s">
        <v>20</v>
      </c>
      <c r="J1873" s="6">
        <v>2007.0</v>
      </c>
      <c r="L1873" s="6">
        <v>2.0</v>
      </c>
      <c r="M1873" s="8">
        <f t="shared" si="5"/>
        <v>0.82</v>
      </c>
      <c r="P1873" s="9"/>
    </row>
    <row r="1874">
      <c r="A1874" s="6" t="s">
        <v>4756</v>
      </c>
      <c r="B1874" s="6" t="s">
        <v>2078</v>
      </c>
      <c r="C1874" s="6" t="s">
        <v>295</v>
      </c>
      <c r="D1874" s="6" t="s">
        <v>4757</v>
      </c>
      <c r="E1874" s="6" t="s">
        <v>1838</v>
      </c>
      <c r="F1874" s="6" t="s">
        <v>152</v>
      </c>
      <c r="G1874" s="7">
        <v>0.05</v>
      </c>
      <c r="H1874" s="6" t="s">
        <v>2990</v>
      </c>
      <c r="I1874" s="6" t="s">
        <v>20</v>
      </c>
      <c r="J1874" s="6">
        <v>2013.0</v>
      </c>
      <c r="K1874" s="10">
        <v>46056.0</v>
      </c>
      <c r="L1874" s="6">
        <v>1.0</v>
      </c>
      <c r="M1874" s="8">
        <f t="shared" si="5"/>
        <v>0.05</v>
      </c>
      <c r="P1874" s="9"/>
    </row>
    <row r="1875">
      <c r="A1875" s="6" t="s">
        <v>4758</v>
      </c>
      <c r="B1875" s="6" t="s">
        <v>2061</v>
      </c>
      <c r="C1875" s="6" t="s">
        <v>295</v>
      </c>
      <c r="E1875" s="6" t="s">
        <v>1761</v>
      </c>
      <c r="F1875" s="6" t="s">
        <v>152</v>
      </c>
      <c r="G1875" s="7">
        <v>0.03</v>
      </c>
      <c r="H1875" s="6" t="s">
        <v>2467</v>
      </c>
      <c r="I1875" s="6" t="s">
        <v>20</v>
      </c>
      <c r="J1875" s="6">
        <v>2017.0</v>
      </c>
      <c r="K1875" s="10">
        <v>46144.0</v>
      </c>
      <c r="L1875" s="6">
        <v>2.0</v>
      </c>
      <c r="M1875" s="8">
        <f t="shared" si="5"/>
        <v>0.06</v>
      </c>
      <c r="P1875" s="9"/>
    </row>
    <row r="1876">
      <c r="A1876" s="6" t="s">
        <v>4759</v>
      </c>
      <c r="B1876" s="6" t="s">
        <v>4760</v>
      </c>
      <c r="C1876" s="6" t="s">
        <v>295</v>
      </c>
      <c r="D1876" s="6" t="s">
        <v>4761</v>
      </c>
      <c r="E1876" s="6" t="s">
        <v>1761</v>
      </c>
      <c r="F1876" s="6" t="s">
        <v>152</v>
      </c>
      <c r="G1876" s="7">
        <v>0.05</v>
      </c>
      <c r="H1876" s="6" t="s">
        <v>1673</v>
      </c>
      <c r="I1876" s="6" t="s">
        <v>20</v>
      </c>
      <c r="J1876" s="6">
        <v>2012.0</v>
      </c>
      <c r="K1876" s="10">
        <v>46144.0</v>
      </c>
      <c r="L1876" s="6">
        <v>1.0</v>
      </c>
      <c r="M1876" s="8">
        <f t="shared" si="5"/>
        <v>0.05</v>
      </c>
      <c r="P1876" s="9"/>
    </row>
    <row r="1877">
      <c r="A1877" s="6" t="s">
        <v>4762</v>
      </c>
      <c r="B1877" s="6" t="s">
        <v>3487</v>
      </c>
      <c r="C1877" s="6" t="s">
        <v>1897</v>
      </c>
      <c r="D1877" s="6" t="s">
        <v>4763</v>
      </c>
      <c r="E1877" s="6" t="s">
        <v>1779</v>
      </c>
      <c r="F1877" s="6" t="s">
        <v>152</v>
      </c>
      <c r="G1877" s="7">
        <v>2.0</v>
      </c>
      <c r="H1877" s="6" t="s">
        <v>2186</v>
      </c>
      <c r="I1877" s="6" t="s">
        <v>20</v>
      </c>
      <c r="J1877" s="6">
        <v>2022.0</v>
      </c>
      <c r="K1877" s="10">
        <v>46056.0</v>
      </c>
      <c r="L1877" s="6">
        <v>1.0</v>
      </c>
      <c r="M1877" s="8">
        <f t="shared" si="5"/>
        <v>2</v>
      </c>
      <c r="P1877" s="9"/>
    </row>
    <row r="1878">
      <c r="A1878" s="6" t="s">
        <v>4764</v>
      </c>
      <c r="B1878" s="6" t="s">
        <v>2061</v>
      </c>
      <c r="C1878" s="6" t="s">
        <v>295</v>
      </c>
      <c r="D1878" s="6" t="s">
        <v>4765</v>
      </c>
      <c r="E1878" s="6" t="s">
        <v>1743</v>
      </c>
      <c r="F1878" s="6" t="s">
        <v>152</v>
      </c>
      <c r="G1878" s="7">
        <v>0.03</v>
      </c>
      <c r="H1878" s="6" t="s">
        <v>2467</v>
      </c>
      <c r="I1878" s="6" t="s">
        <v>20</v>
      </c>
      <c r="J1878" s="6">
        <v>2017.0</v>
      </c>
      <c r="K1878" s="10">
        <v>46055.0</v>
      </c>
      <c r="L1878" s="6">
        <v>3.0</v>
      </c>
      <c r="M1878" s="8">
        <f t="shared" si="5"/>
        <v>0.09</v>
      </c>
      <c r="P1878" s="9"/>
    </row>
    <row r="1879">
      <c r="A1879" s="6" t="s">
        <v>4766</v>
      </c>
      <c r="B1879" s="6" t="s">
        <v>4767</v>
      </c>
      <c r="C1879" s="6" t="s">
        <v>295</v>
      </c>
      <c r="D1879" s="6" t="s">
        <v>4768</v>
      </c>
      <c r="E1879" s="6" t="s">
        <v>1761</v>
      </c>
      <c r="F1879" s="6" t="s">
        <v>152</v>
      </c>
      <c r="G1879" s="7">
        <v>0.03</v>
      </c>
      <c r="H1879" s="6" t="s">
        <v>1704</v>
      </c>
      <c r="I1879" s="6" t="s">
        <v>20</v>
      </c>
      <c r="J1879" s="6">
        <v>2016.0</v>
      </c>
      <c r="K1879" s="10">
        <v>46114.0</v>
      </c>
      <c r="L1879" s="6">
        <v>2.0</v>
      </c>
      <c r="M1879" s="8">
        <f t="shared" si="5"/>
        <v>0.06</v>
      </c>
      <c r="P1879" s="9"/>
    </row>
    <row r="1880">
      <c r="A1880" s="6" t="s">
        <v>4769</v>
      </c>
      <c r="B1880" s="6" t="s">
        <v>4770</v>
      </c>
      <c r="C1880" s="6" t="s">
        <v>295</v>
      </c>
      <c r="E1880" s="6" t="s">
        <v>1743</v>
      </c>
      <c r="F1880" s="6" t="s">
        <v>152</v>
      </c>
      <c r="G1880" s="7">
        <v>0.03</v>
      </c>
      <c r="H1880" s="6" t="s">
        <v>164</v>
      </c>
      <c r="I1880" s="6" t="s">
        <v>20</v>
      </c>
      <c r="J1880" s="6">
        <v>2014.0</v>
      </c>
      <c r="K1880" s="10">
        <v>46025.0</v>
      </c>
      <c r="L1880" s="6">
        <v>2.0</v>
      </c>
      <c r="M1880" s="8">
        <f t="shared" si="5"/>
        <v>0.06</v>
      </c>
      <c r="P1880" s="9"/>
    </row>
    <row r="1881">
      <c r="A1881" s="6" t="s">
        <v>4771</v>
      </c>
      <c r="B1881" s="6" t="s">
        <v>4576</v>
      </c>
      <c r="C1881" s="6" t="s">
        <v>295</v>
      </c>
      <c r="E1881" s="6" t="s">
        <v>1743</v>
      </c>
      <c r="F1881" s="6" t="s">
        <v>152</v>
      </c>
      <c r="G1881" s="7">
        <v>0.06</v>
      </c>
      <c r="H1881" s="6" t="s">
        <v>2788</v>
      </c>
      <c r="I1881" s="6" t="s">
        <v>20</v>
      </c>
      <c r="J1881" s="6">
        <v>2009.0</v>
      </c>
      <c r="K1881" s="10">
        <v>46055.0</v>
      </c>
      <c r="L1881" s="6">
        <v>1.0</v>
      </c>
      <c r="M1881" s="8">
        <f t="shared" si="5"/>
        <v>0.06</v>
      </c>
      <c r="P1881" s="9"/>
    </row>
    <row r="1882">
      <c r="A1882" s="6" t="s">
        <v>4772</v>
      </c>
      <c r="B1882" s="6" t="s">
        <v>2662</v>
      </c>
      <c r="C1882" s="6" t="s">
        <v>1897</v>
      </c>
      <c r="D1882" s="6" t="s">
        <v>4773</v>
      </c>
      <c r="E1882" s="6" t="s">
        <v>1755</v>
      </c>
      <c r="F1882" s="6" t="s">
        <v>152</v>
      </c>
      <c r="G1882" s="7">
        <v>0.1</v>
      </c>
      <c r="H1882" s="6" t="s">
        <v>2990</v>
      </c>
      <c r="I1882" s="6" t="s">
        <v>20</v>
      </c>
      <c r="J1882" s="6">
        <v>2013.0</v>
      </c>
      <c r="K1882" s="10">
        <v>46145.0</v>
      </c>
      <c r="L1882" s="6">
        <v>1.0</v>
      </c>
      <c r="M1882" s="8">
        <f t="shared" si="5"/>
        <v>0.1</v>
      </c>
      <c r="P1882" s="9"/>
    </row>
    <row r="1883">
      <c r="A1883" s="6" t="s">
        <v>4774</v>
      </c>
      <c r="B1883" s="6" t="s">
        <v>3303</v>
      </c>
      <c r="C1883" s="6" t="s">
        <v>295</v>
      </c>
      <c r="D1883" s="6" t="s">
        <v>4775</v>
      </c>
      <c r="E1883" s="6" t="s">
        <v>1743</v>
      </c>
      <c r="F1883" s="6" t="s">
        <v>152</v>
      </c>
      <c r="G1883" s="7">
        <v>0.32</v>
      </c>
      <c r="H1883" s="6" t="s">
        <v>1956</v>
      </c>
      <c r="I1883" s="6" t="s">
        <v>20</v>
      </c>
      <c r="J1883" s="6">
        <v>2021.0</v>
      </c>
      <c r="K1883" s="10">
        <v>46082.0</v>
      </c>
      <c r="L1883" s="6">
        <v>1.0</v>
      </c>
      <c r="M1883" s="8">
        <f t="shared" si="5"/>
        <v>0.32</v>
      </c>
      <c r="P1883" s="9"/>
    </row>
    <row r="1884">
      <c r="A1884" s="6" t="s">
        <v>4774</v>
      </c>
      <c r="B1884" s="6" t="s">
        <v>3303</v>
      </c>
      <c r="C1884" s="6" t="s">
        <v>295</v>
      </c>
      <c r="D1884" s="6" t="s">
        <v>4775</v>
      </c>
      <c r="E1884" s="6" t="s">
        <v>1743</v>
      </c>
      <c r="F1884" s="6" t="s">
        <v>152</v>
      </c>
      <c r="G1884" s="7">
        <v>0.49</v>
      </c>
      <c r="H1884" s="6" t="s">
        <v>1965</v>
      </c>
      <c r="I1884" s="6" t="s">
        <v>20</v>
      </c>
      <c r="J1884" s="6">
        <v>2022.0</v>
      </c>
      <c r="K1884" s="10">
        <v>46082.0</v>
      </c>
      <c r="L1884" s="6">
        <v>2.0</v>
      </c>
      <c r="M1884" s="8">
        <f t="shared" si="5"/>
        <v>0.98</v>
      </c>
      <c r="P1884" s="9"/>
    </row>
    <row r="1885">
      <c r="A1885" s="6" t="s">
        <v>4776</v>
      </c>
      <c r="B1885" s="6" t="s">
        <v>4576</v>
      </c>
      <c r="C1885" s="6" t="s">
        <v>295</v>
      </c>
      <c r="E1885" s="6" t="s">
        <v>713</v>
      </c>
      <c r="F1885" s="6" t="s">
        <v>152</v>
      </c>
      <c r="G1885" s="7">
        <v>0.8</v>
      </c>
      <c r="H1885" s="6" t="s">
        <v>2175</v>
      </c>
      <c r="I1885" s="6" t="s">
        <v>31</v>
      </c>
      <c r="J1885" s="6">
        <v>2018.0</v>
      </c>
      <c r="K1885" s="10">
        <v>46024.0</v>
      </c>
      <c r="L1885" s="6">
        <v>1.0</v>
      </c>
      <c r="M1885" s="8">
        <f t="shared" si="5"/>
        <v>0.8</v>
      </c>
      <c r="P1885" s="9"/>
    </row>
    <row r="1886">
      <c r="A1886" s="6" t="s">
        <v>4777</v>
      </c>
      <c r="B1886" s="6" t="s">
        <v>4778</v>
      </c>
      <c r="C1886" s="6" t="s">
        <v>1897</v>
      </c>
      <c r="D1886" s="6" t="s">
        <v>4779</v>
      </c>
      <c r="E1886" s="6" t="s">
        <v>1761</v>
      </c>
      <c r="F1886" s="6" t="s">
        <v>152</v>
      </c>
      <c r="G1886" s="7">
        <v>0.49</v>
      </c>
      <c r="H1886" s="6" t="s">
        <v>1664</v>
      </c>
      <c r="I1886" s="6" t="s">
        <v>20</v>
      </c>
      <c r="J1886" s="6">
        <v>2018.0</v>
      </c>
      <c r="K1886" s="10">
        <v>46055.0</v>
      </c>
      <c r="L1886" s="6">
        <v>1.0</v>
      </c>
      <c r="M1886" s="8">
        <f t="shared" si="5"/>
        <v>0.49</v>
      </c>
      <c r="P1886" s="9"/>
    </row>
    <row r="1887">
      <c r="A1887" s="6" t="s">
        <v>4780</v>
      </c>
      <c r="B1887" s="6" t="s">
        <v>2502</v>
      </c>
      <c r="C1887" s="6" t="s">
        <v>295</v>
      </c>
      <c r="D1887" s="6" t="s">
        <v>4781</v>
      </c>
      <c r="E1887" s="6" t="s">
        <v>713</v>
      </c>
      <c r="F1887" s="6" t="s">
        <v>152</v>
      </c>
      <c r="G1887" s="7">
        <v>0.08</v>
      </c>
      <c r="H1887" s="6" t="s">
        <v>1676</v>
      </c>
      <c r="I1887" s="6" t="s">
        <v>20</v>
      </c>
      <c r="J1887" s="6">
        <v>2008.0</v>
      </c>
      <c r="K1887" s="6" t="s">
        <v>750</v>
      </c>
      <c r="L1887" s="6">
        <v>1.0</v>
      </c>
      <c r="M1887" s="8">
        <f t="shared" si="5"/>
        <v>0.08</v>
      </c>
      <c r="P1887" s="9"/>
    </row>
    <row r="1888">
      <c r="A1888" s="6" t="s">
        <v>4782</v>
      </c>
      <c r="B1888" s="6" t="s">
        <v>2053</v>
      </c>
      <c r="C1888" s="6" t="s">
        <v>1949</v>
      </c>
      <c r="D1888" s="6" t="s">
        <v>4783</v>
      </c>
      <c r="E1888" s="6" t="s">
        <v>2444</v>
      </c>
      <c r="F1888" s="6" t="s">
        <v>152</v>
      </c>
      <c r="G1888" s="7">
        <v>0.08</v>
      </c>
      <c r="H1888" s="6" t="s">
        <v>1641</v>
      </c>
      <c r="I1888" s="6" t="s">
        <v>20</v>
      </c>
      <c r="J1888" s="6">
        <v>2019.0</v>
      </c>
      <c r="K1888" s="10">
        <v>46115.0</v>
      </c>
      <c r="L1888" s="6">
        <v>1.0</v>
      </c>
      <c r="M1888" s="8">
        <f t="shared" si="5"/>
        <v>0.08</v>
      </c>
      <c r="P1888" s="9"/>
    </row>
    <row r="1889">
      <c r="A1889" s="6" t="s">
        <v>4784</v>
      </c>
      <c r="B1889" s="6" t="s">
        <v>3303</v>
      </c>
      <c r="C1889" s="6" t="s">
        <v>1949</v>
      </c>
      <c r="D1889" s="6" t="s">
        <v>4785</v>
      </c>
      <c r="E1889" s="6" t="s">
        <v>1779</v>
      </c>
      <c r="F1889" s="6" t="s">
        <v>152</v>
      </c>
      <c r="G1889" s="7">
        <v>0.06</v>
      </c>
      <c r="H1889" s="6" t="s">
        <v>1641</v>
      </c>
      <c r="I1889" s="6" t="s">
        <v>20</v>
      </c>
      <c r="J1889" s="6">
        <v>2019.0</v>
      </c>
      <c r="K1889" s="10">
        <v>46024.0</v>
      </c>
      <c r="L1889" s="6">
        <v>1.0</v>
      </c>
      <c r="M1889" s="8">
        <f t="shared" si="5"/>
        <v>0.06</v>
      </c>
      <c r="P1889" s="9"/>
    </row>
    <row r="1890">
      <c r="A1890" s="6" t="s">
        <v>4786</v>
      </c>
      <c r="B1890" s="6" t="s">
        <v>4787</v>
      </c>
      <c r="C1890" s="6" t="s">
        <v>1897</v>
      </c>
      <c r="D1890" s="6" t="s">
        <v>4788</v>
      </c>
      <c r="E1890" s="6" t="s">
        <v>1761</v>
      </c>
      <c r="F1890" s="6" t="s">
        <v>152</v>
      </c>
      <c r="G1890" s="7">
        <v>0.24</v>
      </c>
      <c r="H1890" s="6" t="s">
        <v>3092</v>
      </c>
      <c r="I1890" s="6" t="s">
        <v>20</v>
      </c>
      <c r="J1890" s="6">
        <v>2015.0</v>
      </c>
      <c r="K1890" s="6" t="s">
        <v>1256</v>
      </c>
      <c r="L1890" s="6">
        <v>1.0</v>
      </c>
      <c r="M1890" s="8">
        <f t="shared" si="5"/>
        <v>0.24</v>
      </c>
      <c r="P1890" s="9"/>
    </row>
    <row r="1891">
      <c r="A1891" s="6" t="s">
        <v>4789</v>
      </c>
      <c r="B1891" s="6" t="s">
        <v>2491</v>
      </c>
      <c r="C1891" s="6" t="s">
        <v>295</v>
      </c>
      <c r="D1891" s="6" t="s">
        <v>4790</v>
      </c>
      <c r="E1891" s="6" t="s">
        <v>1794</v>
      </c>
      <c r="F1891" s="6" t="s">
        <v>152</v>
      </c>
      <c r="G1891" s="7">
        <v>0.09</v>
      </c>
      <c r="H1891" s="6" t="s">
        <v>1701</v>
      </c>
      <c r="I1891" s="6" t="s">
        <v>20</v>
      </c>
      <c r="J1891" s="6">
        <v>2008.0</v>
      </c>
      <c r="K1891" s="10">
        <v>46147.0</v>
      </c>
      <c r="L1891" s="6">
        <v>1.0</v>
      </c>
      <c r="M1891" s="8">
        <f t="shared" si="5"/>
        <v>0.09</v>
      </c>
      <c r="P1891" s="9"/>
    </row>
    <row r="1892">
      <c r="A1892" s="6" t="s">
        <v>4791</v>
      </c>
      <c r="B1892" s="6" t="s">
        <v>4792</v>
      </c>
      <c r="C1892" s="6" t="s">
        <v>295</v>
      </c>
      <c r="D1892" s="6" t="s">
        <v>4793</v>
      </c>
      <c r="E1892" s="6" t="s">
        <v>713</v>
      </c>
      <c r="F1892" s="6" t="s">
        <v>152</v>
      </c>
      <c r="G1892" s="7">
        <v>0.05</v>
      </c>
      <c r="H1892" s="6" t="s">
        <v>3485</v>
      </c>
      <c r="I1892" s="6" t="s">
        <v>20</v>
      </c>
      <c r="J1892" s="6">
        <v>2012.0</v>
      </c>
      <c r="K1892" s="10">
        <v>46023.0</v>
      </c>
      <c r="L1892" s="6">
        <v>1.0</v>
      </c>
      <c r="M1892" s="8">
        <f t="shared" si="5"/>
        <v>0.05</v>
      </c>
      <c r="P1892" s="9"/>
    </row>
    <row r="1893">
      <c r="A1893" s="6" t="s">
        <v>4794</v>
      </c>
      <c r="B1893" s="6" t="s">
        <v>2508</v>
      </c>
      <c r="C1893" s="6" t="s">
        <v>295</v>
      </c>
      <c r="E1893" s="6" t="s">
        <v>1761</v>
      </c>
      <c r="F1893" s="6" t="s">
        <v>152</v>
      </c>
      <c r="G1893" s="7">
        <v>0.03</v>
      </c>
      <c r="H1893" s="6" t="s">
        <v>2557</v>
      </c>
      <c r="I1893" s="6" t="s">
        <v>20</v>
      </c>
      <c r="J1893" s="6">
        <v>2017.0</v>
      </c>
      <c r="K1893" s="10">
        <v>46204.0</v>
      </c>
      <c r="L1893" s="6">
        <v>1.0</v>
      </c>
      <c r="M1893" s="8">
        <f t="shared" si="5"/>
        <v>0.03</v>
      </c>
      <c r="P1893" s="9"/>
    </row>
    <row r="1894">
      <c r="A1894" s="6" t="s">
        <v>4795</v>
      </c>
      <c r="B1894" s="6" t="s">
        <v>4576</v>
      </c>
      <c r="C1894" s="6" t="s">
        <v>295</v>
      </c>
      <c r="D1894" s="6" t="s">
        <v>4796</v>
      </c>
      <c r="E1894" s="6" t="s">
        <v>1743</v>
      </c>
      <c r="F1894" s="6" t="s">
        <v>152</v>
      </c>
      <c r="G1894" s="7">
        <v>0.05</v>
      </c>
      <c r="H1894" s="6" t="s">
        <v>2003</v>
      </c>
      <c r="I1894" s="6" t="s">
        <v>20</v>
      </c>
      <c r="J1894" s="6">
        <v>2020.0</v>
      </c>
      <c r="K1894" s="10">
        <v>46024.0</v>
      </c>
      <c r="L1894" s="6">
        <v>2.0</v>
      </c>
      <c r="M1894" s="8">
        <f t="shared" si="5"/>
        <v>0.1</v>
      </c>
      <c r="P1894" s="9"/>
    </row>
    <row r="1895">
      <c r="A1895" s="6" t="s">
        <v>4797</v>
      </c>
      <c r="B1895" s="6" t="s">
        <v>2442</v>
      </c>
      <c r="C1895" s="6" t="s">
        <v>295</v>
      </c>
      <c r="D1895" s="6" t="s">
        <v>4798</v>
      </c>
      <c r="E1895" s="6" t="s">
        <v>1838</v>
      </c>
      <c r="F1895" s="6" t="s">
        <v>152</v>
      </c>
      <c r="G1895" s="7">
        <v>0.05</v>
      </c>
      <c r="H1895" s="6" t="s">
        <v>2500</v>
      </c>
      <c r="I1895" s="6" t="s">
        <v>20</v>
      </c>
      <c r="J1895" s="6">
        <v>2015.0</v>
      </c>
      <c r="K1895" s="10">
        <v>46083.0</v>
      </c>
      <c r="L1895" s="6">
        <v>1.0</v>
      </c>
      <c r="M1895" s="8">
        <f t="shared" si="5"/>
        <v>0.05</v>
      </c>
      <c r="P1895" s="9"/>
    </row>
    <row r="1896">
      <c r="A1896" s="6" t="s">
        <v>4799</v>
      </c>
      <c r="B1896" s="6" t="s">
        <v>2017</v>
      </c>
      <c r="C1896" s="6" t="s">
        <v>295</v>
      </c>
      <c r="D1896" s="6" t="s">
        <v>4800</v>
      </c>
      <c r="E1896" s="6" t="s">
        <v>1779</v>
      </c>
      <c r="F1896" s="6" t="s">
        <v>152</v>
      </c>
      <c r="G1896" s="7">
        <v>0.05</v>
      </c>
      <c r="H1896" s="6" t="s">
        <v>2003</v>
      </c>
      <c r="I1896" s="6" t="s">
        <v>20</v>
      </c>
      <c r="J1896" s="6">
        <v>2020.0</v>
      </c>
      <c r="K1896" s="10">
        <v>46055.0</v>
      </c>
      <c r="L1896" s="6">
        <v>1.0</v>
      </c>
      <c r="M1896" s="8">
        <f t="shared" si="5"/>
        <v>0.05</v>
      </c>
      <c r="P1896" s="9"/>
    </row>
    <row r="1897">
      <c r="A1897" s="6" t="s">
        <v>4801</v>
      </c>
      <c r="B1897" s="6" t="s">
        <v>2017</v>
      </c>
      <c r="C1897" s="6" t="s">
        <v>295</v>
      </c>
      <c r="D1897" s="6" t="s">
        <v>3650</v>
      </c>
      <c r="E1897" s="6" t="s">
        <v>713</v>
      </c>
      <c r="F1897" s="6" t="s">
        <v>152</v>
      </c>
      <c r="G1897" s="7">
        <v>0.03</v>
      </c>
      <c r="H1897" s="6" t="s">
        <v>2552</v>
      </c>
      <c r="I1897" s="6" t="s">
        <v>20</v>
      </c>
      <c r="J1897" s="6">
        <v>2018.0</v>
      </c>
      <c r="K1897" s="10">
        <v>46054.0</v>
      </c>
      <c r="L1897" s="6">
        <v>2.0</v>
      </c>
      <c r="M1897" s="8">
        <f t="shared" si="5"/>
        <v>0.06</v>
      </c>
      <c r="P1897" s="9"/>
    </row>
    <row r="1898">
      <c r="A1898" s="6" t="s">
        <v>4802</v>
      </c>
      <c r="B1898" s="6" t="s">
        <v>4803</v>
      </c>
      <c r="C1898" s="6" t="s">
        <v>295</v>
      </c>
      <c r="D1898" s="6" t="s">
        <v>4804</v>
      </c>
      <c r="E1898" s="6" t="s">
        <v>1761</v>
      </c>
      <c r="F1898" s="6" t="s">
        <v>152</v>
      </c>
      <c r="G1898" s="7">
        <v>0.05</v>
      </c>
      <c r="H1898" s="6" t="s">
        <v>1711</v>
      </c>
      <c r="I1898" s="6" t="s">
        <v>20</v>
      </c>
      <c r="J1898" s="6">
        <v>2022.0</v>
      </c>
      <c r="K1898" s="10">
        <v>46083.0</v>
      </c>
      <c r="L1898" s="6">
        <v>3.0</v>
      </c>
      <c r="M1898" s="8">
        <f t="shared" si="5"/>
        <v>0.15</v>
      </c>
      <c r="P1898" s="9"/>
    </row>
    <row r="1899">
      <c r="A1899" s="6" t="s">
        <v>4802</v>
      </c>
      <c r="B1899" s="6" t="s">
        <v>4803</v>
      </c>
      <c r="C1899" s="6" t="s">
        <v>295</v>
      </c>
      <c r="D1899" s="6" t="s">
        <v>4804</v>
      </c>
      <c r="E1899" s="6" t="s">
        <v>1761</v>
      </c>
      <c r="F1899" s="6" t="s">
        <v>152</v>
      </c>
      <c r="G1899" s="7">
        <v>0.11</v>
      </c>
      <c r="H1899" s="6" t="s">
        <v>3247</v>
      </c>
      <c r="I1899" s="6" t="s">
        <v>20</v>
      </c>
      <c r="J1899" s="6">
        <v>2022.0</v>
      </c>
      <c r="K1899" s="10">
        <v>46083.0</v>
      </c>
      <c r="L1899" s="6">
        <v>1.0</v>
      </c>
      <c r="M1899" s="8">
        <f t="shared" si="5"/>
        <v>0.11</v>
      </c>
      <c r="P1899" s="9"/>
    </row>
    <row r="1900">
      <c r="A1900" s="6" t="s">
        <v>4805</v>
      </c>
      <c r="B1900" s="6" t="s">
        <v>1833</v>
      </c>
      <c r="C1900" s="6" t="s">
        <v>295</v>
      </c>
      <c r="D1900" s="6" t="s">
        <v>4806</v>
      </c>
      <c r="E1900" s="6" t="s">
        <v>1743</v>
      </c>
      <c r="F1900" s="6" t="s">
        <v>152</v>
      </c>
      <c r="G1900" s="7">
        <v>0.15</v>
      </c>
      <c r="H1900" s="6" t="s">
        <v>2219</v>
      </c>
      <c r="I1900" s="6" t="s">
        <v>20</v>
      </c>
      <c r="J1900" s="6">
        <v>2024.0</v>
      </c>
      <c r="K1900" s="10">
        <v>46023.0</v>
      </c>
      <c r="L1900" s="6">
        <v>3.0</v>
      </c>
      <c r="M1900" s="8">
        <f t="shared" si="5"/>
        <v>0.45</v>
      </c>
      <c r="P1900" s="9"/>
    </row>
    <row r="1901">
      <c r="A1901" s="6" t="s">
        <v>4807</v>
      </c>
      <c r="B1901" s="6" t="s">
        <v>4808</v>
      </c>
      <c r="C1901" s="6" t="s">
        <v>295</v>
      </c>
      <c r="E1901" s="6" t="s">
        <v>1743</v>
      </c>
      <c r="F1901" s="6" t="s">
        <v>152</v>
      </c>
      <c r="G1901" s="7">
        <v>0.05</v>
      </c>
      <c r="H1901" s="6" t="s">
        <v>2990</v>
      </c>
      <c r="I1901" s="6" t="s">
        <v>20</v>
      </c>
      <c r="J1901" s="6">
        <v>2013.0</v>
      </c>
      <c r="K1901" s="10">
        <v>46055.0</v>
      </c>
      <c r="L1901" s="6">
        <v>3.0</v>
      </c>
      <c r="M1901" s="8">
        <f t="shared" si="5"/>
        <v>0.15</v>
      </c>
      <c r="P1901" s="9"/>
    </row>
    <row r="1902">
      <c r="A1902" s="6" t="s">
        <v>4809</v>
      </c>
      <c r="B1902" s="6" t="s">
        <v>3290</v>
      </c>
      <c r="C1902" s="6" t="s">
        <v>295</v>
      </c>
      <c r="D1902" s="6" t="s">
        <v>4810</v>
      </c>
      <c r="E1902" s="6" t="s">
        <v>713</v>
      </c>
      <c r="F1902" s="6" t="s">
        <v>152</v>
      </c>
      <c r="G1902" s="7">
        <v>0.05</v>
      </c>
      <c r="H1902" s="6" t="s">
        <v>2172</v>
      </c>
      <c r="I1902" s="6" t="s">
        <v>20</v>
      </c>
      <c r="J1902" s="6">
        <v>2021.0</v>
      </c>
      <c r="K1902" s="10">
        <v>46054.0</v>
      </c>
      <c r="L1902" s="6">
        <v>2.0</v>
      </c>
      <c r="M1902" s="8">
        <f t="shared" si="5"/>
        <v>0.1</v>
      </c>
      <c r="P1902" s="9"/>
    </row>
    <row r="1903">
      <c r="A1903" s="6" t="s">
        <v>4811</v>
      </c>
      <c r="B1903" s="6" t="s">
        <v>4576</v>
      </c>
      <c r="C1903" s="6" t="s">
        <v>295</v>
      </c>
      <c r="D1903" s="6" t="s">
        <v>4812</v>
      </c>
      <c r="E1903" s="6" t="s">
        <v>713</v>
      </c>
      <c r="F1903" s="6" t="s">
        <v>152</v>
      </c>
      <c r="G1903" s="7">
        <v>0.06</v>
      </c>
      <c r="H1903" s="6" t="s">
        <v>2619</v>
      </c>
      <c r="I1903" s="6" t="s">
        <v>20</v>
      </c>
      <c r="J1903" s="6">
        <v>2019.0</v>
      </c>
      <c r="K1903" s="10">
        <v>46023.0</v>
      </c>
      <c r="L1903" s="6">
        <v>1.0</v>
      </c>
      <c r="M1903" s="8">
        <f t="shared" si="5"/>
        <v>0.06</v>
      </c>
      <c r="P1903" s="9"/>
    </row>
    <row r="1904">
      <c r="A1904" s="6" t="s">
        <v>4813</v>
      </c>
      <c r="B1904" s="6" t="s">
        <v>1952</v>
      </c>
      <c r="C1904" s="6" t="s">
        <v>295</v>
      </c>
      <c r="D1904" s="6" t="s">
        <v>4814</v>
      </c>
      <c r="E1904" s="6" t="s">
        <v>713</v>
      </c>
      <c r="F1904" s="6" t="s">
        <v>152</v>
      </c>
      <c r="G1904" s="7">
        <v>0.05</v>
      </c>
      <c r="H1904" s="6" t="s">
        <v>2456</v>
      </c>
      <c r="I1904" s="6" t="s">
        <v>20</v>
      </c>
      <c r="J1904" s="6">
        <v>2024.0</v>
      </c>
      <c r="L1904" s="6">
        <v>2.0</v>
      </c>
      <c r="M1904" s="8">
        <f t="shared" si="5"/>
        <v>0.1</v>
      </c>
      <c r="P1904" s="9"/>
    </row>
    <row r="1905">
      <c r="A1905" s="6" t="s">
        <v>4815</v>
      </c>
      <c r="B1905" s="6" t="s">
        <v>4816</v>
      </c>
      <c r="C1905" s="6" t="s">
        <v>295</v>
      </c>
      <c r="E1905" s="6" t="s">
        <v>1743</v>
      </c>
      <c r="F1905" s="6" t="s">
        <v>152</v>
      </c>
      <c r="G1905" s="7">
        <v>0.05</v>
      </c>
      <c r="H1905" s="6" t="s">
        <v>3827</v>
      </c>
      <c r="I1905" s="6" t="s">
        <v>20</v>
      </c>
      <c r="J1905" s="6">
        <v>2016.0</v>
      </c>
      <c r="K1905" s="10">
        <v>46025.0</v>
      </c>
      <c r="L1905" s="6">
        <v>3.0</v>
      </c>
      <c r="M1905" s="8">
        <f t="shared" si="5"/>
        <v>0.15</v>
      </c>
      <c r="P1905" s="9"/>
    </row>
    <row r="1906">
      <c r="A1906" s="6" t="s">
        <v>4817</v>
      </c>
      <c r="B1906" s="6" t="s">
        <v>2017</v>
      </c>
      <c r="C1906" s="6" t="s">
        <v>295</v>
      </c>
      <c r="D1906" s="6" t="s">
        <v>4818</v>
      </c>
      <c r="E1906" s="6" t="s">
        <v>713</v>
      </c>
      <c r="F1906" s="6" t="s">
        <v>152</v>
      </c>
      <c r="G1906" s="7">
        <v>0.13</v>
      </c>
      <c r="H1906" s="6" t="s">
        <v>2219</v>
      </c>
      <c r="I1906" s="6" t="s">
        <v>20</v>
      </c>
      <c r="J1906" s="6">
        <v>2024.0</v>
      </c>
      <c r="K1906" s="10">
        <v>46023.0</v>
      </c>
      <c r="L1906" s="6">
        <v>3.0</v>
      </c>
      <c r="M1906" s="8">
        <f t="shared" si="5"/>
        <v>0.39</v>
      </c>
      <c r="P1906" s="9"/>
    </row>
    <row r="1907">
      <c r="A1907" s="6" t="s">
        <v>4819</v>
      </c>
      <c r="B1907" s="6" t="s">
        <v>2669</v>
      </c>
      <c r="C1907" s="6" t="s">
        <v>295</v>
      </c>
      <c r="D1907" s="6" t="s">
        <v>4820</v>
      </c>
      <c r="E1907" s="6" t="s">
        <v>2444</v>
      </c>
      <c r="F1907" s="6" t="s">
        <v>152</v>
      </c>
      <c r="G1907" s="7">
        <v>0.05</v>
      </c>
      <c r="H1907" s="6" t="s">
        <v>1676</v>
      </c>
      <c r="I1907" s="6" t="s">
        <v>20</v>
      </c>
      <c r="J1907" s="6">
        <v>2008.0</v>
      </c>
      <c r="K1907" s="10">
        <v>46145.0</v>
      </c>
      <c r="L1907" s="6">
        <v>2.0</v>
      </c>
      <c r="M1907" s="8">
        <f t="shared" si="5"/>
        <v>0.1</v>
      </c>
      <c r="P1907" s="9"/>
    </row>
    <row r="1908">
      <c r="A1908" s="6" t="s">
        <v>4821</v>
      </c>
      <c r="B1908" s="6" t="s">
        <v>1944</v>
      </c>
      <c r="C1908" s="6" t="s">
        <v>1897</v>
      </c>
      <c r="D1908" s="6" t="s">
        <v>4822</v>
      </c>
      <c r="E1908" s="6" t="s">
        <v>1761</v>
      </c>
      <c r="F1908" s="6" t="s">
        <v>152</v>
      </c>
      <c r="G1908" s="7">
        <v>1.19</v>
      </c>
      <c r="H1908" s="6" t="s">
        <v>4823</v>
      </c>
      <c r="I1908" s="6" t="s">
        <v>20</v>
      </c>
      <c r="J1908" s="6">
        <v>2019.0</v>
      </c>
      <c r="L1908" s="6">
        <v>1.0</v>
      </c>
      <c r="M1908" s="8">
        <f t="shared" si="5"/>
        <v>1.19</v>
      </c>
      <c r="P1908" s="9"/>
    </row>
    <row r="1909">
      <c r="A1909" s="6" t="s">
        <v>4824</v>
      </c>
      <c r="B1909" s="6" t="s">
        <v>2014</v>
      </c>
      <c r="C1909" s="6" t="s">
        <v>295</v>
      </c>
      <c r="D1909" s="6" t="s">
        <v>4825</v>
      </c>
      <c r="E1909" s="6" t="s">
        <v>1838</v>
      </c>
      <c r="F1909" s="6" t="s">
        <v>152</v>
      </c>
      <c r="G1909" s="7">
        <v>0.05</v>
      </c>
      <c r="H1909" s="6" t="s">
        <v>1673</v>
      </c>
      <c r="I1909" s="6" t="s">
        <v>20</v>
      </c>
      <c r="J1909" s="6">
        <v>2012.0</v>
      </c>
      <c r="L1909" s="6">
        <v>1.0</v>
      </c>
      <c r="M1909" s="8">
        <f t="shared" si="5"/>
        <v>0.05</v>
      </c>
      <c r="P1909" s="9"/>
    </row>
    <row r="1910">
      <c r="A1910" s="6" t="s">
        <v>4826</v>
      </c>
      <c r="B1910" s="6" t="s">
        <v>2106</v>
      </c>
      <c r="C1910" s="6" t="s">
        <v>1897</v>
      </c>
      <c r="D1910" s="6" t="s">
        <v>4827</v>
      </c>
      <c r="E1910" s="6" t="s">
        <v>1779</v>
      </c>
      <c r="F1910" s="6" t="s">
        <v>152</v>
      </c>
      <c r="G1910" s="7">
        <v>0.28</v>
      </c>
      <c r="H1910" s="6" t="s">
        <v>2769</v>
      </c>
      <c r="I1910" s="6" t="s">
        <v>20</v>
      </c>
      <c r="J1910" s="6">
        <v>2015.0</v>
      </c>
      <c r="K1910" s="10">
        <v>46024.0</v>
      </c>
      <c r="L1910" s="6">
        <v>1.0</v>
      </c>
      <c r="M1910" s="8">
        <f t="shared" si="5"/>
        <v>0.28</v>
      </c>
      <c r="P1910" s="9"/>
    </row>
    <row r="1911">
      <c r="A1911" s="6" t="s">
        <v>4828</v>
      </c>
      <c r="B1911" s="6" t="s">
        <v>4829</v>
      </c>
      <c r="C1911" s="6" t="s">
        <v>295</v>
      </c>
      <c r="D1911" s="6" t="s">
        <v>4830</v>
      </c>
      <c r="E1911" s="6" t="s">
        <v>1761</v>
      </c>
      <c r="F1911" s="6" t="s">
        <v>152</v>
      </c>
      <c r="G1911" s="7">
        <v>0.06</v>
      </c>
      <c r="H1911" s="6" t="s">
        <v>1711</v>
      </c>
      <c r="I1911" s="6" t="s">
        <v>20</v>
      </c>
      <c r="J1911" s="6">
        <v>2022.0</v>
      </c>
      <c r="K1911" s="10">
        <v>46114.0</v>
      </c>
      <c r="L1911" s="6">
        <v>1.0</v>
      </c>
      <c r="M1911" s="8">
        <f t="shared" si="5"/>
        <v>0.06</v>
      </c>
      <c r="P1911" s="9"/>
    </row>
    <row r="1912">
      <c r="A1912" s="6" t="s">
        <v>4831</v>
      </c>
      <c r="B1912" s="6" t="s">
        <v>4832</v>
      </c>
      <c r="C1912" s="6" t="s">
        <v>295</v>
      </c>
      <c r="D1912" s="6" t="s">
        <v>4833</v>
      </c>
      <c r="E1912" s="6" t="s">
        <v>1743</v>
      </c>
      <c r="F1912" s="6" t="s">
        <v>152</v>
      </c>
      <c r="G1912" s="7">
        <v>0.06</v>
      </c>
      <c r="H1912" s="6" t="s">
        <v>1711</v>
      </c>
      <c r="I1912" s="6" t="s">
        <v>20</v>
      </c>
      <c r="J1912" s="6">
        <v>2022.0</v>
      </c>
      <c r="K1912" s="10">
        <v>46055.0</v>
      </c>
      <c r="L1912" s="6">
        <v>1.0</v>
      </c>
      <c r="M1912" s="8">
        <f t="shared" si="5"/>
        <v>0.06</v>
      </c>
      <c r="P1912" s="9"/>
    </row>
    <row r="1913">
      <c r="A1913" s="6" t="s">
        <v>4834</v>
      </c>
      <c r="B1913" s="6" t="s">
        <v>2014</v>
      </c>
      <c r="C1913" s="6" t="s">
        <v>295</v>
      </c>
      <c r="D1913" s="6" t="s">
        <v>4835</v>
      </c>
      <c r="E1913" s="6" t="s">
        <v>1779</v>
      </c>
      <c r="F1913" s="6" t="s">
        <v>152</v>
      </c>
      <c r="G1913" s="7">
        <v>0.1</v>
      </c>
      <c r="H1913" s="6" t="s">
        <v>1711</v>
      </c>
      <c r="I1913" s="6" t="s">
        <v>20</v>
      </c>
      <c r="J1913" s="6">
        <v>2022.0</v>
      </c>
      <c r="L1913" s="6">
        <v>1.0</v>
      </c>
      <c r="M1913" s="8">
        <f t="shared" si="5"/>
        <v>0.1</v>
      </c>
      <c r="P1913" s="9"/>
    </row>
    <row r="1914">
      <c r="A1914" s="6" t="s">
        <v>4836</v>
      </c>
      <c r="B1914" s="6" t="s">
        <v>378</v>
      </c>
      <c r="C1914" s="6" t="s">
        <v>295</v>
      </c>
      <c r="D1914" s="6" t="s">
        <v>4837</v>
      </c>
      <c r="E1914" s="6" t="s">
        <v>1743</v>
      </c>
      <c r="F1914" s="6" t="s">
        <v>152</v>
      </c>
      <c r="G1914" s="7">
        <v>1.08</v>
      </c>
      <c r="H1914" s="6" t="s">
        <v>1619</v>
      </c>
      <c r="I1914" s="6" t="s">
        <v>20</v>
      </c>
      <c r="J1914" s="6">
        <v>2022.0</v>
      </c>
      <c r="L1914" s="6">
        <v>1.0</v>
      </c>
      <c r="M1914" s="8">
        <f t="shared" si="5"/>
        <v>1.08</v>
      </c>
      <c r="P1914" s="9"/>
    </row>
    <row r="1915">
      <c r="A1915" s="6" t="s">
        <v>4838</v>
      </c>
      <c r="B1915" s="6" t="s">
        <v>378</v>
      </c>
      <c r="C1915" s="6" t="s">
        <v>295</v>
      </c>
      <c r="D1915" s="6" t="s">
        <v>4839</v>
      </c>
      <c r="E1915" s="6" t="s">
        <v>713</v>
      </c>
      <c r="F1915" s="6" t="s">
        <v>152</v>
      </c>
      <c r="G1915" s="7">
        <v>0.06</v>
      </c>
      <c r="H1915" s="6" t="s">
        <v>1711</v>
      </c>
      <c r="I1915" s="6" t="s">
        <v>20</v>
      </c>
      <c r="J1915" s="6">
        <v>2022.0</v>
      </c>
      <c r="L1915" s="6">
        <v>1.0</v>
      </c>
      <c r="M1915" s="8">
        <f t="shared" si="5"/>
        <v>0.06</v>
      </c>
      <c r="P1915" s="9"/>
    </row>
    <row r="1916">
      <c r="A1916" s="6" t="s">
        <v>4840</v>
      </c>
      <c r="B1916" s="6" t="s">
        <v>4841</v>
      </c>
      <c r="C1916" s="6" t="s">
        <v>295</v>
      </c>
      <c r="D1916" s="6" t="s">
        <v>4842</v>
      </c>
      <c r="E1916" s="6" t="s">
        <v>1743</v>
      </c>
      <c r="F1916" s="6" t="s">
        <v>152</v>
      </c>
      <c r="G1916" s="7">
        <v>0.06</v>
      </c>
      <c r="H1916" s="6" t="s">
        <v>1711</v>
      </c>
      <c r="I1916" s="6" t="s">
        <v>20</v>
      </c>
      <c r="J1916" s="6">
        <v>2022.0</v>
      </c>
      <c r="K1916" s="10">
        <v>46024.0</v>
      </c>
      <c r="L1916" s="6">
        <v>1.0</v>
      </c>
      <c r="M1916" s="8">
        <f t="shared" si="5"/>
        <v>0.06</v>
      </c>
      <c r="P1916" s="9"/>
    </row>
    <row r="1917">
      <c r="A1917" s="6" t="s">
        <v>4843</v>
      </c>
      <c r="B1917" s="6" t="s">
        <v>1813</v>
      </c>
      <c r="C1917" s="6" t="s">
        <v>1949</v>
      </c>
      <c r="D1917" s="6" t="s">
        <v>4844</v>
      </c>
      <c r="F1917" s="6" t="s">
        <v>80</v>
      </c>
      <c r="G1917" s="7">
        <v>0.24</v>
      </c>
      <c r="H1917" s="6" t="s">
        <v>4845</v>
      </c>
      <c r="I1917" s="6" t="s">
        <v>20</v>
      </c>
      <c r="J1917" s="6">
        <v>2025.0</v>
      </c>
      <c r="L1917" s="6">
        <v>1.0</v>
      </c>
      <c r="M1917" s="8">
        <f t="shared" si="5"/>
        <v>0.24</v>
      </c>
      <c r="P1917" s="9"/>
    </row>
    <row r="1918">
      <c r="A1918" s="6" t="s">
        <v>4846</v>
      </c>
      <c r="B1918" s="6" t="s">
        <v>1813</v>
      </c>
      <c r="C1918" s="6" t="s">
        <v>1897</v>
      </c>
      <c r="D1918" s="6" t="s">
        <v>4847</v>
      </c>
      <c r="F1918" s="6" t="s">
        <v>152</v>
      </c>
      <c r="G1918" s="7">
        <v>40.0</v>
      </c>
      <c r="H1918" s="6" t="s">
        <v>4845</v>
      </c>
      <c r="I1918" s="6" t="s">
        <v>20</v>
      </c>
      <c r="J1918" s="6">
        <v>2025.0</v>
      </c>
      <c r="L1918" s="6">
        <v>1.0</v>
      </c>
      <c r="M1918" s="8">
        <f t="shared" si="5"/>
        <v>40</v>
      </c>
      <c r="P1918" s="9"/>
    </row>
    <row r="1919">
      <c r="A1919" s="6" t="s">
        <v>4848</v>
      </c>
      <c r="B1919" s="6" t="s">
        <v>1813</v>
      </c>
      <c r="C1919" s="6" t="s">
        <v>295</v>
      </c>
      <c r="D1919" s="6" t="s">
        <v>4849</v>
      </c>
      <c r="F1919" s="6" t="s">
        <v>3114</v>
      </c>
      <c r="G1919" s="7">
        <v>0.14</v>
      </c>
      <c r="H1919" s="6" t="s">
        <v>4845</v>
      </c>
      <c r="I1919" s="6" t="s">
        <v>20</v>
      </c>
      <c r="J1919" s="6">
        <v>2025.0</v>
      </c>
      <c r="L1919" s="6">
        <v>1.0</v>
      </c>
      <c r="M1919" s="8">
        <f t="shared" si="5"/>
        <v>0.14</v>
      </c>
      <c r="P1919" s="9"/>
    </row>
    <row r="1920">
      <c r="A1920" s="6" t="s">
        <v>4850</v>
      </c>
      <c r="B1920" s="6" t="s">
        <v>1813</v>
      </c>
      <c r="C1920" s="6" t="s">
        <v>295</v>
      </c>
      <c r="D1920" s="6" t="s">
        <v>4851</v>
      </c>
      <c r="F1920" s="6" t="s">
        <v>3188</v>
      </c>
      <c r="G1920" s="7">
        <v>0.15</v>
      </c>
      <c r="H1920" s="6" t="s">
        <v>4845</v>
      </c>
      <c r="I1920" s="6" t="s">
        <v>20</v>
      </c>
      <c r="J1920" s="6">
        <v>2025.0</v>
      </c>
      <c r="L1920" s="6">
        <v>1.0</v>
      </c>
      <c r="M1920" s="8">
        <f t="shared" si="5"/>
        <v>0.15</v>
      </c>
      <c r="P1920" s="9"/>
    </row>
    <row r="1921">
      <c r="A1921" s="6" t="s">
        <v>4852</v>
      </c>
      <c r="B1921" s="6" t="s">
        <v>1813</v>
      </c>
      <c r="C1921" s="6" t="s">
        <v>295</v>
      </c>
      <c r="D1921" s="6" t="s">
        <v>4853</v>
      </c>
      <c r="F1921" s="6" t="s">
        <v>3108</v>
      </c>
      <c r="G1921" s="7">
        <v>0.1</v>
      </c>
      <c r="H1921" s="6" t="s">
        <v>4845</v>
      </c>
      <c r="I1921" s="6" t="s">
        <v>20</v>
      </c>
      <c r="J1921" s="6">
        <v>2025.0</v>
      </c>
      <c r="L1921" s="6">
        <v>1.0</v>
      </c>
      <c r="M1921" s="8">
        <f t="shared" si="5"/>
        <v>0.1</v>
      </c>
      <c r="P1921" s="9"/>
    </row>
    <row r="1922">
      <c r="A1922" s="6" t="s">
        <v>4854</v>
      </c>
      <c r="B1922" s="6" t="s">
        <v>1813</v>
      </c>
      <c r="C1922" s="6" t="s">
        <v>295</v>
      </c>
      <c r="D1922" s="6" t="s">
        <v>4855</v>
      </c>
      <c r="F1922" s="6" t="s">
        <v>3183</v>
      </c>
      <c r="G1922" s="7">
        <v>0.27</v>
      </c>
      <c r="H1922" s="6" t="s">
        <v>4845</v>
      </c>
      <c r="I1922" s="6" t="s">
        <v>31</v>
      </c>
      <c r="J1922" s="6">
        <v>2025.0</v>
      </c>
      <c r="L1922" s="6">
        <v>1.0</v>
      </c>
      <c r="M1922" s="8">
        <f t="shared" si="5"/>
        <v>0.27</v>
      </c>
      <c r="P1922" s="9"/>
    </row>
    <row r="1923">
      <c r="A1923" s="6" t="s">
        <v>4856</v>
      </c>
      <c r="B1923" s="6" t="s">
        <v>675</v>
      </c>
      <c r="C1923" s="6" t="s">
        <v>1949</v>
      </c>
      <c r="D1923" s="6" t="s">
        <v>4857</v>
      </c>
      <c r="E1923" s="6" t="s">
        <v>1269</v>
      </c>
      <c r="F1923" s="6" t="s">
        <v>80</v>
      </c>
      <c r="G1923" s="7">
        <v>0.1</v>
      </c>
      <c r="H1923" s="6" t="s">
        <v>4845</v>
      </c>
      <c r="I1923" s="6" t="s">
        <v>20</v>
      </c>
      <c r="J1923" s="6">
        <v>2025.0</v>
      </c>
      <c r="L1923" s="6">
        <v>1.0</v>
      </c>
      <c r="M1923" s="8">
        <f t="shared" si="5"/>
        <v>0.1</v>
      </c>
      <c r="P1923" s="9"/>
    </row>
    <row r="1924">
      <c r="A1924" s="6" t="s">
        <v>4858</v>
      </c>
      <c r="B1924" s="6" t="s">
        <v>554</v>
      </c>
      <c r="C1924" s="6" t="s">
        <v>295</v>
      </c>
      <c r="D1924" s="6" t="s">
        <v>4859</v>
      </c>
      <c r="E1924" s="6" t="s">
        <v>1032</v>
      </c>
      <c r="F1924" s="6" t="s">
        <v>80</v>
      </c>
      <c r="G1924" s="7">
        <v>0.49</v>
      </c>
      <c r="H1924" s="6" t="s">
        <v>4845</v>
      </c>
      <c r="I1924" s="6" t="s">
        <v>20</v>
      </c>
      <c r="J1924" s="6">
        <v>2025.0</v>
      </c>
      <c r="L1924" s="6">
        <v>2.0</v>
      </c>
      <c r="M1924" s="8">
        <f t="shared" si="5"/>
        <v>0.98</v>
      </c>
      <c r="P1924" s="9"/>
    </row>
    <row r="1925">
      <c r="A1925" s="6" t="s">
        <v>4860</v>
      </c>
      <c r="B1925" s="6" t="s">
        <v>675</v>
      </c>
      <c r="C1925" s="6" t="s">
        <v>295</v>
      </c>
      <c r="D1925" s="6" t="s">
        <v>4861</v>
      </c>
      <c r="E1925" s="6" t="s">
        <v>1035</v>
      </c>
      <c r="F1925" s="6" t="s">
        <v>80</v>
      </c>
      <c r="G1925" s="7">
        <v>0.04</v>
      </c>
      <c r="H1925" s="6" t="s">
        <v>4845</v>
      </c>
      <c r="I1925" s="6" t="s">
        <v>20</v>
      </c>
      <c r="J1925" s="6">
        <v>2025.0</v>
      </c>
      <c r="L1925" s="6">
        <v>2.0</v>
      </c>
      <c r="M1925" s="8">
        <f t="shared" si="5"/>
        <v>0.08</v>
      </c>
      <c r="P1925" s="9"/>
    </row>
    <row r="1926">
      <c r="A1926" s="6" t="s">
        <v>4862</v>
      </c>
      <c r="B1926" s="6" t="s">
        <v>4863</v>
      </c>
      <c r="C1926" s="6" t="s">
        <v>295</v>
      </c>
      <c r="D1926" s="6" t="s">
        <v>4864</v>
      </c>
      <c r="E1926" s="6" t="s">
        <v>1035</v>
      </c>
      <c r="F1926" s="6" t="s">
        <v>80</v>
      </c>
      <c r="G1926" s="7">
        <v>0.17</v>
      </c>
      <c r="H1926" s="6" t="s">
        <v>4845</v>
      </c>
      <c r="I1926" s="6" t="s">
        <v>20</v>
      </c>
      <c r="J1926" s="6">
        <v>2025.0</v>
      </c>
      <c r="L1926" s="6">
        <v>1.0</v>
      </c>
      <c r="M1926" s="8">
        <f t="shared" si="5"/>
        <v>0.17</v>
      </c>
      <c r="P1926" s="9"/>
    </row>
    <row r="1927">
      <c r="A1927" s="6" t="s">
        <v>4862</v>
      </c>
      <c r="B1927" s="6" t="s">
        <v>4863</v>
      </c>
      <c r="C1927" s="6" t="s">
        <v>295</v>
      </c>
      <c r="D1927" s="6" t="s">
        <v>4864</v>
      </c>
      <c r="E1927" s="6" t="s">
        <v>1035</v>
      </c>
      <c r="F1927" s="6" t="s">
        <v>80</v>
      </c>
      <c r="G1927" s="7">
        <v>0.4</v>
      </c>
      <c r="H1927" s="6" t="s">
        <v>4845</v>
      </c>
      <c r="I1927" s="6" t="s">
        <v>31</v>
      </c>
      <c r="J1927" s="6">
        <v>2025.0</v>
      </c>
      <c r="L1927" s="6">
        <v>1.0</v>
      </c>
      <c r="M1927" s="8">
        <f t="shared" si="5"/>
        <v>0.4</v>
      </c>
      <c r="P1927" s="9"/>
    </row>
    <row r="1928">
      <c r="A1928" s="6" t="s">
        <v>4865</v>
      </c>
      <c r="B1928" s="6" t="s">
        <v>4866</v>
      </c>
      <c r="C1928" s="6" t="s">
        <v>1949</v>
      </c>
      <c r="D1928" s="6" t="s">
        <v>4867</v>
      </c>
      <c r="E1928" s="6" t="s">
        <v>1035</v>
      </c>
      <c r="F1928" s="6" t="s">
        <v>80</v>
      </c>
      <c r="G1928" s="7">
        <v>0.47</v>
      </c>
      <c r="H1928" s="6" t="s">
        <v>4845</v>
      </c>
      <c r="I1928" s="6" t="s">
        <v>31</v>
      </c>
      <c r="J1928" s="6">
        <v>2025.0</v>
      </c>
      <c r="L1928" s="6">
        <v>1.0</v>
      </c>
      <c r="M1928" s="8">
        <f t="shared" si="5"/>
        <v>0.47</v>
      </c>
      <c r="P1928" s="9"/>
    </row>
    <row r="1929">
      <c r="A1929" s="6" t="s">
        <v>4868</v>
      </c>
      <c r="B1929" s="6" t="s">
        <v>675</v>
      </c>
      <c r="C1929" s="6" t="s">
        <v>1949</v>
      </c>
      <c r="D1929" s="6" t="s">
        <v>4869</v>
      </c>
      <c r="E1929" s="6" t="s">
        <v>2030</v>
      </c>
      <c r="F1929" s="6" t="s">
        <v>80</v>
      </c>
      <c r="G1929" s="7">
        <v>0.1</v>
      </c>
      <c r="H1929" s="6" t="s">
        <v>4845</v>
      </c>
      <c r="I1929" s="6" t="s">
        <v>20</v>
      </c>
      <c r="J1929" s="6">
        <v>2025.0</v>
      </c>
      <c r="L1929" s="6">
        <v>1.0</v>
      </c>
      <c r="M1929" s="8">
        <f t="shared" si="5"/>
        <v>0.1</v>
      </c>
      <c r="P1929" s="9"/>
    </row>
    <row r="1930">
      <c r="A1930" s="6" t="s">
        <v>4870</v>
      </c>
      <c r="B1930" s="6" t="s">
        <v>4871</v>
      </c>
      <c r="C1930" s="6" t="s">
        <v>1949</v>
      </c>
      <c r="D1930" s="6" t="s">
        <v>4872</v>
      </c>
      <c r="E1930" s="6" t="s">
        <v>1032</v>
      </c>
      <c r="F1930" s="6" t="s">
        <v>80</v>
      </c>
      <c r="G1930" s="7">
        <v>0.06</v>
      </c>
      <c r="H1930" s="6" t="s">
        <v>4845</v>
      </c>
      <c r="I1930" s="6" t="s">
        <v>20</v>
      </c>
      <c r="J1930" s="6">
        <v>2025.0</v>
      </c>
      <c r="K1930" s="10">
        <v>46116.0</v>
      </c>
      <c r="L1930" s="6">
        <v>1.0</v>
      </c>
      <c r="M1930" s="8">
        <f t="shared" si="5"/>
        <v>0.06</v>
      </c>
      <c r="P1930" s="9"/>
    </row>
    <row r="1931">
      <c r="A1931" s="6" t="s">
        <v>4873</v>
      </c>
      <c r="B1931" s="6" t="s">
        <v>4874</v>
      </c>
      <c r="C1931" s="6" t="s">
        <v>1949</v>
      </c>
      <c r="D1931" s="6" t="s">
        <v>4875</v>
      </c>
      <c r="E1931" s="6" t="s">
        <v>1856</v>
      </c>
      <c r="F1931" s="6" t="s">
        <v>277</v>
      </c>
      <c r="G1931" s="7">
        <v>0.4</v>
      </c>
      <c r="H1931" s="6" t="s">
        <v>4845</v>
      </c>
      <c r="I1931" s="6" t="s">
        <v>31</v>
      </c>
      <c r="J1931" s="6">
        <v>2025.0</v>
      </c>
      <c r="K1931" s="6" t="s">
        <v>564</v>
      </c>
      <c r="L1931" s="6">
        <v>1.0</v>
      </c>
      <c r="M1931" s="8">
        <f t="shared" si="5"/>
        <v>0.4</v>
      </c>
      <c r="P1931" s="9"/>
    </row>
    <row r="1932">
      <c r="A1932" s="6" t="s">
        <v>4876</v>
      </c>
      <c r="B1932" s="6" t="s">
        <v>4866</v>
      </c>
      <c r="C1932" s="6" t="s">
        <v>295</v>
      </c>
      <c r="D1932" s="6" t="s">
        <v>4877</v>
      </c>
      <c r="E1932" s="6" t="s">
        <v>1779</v>
      </c>
      <c r="F1932" s="6" t="s">
        <v>152</v>
      </c>
      <c r="G1932" s="7">
        <v>0.1</v>
      </c>
      <c r="H1932" s="6" t="s">
        <v>4845</v>
      </c>
      <c r="I1932" s="6" t="s">
        <v>20</v>
      </c>
      <c r="J1932" s="6">
        <v>2025.0</v>
      </c>
      <c r="L1932" s="6">
        <v>3.0</v>
      </c>
      <c r="M1932" s="8">
        <f t="shared" si="5"/>
        <v>0.3</v>
      </c>
      <c r="P1932" s="9"/>
    </row>
    <row r="1933">
      <c r="A1933" s="6" t="s">
        <v>4878</v>
      </c>
      <c r="B1933" s="6" t="s">
        <v>4879</v>
      </c>
      <c r="C1933" s="6" t="s">
        <v>295</v>
      </c>
      <c r="D1933" s="6" t="s">
        <v>4880</v>
      </c>
      <c r="E1933" s="6" t="s">
        <v>2426</v>
      </c>
      <c r="F1933" s="6" t="s">
        <v>152</v>
      </c>
      <c r="G1933" s="7">
        <v>0.03</v>
      </c>
      <c r="H1933" s="6" t="s">
        <v>4845</v>
      </c>
      <c r="I1933" s="6" t="s">
        <v>20</v>
      </c>
      <c r="J1933" s="6">
        <v>2025.0</v>
      </c>
      <c r="K1933" s="10">
        <v>46145.0</v>
      </c>
      <c r="L1933" s="6">
        <v>3.0</v>
      </c>
      <c r="M1933" s="8">
        <f t="shared" si="5"/>
        <v>0.09</v>
      </c>
      <c r="P1933" s="9"/>
    </row>
    <row r="1934">
      <c r="A1934" s="6" t="s">
        <v>4881</v>
      </c>
      <c r="B1934" s="6" t="s">
        <v>4882</v>
      </c>
      <c r="C1934" s="6" t="s">
        <v>295</v>
      </c>
      <c r="D1934" s="6" t="s">
        <v>4883</v>
      </c>
      <c r="E1934" s="6" t="s">
        <v>713</v>
      </c>
      <c r="F1934" s="6" t="s">
        <v>152</v>
      </c>
      <c r="G1934" s="7">
        <v>0.04</v>
      </c>
      <c r="H1934" s="6" t="s">
        <v>4845</v>
      </c>
      <c r="I1934" s="6" t="s">
        <v>20</v>
      </c>
      <c r="J1934" s="6">
        <v>2025.0</v>
      </c>
      <c r="K1934" s="10">
        <v>46023.0</v>
      </c>
      <c r="L1934" s="6">
        <v>5.0</v>
      </c>
      <c r="M1934" s="8">
        <f t="shared" si="5"/>
        <v>0.2</v>
      </c>
      <c r="P1934" s="9"/>
    </row>
    <row r="1935">
      <c r="A1935" s="6" t="s">
        <v>4884</v>
      </c>
      <c r="B1935" s="6" t="s">
        <v>4885</v>
      </c>
      <c r="C1935" s="6" t="s">
        <v>295</v>
      </c>
      <c r="D1935" s="6" t="s">
        <v>4886</v>
      </c>
      <c r="E1935" s="6" t="s">
        <v>1779</v>
      </c>
      <c r="F1935" s="6" t="s">
        <v>152</v>
      </c>
      <c r="G1935" s="7">
        <v>0.05</v>
      </c>
      <c r="H1935" s="6" t="s">
        <v>4845</v>
      </c>
      <c r="I1935" s="6" t="s">
        <v>20</v>
      </c>
      <c r="J1935" s="6">
        <v>2025.0</v>
      </c>
      <c r="K1935" s="10">
        <v>46055.0</v>
      </c>
      <c r="L1935" s="6">
        <v>3.0</v>
      </c>
      <c r="M1935" s="8">
        <f t="shared" si="5"/>
        <v>0.15</v>
      </c>
      <c r="P1935" s="9"/>
    </row>
    <row r="1936">
      <c r="A1936" s="6" t="s">
        <v>4887</v>
      </c>
      <c r="B1936" s="6" t="s">
        <v>4866</v>
      </c>
      <c r="C1936" s="6" t="s">
        <v>1949</v>
      </c>
      <c r="D1936" s="6" t="s">
        <v>4888</v>
      </c>
      <c r="E1936" s="6" t="s">
        <v>713</v>
      </c>
      <c r="F1936" s="6" t="s">
        <v>152</v>
      </c>
      <c r="G1936" s="7">
        <v>0.25</v>
      </c>
      <c r="H1936" s="6" t="s">
        <v>4845</v>
      </c>
      <c r="I1936" s="6" t="s">
        <v>20</v>
      </c>
      <c r="J1936" s="6">
        <v>2025.0</v>
      </c>
      <c r="L1936" s="6">
        <v>1.0</v>
      </c>
      <c r="M1936" s="8">
        <f t="shared" si="5"/>
        <v>0.25</v>
      </c>
      <c r="P1936" s="9"/>
    </row>
    <row r="1937">
      <c r="A1937" s="6" t="s">
        <v>4889</v>
      </c>
      <c r="B1937" s="6" t="s">
        <v>2822</v>
      </c>
      <c r="C1937" s="6" t="s">
        <v>295</v>
      </c>
      <c r="D1937" s="6" t="s">
        <v>4890</v>
      </c>
      <c r="E1937" s="6" t="s">
        <v>1743</v>
      </c>
      <c r="F1937" s="6" t="s">
        <v>152</v>
      </c>
      <c r="G1937" s="7">
        <v>0.05</v>
      </c>
      <c r="H1937" s="6" t="s">
        <v>4845</v>
      </c>
      <c r="I1937" s="6" t="s">
        <v>20</v>
      </c>
      <c r="J1937" s="6">
        <v>2025.0</v>
      </c>
      <c r="L1937" s="6">
        <v>1.0</v>
      </c>
      <c r="M1937" s="8">
        <f t="shared" si="5"/>
        <v>0.05</v>
      </c>
      <c r="P1937" s="9"/>
    </row>
    <row r="1938">
      <c r="A1938" s="6" t="s">
        <v>4891</v>
      </c>
      <c r="B1938" s="6" t="s">
        <v>4892</v>
      </c>
      <c r="C1938" s="6" t="s">
        <v>1949</v>
      </c>
      <c r="D1938" s="6" t="s">
        <v>4893</v>
      </c>
      <c r="E1938" s="6" t="s">
        <v>1743</v>
      </c>
      <c r="F1938" s="6" t="s">
        <v>152</v>
      </c>
      <c r="G1938" s="7">
        <v>0.15</v>
      </c>
      <c r="H1938" s="6" t="s">
        <v>4845</v>
      </c>
      <c r="I1938" s="6" t="s">
        <v>20</v>
      </c>
      <c r="J1938" s="6">
        <v>2025.0</v>
      </c>
      <c r="K1938" s="10">
        <v>46055.0</v>
      </c>
      <c r="L1938" s="6">
        <v>1.0</v>
      </c>
      <c r="M1938" s="8">
        <f t="shared" si="5"/>
        <v>0.15</v>
      </c>
      <c r="P1938" s="9"/>
    </row>
    <row r="1939">
      <c r="A1939" s="6" t="s">
        <v>4894</v>
      </c>
      <c r="B1939" s="6" t="s">
        <v>675</v>
      </c>
      <c r="C1939" s="6" t="s">
        <v>1949</v>
      </c>
      <c r="D1939" s="6" t="s">
        <v>4895</v>
      </c>
      <c r="E1939" s="6" t="s">
        <v>1779</v>
      </c>
      <c r="F1939" s="6" t="s">
        <v>152</v>
      </c>
      <c r="G1939" s="7">
        <v>0.15</v>
      </c>
      <c r="H1939" s="6" t="s">
        <v>4845</v>
      </c>
      <c r="I1939" s="6" t="s">
        <v>20</v>
      </c>
      <c r="J1939" s="6">
        <v>2025.0</v>
      </c>
      <c r="L1939" s="6">
        <v>1.0</v>
      </c>
      <c r="M1939" s="8">
        <f t="shared" si="5"/>
        <v>0.15</v>
      </c>
      <c r="P1939" s="9"/>
    </row>
    <row r="1940">
      <c r="A1940" s="6" t="s">
        <v>4896</v>
      </c>
      <c r="B1940" s="6" t="s">
        <v>4897</v>
      </c>
      <c r="C1940" s="6" t="s">
        <v>1897</v>
      </c>
      <c r="D1940" s="6" t="s">
        <v>4898</v>
      </c>
      <c r="E1940" s="6" t="s">
        <v>713</v>
      </c>
      <c r="F1940" s="6" t="s">
        <v>152</v>
      </c>
      <c r="G1940" s="7">
        <v>2.0</v>
      </c>
      <c r="H1940" s="6" t="s">
        <v>4845</v>
      </c>
      <c r="I1940" s="6" t="s">
        <v>20</v>
      </c>
      <c r="J1940" s="6">
        <v>2025.0</v>
      </c>
      <c r="K1940" s="10">
        <v>46023.0</v>
      </c>
      <c r="L1940" s="6">
        <v>1.0</v>
      </c>
      <c r="M1940" s="8">
        <f t="shared" si="5"/>
        <v>2</v>
      </c>
      <c r="P1940" s="9"/>
    </row>
    <row r="1941">
      <c r="A1941" s="6" t="s">
        <v>4896</v>
      </c>
      <c r="B1941" s="6" t="s">
        <v>4897</v>
      </c>
      <c r="C1941" s="6" t="s">
        <v>1897</v>
      </c>
      <c r="D1941" s="6" t="s">
        <v>4898</v>
      </c>
      <c r="E1941" s="6" t="s">
        <v>713</v>
      </c>
      <c r="F1941" s="6" t="s">
        <v>152</v>
      </c>
      <c r="G1941" s="7">
        <v>6.89</v>
      </c>
      <c r="H1941" s="6" t="s">
        <v>4899</v>
      </c>
      <c r="I1941" s="6" t="s">
        <v>31</v>
      </c>
      <c r="J1941" s="6">
        <v>2025.0</v>
      </c>
      <c r="K1941" s="10">
        <v>46023.0</v>
      </c>
      <c r="L1941" s="6">
        <v>1.0</v>
      </c>
      <c r="M1941" s="8">
        <f t="shared" si="5"/>
        <v>6.89</v>
      </c>
      <c r="P1941" s="9"/>
    </row>
    <row r="1942">
      <c r="A1942" s="6" t="s">
        <v>4900</v>
      </c>
      <c r="B1942" s="6" t="s">
        <v>4901</v>
      </c>
      <c r="C1942" s="6" t="s">
        <v>1949</v>
      </c>
      <c r="D1942" s="6" t="s">
        <v>4902</v>
      </c>
      <c r="E1942" s="6" t="s">
        <v>1838</v>
      </c>
      <c r="F1942" s="6" t="s">
        <v>152</v>
      </c>
      <c r="G1942" s="7">
        <v>0.15</v>
      </c>
      <c r="H1942" s="6" t="s">
        <v>4845</v>
      </c>
      <c r="I1942" s="6" t="s">
        <v>20</v>
      </c>
      <c r="J1942" s="6">
        <v>2025.0</v>
      </c>
      <c r="K1942" s="10">
        <v>46116.0</v>
      </c>
      <c r="L1942" s="6">
        <v>1.0</v>
      </c>
      <c r="M1942" s="8">
        <f t="shared" si="5"/>
        <v>0.15</v>
      </c>
      <c r="P1942" s="9"/>
    </row>
    <row r="1943">
      <c r="A1943" s="6" t="s">
        <v>4903</v>
      </c>
      <c r="B1943" s="6" t="s">
        <v>4904</v>
      </c>
      <c r="C1943" s="6" t="s">
        <v>1949</v>
      </c>
      <c r="D1943" s="6" t="s">
        <v>4905</v>
      </c>
      <c r="E1943" s="6" t="s">
        <v>1761</v>
      </c>
      <c r="F1943" s="6" t="s">
        <v>152</v>
      </c>
      <c r="G1943" s="7">
        <v>0.15</v>
      </c>
      <c r="H1943" s="6" t="s">
        <v>4845</v>
      </c>
      <c r="I1943" s="6" t="s">
        <v>20</v>
      </c>
      <c r="J1943" s="6">
        <v>2025.0</v>
      </c>
      <c r="K1943" s="10">
        <v>46056.0</v>
      </c>
      <c r="L1943" s="6">
        <v>1.0</v>
      </c>
      <c r="M1943" s="8">
        <f t="shared" si="5"/>
        <v>0.15</v>
      </c>
      <c r="P1943" s="9"/>
    </row>
    <row r="1944">
      <c r="A1944" s="6" t="s">
        <v>4906</v>
      </c>
      <c r="B1944" s="6" t="s">
        <v>4907</v>
      </c>
      <c r="C1944" s="6" t="s">
        <v>295</v>
      </c>
      <c r="D1944" s="6" t="s">
        <v>4908</v>
      </c>
      <c r="E1944" s="6" t="s">
        <v>1743</v>
      </c>
      <c r="F1944" s="6" t="s">
        <v>152</v>
      </c>
      <c r="G1944" s="7">
        <v>0.07</v>
      </c>
      <c r="H1944" s="6" t="s">
        <v>4845</v>
      </c>
      <c r="I1944" s="6" t="s">
        <v>20</v>
      </c>
      <c r="J1944" s="6">
        <v>2025.0</v>
      </c>
      <c r="K1944" s="10">
        <v>46054.0</v>
      </c>
      <c r="L1944" s="6">
        <v>2.0</v>
      </c>
      <c r="M1944" s="8">
        <f t="shared" si="5"/>
        <v>0.14</v>
      </c>
      <c r="P1944" s="9"/>
    </row>
    <row r="1945">
      <c r="A1945" s="6" t="s">
        <v>4909</v>
      </c>
      <c r="B1945" s="6" t="s">
        <v>4910</v>
      </c>
      <c r="C1945" s="6" t="s">
        <v>295</v>
      </c>
      <c r="D1945" s="6" t="s">
        <v>4911</v>
      </c>
      <c r="E1945" s="6" t="s">
        <v>1761</v>
      </c>
      <c r="F1945" s="6" t="s">
        <v>152</v>
      </c>
      <c r="G1945" s="7">
        <v>0.08</v>
      </c>
      <c r="H1945" s="6" t="s">
        <v>4845</v>
      </c>
      <c r="I1945" s="6" t="s">
        <v>20</v>
      </c>
      <c r="J1945" s="6">
        <v>2025.0</v>
      </c>
      <c r="K1945" s="10">
        <v>46084.0</v>
      </c>
      <c r="L1945" s="6">
        <v>1.0</v>
      </c>
      <c r="M1945" s="8">
        <f t="shared" si="5"/>
        <v>0.08</v>
      </c>
      <c r="P1945" s="9"/>
    </row>
    <row r="1946">
      <c r="A1946" s="6" t="s">
        <v>4912</v>
      </c>
      <c r="B1946" s="6" t="s">
        <v>4892</v>
      </c>
      <c r="C1946" s="6" t="s">
        <v>295</v>
      </c>
      <c r="D1946" s="6" t="s">
        <v>4913</v>
      </c>
      <c r="E1946" s="6" t="s">
        <v>1779</v>
      </c>
      <c r="F1946" s="6" t="s">
        <v>152</v>
      </c>
      <c r="G1946" s="7">
        <v>0.1</v>
      </c>
      <c r="H1946" s="6" t="s">
        <v>4845</v>
      </c>
      <c r="I1946" s="6" t="s">
        <v>20</v>
      </c>
      <c r="J1946" s="6">
        <v>2025.0</v>
      </c>
      <c r="K1946" s="10">
        <v>46084.0</v>
      </c>
      <c r="L1946" s="6">
        <v>1.0</v>
      </c>
      <c r="M1946" s="8">
        <f t="shared" si="5"/>
        <v>0.1</v>
      </c>
      <c r="P1946" s="9"/>
    </row>
    <row r="1947">
      <c r="A1947" s="6" t="s">
        <v>4914</v>
      </c>
      <c r="B1947" s="6" t="s">
        <v>4866</v>
      </c>
      <c r="C1947" s="6" t="s">
        <v>295</v>
      </c>
      <c r="D1947" s="6" t="s">
        <v>4915</v>
      </c>
      <c r="E1947" s="6" t="s">
        <v>713</v>
      </c>
      <c r="F1947" s="6" t="s">
        <v>152</v>
      </c>
      <c r="G1947" s="7">
        <v>0.06</v>
      </c>
      <c r="H1947" s="6" t="s">
        <v>4845</v>
      </c>
      <c r="I1947" s="6" t="s">
        <v>20</v>
      </c>
      <c r="J1947" s="6">
        <v>2025.0</v>
      </c>
      <c r="L1947" s="6">
        <v>1.0</v>
      </c>
      <c r="M1947" s="8">
        <f t="shared" si="5"/>
        <v>0.06</v>
      </c>
      <c r="P1947" s="9"/>
    </row>
    <row r="1948">
      <c r="A1948" s="6" t="s">
        <v>4916</v>
      </c>
      <c r="B1948" s="6" t="s">
        <v>4866</v>
      </c>
      <c r="C1948" s="6" t="s">
        <v>1949</v>
      </c>
      <c r="D1948" s="6" t="s">
        <v>4917</v>
      </c>
      <c r="E1948" s="6" t="s">
        <v>1779</v>
      </c>
      <c r="F1948" s="6" t="s">
        <v>152</v>
      </c>
      <c r="G1948" s="7">
        <v>0.1</v>
      </c>
      <c r="H1948" s="6" t="s">
        <v>4845</v>
      </c>
      <c r="I1948" s="6" t="s">
        <v>20</v>
      </c>
      <c r="J1948" s="6">
        <v>2025.0</v>
      </c>
      <c r="L1948" s="6">
        <v>1.0</v>
      </c>
      <c r="M1948" s="8">
        <f t="shared" si="5"/>
        <v>0.1</v>
      </c>
      <c r="P1948" s="9"/>
    </row>
    <row r="1949">
      <c r="A1949" s="6" t="s">
        <v>4918</v>
      </c>
      <c r="B1949" s="6" t="s">
        <v>4866</v>
      </c>
      <c r="C1949" s="6" t="s">
        <v>1949</v>
      </c>
      <c r="D1949" s="6" t="s">
        <v>4919</v>
      </c>
      <c r="E1949" s="6" t="s">
        <v>1743</v>
      </c>
      <c r="F1949" s="6" t="s">
        <v>152</v>
      </c>
      <c r="G1949" s="7">
        <v>0.22</v>
      </c>
      <c r="H1949" s="6" t="s">
        <v>4845</v>
      </c>
      <c r="I1949" s="6" t="s">
        <v>20</v>
      </c>
      <c r="J1949" s="6">
        <v>2025.0</v>
      </c>
      <c r="L1949" s="6">
        <v>1.0</v>
      </c>
      <c r="M1949" s="8">
        <f t="shared" si="5"/>
        <v>0.22</v>
      </c>
      <c r="P1949" s="9"/>
    </row>
    <row r="1950">
      <c r="A1950" s="6" t="s">
        <v>4920</v>
      </c>
      <c r="B1950" s="6" t="s">
        <v>4910</v>
      </c>
      <c r="C1950" s="6" t="s">
        <v>1949</v>
      </c>
      <c r="D1950" s="6" t="s">
        <v>4921</v>
      </c>
      <c r="E1950" s="6" t="s">
        <v>1743</v>
      </c>
      <c r="F1950" s="6" t="s">
        <v>152</v>
      </c>
      <c r="G1950" s="7">
        <v>0.2</v>
      </c>
      <c r="H1950" s="6" t="s">
        <v>4845</v>
      </c>
      <c r="I1950" s="6" t="s">
        <v>20</v>
      </c>
      <c r="J1950" s="6">
        <v>2025.0</v>
      </c>
      <c r="K1950" s="10">
        <v>46023.0</v>
      </c>
      <c r="L1950" s="6">
        <v>1.0</v>
      </c>
      <c r="M1950" s="8">
        <f t="shared" si="5"/>
        <v>0.2</v>
      </c>
      <c r="P1950" s="9"/>
    </row>
    <row r="1951">
      <c r="A1951" s="6" t="s">
        <v>4922</v>
      </c>
      <c r="B1951" s="6" t="s">
        <v>610</v>
      </c>
      <c r="C1951" s="6" t="s">
        <v>295</v>
      </c>
      <c r="D1951" s="6" t="s">
        <v>4923</v>
      </c>
      <c r="E1951" s="6" t="s">
        <v>1743</v>
      </c>
      <c r="F1951" s="6" t="s">
        <v>152</v>
      </c>
      <c r="G1951" s="7">
        <v>0.05</v>
      </c>
      <c r="H1951" s="6" t="s">
        <v>4845</v>
      </c>
      <c r="I1951" s="6" t="s">
        <v>20</v>
      </c>
      <c r="J1951" s="6">
        <v>2025.0</v>
      </c>
      <c r="L1951" s="6">
        <v>4.0</v>
      </c>
      <c r="M1951" s="8">
        <f t="shared" si="5"/>
        <v>0.2</v>
      </c>
      <c r="P1951" s="9"/>
    </row>
    <row r="1952">
      <c r="A1952" s="6" t="s">
        <v>4924</v>
      </c>
      <c r="B1952" s="6" t="s">
        <v>4901</v>
      </c>
      <c r="C1952" s="6" t="s">
        <v>1949</v>
      </c>
      <c r="D1952" s="6" t="s">
        <v>4925</v>
      </c>
      <c r="E1952" s="6" t="s">
        <v>4926</v>
      </c>
      <c r="F1952" s="6" t="s">
        <v>3183</v>
      </c>
      <c r="G1952" s="7">
        <v>0.54</v>
      </c>
      <c r="H1952" s="6" t="s">
        <v>4845</v>
      </c>
      <c r="I1952" s="6" t="s">
        <v>31</v>
      </c>
      <c r="J1952" s="6">
        <v>2025.0</v>
      </c>
      <c r="K1952" s="10">
        <v>46114.0</v>
      </c>
      <c r="L1952" s="6">
        <v>1.0</v>
      </c>
      <c r="M1952" s="8">
        <f t="shared" si="5"/>
        <v>0.54</v>
      </c>
      <c r="P1952" s="9"/>
    </row>
    <row r="1953">
      <c r="A1953" s="6" t="s">
        <v>4927</v>
      </c>
      <c r="B1953" s="6" t="s">
        <v>4928</v>
      </c>
      <c r="C1953" s="6" t="s">
        <v>295</v>
      </c>
      <c r="D1953" s="6" t="s">
        <v>4929</v>
      </c>
      <c r="E1953" s="6" t="s">
        <v>4930</v>
      </c>
      <c r="F1953" s="6" t="s">
        <v>3183</v>
      </c>
      <c r="G1953" s="7">
        <v>0.05</v>
      </c>
      <c r="H1953" s="6" t="s">
        <v>4845</v>
      </c>
      <c r="I1953" s="6" t="s">
        <v>20</v>
      </c>
      <c r="J1953" s="6">
        <v>2025.0</v>
      </c>
      <c r="K1953" s="10">
        <v>46084.0</v>
      </c>
      <c r="L1953" s="6">
        <v>1.0</v>
      </c>
      <c r="M1953" s="8">
        <f t="shared" si="5"/>
        <v>0.05</v>
      </c>
      <c r="P1953" s="9"/>
    </row>
    <row r="1954">
      <c r="A1954" s="6" t="s">
        <v>4931</v>
      </c>
      <c r="B1954" s="6" t="s">
        <v>4932</v>
      </c>
      <c r="C1954" s="6" t="s">
        <v>295</v>
      </c>
      <c r="D1954" s="6" t="s">
        <v>4933</v>
      </c>
      <c r="E1954" s="6" t="s">
        <v>4934</v>
      </c>
      <c r="F1954" s="6" t="s">
        <v>163</v>
      </c>
      <c r="G1954" s="7">
        <v>0.05</v>
      </c>
      <c r="H1954" s="6" t="s">
        <v>4845</v>
      </c>
      <c r="I1954" s="6" t="s">
        <v>20</v>
      </c>
      <c r="J1954" s="6">
        <v>2025.0</v>
      </c>
      <c r="K1954" s="10">
        <v>46025.0</v>
      </c>
      <c r="L1954" s="6">
        <v>5.0</v>
      </c>
      <c r="M1954" s="8">
        <f t="shared" si="5"/>
        <v>0.25</v>
      </c>
      <c r="P1954" s="9"/>
    </row>
    <row r="1955">
      <c r="A1955" s="6" t="s">
        <v>4931</v>
      </c>
      <c r="B1955" s="6" t="s">
        <v>4932</v>
      </c>
      <c r="C1955" s="6" t="s">
        <v>295</v>
      </c>
      <c r="D1955" s="6" t="s">
        <v>4933</v>
      </c>
      <c r="E1955" s="6" t="s">
        <v>4934</v>
      </c>
      <c r="F1955" s="6" t="s">
        <v>163</v>
      </c>
      <c r="G1955" s="7">
        <v>0.25</v>
      </c>
      <c r="H1955" s="6" t="s">
        <v>4845</v>
      </c>
      <c r="I1955" s="6" t="s">
        <v>31</v>
      </c>
      <c r="J1955" s="6">
        <v>2025.0</v>
      </c>
      <c r="K1955" s="10">
        <v>46025.0</v>
      </c>
      <c r="L1955" s="6">
        <v>1.0</v>
      </c>
      <c r="M1955" s="8">
        <f t="shared" si="5"/>
        <v>0.25</v>
      </c>
      <c r="P1955" s="9"/>
    </row>
    <row r="1956">
      <c r="A1956" s="6" t="s">
        <v>4935</v>
      </c>
      <c r="B1956" s="6" t="s">
        <v>4936</v>
      </c>
      <c r="C1956" s="6" t="s">
        <v>1949</v>
      </c>
      <c r="D1956" s="6" t="s">
        <v>4937</v>
      </c>
      <c r="E1956" s="6" t="s">
        <v>4938</v>
      </c>
      <c r="F1956" s="6" t="s">
        <v>163</v>
      </c>
      <c r="G1956" s="7">
        <v>0.15</v>
      </c>
      <c r="H1956" s="6" t="s">
        <v>4845</v>
      </c>
      <c r="I1956" s="6" t="s">
        <v>20</v>
      </c>
      <c r="J1956" s="6">
        <v>2025.0</v>
      </c>
      <c r="K1956" s="10">
        <v>46083.0</v>
      </c>
      <c r="L1956" s="6">
        <v>1.0</v>
      </c>
      <c r="M1956" s="8">
        <f t="shared" si="5"/>
        <v>0.15</v>
      </c>
      <c r="P1956" s="9"/>
    </row>
    <row r="1957">
      <c r="A1957" s="6" t="s">
        <v>4939</v>
      </c>
      <c r="B1957" s="6" t="s">
        <v>4901</v>
      </c>
      <c r="C1957" s="6" t="s">
        <v>1897</v>
      </c>
      <c r="D1957" s="6" t="s">
        <v>4940</v>
      </c>
      <c r="E1957" s="6" t="s">
        <v>4941</v>
      </c>
      <c r="F1957" s="6" t="s">
        <v>4942</v>
      </c>
      <c r="G1957" s="7">
        <v>2.38</v>
      </c>
      <c r="H1957" s="6" t="s">
        <v>4845</v>
      </c>
      <c r="I1957" s="6" t="s">
        <v>20</v>
      </c>
      <c r="J1957" s="6">
        <v>2025.0</v>
      </c>
      <c r="K1957" s="10">
        <v>46084.0</v>
      </c>
      <c r="L1957" s="6">
        <v>1.0</v>
      </c>
      <c r="M1957" s="8">
        <f t="shared" si="5"/>
        <v>2.38</v>
      </c>
      <c r="P1957" s="9"/>
    </row>
    <row r="1958">
      <c r="A1958" s="6" t="s">
        <v>4943</v>
      </c>
      <c r="B1958" s="6" t="s">
        <v>4944</v>
      </c>
      <c r="C1958" s="6" t="s">
        <v>1897</v>
      </c>
      <c r="D1958" s="6" t="s">
        <v>4945</v>
      </c>
      <c r="E1958" s="6" t="s">
        <v>4946</v>
      </c>
      <c r="F1958" s="6" t="s">
        <v>4942</v>
      </c>
      <c r="G1958" s="7">
        <v>4.5</v>
      </c>
      <c r="H1958" s="6" t="s">
        <v>4845</v>
      </c>
      <c r="I1958" s="6" t="s">
        <v>20</v>
      </c>
      <c r="J1958" s="6">
        <v>2025.0</v>
      </c>
      <c r="K1958" s="10">
        <v>46084.0</v>
      </c>
      <c r="L1958" s="6">
        <v>1.0</v>
      </c>
      <c r="M1958" s="8">
        <f t="shared" si="5"/>
        <v>4.5</v>
      </c>
      <c r="P1958" s="9"/>
    </row>
    <row r="1959">
      <c r="A1959" s="6" t="s">
        <v>4947</v>
      </c>
      <c r="B1959" s="6" t="s">
        <v>4948</v>
      </c>
      <c r="C1959" s="6" t="s">
        <v>1897</v>
      </c>
      <c r="D1959" s="6" t="s">
        <v>4949</v>
      </c>
      <c r="E1959" s="6" t="s">
        <v>3449</v>
      </c>
      <c r="F1959" s="6" t="s">
        <v>3450</v>
      </c>
      <c r="G1959" s="7">
        <v>1.19</v>
      </c>
      <c r="H1959" s="6" t="s">
        <v>4845</v>
      </c>
      <c r="I1959" s="6" t="s">
        <v>20</v>
      </c>
      <c r="J1959" s="6">
        <v>2025.0</v>
      </c>
      <c r="K1959" s="10">
        <v>46147.0</v>
      </c>
      <c r="L1959" s="6">
        <v>1.0</v>
      </c>
      <c r="M1959" s="8">
        <f t="shared" si="5"/>
        <v>1.19</v>
      </c>
      <c r="P1959" s="9"/>
    </row>
    <row r="1960">
      <c r="A1960" s="6" t="s">
        <v>4950</v>
      </c>
      <c r="B1960" s="6" t="s">
        <v>4901</v>
      </c>
      <c r="C1960" s="6" t="s">
        <v>1897</v>
      </c>
      <c r="D1960" s="6" t="s">
        <v>4951</v>
      </c>
      <c r="E1960" s="6" t="s">
        <v>4952</v>
      </c>
      <c r="F1960" s="6" t="s">
        <v>3192</v>
      </c>
      <c r="G1960" s="7">
        <v>0.99</v>
      </c>
      <c r="H1960" s="6" t="s">
        <v>4845</v>
      </c>
      <c r="I1960" s="6" t="s">
        <v>20</v>
      </c>
      <c r="J1960" s="6">
        <v>2025.0</v>
      </c>
      <c r="K1960" s="10">
        <v>46115.0</v>
      </c>
      <c r="L1960" s="6">
        <v>1.0</v>
      </c>
      <c r="M1960" s="8">
        <f t="shared" si="5"/>
        <v>0.99</v>
      </c>
      <c r="P1960" s="9"/>
    </row>
    <row r="1961">
      <c r="A1961" s="6" t="s">
        <v>4953</v>
      </c>
      <c r="B1961" s="6" t="s">
        <v>385</v>
      </c>
      <c r="C1961" s="6" t="s">
        <v>1949</v>
      </c>
      <c r="D1961" s="6" t="s">
        <v>4954</v>
      </c>
      <c r="E1961" s="6" t="s">
        <v>2299</v>
      </c>
      <c r="F1961" s="6" t="s">
        <v>18</v>
      </c>
      <c r="G1961" s="7">
        <v>0.03</v>
      </c>
      <c r="H1961" s="6" t="s">
        <v>4845</v>
      </c>
      <c r="I1961" s="6" t="s">
        <v>20</v>
      </c>
      <c r="J1961" s="6">
        <v>2025.0</v>
      </c>
      <c r="L1961" s="6">
        <v>2.0</v>
      </c>
      <c r="M1961" s="8">
        <f t="shared" si="5"/>
        <v>0.06</v>
      </c>
      <c r="P1961" s="9"/>
    </row>
    <row r="1962">
      <c r="A1962" s="6" t="s">
        <v>4955</v>
      </c>
      <c r="B1962" s="6" t="s">
        <v>4956</v>
      </c>
      <c r="C1962" s="6" t="s">
        <v>295</v>
      </c>
      <c r="D1962" s="6" t="s">
        <v>4957</v>
      </c>
      <c r="E1962" s="6" t="s">
        <v>4958</v>
      </c>
      <c r="F1962" s="6" t="s">
        <v>3188</v>
      </c>
      <c r="G1962" s="7">
        <v>0.06</v>
      </c>
      <c r="H1962" s="6" t="s">
        <v>4845</v>
      </c>
      <c r="I1962" s="6" t="s">
        <v>20</v>
      </c>
      <c r="J1962" s="6">
        <v>2025.0</v>
      </c>
      <c r="K1962" s="10">
        <v>46144.0</v>
      </c>
      <c r="L1962" s="6">
        <v>1.0</v>
      </c>
      <c r="M1962" s="8">
        <f t="shared" si="5"/>
        <v>0.06</v>
      </c>
      <c r="P1962" s="9"/>
    </row>
    <row r="1963">
      <c r="A1963" s="6" t="s">
        <v>4959</v>
      </c>
      <c r="B1963" s="6" t="s">
        <v>4960</v>
      </c>
      <c r="C1963" s="6" t="s">
        <v>1949</v>
      </c>
      <c r="D1963" s="6" t="s">
        <v>4961</v>
      </c>
      <c r="E1963" s="6" t="s">
        <v>4962</v>
      </c>
      <c r="F1963" s="6" t="s">
        <v>3188</v>
      </c>
      <c r="G1963" s="7">
        <v>0.15</v>
      </c>
      <c r="H1963" s="6" t="s">
        <v>4845</v>
      </c>
      <c r="I1963" s="6" t="s">
        <v>20</v>
      </c>
      <c r="J1963" s="6">
        <v>2025.0</v>
      </c>
      <c r="K1963" s="10">
        <v>46025.0</v>
      </c>
      <c r="L1963" s="6">
        <v>1.0</v>
      </c>
      <c r="M1963" s="8">
        <f t="shared" si="5"/>
        <v>0.15</v>
      </c>
      <c r="P1963" s="9"/>
    </row>
    <row r="1964">
      <c r="A1964" s="6" t="s">
        <v>4963</v>
      </c>
      <c r="B1964" s="6" t="s">
        <v>4910</v>
      </c>
      <c r="C1964" s="6" t="s">
        <v>1949</v>
      </c>
      <c r="D1964" s="6" t="s">
        <v>4964</v>
      </c>
      <c r="E1964" s="6" t="s">
        <v>4965</v>
      </c>
      <c r="F1964" s="6" t="s">
        <v>3188</v>
      </c>
      <c r="G1964" s="7">
        <v>0.15</v>
      </c>
      <c r="H1964" s="6" t="s">
        <v>4845</v>
      </c>
      <c r="I1964" s="6" t="s">
        <v>20</v>
      </c>
      <c r="J1964" s="6">
        <v>2025.0</v>
      </c>
      <c r="K1964" s="10">
        <v>46145.0</v>
      </c>
      <c r="L1964" s="6">
        <v>1.0</v>
      </c>
      <c r="M1964" s="8">
        <f t="shared" si="5"/>
        <v>0.15</v>
      </c>
      <c r="P1964" s="9"/>
    </row>
    <row r="1965">
      <c r="A1965" s="6" t="s">
        <v>4966</v>
      </c>
      <c r="B1965" s="6" t="s">
        <v>4967</v>
      </c>
      <c r="C1965" s="6" t="s">
        <v>1949</v>
      </c>
      <c r="D1965" s="6" t="s">
        <v>4968</v>
      </c>
      <c r="E1965" s="6" t="s">
        <v>2396</v>
      </c>
      <c r="F1965" s="6" t="s">
        <v>3196</v>
      </c>
      <c r="G1965" s="7">
        <v>0.24</v>
      </c>
      <c r="H1965" s="6" t="s">
        <v>4845</v>
      </c>
      <c r="I1965" s="6" t="s">
        <v>20</v>
      </c>
      <c r="J1965" s="6">
        <v>2025.0</v>
      </c>
      <c r="K1965" s="6" t="s">
        <v>717</v>
      </c>
      <c r="L1965" s="6">
        <v>1.0</v>
      </c>
      <c r="M1965" s="8">
        <f t="shared" si="5"/>
        <v>0.24</v>
      </c>
      <c r="P1965" s="9"/>
    </row>
    <row r="1966">
      <c r="A1966" s="6" t="s">
        <v>4969</v>
      </c>
      <c r="B1966" s="6" t="s">
        <v>4901</v>
      </c>
      <c r="C1966" s="6" t="s">
        <v>1897</v>
      </c>
      <c r="D1966" s="6" t="s">
        <v>4970</v>
      </c>
      <c r="E1966" s="6" t="s">
        <v>3396</v>
      </c>
      <c r="F1966" s="6" t="s">
        <v>3196</v>
      </c>
      <c r="G1966" s="7">
        <v>1.69</v>
      </c>
      <c r="H1966" s="6" t="s">
        <v>4845</v>
      </c>
      <c r="I1966" s="6" t="s">
        <v>20</v>
      </c>
      <c r="J1966" s="6">
        <v>2025.0</v>
      </c>
      <c r="K1966" s="10">
        <v>46023.0</v>
      </c>
      <c r="L1966" s="6">
        <v>1.0</v>
      </c>
      <c r="M1966" s="8">
        <f t="shared" si="5"/>
        <v>1.69</v>
      </c>
      <c r="P1966" s="9"/>
    </row>
    <row r="1967">
      <c r="A1967" s="6" t="s">
        <v>4971</v>
      </c>
      <c r="B1967" s="6" t="s">
        <v>4972</v>
      </c>
      <c r="C1967" s="6" t="s">
        <v>1949</v>
      </c>
      <c r="D1967" s="6" t="s">
        <v>4973</v>
      </c>
      <c r="E1967" s="6" t="s">
        <v>4974</v>
      </c>
      <c r="F1967" s="6" t="s">
        <v>3196</v>
      </c>
      <c r="G1967" s="7">
        <v>0.17</v>
      </c>
      <c r="H1967" s="6" t="s">
        <v>4845</v>
      </c>
      <c r="I1967" s="6" t="s">
        <v>20</v>
      </c>
      <c r="J1967" s="6">
        <v>2025.0</v>
      </c>
      <c r="K1967" s="6" t="s">
        <v>89</v>
      </c>
      <c r="L1967" s="6">
        <v>1.0</v>
      </c>
      <c r="M1967" s="8">
        <f t="shared" si="5"/>
        <v>0.17</v>
      </c>
      <c r="P1967" s="9"/>
    </row>
    <row r="1968">
      <c r="A1968" s="6" t="s">
        <v>4975</v>
      </c>
      <c r="B1968" s="6" t="s">
        <v>4866</v>
      </c>
      <c r="C1968" s="6" t="s">
        <v>295</v>
      </c>
      <c r="D1968" s="6" t="s">
        <v>4976</v>
      </c>
      <c r="E1968" s="6" t="s">
        <v>4977</v>
      </c>
      <c r="F1968" s="6" t="s">
        <v>3196</v>
      </c>
      <c r="G1968" s="7">
        <v>6.27</v>
      </c>
      <c r="H1968" s="6" t="s">
        <v>4845</v>
      </c>
      <c r="I1968" s="6" t="s">
        <v>20</v>
      </c>
      <c r="J1968" s="6">
        <v>2025.0</v>
      </c>
      <c r="L1968" s="6">
        <v>2.0</v>
      </c>
      <c r="M1968" s="8">
        <f t="shared" si="5"/>
        <v>12.54</v>
      </c>
      <c r="P1968" s="9"/>
    </row>
    <row r="1969">
      <c r="A1969" s="6" t="s">
        <v>4978</v>
      </c>
      <c r="B1969" s="6" t="s">
        <v>4901</v>
      </c>
      <c r="C1969" s="6" t="s">
        <v>1949</v>
      </c>
      <c r="D1969" s="6" t="s">
        <v>4979</v>
      </c>
      <c r="E1969" s="6" t="s">
        <v>4980</v>
      </c>
      <c r="F1969" s="6" t="s">
        <v>3108</v>
      </c>
      <c r="G1969" s="7">
        <v>0.15</v>
      </c>
      <c r="H1969" s="6" t="s">
        <v>4845</v>
      </c>
      <c r="I1969" s="6" t="s">
        <v>20</v>
      </c>
      <c r="J1969" s="6">
        <v>2025.0</v>
      </c>
      <c r="K1969" s="6" t="s">
        <v>3393</v>
      </c>
      <c r="L1969" s="6">
        <v>2.0</v>
      </c>
      <c r="M1969" s="8">
        <f t="shared" si="5"/>
        <v>0.3</v>
      </c>
      <c r="P1969" s="9"/>
    </row>
    <row r="1970">
      <c r="A1970" s="6" t="s">
        <v>4981</v>
      </c>
      <c r="B1970" s="6" t="s">
        <v>591</v>
      </c>
      <c r="C1970" s="6" t="s">
        <v>295</v>
      </c>
      <c r="D1970" s="6" t="s">
        <v>4982</v>
      </c>
      <c r="E1970" s="6" t="s">
        <v>4983</v>
      </c>
      <c r="F1970" s="6" t="s">
        <v>3108</v>
      </c>
      <c r="G1970" s="7">
        <v>0.04</v>
      </c>
      <c r="H1970" s="6" t="s">
        <v>4845</v>
      </c>
      <c r="I1970" s="6" t="s">
        <v>20</v>
      </c>
      <c r="J1970" s="6">
        <v>2025.0</v>
      </c>
      <c r="K1970" s="10">
        <v>46115.0</v>
      </c>
      <c r="L1970" s="6">
        <v>3.0</v>
      </c>
      <c r="M1970" s="8">
        <f t="shared" si="5"/>
        <v>0.12</v>
      </c>
      <c r="P1970" s="9"/>
    </row>
    <row r="1971">
      <c r="A1971" s="6" t="s">
        <v>4984</v>
      </c>
      <c r="B1971" s="6" t="s">
        <v>4892</v>
      </c>
      <c r="C1971" s="6" t="s">
        <v>1949</v>
      </c>
      <c r="D1971" s="6" t="s">
        <v>4985</v>
      </c>
      <c r="E1971" s="6" t="s">
        <v>3107</v>
      </c>
      <c r="F1971" s="6" t="s">
        <v>3108</v>
      </c>
      <c r="G1971" s="7">
        <v>0.15</v>
      </c>
      <c r="H1971" s="6" t="s">
        <v>4845</v>
      </c>
      <c r="I1971" s="6" t="s">
        <v>20</v>
      </c>
      <c r="J1971" s="6">
        <v>2025.0</v>
      </c>
      <c r="K1971" s="10">
        <v>46083.0</v>
      </c>
      <c r="L1971" s="6">
        <v>1.0</v>
      </c>
      <c r="M1971" s="8">
        <f t="shared" si="5"/>
        <v>0.15</v>
      </c>
      <c r="P1971" s="9"/>
    </row>
    <row r="1972">
      <c r="A1972" s="6" t="s">
        <v>4986</v>
      </c>
      <c r="B1972" s="6" t="s">
        <v>4987</v>
      </c>
      <c r="C1972" s="6" t="s">
        <v>1897</v>
      </c>
      <c r="D1972" s="6" t="s">
        <v>4988</v>
      </c>
      <c r="E1972" s="6" t="s">
        <v>4989</v>
      </c>
      <c r="F1972" s="6" t="s">
        <v>3169</v>
      </c>
      <c r="G1972" s="7">
        <v>2.5</v>
      </c>
      <c r="H1972" s="6" t="s">
        <v>4845</v>
      </c>
      <c r="I1972" s="6" t="s">
        <v>31</v>
      </c>
      <c r="J1972" s="6">
        <v>2025.0</v>
      </c>
      <c r="K1972" s="10">
        <v>46116.0</v>
      </c>
      <c r="L1972" s="6">
        <v>1.0</v>
      </c>
      <c r="M1972" s="8">
        <f t="shared" si="5"/>
        <v>2.5</v>
      </c>
      <c r="P1972" s="9"/>
    </row>
    <row r="1973">
      <c r="A1973" s="6" t="s">
        <v>4990</v>
      </c>
      <c r="B1973" s="6" t="s">
        <v>4991</v>
      </c>
      <c r="C1973" s="6" t="s">
        <v>1949</v>
      </c>
      <c r="D1973" s="6" t="s">
        <v>4992</v>
      </c>
      <c r="E1973" s="6" t="s">
        <v>4993</v>
      </c>
      <c r="F1973" s="6" t="s">
        <v>3169</v>
      </c>
      <c r="G1973" s="7">
        <v>0.25</v>
      </c>
      <c r="H1973" s="6" t="s">
        <v>4845</v>
      </c>
      <c r="I1973" s="6" t="s">
        <v>31</v>
      </c>
      <c r="J1973" s="6">
        <v>2025.0</v>
      </c>
      <c r="K1973" s="10">
        <v>46084.0</v>
      </c>
      <c r="L1973" s="6">
        <v>1.0</v>
      </c>
      <c r="M1973" s="8">
        <f t="shared" si="5"/>
        <v>0.25</v>
      </c>
      <c r="P1973" s="9"/>
    </row>
    <row r="1974">
      <c r="A1974" s="6" t="s">
        <v>4994</v>
      </c>
      <c r="B1974" s="6" t="s">
        <v>4995</v>
      </c>
      <c r="C1974" s="6" t="s">
        <v>295</v>
      </c>
      <c r="D1974" s="6" t="s">
        <v>4996</v>
      </c>
      <c r="E1974" s="6" t="s">
        <v>4997</v>
      </c>
      <c r="F1974" s="6" t="s">
        <v>3169</v>
      </c>
      <c r="G1974" s="7">
        <v>0.04</v>
      </c>
      <c r="H1974" s="6" t="s">
        <v>4845</v>
      </c>
      <c r="I1974" s="6" t="s">
        <v>20</v>
      </c>
      <c r="J1974" s="6">
        <v>2025.0</v>
      </c>
      <c r="K1974" s="10">
        <v>46054.0</v>
      </c>
      <c r="L1974" s="6">
        <v>3.0</v>
      </c>
      <c r="M1974" s="8">
        <f t="shared" si="5"/>
        <v>0.12</v>
      </c>
      <c r="P1974" s="9"/>
    </row>
    <row r="1975">
      <c r="A1975" s="6" t="s">
        <v>4998</v>
      </c>
      <c r="B1975" s="6" t="s">
        <v>4999</v>
      </c>
      <c r="C1975" s="6" t="s">
        <v>295</v>
      </c>
      <c r="D1975" s="6" t="s">
        <v>5000</v>
      </c>
      <c r="E1975" s="6" t="s">
        <v>5001</v>
      </c>
      <c r="F1975" s="6" t="s">
        <v>3150</v>
      </c>
      <c r="G1975" s="7">
        <v>0.05</v>
      </c>
      <c r="H1975" s="6" t="s">
        <v>4845</v>
      </c>
      <c r="I1975" s="6" t="s">
        <v>20</v>
      </c>
      <c r="J1975" s="6">
        <v>2025.0</v>
      </c>
      <c r="K1975" s="10">
        <v>46083.0</v>
      </c>
      <c r="L1975" s="6">
        <v>3.0</v>
      </c>
      <c r="M1975" s="8">
        <f t="shared" si="5"/>
        <v>0.15</v>
      </c>
      <c r="P1975" s="9"/>
    </row>
    <row r="1976">
      <c r="A1976" s="6" t="s">
        <v>5002</v>
      </c>
      <c r="B1976" s="6" t="s">
        <v>5003</v>
      </c>
      <c r="C1976" s="6" t="s">
        <v>1949</v>
      </c>
      <c r="D1976" s="6" t="s">
        <v>5004</v>
      </c>
      <c r="E1976" s="6" t="s">
        <v>1371</v>
      </c>
      <c r="F1976" s="6" t="s">
        <v>3150</v>
      </c>
      <c r="G1976" s="7">
        <v>0.24</v>
      </c>
      <c r="H1976" s="6" t="s">
        <v>4845</v>
      </c>
      <c r="I1976" s="6" t="s">
        <v>20</v>
      </c>
      <c r="J1976" s="6">
        <v>2025.0</v>
      </c>
      <c r="K1976" s="10">
        <v>46083.0</v>
      </c>
      <c r="L1976" s="6">
        <v>1.0</v>
      </c>
      <c r="M1976" s="8">
        <f t="shared" si="5"/>
        <v>0.24</v>
      </c>
      <c r="P1976" s="9"/>
    </row>
    <row r="1977">
      <c r="A1977" s="6" t="s">
        <v>5005</v>
      </c>
      <c r="B1977" s="6" t="s">
        <v>591</v>
      </c>
      <c r="C1977" s="6" t="s">
        <v>295</v>
      </c>
      <c r="D1977" s="6" t="s">
        <v>5006</v>
      </c>
      <c r="E1977" s="6" t="s">
        <v>3117</v>
      </c>
      <c r="F1977" s="6" t="s">
        <v>3114</v>
      </c>
      <c r="G1977" s="7">
        <v>0.05</v>
      </c>
      <c r="H1977" s="6" t="s">
        <v>4845</v>
      </c>
      <c r="I1977" s="6" t="s">
        <v>20</v>
      </c>
      <c r="J1977" s="6">
        <v>2025.0</v>
      </c>
      <c r="K1977" s="10">
        <v>46083.0</v>
      </c>
      <c r="L1977" s="6">
        <v>5.0</v>
      </c>
      <c r="M1977" s="8">
        <f t="shared" si="5"/>
        <v>0.25</v>
      </c>
      <c r="P1977" s="9"/>
    </row>
    <row r="1978">
      <c r="A1978" s="6" t="s">
        <v>5007</v>
      </c>
      <c r="B1978" s="6" t="s">
        <v>5008</v>
      </c>
      <c r="C1978" s="6" t="s">
        <v>1949</v>
      </c>
      <c r="D1978" s="6" t="s">
        <v>5009</v>
      </c>
      <c r="E1978" s="6" t="s">
        <v>5010</v>
      </c>
      <c r="F1978" s="6" t="s">
        <v>3177</v>
      </c>
      <c r="G1978" s="7">
        <v>0.15</v>
      </c>
      <c r="H1978" s="6" t="s">
        <v>4845</v>
      </c>
      <c r="I1978" s="6" t="s">
        <v>20</v>
      </c>
      <c r="J1978" s="6">
        <v>2025.0</v>
      </c>
      <c r="K1978" s="10">
        <v>46084.0</v>
      </c>
      <c r="L1978" s="6">
        <v>1.0</v>
      </c>
      <c r="M1978" s="8">
        <f t="shared" si="5"/>
        <v>0.15</v>
      </c>
      <c r="P1978" s="9"/>
    </row>
    <row r="1979">
      <c r="A1979" s="6" t="s">
        <v>5011</v>
      </c>
      <c r="B1979" s="6" t="s">
        <v>5012</v>
      </c>
      <c r="C1979" s="6" t="s">
        <v>1897</v>
      </c>
      <c r="D1979" s="6" t="s">
        <v>5013</v>
      </c>
      <c r="E1979" s="6" t="s">
        <v>1490</v>
      </c>
      <c r="F1979" s="6" t="s">
        <v>3114</v>
      </c>
      <c r="G1979" s="7">
        <v>0.99</v>
      </c>
      <c r="H1979" s="6" t="s">
        <v>4845</v>
      </c>
      <c r="I1979" s="6" t="s">
        <v>20</v>
      </c>
      <c r="J1979" s="6">
        <v>2025.0</v>
      </c>
      <c r="K1979" s="10">
        <v>46083.0</v>
      </c>
      <c r="L1979" s="6">
        <v>1.0</v>
      </c>
      <c r="M1979" s="8">
        <f t="shared" si="5"/>
        <v>0.99</v>
      </c>
      <c r="P1979" s="9"/>
    </row>
    <row r="1980">
      <c r="A1980" s="6" t="s">
        <v>5014</v>
      </c>
      <c r="B1980" s="6" t="s">
        <v>4866</v>
      </c>
      <c r="C1980" s="6" t="s">
        <v>295</v>
      </c>
      <c r="D1980" s="6" t="s">
        <v>5015</v>
      </c>
      <c r="E1980" s="6" t="s">
        <v>2280</v>
      </c>
      <c r="F1980" s="6" t="s">
        <v>277</v>
      </c>
      <c r="G1980" s="7">
        <v>0.04</v>
      </c>
      <c r="H1980" s="6" t="s">
        <v>4845</v>
      </c>
      <c r="I1980" s="6" t="s">
        <v>20</v>
      </c>
      <c r="J1980" s="6">
        <v>2025.0</v>
      </c>
      <c r="L1980" s="6">
        <v>1.0</v>
      </c>
      <c r="M1980" s="8">
        <f t="shared" si="5"/>
        <v>0.04</v>
      </c>
      <c r="P1980" s="9"/>
    </row>
    <row r="1981">
      <c r="A1981" s="6" t="s">
        <v>5016</v>
      </c>
      <c r="B1981" s="6" t="s">
        <v>5017</v>
      </c>
      <c r="C1981" s="6" t="s">
        <v>295</v>
      </c>
      <c r="D1981" s="6" t="s">
        <v>5018</v>
      </c>
      <c r="E1981" s="6" t="s">
        <v>1853</v>
      </c>
      <c r="F1981" s="6" t="s">
        <v>277</v>
      </c>
      <c r="G1981" s="7">
        <v>0.06</v>
      </c>
      <c r="H1981" s="6" t="s">
        <v>4845</v>
      </c>
      <c r="I1981" s="6" t="s">
        <v>20</v>
      </c>
      <c r="J1981" s="6">
        <v>2025.0</v>
      </c>
      <c r="K1981" s="10">
        <v>46115.0</v>
      </c>
      <c r="L1981" s="6">
        <v>2.0</v>
      </c>
      <c r="M1981" s="8">
        <f t="shared" si="5"/>
        <v>0.12</v>
      </c>
      <c r="P1981" s="9"/>
    </row>
    <row r="1982">
      <c r="A1982" s="6" t="s">
        <v>5019</v>
      </c>
      <c r="B1982" s="6" t="s">
        <v>4871</v>
      </c>
      <c r="C1982" s="6" t="s">
        <v>1949</v>
      </c>
      <c r="D1982" s="6" t="s">
        <v>5020</v>
      </c>
      <c r="E1982" s="6" t="s">
        <v>1856</v>
      </c>
      <c r="F1982" s="6" t="s">
        <v>277</v>
      </c>
      <c r="G1982" s="7">
        <v>0.15</v>
      </c>
      <c r="H1982" s="6" t="s">
        <v>4845</v>
      </c>
      <c r="I1982" s="6" t="s">
        <v>20</v>
      </c>
      <c r="J1982" s="6">
        <v>2025.0</v>
      </c>
      <c r="K1982" s="10">
        <v>46116.0</v>
      </c>
      <c r="L1982" s="6">
        <v>1.0</v>
      </c>
      <c r="M1982" s="8">
        <f t="shared" si="5"/>
        <v>0.15</v>
      </c>
      <c r="P1982" s="9"/>
    </row>
    <row r="1983">
      <c r="A1983" s="6" t="s">
        <v>5021</v>
      </c>
      <c r="B1983" s="6" t="s">
        <v>5022</v>
      </c>
      <c r="C1983" s="6" t="s">
        <v>1949</v>
      </c>
      <c r="D1983" s="6" t="s">
        <v>5023</v>
      </c>
      <c r="E1983" s="6" t="s">
        <v>1856</v>
      </c>
      <c r="F1983" s="6" t="s">
        <v>277</v>
      </c>
      <c r="G1983" s="7">
        <v>0.09</v>
      </c>
      <c r="H1983" s="6" t="s">
        <v>4845</v>
      </c>
      <c r="I1983" s="6" t="s">
        <v>20</v>
      </c>
      <c r="J1983" s="6">
        <v>2025.0</v>
      </c>
      <c r="K1983" s="10">
        <v>46055.0</v>
      </c>
      <c r="L1983" s="6">
        <v>1.0</v>
      </c>
      <c r="M1983" s="8">
        <f t="shared" si="5"/>
        <v>0.09</v>
      </c>
      <c r="P1983" s="9"/>
    </row>
    <row r="1984">
      <c r="A1984" s="6" t="s">
        <v>5024</v>
      </c>
      <c r="B1984" s="6" t="s">
        <v>5025</v>
      </c>
      <c r="C1984" s="6" t="s">
        <v>1949</v>
      </c>
      <c r="D1984" s="6" t="s">
        <v>5026</v>
      </c>
      <c r="E1984" s="6" t="s">
        <v>1853</v>
      </c>
      <c r="F1984" s="6" t="s">
        <v>277</v>
      </c>
      <c r="G1984" s="7">
        <v>0.13</v>
      </c>
      <c r="H1984" s="6" t="s">
        <v>4845</v>
      </c>
      <c r="I1984" s="6" t="s">
        <v>20</v>
      </c>
      <c r="J1984" s="6">
        <v>2025.0</v>
      </c>
      <c r="K1984" s="10">
        <v>46055.0</v>
      </c>
      <c r="L1984" s="6">
        <v>1.0</v>
      </c>
      <c r="M1984" s="8">
        <f t="shared" si="5"/>
        <v>0.13</v>
      </c>
      <c r="P1984" s="9"/>
    </row>
    <row r="1985">
      <c r="A1985" s="6" t="s">
        <v>5027</v>
      </c>
      <c r="B1985" s="6" t="s">
        <v>4863</v>
      </c>
      <c r="C1985" s="6" t="s">
        <v>1949</v>
      </c>
      <c r="D1985" s="6" t="s">
        <v>5028</v>
      </c>
      <c r="E1985" s="6" t="s">
        <v>2839</v>
      </c>
      <c r="F1985" s="6" t="s">
        <v>277</v>
      </c>
      <c r="G1985" s="7">
        <v>0.15</v>
      </c>
      <c r="H1985" s="6" t="s">
        <v>4845</v>
      </c>
      <c r="I1985" s="6" t="s">
        <v>20</v>
      </c>
      <c r="J1985" s="6">
        <v>2025.0</v>
      </c>
      <c r="L1985" s="6">
        <v>1.0</v>
      </c>
      <c r="M1985" s="8">
        <f t="shared" si="5"/>
        <v>0.15</v>
      </c>
      <c r="P1985" s="9"/>
    </row>
    <row r="1986">
      <c r="A1986" s="6" t="s">
        <v>5029</v>
      </c>
      <c r="B1986" s="6" t="s">
        <v>385</v>
      </c>
      <c r="C1986" s="6" t="s">
        <v>295</v>
      </c>
      <c r="D1986" s="6" t="s">
        <v>5030</v>
      </c>
      <c r="E1986" s="6" t="s">
        <v>629</v>
      </c>
      <c r="F1986" s="6" t="s">
        <v>277</v>
      </c>
      <c r="G1986" s="7">
        <v>0.06</v>
      </c>
      <c r="H1986" s="6" t="s">
        <v>4845</v>
      </c>
      <c r="I1986" s="6" t="s">
        <v>20</v>
      </c>
      <c r="J1986" s="6">
        <v>2025.0</v>
      </c>
      <c r="L1986" s="6">
        <v>2.0</v>
      </c>
      <c r="M1986" s="8">
        <f t="shared" si="5"/>
        <v>0.12</v>
      </c>
      <c r="P1986" s="9"/>
    </row>
    <row r="1987">
      <c r="A1987" s="6" t="s">
        <v>5031</v>
      </c>
      <c r="B1987" s="6" t="s">
        <v>4615</v>
      </c>
      <c r="C1987" s="6" t="s">
        <v>1949</v>
      </c>
      <c r="D1987" s="6" t="s">
        <v>5032</v>
      </c>
      <c r="E1987" s="6" t="s">
        <v>2280</v>
      </c>
      <c r="F1987" s="6" t="s">
        <v>277</v>
      </c>
      <c r="G1987" s="7">
        <v>0.09</v>
      </c>
      <c r="H1987" s="6" t="s">
        <v>4845</v>
      </c>
      <c r="I1987" s="6" t="s">
        <v>20</v>
      </c>
      <c r="J1987" s="6">
        <v>2025.0</v>
      </c>
      <c r="K1987" s="10">
        <v>46055.0</v>
      </c>
      <c r="L1987" s="6">
        <v>1.0</v>
      </c>
      <c r="M1987" s="8">
        <f t="shared" si="5"/>
        <v>0.09</v>
      </c>
      <c r="P1987" s="9"/>
    </row>
    <row r="1988">
      <c r="A1988" s="6" t="s">
        <v>5033</v>
      </c>
      <c r="B1988" s="6" t="s">
        <v>5034</v>
      </c>
      <c r="C1988" s="6" t="s">
        <v>1949</v>
      </c>
      <c r="D1988" s="6" t="s">
        <v>5035</v>
      </c>
      <c r="E1988" s="6" t="s">
        <v>1856</v>
      </c>
      <c r="F1988" s="6" t="s">
        <v>277</v>
      </c>
      <c r="G1988" s="7">
        <v>0.06</v>
      </c>
      <c r="H1988" s="6" t="s">
        <v>4845</v>
      </c>
      <c r="I1988" s="6" t="s">
        <v>20</v>
      </c>
      <c r="J1988" s="6">
        <v>2025.0</v>
      </c>
      <c r="K1988" s="10">
        <v>46083.0</v>
      </c>
      <c r="L1988" s="6">
        <v>1.0</v>
      </c>
      <c r="M1988" s="8">
        <f t="shared" si="5"/>
        <v>0.06</v>
      </c>
      <c r="P1988" s="9"/>
    </row>
    <row r="1989">
      <c r="A1989" s="6" t="s">
        <v>5036</v>
      </c>
      <c r="B1989" s="6" t="s">
        <v>4885</v>
      </c>
      <c r="C1989" s="6" t="s">
        <v>295</v>
      </c>
      <c r="D1989" s="6" t="s">
        <v>5037</v>
      </c>
      <c r="E1989" s="6" t="s">
        <v>2280</v>
      </c>
      <c r="F1989" s="6" t="s">
        <v>277</v>
      </c>
      <c r="G1989" s="7">
        <v>0.05</v>
      </c>
      <c r="H1989" s="6" t="s">
        <v>4845</v>
      </c>
      <c r="I1989" s="6" t="s">
        <v>20</v>
      </c>
      <c r="J1989" s="6">
        <v>2025.0</v>
      </c>
      <c r="K1989" s="10">
        <v>46055.0</v>
      </c>
      <c r="L1989" s="6">
        <v>2.0</v>
      </c>
      <c r="M1989" s="8">
        <f t="shared" si="5"/>
        <v>0.1</v>
      </c>
      <c r="P1989" s="9"/>
    </row>
    <row r="1990">
      <c r="A1990" s="6" t="s">
        <v>5038</v>
      </c>
      <c r="B1990" s="6" t="s">
        <v>5039</v>
      </c>
      <c r="C1990" s="6" t="s">
        <v>295</v>
      </c>
      <c r="D1990" s="6" t="s">
        <v>5040</v>
      </c>
      <c r="E1990" s="6" t="s">
        <v>2287</v>
      </c>
      <c r="F1990" s="6" t="s">
        <v>277</v>
      </c>
      <c r="G1990" s="7">
        <v>0.04</v>
      </c>
      <c r="H1990" s="6" t="s">
        <v>4845</v>
      </c>
      <c r="I1990" s="6" t="s">
        <v>20</v>
      </c>
      <c r="J1990" s="6">
        <v>2025.0</v>
      </c>
      <c r="K1990" s="10">
        <v>46117.0</v>
      </c>
      <c r="L1990" s="6">
        <v>3.0</v>
      </c>
      <c r="M1990" s="8">
        <f t="shared" si="5"/>
        <v>0.12</v>
      </c>
      <c r="P1990" s="9"/>
    </row>
    <row r="1991">
      <c r="A1991" s="6" t="s">
        <v>5038</v>
      </c>
      <c r="B1991" s="6" t="s">
        <v>5039</v>
      </c>
      <c r="C1991" s="6" t="s">
        <v>295</v>
      </c>
      <c r="D1991" s="6" t="s">
        <v>5040</v>
      </c>
      <c r="E1991" s="6" t="s">
        <v>2287</v>
      </c>
      <c r="F1991" s="6" t="s">
        <v>277</v>
      </c>
      <c r="G1991" s="7">
        <v>0.22</v>
      </c>
      <c r="H1991" s="6" t="s">
        <v>4845</v>
      </c>
      <c r="I1991" s="6" t="s">
        <v>31</v>
      </c>
      <c r="J1991" s="6">
        <v>2025.0</v>
      </c>
      <c r="K1991" s="10">
        <v>46117.0</v>
      </c>
      <c r="L1991" s="6">
        <v>1.0</v>
      </c>
      <c r="M1991" s="8">
        <f t="shared" si="5"/>
        <v>0.22</v>
      </c>
      <c r="P1991" s="9"/>
    </row>
    <row r="1992">
      <c r="A1992" s="6" t="s">
        <v>5041</v>
      </c>
      <c r="B1992" s="6" t="s">
        <v>591</v>
      </c>
      <c r="C1992" s="6" t="s">
        <v>295</v>
      </c>
      <c r="D1992" s="6" t="s">
        <v>5042</v>
      </c>
      <c r="E1992" s="6" t="s">
        <v>629</v>
      </c>
      <c r="F1992" s="6" t="s">
        <v>277</v>
      </c>
      <c r="G1992" s="7">
        <v>0.06</v>
      </c>
      <c r="H1992" s="6" t="s">
        <v>4845</v>
      </c>
      <c r="I1992" s="6" t="s">
        <v>20</v>
      </c>
      <c r="J1992" s="6">
        <v>2025.0</v>
      </c>
      <c r="K1992" s="10">
        <v>46023.0</v>
      </c>
      <c r="L1992" s="6">
        <v>5.0</v>
      </c>
      <c r="M1992" s="8">
        <f t="shared" si="5"/>
        <v>0.3</v>
      </c>
      <c r="P1992" s="9"/>
    </row>
    <row r="1993">
      <c r="A1993" s="6" t="s">
        <v>5043</v>
      </c>
      <c r="B1993" s="6" t="s">
        <v>4808</v>
      </c>
      <c r="C1993" s="6" t="s">
        <v>295</v>
      </c>
      <c r="D1993" s="6" t="s">
        <v>5044</v>
      </c>
      <c r="E1993" s="6" t="s">
        <v>2280</v>
      </c>
      <c r="F1993" s="6" t="s">
        <v>277</v>
      </c>
      <c r="G1993" s="7">
        <v>0.05</v>
      </c>
      <c r="H1993" s="6" t="s">
        <v>4845</v>
      </c>
      <c r="I1993" s="6" t="s">
        <v>20</v>
      </c>
      <c r="J1993" s="6">
        <v>2025.0</v>
      </c>
      <c r="K1993" s="10">
        <v>46023.0</v>
      </c>
      <c r="L1993" s="6">
        <v>2.0</v>
      </c>
      <c r="M1993" s="8">
        <f t="shared" si="5"/>
        <v>0.1</v>
      </c>
      <c r="P1993" s="9"/>
    </row>
    <row r="1994">
      <c r="A1994" s="6" t="s">
        <v>5045</v>
      </c>
      <c r="B1994" s="6" t="s">
        <v>5046</v>
      </c>
      <c r="C1994" s="6" t="s">
        <v>295</v>
      </c>
      <c r="D1994" s="6" t="s">
        <v>5047</v>
      </c>
      <c r="E1994" s="6" t="s">
        <v>4252</v>
      </c>
      <c r="F1994" s="6" t="s">
        <v>277</v>
      </c>
      <c r="G1994" s="7">
        <v>0.04</v>
      </c>
      <c r="H1994" s="6" t="s">
        <v>4845</v>
      </c>
      <c r="I1994" s="6" t="s">
        <v>20</v>
      </c>
      <c r="J1994" s="6">
        <v>2025.0</v>
      </c>
      <c r="K1994" s="10">
        <v>46179.0</v>
      </c>
      <c r="L1994" s="6">
        <v>3.0</v>
      </c>
      <c r="M1994" s="8">
        <f t="shared" si="5"/>
        <v>0.12</v>
      </c>
      <c r="P1994" s="9"/>
    </row>
    <row r="1995">
      <c r="A1995" s="6" t="s">
        <v>5048</v>
      </c>
      <c r="B1995" s="6" t="s">
        <v>2822</v>
      </c>
      <c r="C1995" s="6" t="s">
        <v>295</v>
      </c>
      <c r="D1995" s="6" t="s">
        <v>5049</v>
      </c>
      <c r="E1995" s="6" t="s">
        <v>1856</v>
      </c>
      <c r="F1995" s="6" t="s">
        <v>277</v>
      </c>
      <c r="G1995" s="7">
        <v>0.05</v>
      </c>
      <c r="H1995" s="6" t="s">
        <v>4845</v>
      </c>
      <c r="I1995" s="6" t="s">
        <v>20</v>
      </c>
      <c r="J1995" s="6">
        <v>2025.0</v>
      </c>
      <c r="L1995" s="6">
        <v>4.0</v>
      </c>
      <c r="M1995" s="8">
        <f t="shared" si="5"/>
        <v>0.2</v>
      </c>
      <c r="P1995" s="9"/>
    </row>
    <row r="1996">
      <c r="A1996" s="6" t="s">
        <v>5050</v>
      </c>
      <c r="B1996" s="6" t="s">
        <v>5051</v>
      </c>
      <c r="C1996" s="6" t="s">
        <v>295</v>
      </c>
      <c r="D1996" s="6" t="s">
        <v>5052</v>
      </c>
      <c r="E1996" s="6" t="s">
        <v>1856</v>
      </c>
      <c r="F1996" s="6" t="s">
        <v>277</v>
      </c>
      <c r="G1996" s="7">
        <v>0.05</v>
      </c>
      <c r="H1996" s="6" t="s">
        <v>4845</v>
      </c>
      <c r="I1996" s="6" t="s">
        <v>20</v>
      </c>
      <c r="J1996" s="6">
        <v>2025.0</v>
      </c>
      <c r="K1996" s="10">
        <v>46056.0</v>
      </c>
      <c r="L1996" s="6">
        <v>3.0</v>
      </c>
      <c r="M1996" s="8">
        <f t="shared" si="5"/>
        <v>0.15</v>
      </c>
      <c r="P1996" s="9"/>
    </row>
    <row r="1997">
      <c r="A1997" s="6" t="s">
        <v>5053</v>
      </c>
      <c r="B1997" s="6" t="s">
        <v>5054</v>
      </c>
      <c r="C1997" s="6" t="s">
        <v>1949</v>
      </c>
      <c r="D1997" s="6" t="s">
        <v>5055</v>
      </c>
      <c r="E1997" s="6" t="s">
        <v>2280</v>
      </c>
      <c r="F1997" s="6" t="s">
        <v>277</v>
      </c>
      <c r="G1997" s="7">
        <v>0.09</v>
      </c>
      <c r="H1997" s="6" t="s">
        <v>4845</v>
      </c>
      <c r="I1997" s="6" t="s">
        <v>20</v>
      </c>
      <c r="J1997" s="6">
        <v>2025.0</v>
      </c>
      <c r="K1997" s="10">
        <v>46055.0</v>
      </c>
      <c r="L1997" s="6">
        <v>2.0</v>
      </c>
      <c r="M1997" s="8">
        <f t="shared" si="5"/>
        <v>0.18</v>
      </c>
      <c r="P1997" s="9"/>
    </row>
    <row r="1998">
      <c r="A1998" s="6" t="s">
        <v>5056</v>
      </c>
      <c r="B1998" s="6" t="s">
        <v>610</v>
      </c>
      <c r="C1998" s="6" t="s">
        <v>1949</v>
      </c>
      <c r="D1998" s="6" t="s">
        <v>5057</v>
      </c>
      <c r="E1998" s="6" t="s">
        <v>2280</v>
      </c>
      <c r="F1998" s="6" t="s">
        <v>277</v>
      </c>
      <c r="G1998" s="7">
        <v>0.07</v>
      </c>
      <c r="H1998" s="6" t="s">
        <v>4845</v>
      </c>
      <c r="I1998" s="6" t="s">
        <v>20</v>
      </c>
      <c r="J1998" s="6">
        <v>2025.0</v>
      </c>
      <c r="L1998" s="6">
        <v>2.0</v>
      </c>
      <c r="M1998" s="8">
        <f t="shared" si="5"/>
        <v>0.14</v>
      </c>
      <c r="P1998" s="9"/>
    </row>
    <row r="1999">
      <c r="A1999" s="6" t="s">
        <v>5058</v>
      </c>
      <c r="B1999" s="6" t="s">
        <v>5059</v>
      </c>
      <c r="C1999" s="6" t="s">
        <v>295</v>
      </c>
      <c r="D1999" s="6" t="s">
        <v>5060</v>
      </c>
      <c r="E1999" s="6" t="s">
        <v>2318</v>
      </c>
      <c r="F1999" s="6" t="s">
        <v>88</v>
      </c>
      <c r="G1999" s="7">
        <v>0.07</v>
      </c>
      <c r="H1999" s="6" t="s">
        <v>4845</v>
      </c>
      <c r="I1999" s="6" t="s">
        <v>20</v>
      </c>
      <c r="J1999" s="6">
        <v>2025.0</v>
      </c>
      <c r="K1999" s="10">
        <v>46055.0</v>
      </c>
      <c r="L1999" s="6">
        <v>2.0</v>
      </c>
      <c r="M1999" s="8">
        <f t="shared" si="5"/>
        <v>0.14</v>
      </c>
      <c r="P1999" s="9"/>
    </row>
    <row r="2000">
      <c r="A2000" s="6" t="s">
        <v>5061</v>
      </c>
      <c r="B2000" s="6" t="s">
        <v>5062</v>
      </c>
      <c r="C2000" s="6" t="s">
        <v>1949</v>
      </c>
      <c r="D2000" s="6" t="s">
        <v>5063</v>
      </c>
      <c r="E2000" s="6" t="s">
        <v>380</v>
      </c>
      <c r="F2000" s="6" t="s">
        <v>88</v>
      </c>
      <c r="G2000" s="7">
        <v>0.15</v>
      </c>
      <c r="H2000" s="6" t="s">
        <v>4845</v>
      </c>
      <c r="I2000" s="6" t="s">
        <v>20</v>
      </c>
      <c r="J2000" s="6">
        <v>2025.0</v>
      </c>
      <c r="K2000" s="10">
        <v>46024.0</v>
      </c>
      <c r="L2000" s="6">
        <v>1.0</v>
      </c>
      <c r="M2000" s="8">
        <f t="shared" si="5"/>
        <v>0.15</v>
      </c>
      <c r="P2000" s="9"/>
    </row>
    <row r="2001">
      <c r="A2001" s="6" t="s">
        <v>5064</v>
      </c>
      <c r="B2001" s="6" t="s">
        <v>385</v>
      </c>
      <c r="C2001" s="6" t="s">
        <v>1949</v>
      </c>
      <c r="D2001" s="6" t="s">
        <v>5065</v>
      </c>
      <c r="E2001" s="6" t="s">
        <v>4294</v>
      </c>
      <c r="F2001" s="6" t="s">
        <v>88</v>
      </c>
      <c r="G2001" s="7">
        <v>0.2</v>
      </c>
      <c r="H2001" s="6" t="s">
        <v>4845</v>
      </c>
      <c r="I2001" s="6" t="s">
        <v>20</v>
      </c>
      <c r="J2001" s="6">
        <v>2025.0</v>
      </c>
      <c r="L2001" s="6">
        <v>1.0</v>
      </c>
      <c r="M2001" s="8">
        <f t="shared" si="5"/>
        <v>0.2</v>
      </c>
      <c r="P2001" s="9"/>
    </row>
    <row r="2002">
      <c r="A2002" s="6" t="s">
        <v>5066</v>
      </c>
      <c r="B2002" s="6" t="s">
        <v>5067</v>
      </c>
      <c r="C2002" s="6" t="s">
        <v>1949</v>
      </c>
      <c r="D2002" s="6" t="s">
        <v>5068</v>
      </c>
      <c r="E2002" s="6" t="s">
        <v>2318</v>
      </c>
      <c r="F2002" s="6" t="s">
        <v>88</v>
      </c>
      <c r="G2002" s="7">
        <v>0.2</v>
      </c>
      <c r="H2002" s="6" t="s">
        <v>4845</v>
      </c>
      <c r="I2002" s="6" t="s">
        <v>20</v>
      </c>
      <c r="J2002" s="6">
        <v>2025.0</v>
      </c>
      <c r="L2002" s="6">
        <v>1.0</v>
      </c>
      <c r="M2002" s="8">
        <f t="shared" si="5"/>
        <v>0.2</v>
      </c>
      <c r="P2002" s="9"/>
    </row>
    <row r="2003">
      <c r="A2003" s="6" t="s">
        <v>5069</v>
      </c>
      <c r="B2003" s="6" t="s">
        <v>554</v>
      </c>
      <c r="C2003" s="6" t="s">
        <v>1949</v>
      </c>
      <c r="D2003" s="6" t="s">
        <v>5070</v>
      </c>
      <c r="E2003" s="6" t="s">
        <v>380</v>
      </c>
      <c r="F2003" s="6" t="s">
        <v>88</v>
      </c>
      <c r="G2003" s="7">
        <v>0.19</v>
      </c>
      <c r="H2003" s="6" t="s">
        <v>4845</v>
      </c>
      <c r="I2003" s="6" t="s">
        <v>20</v>
      </c>
      <c r="J2003" s="6">
        <v>2025.0</v>
      </c>
      <c r="L2003" s="6">
        <v>1.0</v>
      </c>
      <c r="M2003" s="8">
        <f t="shared" si="5"/>
        <v>0.19</v>
      </c>
      <c r="P2003" s="9"/>
    </row>
    <row r="2004">
      <c r="A2004" s="6" t="s">
        <v>5071</v>
      </c>
      <c r="B2004" s="6" t="s">
        <v>4910</v>
      </c>
      <c r="C2004" s="6" t="s">
        <v>295</v>
      </c>
      <c r="D2004" s="6" t="s">
        <v>5072</v>
      </c>
      <c r="E2004" s="6" t="s">
        <v>2321</v>
      </c>
      <c r="F2004" s="6" t="s">
        <v>88</v>
      </c>
      <c r="G2004" s="7">
        <v>0.05</v>
      </c>
      <c r="H2004" s="6" t="s">
        <v>4845</v>
      </c>
      <c r="I2004" s="6" t="s">
        <v>20</v>
      </c>
      <c r="J2004" s="6">
        <v>2025.0</v>
      </c>
      <c r="K2004" s="10">
        <v>46085.0</v>
      </c>
      <c r="L2004" s="6">
        <v>2.0</v>
      </c>
      <c r="M2004" s="8">
        <f t="shared" si="5"/>
        <v>0.1</v>
      </c>
      <c r="P2004" s="9"/>
    </row>
    <row r="2005">
      <c r="A2005" s="6" t="s">
        <v>5073</v>
      </c>
      <c r="B2005" s="6" t="s">
        <v>4972</v>
      </c>
      <c r="C2005" s="6" t="s">
        <v>1949</v>
      </c>
      <c r="D2005" s="6" t="s">
        <v>5074</v>
      </c>
      <c r="E2005" s="6" t="s">
        <v>380</v>
      </c>
      <c r="F2005" s="6" t="s">
        <v>88</v>
      </c>
      <c r="G2005" s="7">
        <v>0.15</v>
      </c>
      <c r="H2005" s="6" t="s">
        <v>4845</v>
      </c>
      <c r="I2005" s="6" t="s">
        <v>20</v>
      </c>
      <c r="J2005" s="6">
        <v>2025.0</v>
      </c>
      <c r="K2005" s="10">
        <v>46082.0</v>
      </c>
      <c r="L2005" s="6">
        <v>1.0</v>
      </c>
      <c r="M2005" s="8">
        <f t="shared" si="5"/>
        <v>0.15</v>
      </c>
      <c r="P2005" s="9"/>
    </row>
    <row r="2006">
      <c r="A2006" s="6" t="s">
        <v>5075</v>
      </c>
      <c r="B2006" s="6" t="s">
        <v>5076</v>
      </c>
      <c r="C2006" s="6" t="s">
        <v>1897</v>
      </c>
      <c r="D2006" s="6" t="s">
        <v>5077</v>
      </c>
      <c r="E2006" s="6" t="s">
        <v>2318</v>
      </c>
      <c r="F2006" s="6" t="s">
        <v>88</v>
      </c>
      <c r="G2006" s="7">
        <v>1.2</v>
      </c>
      <c r="H2006" s="6" t="s">
        <v>4845</v>
      </c>
      <c r="I2006" s="6" t="s">
        <v>20</v>
      </c>
      <c r="J2006" s="6">
        <v>2025.0</v>
      </c>
      <c r="K2006" s="10">
        <v>46024.0</v>
      </c>
      <c r="L2006" s="6">
        <v>1.0</v>
      </c>
      <c r="M2006" s="8">
        <f t="shared" si="5"/>
        <v>1.2</v>
      </c>
      <c r="P2006" s="9"/>
    </row>
    <row r="2007">
      <c r="A2007" s="6" t="s">
        <v>5078</v>
      </c>
      <c r="B2007" s="6" t="s">
        <v>5079</v>
      </c>
      <c r="C2007" s="6" t="s">
        <v>1949</v>
      </c>
      <c r="D2007" s="6" t="s">
        <v>5080</v>
      </c>
      <c r="E2007" s="6" t="s">
        <v>4315</v>
      </c>
      <c r="F2007" s="6" t="s">
        <v>88</v>
      </c>
      <c r="G2007" s="7">
        <v>0.15</v>
      </c>
      <c r="H2007" s="6" t="s">
        <v>4845</v>
      </c>
      <c r="I2007" s="6" t="s">
        <v>20</v>
      </c>
      <c r="J2007" s="6">
        <v>2025.0</v>
      </c>
      <c r="K2007" s="10">
        <v>46148.0</v>
      </c>
      <c r="L2007" s="6">
        <v>1.0</v>
      </c>
      <c r="M2007" s="8">
        <f t="shared" si="5"/>
        <v>0.15</v>
      </c>
      <c r="P2007" s="9"/>
    </row>
    <row r="2008">
      <c r="A2008" s="6" t="s">
        <v>5081</v>
      </c>
      <c r="B2008" s="6" t="s">
        <v>5082</v>
      </c>
      <c r="C2008" s="6" t="s">
        <v>295</v>
      </c>
      <c r="D2008" s="6" t="s">
        <v>5083</v>
      </c>
      <c r="E2008" s="6" t="s">
        <v>380</v>
      </c>
      <c r="F2008" s="6" t="s">
        <v>88</v>
      </c>
      <c r="G2008" s="7">
        <v>0.1</v>
      </c>
      <c r="H2008" s="6" t="s">
        <v>4845</v>
      </c>
      <c r="I2008" s="6" t="s">
        <v>20</v>
      </c>
      <c r="J2008" s="6">
        <v>2025.0</v>
      </c>
      <c r="K2008" s="10">
        <v>46054.0</v>
      </c>
      <c r="L2008" s="6">
        <v>2.0</v>
      </c>
      <c r="M2008" s="8">
        <f t="shared" si="5"/>
        <v>0.2</v>
      </c>
      <c r="P2008" s="9"/>
    </row>
    <row r="2009">
      <c r="A2009" s="6" t="s">
        <v>5084</v>
      </c>
      <c r="B2009" s="6" t="s">
        <v>4866</v>
      </c>
      <c r="C2009" s="6" t="s">
        <v>295</v>
      </c>
      <c r="D2009" s="6" t="s">
        <v>5085</v>
      </c>
      <c r="E2009" s="6" t="s">
        <v>380</v>
      </c>
      <c r="F2009" s="6" t="s">
        <v>88</v>
      </c>
      <c r="G2009" s="7">
        <v>0.1</v>
      </c>
      <c r="H2009" s="6" t="s">
        <v>4845</v>
      </c>
      <c r="I2009" s="6" t="s">
        <v>20</v>
      </c>
      <c r="J2009" s="6">
        <v>2025.0</v>
      </c>
      <c r="L2009" s="6">
        <v>2.0</v>
      </c>
      <c r="M2009" s="8">
        <f t="shared" si="5"/>
        <v>0.2</v>
      </c>
      <c r="P2009" s="9"/>
    </row>
    <row r="2010">
      <c r="A2010" s="6" t="s">
        <v>5086</v>
      </c>
      <c r="B2010" s="6" t="s">
        <v>4866</v>
      </c>
      <c r="C2010" s="6" t="s">
        <v>295</v>
      </c>
      <c r="D2010" s="6" t="s">
        <v>5087</v>
      </c>
      <c r="E2010" s="6" t="s">
        <v>915</v>
      </c>
      <c r="F2010" s="6" t="s">
        <v>88</v>
      </c>
      <c r="G2010" s="7">
        <v>0.1</v>
      </c>
      <c r="H2010" s="6" t="s">
        <v>4845</v>
      </c>
      <c r="I2010" s="6" t="s">
        <v>20</v>
      </c>
      <c r="J2010" s="6">
        <v>2025.0</v>
      </c>
      <c r="L2010" s="6">
        <v>2.0</v>
      </c>
      <c r="M2010" s="8">
        <f t="shared" si="5"/>
        <v>0.2</v>
      </c>
      <c r="P2010" s="9"/>
    </row>
    <row r="2011">
      <c r="A2011" s="6" t="s">
        <v>5088</v>
      </c>
      <c r="B2011" s="6" t="s">
        <v>4866</v>
      </c>
      <c r="C2011" s="6" t="s">
        <v>295</v>
      </c>
      <c r="D2011" s="6" t="s">
        <v>5089</v>
      </c>
      <c r="E2011" s="6" t="s">
        <v>2321</v>
      </c>
      <c r="F2011" s="6" t="s">
        <v>88</v>
      </c>
      <c r="G2011" s="7">
        <v>0.1</v>
      </c>
      <c r="H2011" s="6" t="s">
        <v>4845</v>
      </c>
      <c r="I2011" s="6" t="s">
        <v>20</v>
      </c>
      <c r="J2011" s="6">
        <v>2025.0</v>
      </c>
      <c r="L2011" s="6">
        <v>2.0</v>
      </c>
      <c r="M2011" s="8">
        <f t="shared" si="5"/>
        <v>0.2</v>
      </c>
      <c r="P2011" s="9"/>
    </row>
    <row r="2012">
      <c r="A2012" s="6" t="s">
        <v>5090</v>
      </c>
      <c r="B2012" s="6" t="s">
        <v>4866</v>
      </c>
      <c r="C2012" s="6" t="s">
        <v>1949</v>
      </c>
      <c r="D2012" s="6" t="s">
        <v>5091</v>
      </c>
      <c r="E2012" s="6" t="s">
        <v>380</v>
      </c>
      <c r="F2012" s="6" t="s">
        <v>88</v>
      </c>
      <c r="G2012" s="7">
        <v>5.7</v>
      </c>
      <c r="H2012" s="6" t="s">
        <v>4845</v>
      </c>
      <c r="I2012" s="6" t="s">
        <v>31</v>
      </c>
      <c r="J2012" s="6">
        <v>2025.0</v>
      </c>
      <c r="L2012" s="6">
        <v>1.0</v>
      </c>
      <c r="M2012" s="8">
        <f t="shared" si="5"/>
        <v>5.7</v>
      </c>
      <c r="P2012" s="9"/>
    </row>
    <row r="2013">
      <c r="A2013" s="6" t="s">
        <v>5092</v>
      </c>
      <c r="B2013" s="6" t="s">
        <v>4885</v>
      </c>
      <c r="C2013" s="6" t="s">
        <v>295</v>
      </c>
      <c r="D2013" s="6" t="s">
        <v>5093</v>
      </c>
      <c r="E2013" s="6" t="s">
        <v>2318</v>
      </c>
      <c r="F2013" s="6" t="s">
        <v>88</v>
      </c>
      <c r="G2013" s="7">
        <v>0.05</v>
      </c>
      <c r="H2013" s="6" t="s">
        <v>4845</v>
      </c>
      <c r="I2013" s="6" t="s">
        <v>20</v>
      </c>
      <c r="J2013" s="6">
        <v>2025.0</v>
      </c>
      <c r="K2013" s="10">
        <v>46055.0</v>
      </c>
      <c r="L2013" s="6">
        <v>3.0</v>
      </c>
      <c r="M2013" s="8">
        <f t="shared" si="5"/>
        <v>0.15</v>
      </c>
      <c r="P2013" s="9"/>
    </row>
    <row r="2014">
      <c r="A2014" s="6" t="s">
        <v>5094</v>
      </c>
      <c r="B2014" s="6" t="s">
        <v>4901</v>
      </c>
      <c r="C2014" s="6" t="s">
        <v>1949</v>
      </c>
      <c r="D2014" s="6" t="s">
        <v>5095</v>
      </c>
      <c r="E2014" s="6" t="s">
        <v>2318</v>
      </c>
      <c r="F2014" s="6" t="s">
        <v>88</v>
      </c>
      <c r="G2014" s="7">
        <v>0.2</v>
      </c>
      <c r="H2014" s="6" t="s">
        <v>4845</v>
      </c>
      <c r="I2014" s="6" t="s">
        <v>20</v>
      </c>
      <c r="J2014" s="6">
        <v>2025.0</v>
      </c>
      <c r="K2014" s="10">
        <v>46083.0</v>
      </c>
      <c r="L2014" s="6">
        <v>1.0</v>
      </c>
      <c r="M2014" s="8">
        <f t="shared" si="5"/>
        <v>0.2</v>
      </c>
      <c r="P2014" s="9"/>
    </row>
    <row r="2015">
      <c r="A2015" s="6" t="s">
        <v>5096</v>
      </c>
      <c r="B2015" s="6" t="s">
        <v>5097</v>
      </c>
      <c r="C2015" s="6" t="s">
        <v>295</v>
      </c>
      <c r="D2015" s="6" t="s">
        <v>5098</v>
      </c>
      <c r="E2015" s="6" t="s">
        <v>4321</v>
      </c>
      <c r="F2015" s="6" t="s">
        <v>88</v>
      </c>
      <c r="G2015" s="7">
        <v>0.05</v>
      </c>
      <c r="H2015" s="6" t="s">
        <v>4845</v>
      </c>
      <c r="I2015" s="6" t="s">
        <v>20</v>
      </c>
      <c r="J2015" s="6">
        <v>2025.0</v>
      </c>
      <c r="K2015" s="10">
        <v>46208.0</v>
      </c>
      <c r="L2015" s="6">
        <v>3.0</v>
      </c>
      <c r="M2015" s="8">
        <f t="shared" si="5"/>
        <v>0.15</v>
      </c>
      <c r="P2015" s="9"/>
    </row>
    <row r="2016">
      <c r="A2016" s="6" t="s">
        <v>5099</v>
      </c>
      <c r="B2016" s="6" t="s">
        <v>4863</v>
      </c>
      <c r="C2016" s="6" t="s">
        <v>295</v>
      </c>
      <c r="D2016" s="6" t="s">
        <v>5100</v>
      </c>
      <c r="E2016" s="6" t="s">
        <v>2326</v>
      </c>
      <c r="F2016" s="6" t="s">
        <v>88</v>
      </c>
      <c r="G2016" s="7">
        <v>0.33</v>
      </c>
      <c r="H2016" s="6" t="s">
        <v>4845</v>
      </c>
      <c r="I2016" s="6" t="s">
        <v>31</v>
      </c>
      <c r="J2016" s="6">
        <v>2025.0</v>
      </c>
      <c r="L2016" s="6">
        <v>1.0</v>
      </c>
      <c r="M2016" s="8">
        <f t="shared" si="5"/>
        <v>0.33</v>
      </c>
      <c r="P2016" s="9"/>
    </row>
    <row r="2017">
      <c r="A2017" s="6" t="s">
        <v>5101</v>
      </c>
      <c r="B2017" s="6" t="s">
        <v>2822</v>
      </c>
      <c r="C2017" s="6" t="s">
        <v>295</v>
      </c>
      <c r="D2017" s="6" t="s">
        <v>5102</v>
      </c>
      <c r="E2017" s="6" t="s">
        <v>915</v>
      </c>
      <c r="F2017" s="6" t="s">
        <v>88</v>
      </c>
      <c r="G2017" s="7">
        <v>0.05</v>
      </c>
      <c r="H2017" s="6" t="s">
        <v>4845</v>
      </c>
      <c r="I2017" s="6" t="s">
        <v>20</v>
      </c>
      <c r="J2017" s="6">
        <v>2025.0</v>
      </c>
      <c r="L2017" s="6">
        <v>3.0</v>
      </c>
      <c r="M2017" s="8">
        <f t="shared" si="5"/>
        <v>0.15</v>
      </c>
      <c r="P2017" s="9"/>
    </row>
    <row r="2018">
      <c r="A2018" s="6" t="s">
        <v>5103</v>
      </c>
      <c r="B2018" s="6" t="s">
        <v>2822</v>
      </c>
      <c r="C2018" s="6" t="s">
        <v>1949</v>
      </c>
      <c r="D2018" s="6" t="s">
        <v>5104</v>
      </c>
      <c r="E2018" s="6" t="s">
        <v>915</v>
      </c>
      <c r="F2018" s="6" t="s">
        <v>88</v>
      </c>
      <c r="G2018" s="7">
        <v>0.2</v>
      </c>
      <c r="H2018" s="6" t="s">
        <v>4845</v>
      </c>
      <c r="I2018" s="6" t="s">
        <v>20</v>
      </c>
      <c r="J2018" s="6">
        <v>2025.0</v>
      </c>
      <c r="L2018" s="6">
        <v>1.0</v>
      </c>
      <c r="M2018" s="8">
        <f t="shared" si="5"/>
        <v>0.2</v>
      </c>
      <c r="P2018" s="9"/>
    </row>
    <row r="2019">
      <c r="A2019" s="6" t="s">
        <v>5103</v>
      </c>
      <c r="B2019" s="6" t="s">
        <v>2822</v>
      </c>
      <c r="C2019" s="6" t="s">
        <v>1949</v>
      </c>
      <c r="D2019" s="6" t="s">
        <v>5104</v>
      </c>
      <c r="E2019" s="6" t="s">
        <v>915</v>
      </c>
      <c r="F2019" s="6" t="s">
        <v>88</v>
      </c>
      <c r="G2019" s="7">
        <v>0.25</v>
      </c>
      <c r="H2019" s="6" t="s">
        <v>4845</v>
      </c>
      <c r="I2019" s="6" t="s">
        <v>31</v>
      </c>
      <c r="J2019" s="6">
        <v>2025.0</v>
      </c>
      <c r="L2019" s="6">
        <v>1.0</v>
      </c>
      <c r="M2019" s="8">
        <f t="shared" si="5"/>
        <v>0.25</v>
      </c>
      <c r="P2019" s="9"/>
    </row>
    <row r="2020">
      <c r="A2020" s="6" t="s">
        <v>5105</v>
      </c>
      <c r="B2020" s="6" t="s">
        <v>385</v>
      </c>
      <c r="C2020" s="6" t="s">
        <v>1949</v>
      </c>
      <c r="D2020" s="6" t="s">
        <v>5106</v>
      </c>
      <c r="E2020" s="6" t="s">
        <v>2809</v>
      </c>
      <c r="F2020" s="6" t="s">
        <v>88</v>
      </c>
      <c r="G2020" s="7">
        <v>0.15</v>
      </c>
      <c r="H2020" s="6" t="s">
        <v>4845</v>
      </c>
      <c r="I2020" s="6" t="s">
        <v>20</v>
      </c>
      <c r="J2020" s="6">
        <v>2025.0</v>
      </c>
      <c r="L2020" s="6">
        <v>1.0</v>
      </c>
      <c r="M2020" s="8">
        <f t="shared" si="5"/>
        <v>0.15</v>
      </c>
      <c r="P2020" s="9"/>
    </row>
    <row r="2021">
      <c r="A2021" s="6" t="s">
        <v>5107</v>
      </c>
      <c r="B2021" s="6" t="s">
        <v>4892</v>
      </c>
      <c r="C2021" s="6" t="s">
        <v>1949</v>
      </c>
      <c r="D2021" s="6" t="s">
        <v>5108</v>
      </c>
      <c r="E2021" s="6" t="s">
        <v>2318</v>
      </c>
      <c r="F2021" s="6" t="s">
        <v>88</v>
      </c>
      <c r="G2021" s="7">
        <v>0.15</v>
      </c>
      <c r="H2021" s="6" t="s">
        <v>4845</v>
      </c>
      <c r="I2021" s="6" t="s">
        <v>20</v>
      </c>
      <c r="J2021" s="6">
        <v>2025.0</v>
      </c>
      <c r="K2021" s="10">
        <v>46083.0</v>
      </c>
      <c r="L2021" s="6">
        <v>1.0</v>
      </c>
      <c r="M2021" s="8">
        <f t="shared" si="5"/>
        <v>0.15</v>
      </c>
      <c r="P2021" s="9"/>
    </row>
    <row r="2022">
      <c r="A2022" s="6" t="s">
        <v>5109</v>
      </c>
      <c r="B2022" s="6" t="s">
        <v>5110</v>
      </c>
      <c r="C2022" s="6" t="s">
        <v>295</v>
      </c>
      <c r="D2022" s="6" t="s">
        <v>5111</v>
      </c>
      <c r="E2022" s="6" t="s">
        <v>380</v>
      </c>
      <c r="F2022" s="6" t="s">
        <v>88</v>
      </c>
      <c r="G2022" s="7">
        <v>0.1</v>
      </c>
      <c r="H2022" s="6" t="s">
        <v>4845</v>
      </c>
      <c r="I2022" s="6" t="s">
        <v>20</v>
      </c>
      <c r="J2022" s="6">
        <v>2025.0</v>
      </c>
      <c r="K2022" s="10">
        <v>46024.0</v>
      </c>
      <c r="L2022" s="6">
        <v>1.0</v>
      </c>
      <c r="M2022" s="8">
        <f t="shared" si="5"/>
        <v>0.1</v>
      </c>
      <c r="P2022" s="9"/>
    </row>
    <row r="2023">
      <c r="A2023" s="6" t="s">
        <v>5112</v>
      </c>
      <c r="B2023" s="6" t="s">
        <v>4866</v>
      </c>
      <c r="C2023" s="6" t="s">
        <v>295</v>
      </c>
      <c r="D2023" s="6" t="s">
        <v>5113</v>
      </c>
      <c r="E2023" s="6" t="s">
        <v>930</v>
      </c>
      <c r="F2023" s="6" t="s">
        <v>170</v>
      </c>
      <c r="G2023" s="7">
        <v>0.2</v>
      </c>
      <c r="H2023" s="6" t="s">
        <v>4845</v>
      </c>
      <c r="I2023" s="6" t="s">
        <v>20</v>
      </c>
      <c r="J2023" s="6">
        <v>2025.0</v>
      </c>
      <c r="L2023" s="6">
        <v>1.0</v>
      </c>
      <c r="M2023" s="8">
        <f t="shared" si="5"/>
        <v>0.2</v>
      </c>
      <c r="P2023" s="9"/>
    </row>
    <row r="2024">
      <c r="A2024" s="6" t="s">
        <v>5114</v>
      </c>
      <c r="B2024" s="6" t="s">
        <v>4907</v>
      </c>
      <c r="C2024" s="6" t="s">
        <v>295</v>
      </c>
      <c r="D2024" s="6" t="s">
        <v>5115</v>
      </c>
      <c r="E2024" s="6" t="s">
        <v>2342</v>
      </c>
      <c r="F2024" s="6" t="s">
        <v>170</v>
      </c>
      <c r="G2024" s="7">
        <v>0.06</v>
      </c>
      <c r="H2024" s="6" t="s">
        <v>4845</v>
      </c>
      <c r="I2024" s="6" t="s">
        <v>20</v>
      </c>
      <c r="J2024" s="6">
        <v>2025.0</v>
      </c>
      <c r="K2024" s="10">
        <v>46055.0</v>
      </c>
      <c r="L2024" s="6">
        <v>1.0</v>
      </c>
      <c r="M2024" s="8">
        <f t="shared" si="5"/>
        <v>0.06</v>
      </c>
      <c r="P2024" s="9"/>
    </row>
    <row r="2025">
      <c r="A2025" s="6" t="s">
        <v>5116</v>
      </c>
      <c r="B2025" s="6" t="s">
        <v>5117</v>
      </c>
      <c r="C2025" s="6" t="s">
        <v>295</v>
      </c>
      <c r="D2025" s="6" t="s">
        <v>5118</v>
      </c>
      <c r="E2025" s="6" t="s">
        <v>2342</v>
      </c>
      <c r="F2025" s="6" t="s">
        <v>170</v>
      </c>
      <c r="G2025" s="7">
        <v>0.09</v>
      </c>
      <c r="H2025" s="6" t="s">
        <v>4845</v>
      </c>
      <c r="I2025" s="6" t="s">
        <v>20</v>
      </c>
      <c r="J2025" s="6">
        <v>2025.0</v>
      </c>
      <c r="K2025" s="10">
        <v>46025.0</v>
      </c>
      <c r="L2025" s="6">
        <v>2.0</v>
      </c>
      <c r="M2025" s="8">
        <f t="shared" si="5"/>
        <v>0.18</v>
      </c>
      <c r="P2025" s="9"/>
    </row>
    <row r="2026">
      <c r="A2026" s="6" t="s">
        <v>5119</v>
      </c>
      <c r="B2026" s="6" t="s">
        <v>5120</v>
      </c>
      <c r="C2026" s="6" t="s">
        <v>1949</v>
      </c>
      <c r="D2026" s="6" t="s">
        <v>5121</v>
      </c>
      <c r="E2026" s="6" t="s">
        <v>2342</v>
      </c>
      <c r="F2026" s="6" t="s">
        <v>170</v>
      </c>
      <c r="G2026" s="7">
        <v>0.15</v>
      </c>
      <c r="H2026" s="6" t="s">
        <v>4845</v>
      </c>
      <c r="I2026" s="6" t="s">
        <v>20</v>
      </c>
      <c r="J2026" s="6">
        <v>2025.0</v>
      </c>
      <c r="K2026" s="10">
        <v>46082.0</v>
      </c>
      <c r="L2026" s="6">
        <v>1.0</v>
      </c>
      <c r="M2026" s="8">
        <f t="shared" si="5"/>
        <v>0.15</v>
      </c>
      <c r="P2026" s="9"/>
    </row>
    <row r="2027">
      <c r="A2027" s="6" t="s">
        <v>5122</v>
      </c>
      <c r="B2027" s="6" t="s">
        <v>4907</v>
      </c>
      <c r="C2027" s="6" t="s">
        <v>295</v>
      </c>
      <c r="D2027" s="6" t="s">
        <v>5123</v>
      </c>
      <c r="E2027" s="6" t="s">
        <v>2350</v>
      </c>
      <c r="F2027" s="6" t="s">
        <v>170</v>
      </c>
      <c r="G2027" s="7">
        <v>0.05</v>
      </c>
      <c r="H2027" s="6" t="s">
        <v>4845</v>
      </c>
      <c r="I2027" s="6" t="s">
        <v>20</v>
      </c>
      <c r="J2027" s="6">
        <v>2025.0</v>
      </c>
      <c r="K2027" s="10">
        <v>46024.0</v>
      </c>
      <c r="L2027" s="6">
        <v>2.0</v>
      </c>
      <c r="M2027" s="8">
        <f t="shared" si="5"/>
        <v>0.1</v>
      </c>
      <c r="P2027" s="9"/>
    </row>
    <row r="2028">
      <c r="A2028" s="6" t="s">
        <v>5124</v>
      </c>
      <c r="B2028" s="6" t="s">
        <v>591</v>
      </c>
      <c r="C2028" s="6" t="s">
        <v>295</v>
      </c>
      <c r="D2028" s="6" t="s">
        <v>5125</v>
      </c>
      <c r="E2028" s="6" t="s">
        <v>2365</v>
      </c>
      <c r="F2028" s="6" t="s">
        <v>170</v>
      </c>
      <c r="G2028" s="7">
        <v>0.06</v>
      </c>
      <c r="H2028" s="6" t="s">
        <v>4845</v>
      </c>
      <c r="I2028" s="6" t="s">
        <v>20</v>
      </c>
      <c r="J2028" s="6">
        <v>2025.0</v>
      </c>
      <c r="K2028" s="10">
        <v>46057.0</v>
      </c>
      <c r="L2028" s="6">
        <v>1.0</v>
      </c>
      <c r="M2028" s="8">
        <f t="shared" si="5"/>
        <v>0.06</v>
      </c>
      <c r="P2028" s="9"/>
    </row>
    <row r="2029">
      <c r="A2029" s="6" t="s">
        <v>5126</v>
      </c>
      <c r="B2029" s="6" t="s">
        <v>4871</v>
      </c>
      <c r="C2029" s="6" t="s">
        <v>1949</v>
      </c>
      <c r="D2029" s="6" t="s">
        <v>5127</v>
      </c>
      <c r="E2029" s="6" t="s">
        <v>2350</v>
      </c>
      <c r="F2029" s="6" t="s">
        <v>170</v>
      </c>
      <c r="G2029" s="7">
        <v>0.1</v>
      </c>
      <c r="H2029" s="6" t="s">
        <v>4845</v>
      </c>
      <c r="I2029" s="6" t="s">
        <v>20</v>
      </c>
      <c r="J2029" s="6">
        <v>2025.0</v>
      </c>
      <c r="K2029" s="10">
        <v>46085.0</v>
      </c>
      <c r="L2029" s="6">
        <v>1.0</v>
      </c>
      <c r="M2029" s="8">
        <f t="shared" si="5"/>
        <v>0.1</v>
      </c>
      <c r="P2029" s="9"/>
    </row>
    <row r="2030">
      <c r="A2030" s="6" t="s">
        <v>5128</v>
      </c>
      <c r="B2030" s="6" t="s">
        <v>5120</v>
      </c>
      <c r="C2030" s="6" t="s">
        <v>1949</v>
      </c>
      <c r="D2030" s="6" t="s">
        <v>5129</v>
      </c>
      <c r="E2030" s="6" t="s">
        <v>2365</v>
      </c>
      <c r="F2030" s="6" t="s">
        <v>170</v>
      </c>
      <c r="G2030" s="7">
        <v>0.2</v>
      </c>
      <c r="H2030" s="6" t="s">
        <v>4845</v>
      </c>
      <c r="I2030" s="6" t="s">
        <v>20</v>
      </c>
      <c r="J2030" s="6">
        <v>2025.0</v>
      </c>
      <c r="K2030" s="10">
        <v>46085.0</v>
      </c>
      <c r="L2030" s="6">
        <v>1.0</v>
      </c>
      <c r="M2030" s="8">
        <f t="shared" si="5"/>
        <v>0.2</v>
      </c>
      <c r="P2030" s="9"/>
    </row>
    <row r="2031">
      <c r="A2031" s="6" t="s">
        <v>5130</v>
      </c>
      <c r="B2031" s="6" t="s">
        <v>5131</v>
      </c>
      <c r="C2031" s="6" t="s">
        <v>1897</v>
      </c>
      <c r="D2031" s="6" t="s">
        <v>5132</v>
      </c>
      <c r="E2031" s="6" t="s">
        <v>2779</v>
      </c>
      <c r="F2031" s="6" t="s">
        <v>170</v>
      </c>
      <c r="G2031" s="7">
        <v>0.39</v>
      </c>
      <c r="H2031" s="6" t="s">
        <v>4845</v>
      </c>
      <c r="I2031" s="6" t="s">
        <v>20</v>
      </c>
      <c r="J2031" s="6">
        <v>2025.0</v>
      </c>
      <c r="K2031" s="10">
        <v>46116.0</v>
      </c>
      <c r="L2031" s="6">
        <v>1.0</v>
      </c>
      <c r="M2031" s="8">
        <f t="shared" si="5"/>
        <v>0.39</v>
      </c>
      <c r="P2031" s="9"/>
    </row>
    <row r="2032">
      <c r="A2032" s="6" t="s">
        <v>5133</v>
      </c>
      <c r="B2032" s="6" t="s">
        <v>4866</v>
      </c>
      <c r="C2032" s="6" t="s">
        <v>1949</v>
      </c>
      <c r="D2032" s="6" t="s">
        <v>5134</v>
      </c>
      <c r="E2032" s="6" t="s">
        <v>2350</v>
      </c>
      <c r="F2032" s="6" t="s">
        <v>170</v>
      </c>
      <c r="G2032" s="7">
        <v>0.23</v>
      </c>
      <c r="H2032" s="6" t="s">
        <v>4845</v>
      </c>
      <c r="I2032" s="6" t="s">
        <v>20</v>
      </c>
      <c r="J2032" s="6">
        <v>2025.0</v>
      </c>
      <c r="L2032" s="6">
        <v>1.0</v>
      </c>
      <c r="M2032" s="8">
        <f t="shared" si="5"/>
        <v>0.23</v>
      </c>
      <c r="P2032" s="9"/>
    </row>
    <row r="2033">
      <c r="A2033" s="6" t="s">
        <v>5135</v>
      </c>
      <c r="B2033" s="6" t="s">
        <v>385</v>
      </c>
      <c r="C2033" s="6" t="s">
        <v>1949</v>
      </c>
      <c r="D2033" s="6" t="s">
        <v>5136</v>
      </c>
      <c r="E2033" s="6" t="s">
        <v>930</v>
      </c>
      <c r="F2033" s="6" t="s">
        <v>170</v>
      </c>
      <c r="G2033" s="7">
        <v>0.15</v>
      </c>
      <c r="H2033" s="6" t="s">
        <v>4845</v>
      </c>
      <c r="I2033" s="6" t="s">
        <v>20</v>
      </c>
      <c r="J2033" s="6">
        <v>2025.0</v>
      </c>
      <c r="L2033" s="6">
        <v>1.0</v>
      </c>
      <c r="M2033" s="8">
        <f t="shared" si="5"/>
        <v>0.15</v>
      </c>
      <c r="P2033" s="9"/>
    </row>
    <row r="2034">
      <c r="A2034" s="6" t="s">
        <v>5137</v>
      </c>
      <c r="B2034" s="6" t="s">
        <v>5138</v>
      </c>
      <c r="C2034" s="6" t="s">
        <v>295</v>
      </c>
      <c r="D2034" s="6" t="s">
        <v>5139</v>
      </c>
      <c r="E2034" s="6" t="s">
        <v>2754</v>
      </c>
      <c r="F2034" s="6" t="s">
        <v>170</v>
      </c>
      <c r="G2034" s="7">
        <v>0.03</v>
      </c>
      <c r="H2034" s="6" t="s">
        <v>4845</v>
      </c>
      <c r="I2034" s="6" t="s">
        <v>20</v>
      </c>
      <c r="J2034" s="6">
        <v>2025.0</v>
      </c>
      <c r="K2034" s="10">
        <v>46147.0</v>
      </c>
      <c r="L2034" s="6">
        <v>2.0</v>
      </c>
      <c r="M2034" s="8">
        <f t="shared" si="5"/>
        <v>0.06</v>
      </c>
      <c r="P2034" s="9"/>
    </row>
    <row r="2035">
      <c r="A2035" s="6" t="s">
        <v>5140</v>
      </c>
      <c r="B2035" s="6" t="s">
        <v>5141</v>
      </c>
      <c r="C2035" s="6" t="s">
        <v>295</v>
      </c>
      <c r="D2035" s="6" t="s">
        <v>5142</v>
      </c>
      <c r="E2035" s="6" t="s">
        <v>2350</v>
      </c>
      <c r="F2035" s="6" t="s">
        <v>170</v>
      </c>
      <c r="G2035" s="7">
        <v>0.06</v>
      </c>
      <c r="H2035" s="6" t="s">
        <v>4845</v>
      </c>
      <c r="I2035" s="6" t="s">
        <v>20</v>
      </c>
      <c r="J2035" s="6">
        <v>2025.0</v>
      </c>
      <c r="K2035" s="10">
        <v>46055.0</v>
      </c>
      <c r="L2035" s="6">
        <v>4.0</v>
      </c>
      <c r="M2035" s="8">
        <f t="shared" si="5"/>
        <v>0.24</v>
      </c>
      <c r="P2035" s="9"/>
    </row>
    <row r="2036">
      <c r="A2036" s="6" t="s">
        <v>5143</v>
      </c>
      <c r="B2036" s="6" t="s">
        <v>591</v>
      </c>
      <c r="C2036" s="6" t="s">
        <v>295</v>
      </c>
      <c r="D2036" s="6" t="s">
        <v>5144</v>
      </c>
      <c r="E2036" s="6" t="s">
        <v>930</v>
      </c>
      <c r="F2036" s="6" t="s">
        <v>170</v>
      </c>
      <c r="G2036" s="7">
        <v>0.09</v>
      </c>
      <c r="H2036" s="6" t="s">
        <v>4845</v>
      </c>
      <c r="I2036" s="6" t="s">
        <v>20</v>
      </c>
      <c r="J2036" s="6">
        <v>2025.0</v>
      </c>
      <c r="K2036" s="10">
        <v>46054.0</v>
      </c>
      <c r="L2036" s="6">
        <v>4.0</v>
      </c>
      <c r="M2036" s="8">
        <f t="shared" si="5"/>
        <v>0.36</v>
      </c>
      <c r="P2036" s="9"/>
    </row>
    <row r="2037">
      <c r="A2037" s="6" t="s">
        <v>5145</v>
      </c>
      <c r="B2037" s="6" t="s">
        <v>4866</v>
      </c>
      <c r="C2037" s="6" t="s">
        <v>295</v>
      </c>
      <c r="D2037" s="6" t="s">
        <v>5146</v>
      </c>
      <c r="E2037" s="6" t="s">
        <v>2350</v>
      </c>
      <c r="F2037" s="6" t="s">
        <v>170</v>
      </c>
      <c r="G2037" s="7">
        <v>0.06</v>
      </c>
      <c r="H2037" s="6" t="s">
        <v>4845</v>
      </c>
      <c r="I2037" s="6" t="s">
        <v>20</v>
      </c>
      <c r="J2037" s="6">
        <v>2025.0</v>
      </c>
      <c r="L2037" s="6">
        <v>3.0</v>
      </c>
      <c r="M2037" s="8">
        <f t="shared" si="5"/>
        <v>0.18</v>
      </c>
      <c r="P2037" s="9"/>
    </row>
    <row r="2038">
      <c r="A2038" s="6" t="s">
        <v>5147</v>
      </c>
      <c r="B2038" s="6" t="s">
        <v>5148</v>
      </c>
      <c r="C2038" s="6" t="s">
        <v>1949</v>
      </c>
      <c r="D2038" s="6" t="s">
        <v>5149</v>
      </c>
      <c r="E2038" s="6" t="s">
        <v>2342</v>
      </c>
      <c r="F2038" s="6" t="s">
        <v>170</v>
      </c>
      <c r="G2038" s="7">
        <v>0.15</v>
      </c>
      <c r="H2038" s="6" t="s">
        <v>4845</v>
      </c>
      <c r="I2038" s="6" t="s">
        <v>20</v>
      </c>
      <c r="J2038" s="6">
        <v>2025.0</v>
      </c>
      <c r="K2038" s="10">
        <v>46055.0</v>
      </c>
      <c r="L2038" s="6">
        <v>1.0</v>
      </c>
      <c r="M2038" s="8">
        <f t="shared" si="5"/>
        <v>0.15</v>
      </c>
      <c r="P2038" s="9"/>
    </row>
    <row r="2039">
      <c r="A2039" s="6" t="s">
        <v>5150</v>
      </c>
      <c r="B2039" s="6" t="s">
        <v>5151</v>
      </c>
      <c r="C2039" s="6" t="s">
        <v>1949</v>
      </c>
      <c r="D2039" s="6" t="s">
        <v>5152</v>
      </c>
      <c r="E2039" s="6" t="s">
        <v>2342</v>
      </c>
      <c r="F2039" s="6" t="s">
        <v>170</v>
      </c>
      <c r="G2039" s="7">
        <v>0.14</v>
      </c>
      <c r="H2039" s="6" t="s">
        <v>4845</v>
      </c>
      <c r="I2039" s="6" t="s">
        <v>20</v>
      </c>
      <c r="J2039" s="6">
        <v>2025.0</v>
      </c>
      <c r="K2039" s="10">
        <v>46085.0</v>
      </c>
      <c r="L2039" s="6">
        <v>1.0</v>
      </c>
      <c r="M2039" s="8">
        <f t="shared" si="5"/>
        <v>0.14</v>
      </c>
      <c r="P2039" s="9"/>
    </row>
    <row r="2040">
      <c r="A2040" s="6" t="s">
        <v>5150</v>
      </c>
      <c r="B2040" s="6" t="s">
        <v>5151</v>
      </c>
      <c r="C2040" s="6" t="s">
        <v>1949</v>
      </c>
      <c r="D2040" s="6" t="s">
        <v>5152</v>
      </c>
      <c r="E2040" s="6" t="s">
        <v>2342</v>
      </c>
      <c r="F2040" s="6" t="s">
        <v>170</v>
      </c>
      <c r="G2040" s="7">
        <v>0.1</v>
      </c>
      <c r="H2040" s="6" t="s">
        <v>4845</v>
      </c>
      <c r="I2040" s="6" t="s">
        <v>31</v>
      </c>
      <c r="J2040" s="6">
        <v>2025.0</v>
      </c>
      <c r="K2040" s="10">
        <v>46085.0</v>
      </c>
      <c r="L2040" s="6">
        <v>1.0</v>
      </c>
      <c r="M2040" s="8">
        <f t="shared" si="5"/>
        <v>0.1</v>
      </c>
      <c r="P2040" s="9"/>
    </row>
    <row r="2041">
      <c r="A2041" s="6" t="s">
        <v>5153</v>
      </c>
      <c r="B2041" s="6" t="s">
        <v>5154</v>
      </c>
      <c r="C2041" s="6" t="s">
        <v>295</v>
      </c>
      <c r="D2041" s="6" t="s">
        <v>5155</v>
      </c>
      <c r="E2041" s="6" t="s">
        <v>2757</v>
      </c>
      <c r="F2041" s="6" t="s">
        <v>170</v>
      </c>
      <c r="G2041" s="7">
        <v>0.05</v>
      </c>
      <c r="H2041" s="6" t="s">
        <v>4845</v>
      </c>
      <c r="I2041" s="6" t="s">
        <v>20</v>
      </c>
      <c r="J2041" s="6">
        <v>2025.0</v>
      </c>
      <c r="K2041" s="10">
        <v>46178.0</v>
      </c>
      <c r="L2041" s="6">
        <v>1.0</v>
      </c>
      <c r="M2041" s="8">
        <f t="shared" si="5"/>
        <v>0.05</v>
      </c>
      <c r="P2041" s="9"/>
    </row>
    <row r="2042">
      <c r="A2042" s="6" t="s">
        <v>5156</v>
      </c>
      <c r="B2042" s="6" t="s">
        <v>5157</v>
      </c>
      <c r="C2042" s="6" t="s">
        <v>1949</v>
      </c>
      <c r="D2042" s="6" t="s">
        <v>5158</v>
      </c>
      <c r="E2042" s="6" t="s">
        <v>2350</v>
      </c>
      <c r="F2042" s="6" t="s">
        <v>170</v>
      </c>
      <c r="G2042" s="7">
        <v>0.15</v>
      </c>
      <c r="H2042" s="6" t="s">
        <v>4845</v>
      </c>
      <c r="I2042" s="6" t="s">
        <v>20</v>
      </c>
      <c r="J2042" s="6">
        <v>2025.0</v>
      </c>
      <c r="K2042" s="10">
        <v>46056.0</v>
      </c>
      <c r="L2042" s="6">
        <v>1.0</v>
      </c>
      <c r="M2042" s="8">
        <f t="shared" si="5"/>
        <v>0.15</v>
      </c>
      <c r="P2042" s="9"/>
    </row>
    <row r="2043">
      <c r="A2043" s="6" t="s">
        <v>5159</v>
      </c>
      <c r="B2043" s="6" t="s">
        <v>4863</v>
      </c>
      <c r="C2043" s="6" t="s">
        <v>1949</v>
      </c>
      <c r="D2043" s="6" t="s">
        <v>5160</v>
      </c>
      <c r="E2043" s="6" t="s">
        <v>2342</v>
      </c>
      <c r="F2043" s="6" t="s">
        <v>170</v>
      </c>
      <c r="G2043" s="7">
        <v>0.25</v>
      </c>
      <c r="H2043" s="6" t="s">
        <v>4845</v>
      </c>
      <c r="I2043" s="6" t="s">
        <v>20</v>
      </c>
      <c r="J2043" s="6">
        <v>2025.0</v>
      </c>
      <c r="L2043" s="6">
        <v>1.0</v>
      </c>
      <c r="M2043" s="8">
        <f t="shared" si="5"/>
        <v>0.25</v>
      </c>
      <c r="P2043" s="9"/>
    </row>
    <row r="2044">
      <c r="A2044" s="6" t="s">
        <v>5159</v>
      </c>
      <c r="B2044" s="6" t="s">
        <v>4863</v>
      </c>
      <c r="C2044" s="6" t="s">
        <v>1949</v>
      </c>
      <c r="D2044" s="6" t="s">
        <v>5160</v>
      </c>
      <c r="E2044" s="6" t="s">
        <v>2342</v>
      </c>
      <c r="F2044" s="6" t="s">
        <v>170</v>
      </c>
      <c r="G2044" s="7">
        <v>2.97</v>
      </c>
      <c r="H2044" s="6" t="s">
        <v>4845</v>
      </c>
      <c r="I2044" s="6" t="s">
        <v>31</v>
      </c>
      <c r="J2044" s="6">
        <v>2025.0</v>
      </c>
      <c r="L2044" s="6">
        <v>1.0</v>
      </c>
      <c r="M2044" s="8">
        <f t="shared" si="5"/>
        <v>2.97</v>
      </c>
      <c r="P2044" s="9"/>
    </row>
    <row r="2045">
      <c r="A2045" s="6" t="s">
        <v>5161</v>
      </c>
      <c r="B2045" s="6" t="s">
        <v>5162</v>
      </c>
      <c r="C2045" s="6" t="s">
        <v>295</v>
      </c>
      <c r="D2045" s="6" t="s">
        <v>5163</v>
      </c>
      <c r="E2045" s="6" t="s">
        <v>2503</v>
      </c>
      <c r="F2045" s="6" t="s">
        <v>18</v>
      </c>
      <c r="G2045" s="7">
        <v>0.12</v>
      </c>
      <c r="H2045" s="6" t="s">
        <v>4845</v>
      </c>
      <c r="I2045" s="6" t="s">
        <v>20</v>
      </c>
      <c r="J2045" s="6">
        <v>2025.0</v>
      </c>
      <c r="K2045" s="10">
        <v>46116.0</v>
      </c>
      <c r="L2045" s="6">
        <v>1.0</v>
      </c>
      <c r="M2045" s="8">
        <f t="shared" si="5"/>
        <v>0.12</v>
      </c>
      <c r="P2045" s="9"/>
    </row>
    <row r="2046">
      <c r="A2046" s="6" t="s">
        <v>5164</v>
      </c>
      <c r="B2046" s="6" t="s">
        <v>5165</v>
      </c>
      <c r="C2046" s="6" t="s">
        <v>295</v>
      </c>
      <c r="D2046" s="6" t="s">
        <v>5166</v>
      </c>
      <c r="E2046" s="6" t="s">
        <v>780</v>
      </c>
      <c r="F2046" s="6" t="s">
        <v>18</v>
      </c>
      <c r="G2046" s="7">
        <v>0.04</v>
      </c>
      <c r="H2046" s="6" t="s">
        <v>4845</v>
      </c>
      <c r="I2046" s="6" t="s">
        <v>20</v>
      </c>
      <c r="J2046" s="6">
        <v>2025.0</v>
      </c>
      <c r="K2046" s="6" t="s">
        <v>564</v>
      </c>
      <c r="L2046" s="6">
        <v>1.0</v>
      </c>
      <c r="M2046" s="8">
        <f t="shared" si="5"/>
        <v>0.04</v>
      </c>
      <c r="P2046" s="9"/>
    </row>
    <row r="2047">
      <c r="A2047" s="6" t="s">
        <v>5167</v>
      </c>
      <c r="B2047" s="6" t="s">
        <v>4863</v>
      </c>
      <c r="C2047" s="6" t="s">
        <v>1949</v>
      </c>
      <c r="D2047" s="6" t="s">
        <v>5168</v>
      </c>
      <c r="E2047" s="6" t="s">
        <v>1954</v>
      </c>
      <c r="F2047" s="6" t="s">
        <v>18</v>
      </c>
      <c r="G2047" s="7">
        <v>0.98</v>
      </c>
      <c r="H2047" s="6" t="s">
        <v>4845</v>
      </c>
      <c r="I2047" s="6" t="s">
        <v>20</v>
      </c>
      <c r="J2047" s="6">
        <v>2025.0</v>
      </c>
      <c r="L2047" s="6">
        <v>1.0</v>
      </c>
      <c r="M2047" s="8">
        <f t="shared" si="5"/>
        <v>0.98</v>
      </c>
      <c r="P2047" s="9"/>
    </row>
    <row r="2048">
      <c r="A2048" s="6" t="s">
        <v>5169</v>
      </c>
      <c r="B2048" s="6" t="s">
        <v>4866</v>
      </c>
      <c r="C2048" s="6" t="s">
        <v>295</v>
      </c>
      <c r="D2048" s="6" t="s">
        <v>5170</v>
      </c>
      <c r="E2048" s="6" t="s">
        <v>2295</v>
      </c>
      <c r="F2048" s="6" t="s">
        <v>18</v>
      </c>
      <c r="G2048" s="7">
        <v>0.13</v>
      </c>
      <c r="H2048" s="6" t="s">
        <v>4845</v>
      </c>
      <c r="I2048" s="6" t="s">
        <v>20</v>
      </c>
      <c r="J2048" s="6">
        <v>2025.0</v>
      </c>
      <c r="L2048" s="6">
        <v>1.0</v>
      </c>
      <c r="M2048" s="8">
        <f t="shared" si="5"/>
        <v>0.13</v>
      </c>
      <c r="P2048" s="9"/>
    </row>
    <row r="2049">
      <c r="A2049" s="6" t="s">
        <v>5171</v>
      </c>
      <c r="B2049" s="6" t="s">
        <v>5172</v>
      </c>
      <c r="C2049" s="6" t="s">
        <v>1897</v>
      </c>
      <c r="D2049" s="6" t="s">
        <v>5173</v>
      </c>
      <c r="E2049" s="6" t="s">
        <v>2299</v>
      </c>
      <c r="F2049" s="6" t="s">
        <v>18</v>
      </c>
      <c r="G2049" s="7">
        <v>0.95</v>
      </c>
      <c r="H2049" s="6" t="s">
        <v>4845</v>
      </c>
      <c r="I2049" s="6" t="s">
        <v>20</v>
      </c>
      <c r="J2049" s="6">
        <v>2025.0</v>
      </c>
      <c r="K2049" s="10">
        <v>46116.0</v>
      </c>
      <c r="L2049" s="6">
        <v>1.0</v>
      </c>
      <c r="M2049" s="8">
        <f t="shared" si="5"/>
        <v>0.95</v>
      </c>
      <c r="P2049" s="9"/>
    </row>
    <row r="2050">
      <c r="A2050" s="6" t="s">
        <v>5174</v>
      </c>
      <c r="B2050" s="6" t="s">
        <v>610</v>
      </c>
      <c r="C2050" s="6" t="s">
        <v>295</v>
      </c>
      <c r="D2050" s="6" t="s">
        <v>5175</v>
      </c>
      <c r="E2050" s="6" t="s">
        <v>1954</v>
      </c>
      <c r="F2050" s="6" t="s">
        <v>18</v>
      </c>
      <c r="G2050" s="7">
        <v>0.08</v>
      </c>
      <c r="H2050" s="6" t="s">
        <v>4845</v>
      </c>
      <c r="I2050" s="6" t="s">
        <v>20</v>
      </c>
      <c r="J2050" s="6">
        <v>2025.0</v>
      </c>
      <c r="L2050" s="6">
        <v>2.0</v>
      </c>
      <c r="M2050" s="8">
        <f t="shared" si="5"/>
        <v>0.16</v>
      </c>
      <c r="P2050" s="9"/>
    </row>
    <row r="2051">
      <c r="A2051" s="6" t="s">
        <v>5176</v>
      </c>
      <c r="B2051" s="6" t="s">
        <v>5177</v>
      </c>
      <c r="C2051" s="6" t="s">
        <v>295</v>
      </c>
      <c r="D2051" s="6" t="s">
        <v>5178</v>
      </c>
      <c r="E2051" s="6" t="s">
        <v>2295</v>
      </c>
      <c r="F2051" s="6" t="s">
        <v>18</v>
      </c>
      <c r="G2051" s="7">
        <v>0.08</v>
      </c>
      <c r="H2051" s="6" t="s">
        <v>4845</v>
      </c>
      <c r="I2051" s="6" t="s">
        <v>20</v>
      </c>
      <c r="J2051" s="6">
        <v>2025.0</v>
      </c>
      <c r="K2051" s="10">
        <v>46025.0</v>
      </c>
      <c r="L2051" s="6">
        <v>3.0</v>
      </c>
      <c r="M2051" s="8">
        <f t="shared" si="5"/>
        <v>0.24</v>
      </c>
      <c r="P2051" s="9"/>
    </row>
    <row r="2052">
      <c r="A2052" s="6" t="s">
        <v>5179</v>
      </c>
      <c r="B2052" s="6" t="s">
        <v>610</v>
      </c>
      <c r="C2052" s="6" t="s">
        <v>1949</v>
      </c>
      <c r="D2052" s="6" t="s">
        <v>5180</v>
      </c>
      <c r="E2052" s="6" t="s">
        <v>2295</v>
      </c>
      <c r="F2052" s="6" t="s">
        <v>18</v>
      </c>
      <c r="G2052" s="7">
        <v>0.12</v>
      </c>
      <c r="H2052" s="6" t="s">
        <v>4845</v>
      </c>
      <c r="I2052" s="6" t="s">
        <v>20</v>
      </c>
      <c r="J2052" s="6">
        <v>2025.0</v>
      </c>
      <c r="L2052" s="6">
        <v>2.0</v>
      </c>
      <c r="M2052" s="8">
        <f t="shared" si="5"/>
        <v>0.24</v>
      </c>
      <c r="P2052" s="9"/>
    </row>
    <row r="2053">
      <c r="A2053" s="6" t="s">
        <v>5181</v>
      </c>
      <c r="B2053" s="6" t="s">
        <v>4901</v>
      </c>
      <c r="C2053" s="6" t="s">
        <v>1949</v>
      </c>
      <c r="D2053" s="6" t="s">
        <v>5182</v>
      </c>
      <c r="E2053" s="6" t="s">
        <v>2295</v>
      </c>
      <c r="F2053" s="6" t="s">
        <v>18</v>
      </c>
      <c r="G2053" s="7">
        <v>0.2</v>
      </c>
      <c r="H2053" s="6" t="s">
        <v>4845</v>
      </c>
      <c r="I2053" s="6" t="s">
        <v>20</v>
      </c>
      <c r="J2053" s="6">
        <v>2025.0</v>
      </c>
      <c r="K2053" s="6" t="s">
        <v>717</v>
      </c>
      <c r="L2053" s="6">
        <v>2.0</v>
      </c>
      <c r="M2053" s="8">
        <f t="shared" si="5"/>
        <v>0.4</v>
      </c>
      <c r="P2053" s="9"/>
    </row>
    <row r="2054">
      <c r="A2054" s="6" t="s">
        <v>5183</v>
      </c>
      <c r="B2054" s="6" t="s">
        <v>5184</v>
      </c>
      <c r="C2054" s="6" t="s">
        <v>1949</v>
      </c>
      <c r="D2054" s="6" t="s">
        <v>5185</v>
      </c>
      <c r="E2054" s="6" t="s">
        <v>1954</v>
      </c>
      <c r="F2054" s="6" t="s">
        <v>18</v>
      </c>
      <c r="G2054" s="7">
        <v>0.15</v>
      </c>
      <c r="H2054" s="6" t="s">
        <v>4845</v>
      </c>
      <c r="I2054" s="6" t="s">
        <v>20</v>
      </c>
      <c r="J2054" s="6">
        <v>2025.0</v>
      </c>
      <c r="K2054" s="10">
        <v>46023.0</v>
      </c>
      <c r="L2054" s="6">
        <v>1.0</v>
      </c>
      <c r="M2054" s="8">
        <f t="shared" si="5"/>
        <v>0.15</v>
      </c>
      <c r="P2054" s="9"/>
    </row>
    <row r="2055">
      <c r="A2055" s="6" t="s">
        <v>5186</v>
      </c>
      <c r="B2055" s="6" t="s">
        <v>1753</v>
      </c>
      <c r="C2055" s="6" t="s">
        <v>1897</v>
      </c>
      <c r="D2055" s="6" t="s">
        <v>5187</v>
      </c>
      <c r="E2055" s="6" t="s">
        <v>2295</v>
      </c>
      <c r="F2055" s="6" t="s">
        <v>18</v>
      </c>
      <c r="G2055" s="7">
        <v>19.19</v>
      </c>
      <c r="H2055" s="6" t="s">
        <v>4845</v>
      </c>
      <c r="I2055" s="6" t="s">
        <v>20</v>
      </c>
      <c r="J2055" s="6">
        <v>2025.0</v>
      </c>
      <c r="L2055" s="6">
        <v>1.0</v>
      </c>
      <c r="M2055" s="8">
        <f t="shared" si="5"/>
        <v>19.19</v>
      </c>
      <c r="P2055" s="9"/>
    </row>
    <row r="2056">
      <c r="A2056" s="6" t="s">
        <v>5188</v>
      </c>
      <c r="B2056" s="6" t="s">
        <v>4892</v>
      </c>
      <c r="C2056" s="6" t="s">
        <v>295</v>
      </c>
      <c r="D2056" s="6" t="s">
        <v>5189</v>
      </c>
      <c r="E2056" s="6" t="s">
        <v>2295</v>
      </c>
      <c r="F2056" s="6" t="s">
        <v>18</v>
      </c>
      <c r="G2056" s="7">
        <v>0.04</v>
      </c>
      <c r="H2056" s="6" t="s">
        <v>4845</v>
      </c>
      <c r="I2056" s="6" t="s">
        <v>20</v>
      </c>
      <c r="J2056" s="6">
        <v>2025.0</v>
      </c>
      <c r="K2056" s="10">
        <v>46083.0</v>
      </c>
      <c r="L2056" s="6">
        <v>3.0</v>
      </c>
      <c r="M2056" s="8">
        <f t="shared" si="5"/>
        <v>0.12</v>
      </c>
      <c r="P2056" s="9"/>
    </row>
    <row r="2057">
      <c r="A2057" s="6" t="s">
        <v>5190</v>
      </c>
      <c r="B2057" s="6" t="s">
        <v>4892</v>
      </c>
      <c r="C2057" s="6" t="s">
        <v>1949</v>
      </c>
      <c r="D2057" s="6" t="s">
        <v>5191</v>
      </c>
      <c r="E2057" s="6" t="s">
        <v>2299</v>
      </c>
      <c r="F2057" s="6" t="s">
        <v>18</v>
      </c>
      <c r="G2057" s="7">
        <v>0.15</v>
      </c>
      <c r="H2057" s="6" t="s">
        <v>4845</v>
      </c>
      <c r="I2057" s="6" t="s">
        <v>20</v>
      </c>
      <c r="J2057" s="6">
        <v>2025.0</v>
      </c>
      <c r="K2057" s="10">
        <v>46055.0</v>
      </c>
      <c r="L2057" s="6">
        <v>1.0</v>
      </c>
      <c r="M2057" s="8">
        <f t="shared" si="5"/>
        <v>0.15</v>
      </c>
      <c r="P2057" s="9"/>
    </row>
    <row r="2058">
      <c r="A2058" s="6" t="s">
        <v>5192</v>
      </c>
      <c r="B2058" s="6" t="s">
        <v>5039</v>
      </c>
      <c r="C2058" s="6" t="s">
        <v>1949</v>
      </c>
      <c r="D2058" s="6" t="s">
        <v>5193</v>
      </c>
      <c r="E2058" s="6" t="s">
        <v>1954</v>
      </c>
      <c r="F2058" s="6" t="s">
        <v>18</v>
      </c>
      <c r="G2058" s="7">
        <v>0.24</v>
      </c>
      <c r="H2058" s="6" t="s">
        <v>4845</v>
      </c>
      <c r="I2058" s="6" t="s">
        <v>20</v>
      </c>
      <c r="J2058" s="6">
        <v>2025.0</v>
      </c>
      <c r="K2058" s="10">
        <v>46055.0</v>
      </c>
      <c r="L2058" s="6">
        <v>1.0</v>
      </c>
      <c r="M2058" s="8">
        <f t="shared" si="5"/>
        <v>0.24</v>
      </c>
      <c r="P2058" s="9"/>
    </row>
    <row r="2059">
      <c r="A2059" s="6" t="s">
        <v>5194</v>
      </c>
      <c r="B2059" s="6" t="s">
        <v>5195</v>
      </c>
      <c r="C2059" s="6" t="s">
        <v>295</v>
      </c>
      <c r="D2059" s="6" t="s">
        <v>5196</v>
      </c>
      <c r="E2059" s="6" t="s">
        <v>2510</v>
      </c>
      <c r="F2059" s="6" t="s">
        <v>18</v>
      </c>
      <c r="G2059" s="7">
        <v>0.04</v>
      </c>
      <c r="H2059" s="6" t="s">
        <v>4845</v>
      </c>
      <c r="I2059" s="6" t="s">
        <v>20</v>
      </c>
      <c r="J2059" s="6">
        <v>2025.0</v>
      </c>
      <c r="K2059" s="10">
        <v>46210.0</v>
      </c>
      <c r="L2059" s="6">
        <v>5.0</v>
      </c>
      <c r="M2059" s="8">
        <f t="shared" si="5"/>
        <v>0.2</v>
      </c>
      <c r="P2059" s="9"/>
    </row>
    <row r="2060">
      <c r="A2060" s="6" t="s">
        <v>5194</v>
      </c>
      <c r="B2060" s="6" t="s">
        <v>5195</v>
      </c>
      <c r="C2060" s="6" t="s">
        <v>295</v>
      </c>
      <c r="D2060" s="6" t="s">
        <v>5196</v>
      </c>
      <c r="E2060" s="6" t="s">
        <v>2510</v>
      </c>
      <c r="F2060" s="6" t="s">
        <v>18</v>
      </c>
      <c r="G2060" s="7">
        <v>0.34</v>
      </c>
      <c r="H2060" s="6" t="s">
        <v>4845</v>
      </c>
      <c r="I2060" s="6" t="s">
        <v>31</v>
      </c>
      <c r="J2060" s="6">
        <v>2025.0</v>
      </c>
      <c r="K2060" s="10">
        <v>46210.0</v>
      </c>
      <c r="L2060" s="6">
        <v>1.0</v>
      </c>
      <c r="M2060" s="8">
        <f t="shared" si="5"/>
        <v>0.34</v>
      </c>
      <c r="P2060" s="9"/>
    </row>
    <row r="2061">
      <c r="A2061" s="6" t="s">
        <v>5197</v>
      </c>
      <c r="B2061" s="6" t="s">
        <v>610</v>
      </c>
      <c r="C2061" s="6" t="s">
        <v>295</v>
      </c>
      <c r="D2061" s="6" t="s">
        <v>5198</v>
      </c>
      <c r="E2061" s="6" t="s">
        <v>780</v>
      </c>
      <c r="F2061" s="6" t="s">
        <v>18</v>
      </c>
      <c r="G2061" s="7">
        <v>0.08</v>
      </c>
      <c r="H2061" s="6" t="s">
        <v>4845</v>
      </c>
      <c r="I2061" s="6" t="s">
        <v>20</v>
      </c>
      <c r="J2061" s="6">
        <v>2025.0</v>
      </c>
      <c r="L2061" s="6">
        <v>3.0</v>
      </c>
      <c r="M2061" s="8">
        <f t="shared" si="5"/>
        <v>0.24</v>
      </c>
      <c r="P2061" s="9"/>
    </row>
    <row r="2062">
      <c r="A2062" s="6" t="s">
        <v>5197</v>
      </c>
      <c r="B2062" s="6" t="s">
        <v>610</v>
      </c>
      <c r="C2062" s="6" t="s">
        <v>295</v>
      </c>
      <c r="D2062" s="6" t="s">
        <v>5198</v>
      </c>
      <c r="E2062" s="6" t="s">
        <v>780</v>
      </c>
      <c r="F2062" s="6" t="s">
        <v>18</v>
      </c>
      <c r="G2062" s="7">
        <v>0.25</v>
      </c>
      <c r="H2062" s="6" t="s">
        <v>4845</v>
      </c>
      <c r="I2062" s="6" t="s">
        <v>31</v>
      </c>
      <c r="J2062" s="6">
        <v>2025.0</v>
      </c>
      <c r="L2062" s="6">
        <v>1.0</v>
      </c>
      <c r="M2062" s="8">
        <f t="shared" si="5"/>
        <v>0.25</v>
      </c>
      <c r="P2062" s="9"/>
    </row>
    <row r="2063">
      <c r="A2063" s="6" t="s">
        <v>5199</v>
      </c>
      <c r="B2063" s="6" t="s">
        <v>5200</v>
      </c>
      <c r="C2063" s="6" t="s">
        <v>295</v>
      </c>
      <c r="D2063" s="6" t="s">
        <v>5201</v>
      </c>
      <c r="E2063" s="6" t="s">
        <v>2299</v>
      </c>
      <c r="F2063" s="6" t="s">
        <v>18</v>
      </c>
      <c r="G2063" s="7">
        <v>0.06</v>
      </c>
      <c r="H2063" s="6" t="s">
        <v>4845</v>
      </c>
      <c r="I2063" s="6" t="s">
        <v>20</v>
      </c>
      <c r="J2063" s="6">
        <v>2025.0</v>
      </c>
      <c r="K2063" s="10">
        <v>46085.0</v>
      </c>
      <c r="L2063" s="6">
        <v>3.0</v>
      </c>
      <c r="M2063" s="8">
        <f t="shared" si="5"/>
        <v>0.18</v>
      </c>
      <c r="P2063" s="9"/>
    </row>
    <row r="2064">
      <c r="A2064" s="6" t="s">
        <v>5202</v>
      </c>
      <c r="B2064" s="6" t="s">
        <v>5039</v>
      </c>
      <c r="C2064" s="6" t="s">
        <v>295</v>
      </c>
      <c r="D2064" s="6" t="s">
        <v>5203</v>
      </c>
      <c r="E2064" s="6" t="s">
        <v>1954</v>
      </c>
      <c r="F2064" s="6" t="s">
        <v>18</v>
      </c>
      <c r="G2064" s="7">
        <v>0.19</v>
      </c>
      <c r="H2064" s="6" t="s">
        <v>4845</v>
      </c>
      <c r="I2064" s="6" t="s">
        <v>31</v>
      </c>
      <c r="J2064" s="6">
        <v>2025.0</v>
      </c>
      <c r="K2064" s="10">
        <v>46024.0</v>
      </c>
      <c r="L2064" s="6">
        <v>1.0</v>
      </c>
      <c r="M2064" s="8">
        <f t="shared" si="5"/>
        <v>0.19</v>
      </c>
      <c r="P2064" s="9"/>
    </row>
    <row r="2065">
      <c r="A2065" s="6" t="s">
        <v>5202</v>
      </c>
      <c r="B2065" s="6" t="s">
        <v>5039</v>
      </c>
      <c r="C2065" s="6" t="s">
        <v>295</v>
      </c>
      <c r="D2065" s="6" t="s">
        <v>5203</v>
      </c>
      <c r="E2065" s="6" t="s">
        <v>1954</v>
      </c>
      <c r="F2065" s="6" t="s">
        <v>18</v>
      </c>
      <c r="G2065" s="7">
        <v>0.1</v>
      </c>
      <c r="H2065" s="6" t="s">
        <v>4845</v>
      </c>
      <c r="I2065" s="6" t="s">
        <v>20</v>
      </c>
      <c r="J2065" s="6">
        <v>2025.0</v>
      </c>
      <c r="K2065" s="10">
        <v>46024.0</v>
      </c>
      <c r="L2065" s="6">
        <v>5.0</v>
      </c>
      <c r="M2065" s="8">
        <f t="shared" si="5"/>
        <v>0.5</v>
      </c>
      <c r="P2065" s="9"/>
    </row>
    <row r="2066">
      <c r="A2066" s="6" t="s">
        <v>5204</v>
      </c>
      <c r="B2066" s="6" t="s">
        <v>4863</v>
      </c>
      <c r="C2066" s="6" t="s">
        <v>1949</v>
      </c>
      <c r="D2066" s="6" t="s">
        <v>5205</v>
      </c>
      <c r="E2066" s="6" t="s">
        <v>780</v>
      </c>
      <c r="F2066" s="6" t="s">
        <v>18</v>
      </c>
      <c r="G2066" s="7">
        <v>0.2</v>
      </c>
      <c r="H2066" s="6" t="s">
        <v>4845</v>
      </c>
      <c r="I2066" s="6" t="s">
        <v>20</v>
      </c>
      <c r="J2066" s="6">
        <v>2025.0</v>
      </c>
      <c r="L2066" s="6">
        <v>1.0</v>
      </c>
      <c r="M2066" s="8">
        <f t="shared" si="5"/>
        <v>0.2</v>
      </c>
      <c r="P2066" s="9"/>
    </row>
    <row r="2067">
      <c r="A2067" s="6" t="s">
        <v>5206</v>
      </c>
      <c r="B2067" s="6" t="s">
        <v>5067</v>
      </c>
      <c r="C2067" s="6" t="s">
        <v>1949</v>
      </c>
      <c r="D2067" s="6" t="s">
        <v>5207</v>
      </c>
      <c r="E2067" s="6" t="s">
        <v>2299</v>
      </c>
      <c r="F2067" s="6" t="s">
        <v>18</v>
      </c>
      <c r="G2067" s="7">
        <v>0.1</v>
      </c>
      <c r="H2067" s="6" t="s">
        <v>4845</v>
      </c>
      <c r="I2067" s="6" t="s">
        <v>20</v>
      </c>
      <c r="J2067" s="6">
        <v>2025.0</v>
      </c>
      <c r="L2067" s="6">
        <v>1.0</v>
      </c>
      <c r="M2067" s="8">
        <f t="shared" si="5"/>
        <v>0.1</v>
      </c>
      <c r="P2067" s="9"/>
    </row>
    <row r="2068">
      <c r="A2068" s="6" t="s">
        <v>5208</v>
      </c>
      <c r="B2068" s="6" t="s">
        <v>5209</v>
      </c>
      <c r="C2068" s="6" t="s">
        <v>1949</v>
      </c>
      <c r="D2068" s="6" t="s">
        <v>5210</v>
      </c>
      <c r="E2068" s="6" t="s">
        <v>1954</v>
      </c>
      <c r="F2068" s="6" t="s">
        <v>18</v>
      </c>
      <c r="G2068" s="7">
        <v>0.2</v>
      </c>
      <c r="H2068" s="6" t="s">
        <v>4845</v>
      </c>
      <c r="I2068" s="6" t="s">
        <v>20</v>
      </c>
      <c r="J2068" s="6">
        <v>2025.0</v>
      </c>
      <c r="L2068" s="6">
        <v>1.0</v>
      </c>
      <c r="M2068" s="8">
        <f t="shared" si="5"/>
        <v>0.2</v>
      </c>
      <c r="P2068" s="9"/>
    </row>
    <row r="2069">
      <c r="A2069" s="6" t="s">
        <v>5211</v>
      </c>
      <c r="B2069" s="6" t="s">
        <v>5212</v>
      </c>
      <c r="C2069" s="6" t="s">
        <v>1949</v>
      </c>
      <c r="D2069" s="6" t="s">
        <v>5213</v>
      </c>
      <c r="E2069" s="6" t="s">
        <v>2510</v>
      </c>
      <c r="F2069" s="6" t="s">
        <v>18</v>
      </c>
      <c r="G2069" s="7">
        <v>0.15</v>
      </c>
      <c r="H2069" s="6" t="s">
        <v>4845</v>
      </c>
      <c r="I2069" s="6" t="s">
        <v>20</v>
      </c>
      <c r="J2069" s="6">
        <v>2025.0</v>
      </c>
      <c r="K2069" s="10">
        <v>46116.0</v>
      </c>
      <c r="L2069" s="6">
        <v>1.0</v>
      </c>
      <c r="M2069" s="8">
        <f t="shared" si="5"/>
        <v>0.15</v>
      </c>
      <c r="P2069" s="9"/>
    </row>
    <row r="2070">
      <c r="A2070" s="6" t="s">
        <v>5214</v>
      </c>
      <c r="B2070" s="6" t="s">
        <v>4885</v>
      </c>
      <c r="C2070" s="6" t="s">
        <v>295</v>
      </c>
      <c r="D2070" s="6" t="s">
        <v>5215</v>
      </c>
      <c r="E2070" s="6" t="s">
        <v>1954</v>
      </c>
      <c r="F2070" s="6" t="s">
        <v>18</v>
      </c>
      <c r="G2070" s="7">
        <v>0.04</v>
      </c>
      <c r="H2070" s="6" t="s">
        <v>4845</v>
      </c>
      <c r="I2070" s="6" t="s">
        <v>20</v>
      </c>
      <c r="J2070" s="6">
        <v>2025.0</v>
      </c>
      <c r="K2070" s="10">
        <v>46055.0</v>
      </c>
      <c r="L2070" s="6">
        <v>2.0</v>
      </c>
      <c r="M2070" s="8">
        <f t="shared" si="5"/>
        <v>0.08</v>
      </c>
      <c r="P2070" s="9"/>
    </row>
    <row r="2071">
      <c r="A2071" s="6" t="s">
        <v>5216</v>
      </c>
      <c r="B2071" s="6" t="s">
        <v>4948</v>
      </c>
      <c r="C2071" s="6" t="s">
        <v>1897</v>
      </c>
      <c r="D2071" s="6" t="s">
        <v>5217</v>
      </c>
      <c r="E2071" s="6" t="s">
        <v>2299</v>
      </c>
      <c r="F2071" s="6" t="s">
        <v>18</v>
      </c>
      <c r="G2071" s="7">
        <v>2.49</v>
      </c>
      <c r="H2071" s="6" t="s">
        <v>4845</v>
      </c>
      <c r="I2071" s="6" t="s">
        <v>20</v>
      </c>
      <c r="J2071" s="6">
        <v>2025.0</v>
      </c>
      <c r="K2071" s="10">
        <v>46055.0</v>
      </c>
      <c r="L2071" s="6">
        <v>1.0</v>
      </c>
      <c r="M2071" s="8">
        <f t="shared" si="5"/>
        <v>2.49</v>
      </c>
      <c r="P2071" s="9"/>
    </row>
    <row r="2072">
      <c r="A2072" s="6" t="s">
        <v>5218</v>
      </c>
      <c r="B2072" s="6" t="s">
        <v>4948</v>
      </c>
      <c r="C2072" s="6" t="s">
        <v>1949</v>
      </c>
      <c r="D2072" s="6" t="s">
        <v>5219</v>
      </c>
      <c r="E2072" s="6" t="s">
        <v>5220</v>
      </c>
      <c r="F2072" s="6" t="s">
        <v>18</v>
      </c>
      <c r="G2072" s="7">
        <v>0.2</v>
      </c>
      <c r="H2072" s="6" t="s">
        <v>4845</v>
      </c>
      <c r="I2072" s="6" t="s">
        <v>20</v>
      </c>
      <c r="J2072" s="6">
        <v>2025.0</v>
      </c>
      <c r="K2072" s="10">
        <v>46116.0</v>
      </c>
      <c r="L2072" s="6">
        <v>1.0</v>
      </c>
      <c r="M2072" s="8">
        <f t="shared" si="5"/>
        <v>0.2</v>
      </c>
      <c r="P2072" s="9"/>
    </row>
    <row r="2073">
      <c r="A2073" s="6" t="s">
        <v>5221</v>
      </c>
      <c r="B2073" s="6" t="s">
        <v>5222</v>
      </c>
      <c r="C2073" s="6" t="s">
        <v>295</v>
      </c>
      <c r="D2073" s="6" t="s">
        <v>5223</v>
      </c>
      <c r="E2073" s="6" t="s">
        <v>1856</v>
      </c>
      <c r="F2073" s="6" t="s">
        <v>277</v>
      </c>
      <c r="G2073" s="7">
        <v>0.02</v>
      </c>
      <c r="H2073" s="6" t="s">
        <v>2619</v>
      </c>
      <c r="I2073" s="6" t="s">
        <v>20</v>
      </c>
      <c r="J2073" s="6">
        <v>2019.0</v>
      </c>
      <c r="K2073" s="10">
        <v>46024.0</v>
      </c>
      <c r="L2073" s="6">
        <v>1.0</v>
      </c>
      <c r="M2073" s="8">
        <f t="shared" si="5"/>
        <v>0.02</v>
      </c>
      <c r="P2073" s="9"/>
    </row>
    <row r="2074">
      <c r="A2074" s="6" t="s">
        <v>5224</v>
      </c>
      <c r="B2074" s="6" t="s">
        <v>5225</v>
      </c>
      <c r="C2074" s="6" t="s">
        <v>1949</v>
      </c>
      <c r="E2074" s="6" t="s">
        <v>2287</v>
      </c>
      <c r="F2074" s="6" t="s">
        <v>277</v>
      </c>
      <c r="G2074" s="7">
        <v>0.02</v>
      </c>
      <c r="H2074" s="6" t="s">
        <v>5226</v>
      </c>
      <c r="I2074" s="6" t="s">
        <v>31</v>
      </c>
      <c r="J2074" s="6">
        <v>2023.0</v>
      </c>
      <c r="K2074" s="10">
        <v>46090.0</v>
      </c>
      <c r="L2074" s="6">
        <v>1.0</v>
      </c>
      <c r="M2074" s="8">
        <f t="shared" si="5"/>
        <v>0.02</v>
      </c>
      <c r="P2074" s="9"/>
    </row>
    <row r="2075">
      <c r="A2075" s="6" t="s">
        <v>5227</v>
      </c>
      <c r="B2075" s="6" t="s">
        <v>4104</v>
      </c>
      <c r="C2075" s="6" t="s">
        <v>1949</v>
      </c>
      <c r="D2075" s="6" t="s">
        <v>5228</v>
      </c>
      <c r="E2075" s="6" t="s">
        <v>5229</v>
      </c>
      <c r="F2075" s="6" t="s">
        <v>277</v>
      </c>
      <c r="G2075" s="7">
        <v>0.15</v>
      </c>
      <c r="H2075" s="6" t="s">
        <v>2186</v>
      </c>
      <c r="I2075" s="6" t="s">
        <v>20</v>
      </c>
      <c r="J2075" s="6">
        <v>2022.0</v>
      </c>
      <c r="K2075" s="10">
        <v>46117.0</v>
      </c>
      <c r="L2075" s="6">
        <v>1.0</v>
      </c>
      <c r="M2075" s="8">
        <f t="shared" si="5"/>
        <v>0.15</v>
      </c>
      <c r="P2075" s="9"/>
    </row>
    <row r="2076">
      <c r="A2076" s="6" t="s">
        <v>5230</v>
      </c>
      <c r="B2076" s="6" t="s">
        <v>3336</v>
      </c>
      <c r="C2076" s="6" t="s">
        <v>295</v>
      </c>
      <c r="D2076" s="6" t="s">
        <v>5231</v>
      </c>
      <c r="E2076" s="6" t="s">
        <v>1853</v>
      </c>
      <c r="F2076" s="6" t="s">
        <v>277</v>
      </c>
      <c r="G2076" s="7">
        <v>0.03</v>
      </c>
      <c r="H2076" s="6" t="s">
        <v>1641</v>
      </c>
      <c r="I2076" s="6" t="s">
        <v>20</v>
      </c>
      <c r="J2076" s="6">
        <v>2019.0</v>
      </c>
      <c r="K2076" s="10">
        <v>46084.0</v>
      </c>
      <c r="L2076" s="6">
        <v>1.0</v>
      </c>
      <c r="M2076" s="8">
        <f t="shared" si="5"/>
        <v>0.03</v>
      </c>
      <c r="P2076" s="9"/>
    </row>
    <row r="2077">
      <c r="A2077" s="6" t="s">
        <v>5232</v>
      </c>
      <c r="B2077" s="6" t="s">
        <v>5233</v>
      </c>
      <c r="C2077" s="6" t="s">
        <v>295</v>
      </c>
      <c r="D2077" s="6" t="s">
        <v>5234</v>
      </c>
      <c r="E2077" s="6" t="s">
        <v>1853</v>
      </c>
      <c r="F2077" s="6" t="s">
        <v>277</v>
      </c>
      <c r="G2077" s="7">
        <v>0.03</v>
      </c>
      <c r="H2077" s="6" t="s">
        <v>2474</v>
      </c>
      <c r="I2077" s="6" t="s">
        <v>20</v>
      </c>
      <c r="J2077" s="6">
        <v>2017.0</v>
      </c>
      <c r="K2077" s="10">
        <v>46057.0</v>
      </c>
      <c r="L2077" s="6">
        <v>1.0</v>
      </c>
      <c r="M2077" s="8">
        <f t="shared" si="5"/>
        <v>0.03</v>
      </c>
      <c r="P2077" s="9"/>
    </row>
    <row r="2078">
      <c r="A2078" s="6" t="s">
        <v>5235</v>
      </c>
      <c r="B2078" s="6" t="s">
        <v>4107</v>
      </c>
      <c r="C2078" s="6" t="s">
        <v>295</v>
      </c>
      <c r="D2078" s="6" t="s">
        <v>5236</v>
      </c>
      <c r="E2078" s="6" t="s">
        <v>2280</v>
      </c>
      <c r="F2078" s="6" t="s">
        <v>277</v>
      </c>
      <c r="G2078" s="7">
        <v>0.07</v>
      </c>
      <c r="H2078" s="6" t="s">
        <v>2574</v>
      </c>
      <c r="I2078" s="6" t="s">
        <v>20</v>
      </c>
      <c r="J2078" s="6">
        <v>2004.0</v>
      </c>
      <c r="K2078" s="10">
        <v>46024.0</v>
      </c>
      <c r="L2078" s="6">
        <v>1.0</v>
      </c>
      <c r="M2078" s="8">
        <f t="shared" si="5"/>
        <v>0.07</v>
      </c>
      <c r="P2078" s="9"/>
    </row>
    <row r="2079">
      <c r="A2079" s="6" t="s">
        <v>5237</v>
      </c>
      <c r="B2079" s="6" t="s">
        <v>2476</v>
      </c>
      <c r="C2079" s="6" t="s">
        <v>295</v>
      </c>
      <c r="D2079" s="6" t="s">
        <v>5238</v>
      </c>
      <c r="E2079" s="6" t="s">
        <v>1856</v>
      </c>
      <c r="F2079" s="6" t="s">
        <v>277</v>
      </c>
      <c r="G2079" s="7">
        <v>0.05</v>
      </c>
      <c r="H2079" s="6" t="s">
        <v>2006</v>
      </c>
      <c r="I2079" s="6" t="s">
        <v>20</v>
      </c>
      <c r="J2079" s="6">
        <v>2013.0</v>
      </c>
      <c r="K2079" s="10">
        <v>46055.0</v>
      </c>
      <c r="L2079" s="6">
        <v>1.0</v>
      </c>
      <c r="M2079" s="8">
        <f t="shared" si="5"/>
        <v>0.05</v>
      </c>
      <c r="P2079" s="9"/>
    </row>
    <row r="2080">
      <c r="A2080" s="6" t="s">
        <v>5239</v>
      </c>
      <c r="B2080" s="6" t="s">
        <v>5240</v>
      </c>
      <c r="C2080" s="6" t="s">
        <v>295</v>
      </c>
      <c r="D2080" s="6" t="s">
        <v>5241</v>
      </c>
      <c r="E2080" s="6" t="s">
        <v>1853</v>
      </c>
      <c r="F2080" s="6" t="s">
        <v>277</v>
      </c>
      <c r="G2080" s="7">
        <v>0.03</v>
      </c>
      <c r="H2080" s="6" t="s">
        <v>2500</v>
      </c>
      <c r="I2080" s="6" t="s">
        <v>20</v>
      </c>
      <c r="J2080" s="6">
        <v>2015.0</v>
      </c>
      <c r="K2080" s="10">
        <v>46083.0</v>
      </c>
      <c r="L2080" s="6">
        <v>1.0</v>
      </c>
      <c r="M2080" s="8">
        <f t="shared" si="5"/>
        <v>0.03</v>
      </c>
      <c r="P2080" s="9"/>
    </row>
    <row r="2081">
      <c r="A2081" s="6" t="s">
        <v>5242</v>
      </c>
      <c r="B2081" s="6" t="s">
        <v>5243</v>
      </c>
      <c r="C2081" s="6" t="s">
        <v>295</v>
      </c>
      <c r="D2081" s="6" t="s">
        <v>5244</v>
      </c>
      <c r="E2081" s="6" t="s">
        <v>3548</v>
      </c>
      <c r="F2081" s="6" t="s">
        <v>277</v>
      </c>
      <c r="G2081" s="7">
        <v>0.02</v>
      </c>
      <c r="H2081" s="6" t="s">
        <v>2619</v>
      </c>
      <c r="I2081" s="6" t="s">
        <v>20</v>
      </c>
      <c r="J2081" s="6">
        <v>2019.0</v>
      </c>
      <c r="K2081" s="10">
        <v>46146.0</v>
      </c>
      <c r="L2081" s="6">
        <v>1.0</v>
      </c>
      <c r="M2081" s="8">
        <f t="shared" si="5"/>
        <v>0.02</v>
      </c>
      <c r="P2081" s="9"/>
    </row>
    <row r="2082">
      <c r="A2082" s="6" t="s">
        <v>5245</v>
      </c>
      <c r="B2082" s="6" t="s">
        <v>5246</v>
      </c>
      <c r="C2082" s="6" t="s">
        <v>295</v>
      </c>
      <c r="D2082" s="6" t="s">
        <v>5247</v>
      </c>
      <c r="E2082" s="6" t="s">
        <v>3548</v>
      </c>
      <c r="F2082" s="6" t="s">
        <v>277</v>
      </c>
      <c r="G2082" s="7">
        <v>0.23</v>
      </c>
      <c r="H2082" s="6" t="s">
        <v>5248</v>
      </c>
      <c r="I2082" s="6" t="s">
        <v>31</v>
      </c>
      <c r="J2082" s="6">
        <v>2014.0</v>
      </c>
      <c r="K2082" s="10">
        <v>46086.0</v>
      </c>
      <c r="L2082" s="6">
        <v>2.0</v>
      </c>
      <c r="M2082" s="8">
        <f t="shared" si="5"/>
        <v>0.46</v>
      </c>
      <c r="P2082" s="9"/>
    </row>
    <row r="2083">
      <c r="A2083" s="6" t="s">
        <v>5249</v>
      </c>
      <c r="B2083" s="6" t="s">
        <v>5250</v>
      </c>
      <c r="C2083" s="6" t="s">
        <v>295</v>
      </c>
      <c r="D2083" s="6" t="s">
        <v>5251</v>
      </c>
      <c r="E2083" s="6" t="s">
        <v>1853</v>
      </c>
      <c r="F2083" s="6" t="s">
        <v>277</v>
      </c>
      <c r="G2083" s="7">
        <v>0.03</v>
      </c>
      <c r="H2083" s="6" t="s">
        <v>2598</v>
      </c>
      <c r="I2083" s="6" t="s">
        <v>20</v>
      </c>
      <c r="J2083" s="6">
        <v>2017.0</v>
      </c>
      <c r="K2083" s="10">
        <v>46055.0</v>
      </c>
      <c r="L2083" s="6">
        <v>1.0</v>
      </c>
      <c r="M2083" s="8">
        <f t="shared" si="5"/>
        <v>0.03</v>
      </c>
      <c r="P2083" s="9"/>
    </row>
    <row r="2084">
      <c r="A2084" s="6" t="s">
        <v>5252</v>
      </c>
      <c r="B2084" s="6" t="s">
        <v>5253</v>
      </c>
      <c r="C2084" s="6" t="s">
        <v>295</v>
      </c>
      <c r="D2084" s="6" t="s">
        <v>5254</v>
      </c>
      <c r="E2084" s="6" t="s">
        <v>2280</v>
      </c>
      <c r="F2084" s="6" t="s">
        <v>277</v>
      </c>
      <c r="G2084" s="7">
        <v>0.08</v>
      </c>
      <c r="H2084" s="6" t="s">
        <v>1676</v>
      </c>
      <c r="I2084" s="6" t="s">
        <v>20</v>
      </c>
      <c r="J2084" s="6">
        <v>2008.0</v>
      </c>
      <c r="K2084" s="10">
        <v>46024.0</v>
      </c>
      <c r="L2084" s="6">
        <v>1.0</v>
      </c>
      <c r="M2084" s="8">
        <f t="shared" si="5"/>
        <v>0.08</v>
      </c>
      <c r="P2084" s="9"/>
    </row>
    <row r="2085">
      <c r="A2085" s="6" t="s">
        <v>5255</v>
      </c>
      <c r="B2085" s="6" t="s">
        <v>1813</v>
      </c>
      <c r="C2085" s="6" t="s">
        <v>1949</v>
      </c>
      <c r="D2085" s="6" t="s">
        <v>5256</v>
      </c>
      <c r="F2085" s="6" t="s">
        <v>80</v>
      </c>
      <c r="G2085" s="7">
        <v>0.1</v>
      </c>
      <c r="H2085" s="6" t="s">
        <v>5257</v>
      </c>
      <c r="I2085" s="6" t="s">
        <v>20</v>
      </c>
      <c r="J2085" s="6">
        <v>2026.0</v>
      </c>
      <c r="L2085" s="6">
        <v>1.0</v>
      </c>
      <c r="M2085" s="8">
        <f t="shared" si="5"/>
        <v>0.1</v>
      </c>
      <c r="P2085" s="9"/>
    </row>
    <row r="2086">
      <c r="A2086" s="6" t="s">
        <v>5258</v>
      </c>
      <c r="B2086" s="6" t="s">
        <v>1813</v>
      </c>
      <c r="C2086" s="6" t="s">
        <v>295</v>
      </c>
      <c r="D2086" s="6" t="s">
        <v>5259</v>
      </c>
      <c r="F2086" s="6" t="s">
        <v>3177</v>
      </c>
      <c r="G2086" s="7">
        <v>0.15</v>
      </c>
      <c r="H2086" s="6" t="s">
        <v>5257</v>
      </c>
      <c r="I2086" s="6" t="s">
        <v>20</v>
      </c>
      <c r="J2086" s="6">
        <v>2026.0</v>
      </c>
      <c r="L2086" s="6">
        <v>1.0</v>
      </c>
      <c r="M2086" s="8">
        <f t="shared" si="5"/>
        <v>0.15</v>
      </c>
      <c r="P2086" s="9"/>
    </row>
    <row r="2087">
      <c r="A2087" s="6" t="s">
        <v>5260</v>
      </c>
      <c r="B2087" s="6" t="s">
        <v>1813</v>
      </c>
      <c r="C2087" s="6" t="s">
        <v>295</v>
      </c>
      <c r="D2087" s="6" t="s">
        <v>5261</v>
      </c>
      <c r="E2087" s="6">
        <v>0.14</v>
      </c>
      <c r="F2087" s="6" t="s">
        <v>3150</v>
      </c>
      <c r="G2087" s="8"/>
      <c r="H2087" s="6" t="s">
        <v>5257</v>
      </c>
      <c r="I2087" s="6" t="s">
        <v>20</v>
      </c>
      <c r="J2087" s="6">
        <v>2026.0</v>
      </c>
      <c r="L2087" s="6">
        <v>1.0</v>
      </c>
      <c r="M2087" s="8">
        <f t="shared" si="5"/>
        <v>0</v>
      </c>
      <c r="P2087" s="9"/>
    </row>
    <row r="2088">
      <c r="A2088" s="6" t="s">
        <v>5262</v>
      </c>
      <c r="B2088" s="6" t="s">
        <v>1813</v>
      </c>
      <c r="C2088" s="6" t="s">
        <v>295</v>
      </c>
      <c r="D2088" s="6" t="s">
        <v>5263</v>
      </c>
      <c r="F2088" s="6" t="s">
        <v>3196</v>
      </c>
      <c r="G2088" s="7">
        <v>0.13</v>
      </c>
      <c r="H2088" s="6" t="s">
        <v>5257</v>
      </c>
      <c r="I2088" s="6" t="s">
        <v>20</v>
      </c>
      <c r="J2088" s="6">
        <v>2026.0</v>
      </c>
      <c r="L2088" s="6">
        <v>1.0</v>
      </c>
      <c r="M2088" s="8">
        <f t="shared" si="5"/>
        <v>0.13</v>
      </c>
      <c r="P2088" s="9"/>
    </row>
    <row r="2089">
      <c r="A2089" s="6" t="s">
        <v>5264</v>
      </c>
      <c r="B2089" s="6" t="s">
        <v>1813</v>
      </c>
      <c r="C2089" s="6" t="s">
        <v>295</v>
      </c>
      <c r="D2089" s="6" t="s">
        <v>5265</v>
      </c>
      <c r="F2089" s="6" t="s">
        <v>163</v>
      </c>
      <c r="G2089" s="7">
        <v>0.22</v>
      </c>
      <c r="H2089" s="6" t="s">
        <v>5257</v>
      </c>
      <c r="I2089" s="6" t="s">
        <v>31</v>
      </c>
      <c r="J2089" s="6">
        <v>2026.0</v>
      </c>
      <c r="L2089" s="6">
        <v>1.0</v>
      </c>
      <c r="M2089" s="8">
        <f t="shared" si="5"/>
        <v>0.22</v>
      </c>
      <c r="P2089" s="9"/>
    </row>
    <row r="2090">
      <c r="A2090" s="6" t="s">
        <v>5266</v>
      </c>
      <c r="B2090" s="6" t="s">
        <v>294</v>
      </c>
      <c r="C2090" s="6" t="s">
        <v>295</v>
      </c>
      <c r="D2090" s="6" t="s">
        <v>5267</v>
      </c>
      <c r="F2090" s="6" t="s">
        <v>80</v>
      </c>
      <c r="G2090" s="7">
        <v>0.24</v>
      </c>
      <c r="H2090" s="6" t="s">
        <v>5257</v>
      </c>
      <c r="I2090" s="6" t="s">
        <v>20</v>
      </c>
      <c r="J2090" s="6">
        <v>2026.0</v>
      </c>
      <c r="L2090" s="6">
        <v>1.0</v>
      </c>
      <c r="M2090" s="8">
        <f t="shared" si="5"/>
        <v>0.24</v>
      </c>
      <c r="P2090" s="9"/>
    </row>
    <row r="2091">
      <c r="A2091" s="6" t="s">
        <v>5266</v>
      </c>
      <c r="B2091" s="6" t="s">
        <v>294</v>
      </c>
      <c r="C2091" s="6" t="s">
        <v>295</v>
      </c>
      <c r="D2091" s="6" t="s">
        <v>5267</v>
      </c>
      <c r="F2091" s="6" t="s">
        <v>80</v>
      </c>
      <c r="G2091" s="7">
        <v>0.34</v>
      </c>
      <c r="H2091" s="6" t="s">
        <v>5257</v>
      </c>
      <c r="I2091" s="6" t="s">
        <v>31</v>
      </c>
      <c r="J2091" s="6">
        <v>2026.0</v>
      </c>
      <c r="L2091" s="6">
        <v>1.0</v>
      </c>
      <c r="M2091" s="8">
        <f t="shared" si="5"/>
        <v>0.34</v>
      </c>
      <c r="P2091" s="9"/>
    </row>
    <row r="2092">
      <c r="A2092" s="6" t="s">
        <v>5268</v>
      </c>
      <c r="B2092" s="6" t="s">
        <v>5269</v>
      </c>
      <c r="C2092" s="6" t="s">
        <v>1949</v>
      </c>
      <c r="D2092" s="6" t="s">
        <v>5270</v>
      </c>
      <c r="E2092" s="6" t="s">
        <v>1718</v>
      </c>
      <c r="F2092" s="6" t="s">
        <v>80</v>
      </c>
      <c r="G2092" s="7">
        <v>0.13</v>
      </c>
      <c r="H2092" s="6" t="s">
        <v>5257</v>
      </c>
      <c r="I2092" s="6" t="s">
        <v>20</v>
      </c>
      <c r="J2092" s="6">
        <v>2026.0</v>
      </c>
      <c r="K2092" s="10">
        <v>46083.0</v>
      </c>
      <c r="L2092" s="6">
        <v>2.0</v>
      </c>
      <c r="M2092" s="8">
        <f t="shared" si="5"/>
        <v>0.26</v>
      </c>
      <c r="P2092" s="9"/>
    </row>
    <row r="2093">
      <c r="A2093" s="6" t="s">
        <v>5271</v>
      </c>
      <c r="B2093" s="6" t="s">
        <v>1666</v>
      </c>
      <c r="C2093" s="6" t="s">
        <v>295</v>
      </c>
      <c r="D2093" s="6" t="s">
        <v>5272</v>
      </c>
      <c r="E2093" s="6" t="s">
        <v>1758</v>
      </c>
      <c r="F2093" s="6" t="s">
        <v>277</v>
      </c>
      <c r="G2093" s="7">
        <v>0.1</v>
      </c>
      <c r="H2093" s="6" t="s">
        <v>5257</v>
      </c>
      <c r="I2093" s="6" t="s">
        <v>20</v>
      </c>
      <c r="J2093" s="6">
        <v>2026.0</v>
      </c>
      <c r="L2093" s="6">
        <v>4.0</v>
      </c>
      <c r="M2093" s="8">
        <f t="shared" si="5"/>
        <v>0.4</v>
      </c>
      <c r="P2093" s="9"/>
    </row>
    <row r="2094">
      <c r="A2094" s="6" t="s">
        <v>5273</v>
      </c>
      <c r="B2094" s="6" t="s">
        <v>4871</v>
      </c>
      <c r="C2094" s="6" t="s">
        <v>1897</v>
      </c>
      <c r="D2094" s="6" t="s">
        <v>5274</v>
      </c>
      <c r="E2094" s="6" t="s">
        <v>1032</v>
      </c>
      <c r="F2094" s="6" t="s">
        <v>80</v>
      </c>
      <c r="G2094" s="7">
        <v>5.75</v>
      </c>
      <c r="H2094" s="6" t="s">
        <v>5257</v>
      </c>
      <c r="I2094" s="6" t="s">
        <v>31</v>
      </c>
      <c r="J2094" s="6">
        <v>2026.0</v>
      </c>
      <c r="K2094" s="10">
        <v>46116.0</v>
      </c>
      <c r="L2094" s="6">
        <v>1.0</v>
      </c>
      <c r="M2094" s="8">
        <f t="shared" si="5"/>
        <v>5.75</v>
      </c>
      <c r="P2094" s="9"/>
    </row>
    <row r="2095">
      <c r="A2095" s="6" t="s">
        <v>5275</v>
      </c>
      <c r="B2095" s="6" t="s">
        <v>4871</v>
      </c>
      <c r="C2095" s="6" t="s">
        <v>1949</v>
      </c>
      <c r="D2095" s="6" t="s">
        <v>5276</v>
      </c>
      <c r="E2095" s="6" t="s">
        <v>1680</v>
      </c>
      <c r="F2095" s="6" t="s">
        <v>80</v>
      </c>
      <c r="G2095" s="7">
        <v>0.13</v>
      </c>
      <c r="H2095" s="6" t="s">
        <v>5257</v>
      </c>
      <c r="I2095" s="6" t="s">
        <v>20</v>
      </c>
      <c r="J2095" s="6">
        <v>2026.0</v>
      </c>
      <c r="K2095" s="10">
        <v>46115.0</v>
      </c>
      <c r="L2095" s="6">
        <v>1.0</v>
      </c>
      <c r="M2095" s="8">
        <f t="shared" si="5"/>
        <v>0.13</v>
      </c>
      <c r="P2095" s="9"/>
    </row>
    <row r="2096">
      <c r="A2096" s="6" t="s">
        <v>5277</v>
      </c>
      <c r="B2096" s="6" t="s">
        <v>675</v>
      </c>
      <c r="C2096" s="6" t="s">
        <v>1949</v>
      </c>
      <c r="D2096" s="6" t="s">
        <v>5278</v>
      </c>
      <c r="E2096" s="6" t="s">
        <v>1269</v>
      </c>
      <c r="F2096" s="6" t="s">
        <v>80</v>
      </c>
      <c r="G2096" s="7">
        <v>0.25</v>
      </c>
      <c r="H2096" s="6" t="s">
        <v>5257</v>
      </c>
      <c r="I2096" s="6" t="s">
        <v>20</v>
      </c>
      <c r="J2096" s="6">
        <v>2026.0</v>
      </c>
      <c r="L2096" s="6">
        <v>3.0</v>
      </c>
      <c r="M2096" s="8">
        <f t="shared" si="5"/>
        <v>0.75</v>
      </c>
      <c r="P2096" s="9"/>
    </row>
    <row r="2097">
      <c r="A2097" s="6" t="s">
        <v>5279</v>
      </c>
      <c r="B2097" s="6" t="s">
        <v>1666</v>
      </c>
      <c r="C2097" s="6" t="s">
        <v>1949</v>
      </c>
      <c r="D2097" s="6" t="s">
        <v>5280</v>
      </c>
      <c r="E2097" s="6" t="s">
        <v>1035</v>
      </c>
      <c r="F2097" s="6" t="s">
        <v>5281</v>
      </c>
      <c r="G2097" s="7">
        <v>0.1</v>
      </c>
      <c r="H2097" s="6" t="s">
        <v>5257</v>
      </c>
      <c r="I2097" s="6" t="s">
        <v>20</v>
      </c>
      <c r="J2097" s="6">
        <v>2026.0</v>
      </c>
      <c r="L2097" s="6">
        <v>1.0</v>
      </c>
      <c r="M2097" s="8">
        <f t="shared" si="5"/>
        <v>0.1</v>
      </c>
      <c r="P2097" s="9"/>
    </row>
    <row r="2098">
      <c r="A2098" s="6" t="s">
        <v>5282</v>
      </c>
      <c r="B2098" s="6" t="s">
        <v>1666</v>
      </c>
      <c r="C2098" s="6" t="s">
        <v>295</v>
      </c>
      <c r="D2098" s="6" t="s">
        <v>5283</v>
      </c>
      <c r="E2098" s="6" t="s">
        <v>1035</v>
      </c>
      <c r="F2098" s="6" t="s">
        <v>80</v>
      </c>
      <c r="G2098" s="7">
        <v>0.1</v>
      </c>
      <c r="H2098" s="6" t="s">
        <v>5257</v>
      </c>
      <c r="I2098" s="6" t="s">
        <v>20</v>
      </c>
      <c r="J2098" s="6">
        <v>2026.0</v>
      </c>
      <c r="L2098" s="6">
        <v>2.0</v>
      </c>
      <c r="M2098" s="8">
        <f t="shared" si="5"/>
        <v>0.2</v>
      </c>
      <c r="P2098" s="9"/>
    </row>
    <row r="2099">
      <c r="A2099" s="6" t="s">
        <v>5284</v>
      </c>
      <c r="B2099" s="6" t="s">
        <v>5039</v>
      </c>
      <c r="C2099" s="6" t="s">
        <v>1949</v>
      </c>
      <c r="D2099" s="6" t="s">
        <v>5285</v>
      </c>
      <c r="E2099" s="6" t="s">
        <v>1954</v>
      </c>
      <c r="F2099" s="6" t="s">
        <v>18</v>
      </c>
      <c r="G2099" s="7">
        <v>0.13</v>
      </c>
      <c r="H2099" s="6" t="s">
        <v>5257</v>
      </c>
      <c r="I2099" s="6" t="s">
        <v>20</v>
      </c>
      <c r="J2099" s="6">
        <v>2026.0</v>
      </c>
      <c r="K2099" s="10">
        <v>46054.0</v>
      </c>
      <c r="L2099" s="6">
        <v>3.0</v>
      </c>
      <c r="M2099" s="8">
        <f t="shared" si="5"/>
        <v>0.39</v>
      </c>
      <c r="P2099" s="9"/>
    </row>
    <row r="2100">
      <c r="A2100" s="6" t="s">
        <v>5286</v>
      </c>
      <c r="B2100" s="6" t="s">
        <v>5287</v>
      </c>
      <c r="C2100" s="6" t="s">
        <v>295</v>
      </c>
      <c r="D2100" s="6" t="s">
        <v>5288</v>
      </c>
      <c r="E2100" s="6" t="s">
        <v>2510</v>
      </c>
      <c r="F2100" s="6" t="s">
        <v>18</v>
      </c>
      <c r="G2100" s="7">
        <v>0.1</v>
      </c>
      <c r="H2100" s="6" t="s">
        <v>5257</v>
      </c>
      <c r="I2100" s="6" t="s">
        <v>20</v>
      </c>
      <c r="J2100" s="6">
        <v>2026.0</v>
      </c>
      <c r="K2100" s="10">
        <v>46210.0</v>
      </c>
      <c r="L2100" s="6">
        <v>2.0</v>
      </c>
      <c r="M2100" s="8">
        <f t="shared" si="5"/>
        <v>0.2</v>
      </c>
      <c r="P2100" s="9"/>
    </row>
    <row r="2101">
      <c r="A2101" s="6" t="s">
        <v>5289</v>
      </c>
      <c r="B2101" s="6" t="s">
        <v>1753</v>
      </c>
      <c r="C2101" s="6" t="s">
        <v>1897</v>
      </c>
      <c r="D2101" s="6" t="s">
        <v>5290</v>
      </c>
      <c r="E2101" s="6" t="s">
        <v>2295</v>
      </c>
      <c r="F2101" s="6" t="s">
        <v>18</v>
      </c>
      <c r="G2101" s="7">
        <v>1.0</v>
      </c>
      <c r="H2101" s="6" t="s">
        <v>5257</v>
      </c>
      <c r="I2101" s="6" t="s">
        <v>20</v>
      </c>
      <c r="J2101" s="6">
        <v>2026.0</v>
      </c>
      <c r="L2101" s="6">
        <v>1.0</v>
      </c>
      <c r="M2101" s="8">
        <f t="shared" si="5"/>
        <v>1</v>
      </c>
      <c r="P2101" s="9"/>
    </row>
    <row r="2102">
      <c r="A2102" s="6" t="s">
        <v>5291</v>
      </c>
      <c r="B2102" s="6" t="s">
        <v>385</v>
      </c>
      <c r="C2102" s="6" t="s">
        <v>295</v>
      </c>
      <c r="D2102" s="6" t="s">
        <v>5292</v>
      </c>
      <c r="E2102" s="6" t="s">
        <v>2295</v>
      </c>
      <c r="F2102" s="6" t="s">
        <v>18</v>
      </c>
      <c r="G2102" s="7">
        <v>0.1</v>
      </c>
      <c r="H2102" s="6" t="s">
        <v>5257</v>
      </c>
      <c r="I2102" s="6" t="s">
        <v>20</v>
      </c>
      <c r="J2102" s="6">
        <v>2026.0</v>
      </c>
      <c r="L2102" s="6">
        <v>1.0</v>
      </c>
      <c r="M2102" s="8">
        <f t="shared" si="5"/>
        <v>0.1</v>
      </c>
      <c r="P2102" s="9"/>
    </row>
    <row r="2103">
      <c r="A2103" s="6" t="s">
        <v>5293</v>
      </c>
      <c r="B2103" s="6" t="s">
        <v>5294</v>
      </c>
      <c r="C2103" s="6" t="s">
        <v>1949</v>
      </c>
      <c r="D2103" s="6" t="s">
        <v>5295</v>
      </c>
      <c r="E2103" s="6" t="s">
        <v>2503</v>
      </c>
      <c r="F2103" s="6" t="s">
        <v>18</v>
      </c>
      <c r="G2103" s="7">
        <v>0.14</v>
      </c>
      <c r="H2103" s="6" t="s">
        <v>5257</v>
      </c>
      <c r="I2103" s="6" t="s">
        <v>20</v>
      </c>
      <c r="J2103" s="6">
        <v>2026.0</v>
      </c>
      <c r="K2103" s="10">
        <v>46147.0</v>
      </c>
      <c r="L2103" s="6">
        <v>1.0</v>
      </c>
      <c r="M2103" s="8">
        <f t="shared" si="5"/>
        <v>0.14</v>
      </c>
      <c r="P2103" s="9"/>
    </row>
    <row r="2104">
      <c r="A2104" s="6" t="s">
        <v>5296</v>
      </c>
      <c r="B2104" s="6" t="s">
        <v>1666</v>
      </c>
      <c r="C2104" s="6" t="s">
        <v>295</v>
      </c>
      <c r="D2104" s="6" t="s">
        <v>5297</v>
      </c>
      <c r="E2104" s="6" t="s">
        <v>780</v>
      </c>
      <c r="F2104" s="6" t="s">
        <v>18</v>
      </c>
      <c r="G2104" s="7">
        <v>0.1</v>
      </c>
      <c r="H2104" s="6" t="s">
        <v>5257</v>
      </c>
      <c r="I2104" s="6" t="s">
        <v>20</v>
      </c>
      <c r="J2104" s="6">
        <v>2026.0</v>
      </c>
      <c r="L2104" s="6">
        <v>1.0</v>
      </c>
      <c r="M2104" s="8">
        <f t="shared" si="5"/>
        <v>0.1</v>
      </c>
      <c r="P2104" s="9"/>
    </row>
    <row r="2105">
      <c r="A2105" s="6" t="s">
        <v>5298</v>
      </c>
      <c r="B2105" s="6" t="s">
        <v>385</v>
      </c>
      <c r="C2105" s="6" t="s">
        <v>1949</v>
      </c>
      <c r="D2105" s="6" t="s">
        <v>5299</v>
      </c>
      <c r="E2105" s="6" t="s">
        <v>2299</v>
      </c>
      <c r="F2105" s="6" t="s">
        <v>18</v>
      </c>
      <c r="G2105" s="7">
        <v>0.23</v>
      </c>
      <c r="H2105" s="6" t="s">
        <v>5257</v>
      </c>
      <c r="I2105" s="6" t="s">
        <v>20</v>
      </c>
      <c r="J2105" s="6">
        <v>2026.0</v>
      </c>
      <c r="L2105" s="6">
        <v>1.0</v>
      </c>
      <c r="M2105" s="8">
        <f t="shared" si="5"/>
        <v>0.23</v>
      </c>
      <c r="P2105" s="9"/>
    </row>
    <row r="2106">
      <c r="A2106" s="6" t="s">
        <v>5300</v>
      </c>
      <c r="B2106" s="6" t="s">
        <v>5301</v>
      </c>
      <c r="C2106" s="6" t="s">
        <v>295</v>
      </c>
      <c r="D2106" s="6" t="s">
        <v>5302</v>
      </c>
      <c r="E2106" s="6" t="s">
        <v>2299</v>
      </c>
      <c r="F2106" s="6" t="s">
        <v>18</v>
      </c>
      <c r="G2106" s="7">
        <v>0.1</v>
      </c>
      <c r="H2106" s="6" t="s">
        <v>5257</v>
      </c>
      <c r="I2106" s="6" t="s">
        <v>20</v>
      </c>
      <c r="J2106" s="6">
        <v>2026.0</v>
      </c>
      <c r="K2106" s="10">
        <v>46116.0</v>
      </c>
      <c r="L2106" s="6">
        <v>1.0</v>
      </c>
      <c r="M2106" s="8">
        <f t="shared" si="5"/>
        <v>0.1</v>
      </c>
      <c r="P2106" s="9"/>
    </row>
    <row r="2107">
      <c r="A2107" s="6" t="s">
        <v>5303</v>
      </c>
      <c r="B2107" s="6" t="s">
        <v>5304</v>
      </c>
      <c r="C2107" s="6" t="s">
        <v>295</v>
      </c>
      <c r="D2107" s="6" t="s">
        <v>5305</v>
      </c>
      <c r="E2107" s="6" t="s">
        <v>1954</v>
      </c>
      <c r="F2107" s="6" t="s">
        <v>18</v>
      </c>
      <c r="G2107" s="7">
        <v>0.05</v>
      </c>
      <c r="H2107" s="6" t="s">
        <v>5257</v>
      </c>
      <c r="I2107" s="6" t="s">
        <v>20</v>
      </c>
      <c r="J2107" s="6">
        <v>2026.0</v>
      </c>
      <c r="K2107" s="10">
        <v>46055.0</v>
      </c>
      <c r="L2107" s="6">
        <v>5.0</v>
      </c>
      <c r="M2107" s="8">
        <f t="shared" si="5"/>
        <v>0.25</v>
      </c>
      <c r="P2107" s="9"/>
    </row>
    <row r="2108">
      <c r="A2108" s="6" t="s">
        <v>5306</v>
      </c>
      <c r="B2108" s="6" t="s">
        <v>385</v>
      </c>
      <c r="C2108" s="6" t="s">
        <v>295</v>
      </c>
      <c r="D2108" s="6" t="s">
        <v>5307</v>
      </c>
      <c r="E2108" s="6" t="s">
        <v>780</v>
      </c>
      <c r="F2108" s="6" t="s">
        <v>18</v>
      </c>
      <c r="G2108" s="7">
        <v>0.1</v>
      </c>
      <c r="H2108" s="6" t="s">
        <v>5257</v>
      </c>
      <c r="I2108" s="6" t="s">
        <v>20</v>
      </c>
      <c r="J2108" s="6">
        <v>2026.0</v>
      </c>
      <c r="L2108" s="6">
        <v>4.0</v>
      </c>
      <c r="M2108" s="8">
        <f t="shared" si="5"/>
        <v>0.4</v>
      </c>
      <c r="P2108" s="9"/>
    </row>
    <row r="2109">
      <c r="A2109" s="6" t="s">
        <v>5308</v>
      </c>
      <c r="B2109" s="6" t="s">
        <v>5309</v>
      </c>
      <c r="C2109" s="6" t="s">
        <v>1949</v>
      </c>
      <c r="D2109" s="6" t="s">
        <v>5310</v>
      </c>
      <c r="E2109" s="6" t="s">
        <v>2295</v>
      </c>
      <c r="F2109" s="6" t="s">
        <v>18</v>
      </c>
      <c r="G2109" s="7">
        <v>0.1</v>
      </c>
      <c r="H2109" s="6" t="s">
        <v>5257</v>
      </c>
      <c r="I2109" s="6" t="s">
        <v>20</v>
      </c>
      <c r="J2109" s="6">
        <v>2026.0</v>
      </c>
      <c r="K2109" s="10">
        <v>46082.0</v>
      </c>
      <c r="L2109" s="6">
        <v>1.0</v>
      </c>
      <c r="M2109" s="8">
        <f t="shared" si="5"/>
        <v>0.1</v>
      </c>
      <c r="P2109" s="9"/>
    </row>
    <row r="2110">
      <c r="A2110" s="6" t="s">
        <v>5311</v>
      </c>
      <c r="B2110" s="6" t="s">
        <v>5312</v>
      </c>
      <c r="C2110" s="6" t="s">
        <v>1949</v>
      </c>
      <c r="D2110" s="6" t="s">
        <v>5313</v>
      </c>
      <c r="E2110" s="6" t="s">
        <v>2556</v>
      </c>
      <c r="F2110" s="6" t="s">
        <v>18</v>
      </c>
      <c r="G2110" s="7">
        <v>0.23</v>
      </c>
      <c r="H2110" s="6" t="s">
        <v>5257</v>
      </c>
      <c r="I2110" s="6" t="s">
        <v>20</v>
      </c>
      <c r="J2110" s="6">
        <v>2026.0</v>
      </c>
      <c r="K2110" s="10">
        <v>46116.0</v>
      </c>
      <c r="L2110" s="6">
        <v>1.0</v>
      </c>
      <c r="M2110" s="8">
        <f t="shared" si="5"/>
        <v>0.23</v>
      </c>
      <c r="P2110" s="9"/>
    </row>
    <row r="2111">
      <c r="A2111" s="6" t="s">
        <v>5314</v>
      </c>
      <c r="B2111" s="6" t="s">
        <v>5315</v>
      </c>
      <c r="C2111" s="6" t="s">
        <v>1949</v>
      </c>
      <c r="D2111" s="6" t="s">
        <v>5316</v>
      </c>
      <c r="E2111" s="6" t="s">
        <v>5317</v>
      </c>
      <c r="F2111" s="6" t="s">
        <v>18</v>
      </c>
      <c r="G2111" s="7">
        <v>0.1</v>
      </c>
      <c r="H2111" s="6" t="s">
        <v>5257</v>
      </c>
      <c r="I2111" s="6" t="s">
        <v>20</v>
      </c>
      <c r="J2111" s="6">
        <v>2026.0</v>
      </c>
      <c r="K2111" s="10">
        <v>46210.0</v>
      </c>
      <c r="L2111" s="6">
        <v>1.0</v>
      </c>
      <c r="M2111" s="8">
        <f t="shared" si="5"/>
        <v>0.1</v>
      </c>
      <c r="P2111" s="9"/>
    </row>
    <row r="2112">
      <c r="A2112" s="6" t="s">
        <v>5318</v>
      </c>
      <c r="B2112" s="6" t="s">
        <v>5319</v>
      </c>
      <c r="C2112" s="6" t="s">
        <v>295</v>
      </c>
      <c r="D2112" s="6" t="s">
        <v>5320</v>
      </c>
      <c r="E2112" s="6" t="s">
        <v>1954</v>
      </c>
      <c r="F2112" s="6" t="s">
        <v>18</v>
      </c>
      <c r="G2112" s="7">
        <v>0.1</v>
      </c>
      <c r="H2112" s="6" t="s">
        <v>5257</v>
      </c>
      <c r="I2112" s="6" t="s">
        <v>20</v>
      </c>
      <c r="J2112" s="6">
        <v>2026.0</v>
      </c>
      <c r="K2112" s="10">
        <v>46023.0</v>
      </c>
      <c r="L2112" s="6">
        <v>4.0</v>
      </c>
      <c r="M2112" s="8">
        <f t="shared" si="5"/>
        <v>0.4</v>
      </c>
      <c r="P2112" s="9"/>
    </row>
    <row r="2113">
      <c r="A2113" s="6" t="s">
        <v>5321</v>
      </c>
      <c r="B2113" s="6" t="s">
        <v>5322</v>
      </c>
      <c r="C2113" s="6" t="s">
        <v>295</v>
      </c>
      <c r="D2113" s="6" t="s">
        <v>5323</v>
      </c>
      <c r="E2113" s="6" t="s">
        <v>2503</v>
      </c>
      <c r="F2113" s="6" t="s">
        <v>18</v>
      </c>
      <c r="G2113" s="7">
        <v>0.05</v>
      </c>
      <c r="H2113" s="6" t="s">
        <v>5257</v>
      </c>
      <c r="I2113" s="6" t="s">
        <v>20</v>
      </c>
      <c r="J2113" s="6">
        <v>2026.0</v>
      </c>
      <c r="K2113" s="10">
        <v>46085.0</v>
      </c>
      <c r="L2113" s="6">
        <v>5.0</v>
      </c>
      <c r="M2113" s="8">
        <f t="shared" si="5"/>
        <v>0.25</v>
      </c>
      <c r="P2113" s="9"/>
    </row>
    <row r="2114">
      <c r="A2114" s="6" t="s">
        <v>5324</v>
      </c>
      <c r="B2114" s="6" t="s">
        <v>5325</v>
      </c>
      <c r="C2114" s="6" t="s">
        <v>1897</v>
      </c>
      <c r="D2114" s="6" t="s">
        <v>5326</v>
      </c>
      <c r="E2114" s="6" t="s">
        <v>2556</v>
      </c>
      <c r="F2114" s="6" t="s">
        <v>18</v>
      </c>
      <c r="G2114" s="7">
        <v>3.44</v>
      </c>
      <c r="H2114" s="6" t="s">
        <v>5257</v>
      </c>
      <c r="I2114" s="6" t="s">
        <v>20</v>
      </c>
      <c r="J2114" s="6">
        <v>2026.0</v>
      </c>
      <c r="K2114" s="10">
        <v>46117.0</v>
      </c>
      <c r="L2114" s="6">
        <v>1.0</v>
      </c>
      <c r="M2114" s="8">
        <f t="shared" si="5"/>
        <v>3.44</v>
      </c>
      <c r="P2114" s="9"/>
    </row>
    <row r="2115">
      <c r="A2115" s="6" t="s">
        <v>5327</v>
      </c>
      <c r="B2115" s="6" t="s">
        <v>610</v>
      </c>
      <c r="C2115" s="6" t="s">
        <v>295</v>
      </c>
      <c r="D2115" s="6" t="s">
        <v>5175</v>
      </c>
      <c r="E2115" s="6" t="s">
        <v>1954</v>
      </c>
      <c r="F2115" s="6" t="s">
        <v>18</v>
      </c>
      <c r="G2115" s="7">
        <v>0.1</v>
      </c>
      <c r="H2115" s="6" t="s">
        <v>5257</v>
      </c>
      <c r="I2115" s="6" t="s">
        <v>20</v>
      </c>
      <c r="J2115" s="6">
        <v>2026.0</v>
      </c>
      <c r="L2115" s="6">
        <v>4.0</v>
      </c>
      <c r="M2115" s="8">
        <f t="shared" si="5"/>
        <v>0.4</v>
      </c>
      <c r="P2115" s="9"/>
    </row>
    <row r="2116">
      <c r="A2116" s="6" t="s">
        <v>5328</v>
      </c>
      <c r="B2116" s="6" t="s">
        <v>675</v>
      </c>
      <c r="C2116" s="6" t="s">
        <v>1949</v>
      </c>
      <c r="D2116" s="6" t="s">
        <v>5329</v>
      </c>
      <c r="E2116" s="6" t="s">
        <v>2295</v>
      </c>
      <c r="F2116" s="6" t="s">
        <v>18</v>
      </c>
      <c r="G2116" s="7">
        <v>0.1</v>
      </c>
      <c r="H2116" s="6" t="s">
        <v>5257</v>
      </c>
      <c r="I2116" s="6" t="s">
        <v>20</v>
      </c>
      <c r="J2116" s="6">
        <v>2026.0</v>
      </c>
      <c r="L2116" s="6">
        <v>1.0</v>
      </c>
      <c r="M2116" s="8">
        <f t="shared" si="5"/>
        <v>0.1</v>
      </c>
      <c r="P2116" s="9"/>
    </row>
    <row r="2117">
      <c r="A2117" s="6" t="s">
        <v>5330</v>
      </c>
      <c r="B2117" s="6" t="s">
        <v>610</v>
      </c>
      <c r="C2117" s="6" t="s">
        <v>1949</v>
      </c>
      <c r="D2117" s="6" t="s">
        <v>5331</v>
      </c>
      <c r="E2117" s="6" t="s">
        <v>1954</v>
      </c>
      <c r="F2117" s="6" t="s">
        <v>18</v>
      </c>
      <c r="G2117" s="7">
        <v>0.1</v>
      </c>
      <c r="H2117" s="6" t="s">
        <v>5257</v>
      </c>
      <c r="I2117" s="6" t="s">
        <v>20</v>
      </c>
      <c r="J2117" s="6">
        <v>2026.0</v>
      </c>
      <c r="L2117" s="6">
        <v>2.0</v>
      </c>
      <c r="M2117" s="8">
        <f t="shared" si="5"/>
        <v>0.2</v>
      </c>
      <c r="P2117" s="9"/>
    </row>
    <row r="2118">
      <c r="A2118" s="6" t="s">
        <v>5332</v>
      </c>
      <c r="B2118" s="6" t="s">
        <v>5333</v>
      </c>
      <c r="C2118" s="6" t="s">
        <v>1897</v>
      </c>
      <c r="D2118" s="6" t="s">
        <v>5334</v>
      </c>
      <c r="E2118" s="6" t="s">
        <v>1758</v>
      </c>
      <c r="F2118" s="6" t="s">
        <v>277</v>
      </c>
      <c r="G2118" s="7">
        <v>8.29</v>
      </c>
      <c r="H2118" s="6" t="s">
        <v>5257</v>
      </c>
      <c r="I2118" s="6" t="s">
        <v>31</v>
      </c>
      <c r="J2118" s="6">
        <v>2026.0</v>
      </c>
      <c r="K2118" s="10">
        <v>46116.0</v>
      </c>
      <c r="L2118" s="6">
        <v>1.0</v>
      </c>
      <c r="M2118" s="8">
        <f t="shared" si="5"/>
        <v>8.29</v>
      </c>
      <c r="P2118" s="9"/>
    </row>
    <row r="2119">
      <c r="A2119" s="6" t="s">
        <v>5335</v>
      </c>
      <c r="B2119" s="6" t="s">
        <v>5336</v>
      </c>
      <c r="C2119" s="6" t="s">
        <v>295</v>
      </c>
      <c r="D2119" s="6" t="s">
        <v>5337</v>
      </c>
      <c r="E2119" s="6" t="s">
        <v>2287</v>
      </c>
      <c r="F2119" s="6" t="s">
        <v>277</v>
      </c>
      <c r="G2119" s="7">
        <v>0.04</v>
      </c>
      <c r="H2119" s="6" t="s">
        <v>5257</v>
      </c>
      <c r="I2119" s="6" t="s">
        <v>20</v>
      </c>
      <c r="J2119" s="6">
        <v>2026.0</v>
      </c>
      <c r="K2119" s="10">
        <v>46117.0</v>
      </c>
      <c r="L2119" s="6">
        <v>3.0</v>
      </c>
      <c r="M2119" s="8">
        <f t="shared" si="5"/>
        <v>0.12</v>
      </c>
      <c r="P2119" s="9"/>
    </row>
    <row r="2120">
      <c r="A2120" s="6" t="s">
        <v>5338</v>
      </c>
      <c r="B2120" s="6" t="s">
        <v>5339</v>
      </c>
      <c r="C2120" s="6" t="s">
        <v>1897</v>
      </c>
      <c r="D2120" s="6" t="s">
        <v>5340</v>
      </c>
      <c r="E2120" s="6" t="s">
        <v>3046</v>
      </c>
      <c r="F2120" s="6" t="s">
        <v>277</v>
      </c>
      <c r="G2120" s="7">
        <v>0.95</v>
      </c>
      <c r="H2120" s="6" t="s">
        <v>5257</v>
      </c>
      <c r="I2120" s="6" t="s">
        <v>20</v>
      </c>
      <c r="J2120" s="6">
        <v>2026.0</v>
      </c>
      <c r="K2120" s="10">
        <v>46182.0</v>
      </c>
      <c r="L2120" s="6">
        <v>1.0</v>
      </c>
      <c r="M2120" s="8">
        <f t="shared" si="5"/>
        <v>0.95</v>
      </c>
      <c r="P2120" s="9"/>
    </row>
    <row r="2121">
      <c r="A2121" s="6" t="s">
        <v>5341</v>
      </c>
      <c r="B2121" s="6" t="s">
        <v>610</v>
      </c>
      <c r="C2121" s="6" t="s">
        <v>295</v>
      </c>
      <c r="D2121" s="6" t="s">
        <v>5342</v>
      </c>
      <c r="E2121" s="6" t="s">
        <v>2280</v>
      </c>
      <c r="F2121" s="6" t="s">
        <v>277</v>
      </c>
      <c r="G2121" s="7">
        <v>0.1</v>
      </c>
      <c r="H2121" s="6" t="s">
        <v>5257</v>
      </c>
      <c r="I2121" s="6" t="s">
        <v>20</v>
      </c>
      <c r="J2121" s="6">
        <v>2026.0</v>
      </c>
      <c r="L2121" s="6">
        <v>3.0</v>
      </c>
      <c r="M2121" s="8">
        <f t="shared" si="5"/>
        <v>0.3</v>
      </c>
      <c r="P2121" s="9"/>
    </row>
    <row r="2122">
      <c r="A2122" s="6" t="s">
        <v>5343</v>
      </c>
      <c r="B2122" s="6" t="s">
        <v>5344</v>
      </c>
      <c r="C2122" s="6" t="s">
        <v>1949</v>
      </c>
      <c r="D2122" s="6" t="s">
        <v>5345</v>
      </c>
      <c r="E2122" s="6" t="s">
        <v>629</v>
      </c>
      <c r="F2122" s="6" t="s">
        <v>277</v>
      </c>
      <c r="G2122" s="7">
        <v>0.28</v>
      </c>
      <c r="H2122" s="6" t="s">
        <v>5257</v>
      </c>
      <c r="I2122" s="6" t="s">
        <v>20</v>
      </c>
      <c r="J2122" s="6">
        <v>2026.0</v>
      </c>
      <c r="K2122" s="10">
        <v>46023.0</v>
      </c>
      <c r="L2122" s="6">
        <v>1.0</v>
      </c>
      <c r="M2122" s="8">
        <f t="shared" si="5"/>
        <v>0.28</v>
      </c>
      <c r="P2122" s="9"/>
    </row>
    <row r="2123">
      <c r="A2123" s="6" t="s">
        <v>5346</v>
      </c>
      <c r="B2123" s="6" t="s">
        <v>5347</v>
      </c>
      <c r="C2123" s="6" t="s">
        <v>295</v>
      </c>
      <c r="D2123" s="6" t="s">
        <v>5348</v>
      </c>
      <c r="E2123" s="6" t="s">
        <v>1856</v>
      </c>
      <c r="F2123" s="6" t="s">
        <v>277</v>
      </c>
      <c r="G2123" s="7">
        <v>0.17</v>
      </c>
      <c r="H2123" s="6" t="s">
        <v>5257</v>
      </c>
      <c r="I2123" s="6" t="s">
        <v>20</v>
      </c>
      <c r="J2123" s="6">
        <v>2026.0</v>
      </c>
      <c r="K2123" s="10">
        <v>46025.0</v>
      </c>
      <c r="L2123" s="6">
        <v>2.0</v>
      </c>
      <c r="M2123" s="8">
        <f t="shared" si="5"/>
        <v>0.34</v>
      </c>
      <c r="P2123" s="9"/>
    </row>
    <row r="2124">
      <c r="A2124" s="6" t="s">
        <v>5349</v>
      </c>
      <c r="B2124" s="6" t="s">
        <v>5350</v>
      </c>
      <c r="C2124" s="6" t="s">
        <v>1897</v>
      </c>
      <c r="D2124" s="6" t="s">
        <v>5351</v>
      </c>
      <c r="E2124" s="6" t="s">
        <v>2380</v>
      </c>
      <c r="F2124" s="6" t="s">
        <v>277</v>
      </c>
      <c r="G2124" s="7">
        <v>0.9</v>
      </c>
      <c r="H2124" s="6" t="s">
        <v>5257</v>
      </c>
      <c r="I2124" s="6" t="s">
        <v>20</v>
      </c>
      <c r="J2124" s="6">
        <v>2026.0</v>
      </c>
      <c r="K2124" s="10">
        <v>46116.0</v>
      </c>
      <c r="L2124" s="6">
        <v>1.0</v>
      </c>
      <c r="M2124" s="8">
        <f t="shared" si="5"/>
        <v>0.9</v>
      </c>
      <c r="P2124" s="9"/>
    </row>
    <row r="2125">
      <c r="A2125" s="6" t="s">
        <v>5352</v>
      </c>
      <c r="B2125" s="6" t="s">
        <v>385</v>
      </c>
      <c r="C2125" s="6" t="s">
        <v>295</v>
      </c>
      <c r="D2125" s="6" t="s">
        <v>5353</v>
      </c>
      <c r="E2125" s="6" t="s">
        <v>1856</v>
      </c>
      <c r="F2125" s="6" t="s">
        <v>277</v>
      </c>
      <c r="G2125" s="7">
        <v>0.1</v>
      </c>
      <c r="H2125" s="6" t="s">
        <v>5257</v>
      </c>
      <c r="I2125" s="6" t="s">
        <v>20</v>
      </c>
      <c r="J2125" s="6">
        <v>2026.0</v>
      </c>
      <c r="L2125" s="6">
        <v>3.0</v>
      </c>
      <c r="M2125" s="8">
        <f t="shared" si="5"/>
        <v>0.3</v>
      </c>
      <c r="P2125" s="9"/>
    </row>
    <row r="2126">
      <c r="A2126" s="6" t="s">
        <v>5354</v>
      </c>
      <c r="B2126" s="6" t="s">
        <v>5355</v>
      </c>
      <c r="C2126" s="6" t="s">
        <v>295</v>
      </c>
      <c r="D2126" s="6" t="s">
        <v>5356</v>
      </c>
      <c r="E2126" s="6" t="s">
        <v>2280</v>
      </c>
      <c r="F2126" s="6" t="s">
        <v>277</v>
      </c>
      <c r="G2126" s="7">
        <v>0.1</v>
      </c>
      <c r="H2126" s="6" t="s">
        <v>5257</v>
      </c>
      <c r="I2126" s="6" t="s">
        <v>20</v>
      </c>
      <c r="J2126" s="6">
        <v>2026.0</v>
      </c>
      <c r="K2126" s="10">
        <v>46055.0</v>
      </c>
      <c r="L2126" s="6">
        <v>1.0</v>
      </c>
      <c r="M2126" s="8">
        <f t="shared" si="5"/>
        <v>0.1</v>
      </c>
      <c r="P2126" s="9"/>
    </row>
    <row r="2127">
      <c r="A2127" s="6" t="s">
        <v>5357</v>
      </c>
      <c r="B2127" s="6" t="s">
        <v>5358</v>
      </c>
      <c r="C2127" s="6" t="s">
        <v>1949</v>
      </c>
      <c r="D2127" s="6" t="s">
        <v>5359</v>
      </c>
      <c r="E2127" s="6" t="s">
        <v>2280</v>
      </c>
      <c r="F2127" s="6" t="s">
        <v>277</v>
      </c>
      <c r="G2127" s="7">
        <v>0.16</v>
      </c>
      <c r="H2127" s="6" t="s">
        <v>5257</v>
      </c>
      <c r="I2127" s="6" t="s">
        <v>20</v>
      </c>
      <c r="J2127" s="6">
        <v>2026.0</v>
      </c>
      <c r="K2127" s="10">
        <v>46055.0</v>
      </c>
      <c r="L2127" s="6">
        <v>2.0</v>
      </c>
      <c r="M2127" s="8">
        <f t="shared" si="5"/>
        <v>0.32</v>
      </c>
      <c r="P2127" s="9"/>
    </row>
    <row r="2128">
      <c r="A2128" s="6" t="s">
        <v>5360</v>
      </c>
      <c r="B2128" s="6" t="s">
        <v>675</v>
      </c>
      <c r="C2128" s="6" t="s">
        <v>1949</v>
      </c>
      <c r="D2128" s="6" t="s">
        <v>5361</v>
      </c>
      <c r="E2128" s="6" t="s">
        <v>2280</v>
      </c>
      <c r="F2128" s="6" t="s">
        <v>277</v>
      </c>
      <c r="G2128" s="7">
        <v>0.16</v>
      </c>
      <c r="H2128" s="6" t="s">
        <v>5257</v>
      </c>
      <c r="I2128" s="6" t="s">
        <v>20</v>
      </c>
      <c r="J2128" s="6">
        <v>2026.0</v>
      </c>
      <c r="L2128" s="6">
        <v>1.0</v>
      </c>
      <c r="M2128" s="8">
        <f t="shared" si="5"/>
        <v>0.16</v>
      </c>
      <c r="P2128" s="9"/>
    </row>
    <row r="2129">
      <c r="A2129" s="6" t="s">
        <v>5362</v>
      </c>
      <c r="B2129" s="6" t="s">
        <v>610</v>
      </c>
      <c r="C2129" s="6" t="s">
        <v>1949</v>
      </c>
      <c r="D2129" s="6" t="s">
        <v>5363</v>
      </c>
      <c r="E2129" s="6" t="s">
        <v>2280</v>
      </c>
      <c r="F2129" s="6" t="s">
        <v>277</v>
      </c>
      <c r="G2129" s="7">
        <v>0.2</v>
      </c>
      <c r="H2129" s="6" t="s">
        <v>5257</v>
      </c>
      <c r="I2129" s="6" t="s">
        <v>20</v>
      </c>
      <c r="J2129" s="6">
        <v>2026.0</v>
      </c>
      <c r="L2129" s="6">
        <v>1.0</v>
      </c>
      <c r="M2129" s="8">
        <f t="shared" si="5"/>
        <v>0.2</v>
      </c>
      <c r="P2129" s="9"/>
    </row>
    <row r="2130">
      <c r="A2130" s="6" t="s">
        <v>5364</v>
      </c>
      <c r="B2130" s="6" t="s">
        <v>5365</v>
      </c>
      <c r="C2130" s="6" t="s">
        <v>1949</v>
      </c>
      <c r="D2130" s="6" t="s">
        <v>5366</v>
      </c>
      <c r="E2130" s="6" t="s">
        <v>1853</v>
      </c>
      <c r="F2130" s="6" t="s">
        <v>277</v>
      </c>
      <c r="G2130" s="7">
        <v>0.11</v>
      </c>
      <c r="H2130" s="6" t="s">
        <v>5257</v>
      </c>
      <c r="I2130" s="6" t="s">
        <v>20</v>
      </c>
      <c r="J2130" s="6">
        <v>2026.0</v>
      </c>
      <c r="K2130" s="10">
        <v>46056.0</v>
      </c>
      <c r="L2130" s="6">
        <v>2.0</v>
      </c>
      <c r="M2130" s="8">
        <f t="shared" si="5"/>
        <v>0.22</v>
      </c>
      <c r="P2130" s="9"/>
    </row>
    <row r="2131">
      <c r="A2131" s="6" t="s">
        <v>5367</v>
      </c>
      <c r="B2131" s="6" t="s">
        <v>5368</v>
      </c>
      <c r="C2131" s="6" t="s">
        <v>295</v>
      </c>
      <c r="D2131" s="6" t="s">
        <v>5369</v>
      </c>
      <c r="E2131" s="6" t="s">
        <v>1856</v>
      </c>
      <c r="F2131" s="6" t="s">
        <v>277</v>
      </c>
      <c r="G2131" s="7">
        <v>0.1</v>
      </c>
      <c r="H2131" s="6" t="s">
        <v>5257</v>
      </c>
      <c r="I2131" s="6" t="s">
        <v>20</v>
      </c>
      <c r="J2131" s="6">
        <v>2026.0</v>
      </c>
      <c r="K2131" s="10">
        <v>46055.0</v>
      </c>
      <c r="L2131" s="6">
        <v>2.0</v>
      </c>
      <c r="M2131" s="8">
        <f t="shared" si="5"/>
        <v>0.2</v>
      </c>
      <c r="P2131" s="9"/>
    </row>
    <row r="2132">
      <c r="A2132" s="6" t="s">
        <v>5370</v>
      </c>
      <c r="B2132" s="6" t="s">
        <v>5371</v>
      </c>
      <c r="C2132" s="6" t="s">
        <v>295</v>
      </c>
      <c r="D2132" s="6" t="s">
        <v>5372</v>
      </c>
      <c r="E2132" s="6" t="s">
        <v>629</v>
      </c>
      <c r="F2132" s="6" t="s">
        <v>277</v>
      </c>
      <c r="G2132" s="7">
        <v>0.1</v>
      </c>
      <c r="H2132" s="6" t="s">
        <v>5257</v>
      </c>
      <c r="I2132" s="6" t="s">
        <v>20</v>
      </c>
      <c r="J2132" s="6">
        <v>2026.0</v>
      </c>
      <c r="K2132" s="10">
        <v>46023.0</v>
      </c>
      <c r="L2132" s="6">
        <v>3.0</v>
      </c>
      <c r="M2132" s="8">
        <f t="shared" si="5"/>
        <v>0.3</v>
      </c>
      <c r="P2132" s="9"/>
    </row>
    <row r="2133">
      <c r="A2133" s="6" t="s">
        <v>5370</v>
      </c>
      <c r="B2133" s="6" t="s">
        <v>5371</v>
      </c>
      <c r="C2133" s="6" t="s">
        <v>295</v>
      </c>
      <c r="D2133" s="6" t="s">
        <v>5372</v>
      </c>
      <c r="E2133" s="6" t="s">
        <v>629</v>
      </c>
      <c r="F2133" s="6" t="s">
        <v>277</v>
      </c>
      <c r="G2133" s="7">
        <v>0.2</v>
      </c>
      <c r="H2133" s="6" t="s">
        <v>5257</v>
      </c>
      <c r="I2133" s="6" t="s">
        <v>31</v>
      </c>
      <c r="J2133" s="6">
        <v>2026.0</v>
      </c>
      <c r="K2133" s="10">
        <v>46023.0</v>
      </c>
      <c r="L2133" s="6">
        <v>1.0</v>
      </c>
      <c r="M2133" s="8">
        <f t="shared" si="5"/>
        <v>0.2</v>
      </c>
      <c r="P2133" s="9"/>
    </row>
    <row r="2134">
      <c r="A2134" s="6" t="s">
        <v>5373</v>
      </c>
      <c r="B2134" s="6" t="s">
        <v>5374</v>
      </c>
      <c r="C2134" s="6" t="s">
        <v>295</v>
      </c>
      <c r="D2134" s="6" t="s">
        <v>5375</v>
      </c>
      <c r="E2134" s="6" t="s">
        <v>1853</v>
      </c>
      <c r="F2134" s="6" t="s">
        <v>277</v>
      </c>
      <c r="G2134" s="7">
        <v>0.1</v>
      </c>
      <c r="H2134" s="6" t="s">
        <v>5257</v>
      </c>
      <c r="I2134" s="6" t="s">
        <v>20</v>
      </c>
      <c r="J2134" s="6">
        <v>2026.0</v>
      </c>
      <c r="K2134" s="10">
        <v>46114.0</v>
      </c>
      <c r="L2134" s="6">
        <v>1.0</v>
      </c>
      <c r="M2134" s="8">
        <f t="shared" si="5"/>
        <v>0.1</v>
      </c>
      <c r="P2134" s="9"/>
    </row>
    <row r="2135">
      <c r="A2135" s="6" t="s">
        <v>5376</v>
      </c>
      <c r="B2135" s="6" t="s">
        <v>5209</v>
      </c>
      <c r="C2135" s="6" t="s">
        <v>160</v>
      </c>
      <c r="D2135" s="6" t="s">
        <v>5377</v>
      </c>
      <c r="E2135" s="6" t="s">
        <v>4252</v>
      </c>
      <c r="F2135" s="6" t="s">
        <v>277</v>
      </c>
      <c r="G2135" s="7">
        <v>17.99</v>
      </c>
      <c r="H2135" s="6" t="s">
        <v>5257</v>
      </c>
      <c r="I2135" s="6" t="s">
        <v>20</v>
      </c>
      <c r="J2135" s="6">
        <v>2026.0</v>
      </c>
      <c r="L2135" s="6">
        <v>1.0</v>
      </c>
      <c r="M2135" s="8">
        <f t="shared" si="5"/>
        <v>17.99</v>
      </c>
      <c r="P2135" s="9"/>
    </row>
    <row r="2136">
      <c r="A2136" s="6" t="s">
        <v>5378</v>
      </c>
      <c r="B2136" s="6" t="s">
        <v>5347</v>
      </c>
      <c r="C2136" s="6" t="s">
        <v>1949</v>
      </c>
      <c r="D2136" s="6" t="s">
        <v>5379</v>
      </c>
      <c r="E2136" s="6" t="s">
        <v>2287</v>
      </c>
      <c r="F2136" s="6" t="s">
        <v>277</v>
      </c>
      <c r="G2136" s="7">
        <v>0.24</v>
      </c>
      <c r="H2136" s="6" t="s">
        <v>5257</v>
      </c>
      <c r="I2136" s="6" t="s">
        <v>20</v>
      </c>
      <c r="J2136" s="6">
        <v>2026.0</v>
      </c>
      <c r="K2136" s="10">
        <v>46118.0</v>
      </c>
      <c r="L2136" s="6">
        <v>1.0</v>
      </c>
      <c r="M2136" s="8">
        <f t="shared" si="5"/>
        <v>0.24</v>
      </c>
      <c r="P2136" s="9"/>
    </row>
    <row r="2137">
      <c r="A2137" s="6" t="s">
        <v>5380</v>
      </c>
      <c r="B2137" s="6" t="s">
        <v>5312</v>
      </c>
      <c r="C2137" s="6" t="s">
        <v>295</v>
      </c>
      <c r="D2137" s="6" t="s">
        <v>5381</v>
      </c>
      <c r="E2137" s="6" t="s">
        <v>2295</v>
      </c>
      <c r="F2137" s="6" t="s">
        <v>18</v>
      </c>
      <c r="G2137" s="7">
        <v>0.05</v>
      </c>
      <c r="H2137" s="6" t="s">
        <v>5257</v>
      </c>
      <c r="I2137" s="6" t="s">
        <v>20</v>
      </c>
      <c r="J2137" s="6">
        <v>2026.0</v>
      </c>
      <c r="K2137" s="10">
        <v>46084.0</v>
      </c>
      <c r="L2137" s="6">
        <v>2.0</v>
      </c>
      <c r="M2137" s="8">
        <f t="shared" si="5"/>
        <v>0.1</v>
      </c>
      <c r="P2137" s="9"/>
    </row>
    <row r="2138">
      <c r="A2138" s="6" t="s">
        <v>5382</v>
      </c>
      <c r="B2138" s="6" t="s">
        <v>5383</v>
      </c>
      <c r="C2138" s="6" t="s">
        <v>295</v>
      </c>
      <c r="D2138" s="6" t="s">
        <v>5384</v>
      </c>
      <c r="E2138" s="6" t="s">
        <v>2318</v>
      </c>
      <c r="F2138" s="6" t="s">
        <v>88</v>
      </c>
      <c r="G2138" s="7">
        <v>0.05</v>
      </c>
      <c r="H2138" s="6" t="s">
        <v>5257</v>
      </c>
      <c r="I2138" s="6" t="s">
        <v>20</v>
      </c>
      <c r="J2138" s="6">
        <v>2026.0</v>
      </c>
      <c r="K2138" s="10">
        <v>46055.0</v>
      </c>
      <c r="L2138" s="6">
        <v>4.0</v>
      </c>
      <c r="M2138" s="8">
        <f t="shared" si="5"/>
        <v>0.2</v>
      </c>
      <c r="P2138" s="9"/>
    </row>
    <row r="2139">
      <c r="A2139" s="6" t="s">
        <v>5385</v>
      </c>
      <c r="B2139" s="6" t="s">
        <v>5386</v>
      </c>
      <c r="C2139" s="6" t="s">
        <v>1949</v>
      </c>
      <c r="D2139" s="6" t="s">
        <v>5387</v>
      </c>
      <c r="E2139" s="6" t="s">
        <v>2326</v>
      </c>
      <c r="F2139" s="6" t="s">
        <v>88</v>
      </c>
      <c r="G2139" s="7">
        <v>0.1</v>
      </c>
      <c r="H2139" s="6" t="s">
        <v>5257</v>
      </c>
      <c r="I2139" s="6" t="s">
        <v>20</v>
      </c>
      <c r="J2139" s="6">
        <v>2026.0</v>
      </c>
      <c r="K2139" s="10">
        <v>46084.0</v>
      </c>
      <c r="L2139" s="6">
        <v>1.0</v>
      </c>
      <c r="M2139" s="8">
        <f t="shared" si="5"/>
        <v>0.1</v>
      </c>
      <c r="P2139" s="9"/>
    </row>
    <row r="2140">
      <c r="A2140" s="6" t="s">
        <v>5388</v>
      </c>
      <c r="B2140" s="6" t="s">
        <v>5389</v>
      </c>
      <c r="C2140" s="6" t="s">
        <v>1949</v>
      </c>
      <c r="D2140" s="6" t="s">
        <v>5390</v>
      </c>
      <c r="E2140" s="6" t="s">
        <v>915</v>
      </c>
      <c r="F2140" s="6" t="s">
        <v>88</v>
      </c>
      <c r="G2140" s="7">
        <v>0.2</v>
      </c>
      <c r="H2140" s="6" t="s">
        <v>5257</v>
      </c>
      <c r="I2140" s="6" t="s">
        <v>20</v>
      </c>
      <c r="J2140" s="6">
        <v>2026.0</v>
      </c>
      <c r="K2140" s="10">
        <v>46023.0</v>
      </c>
      <c r="L2140" s="6">
        <v>1.0</v>
      </c>
      <c r="M2140" s="8">
        <f t="shared" si="5"/>
        <v>0.2</v>
      </c>
      <c r="P2140" s="9"/>
    </row>
    <row r="2141">
      <c r="A2141" s="6" t="s">
        <v>5391</v>
      </c>
      <c r="B2141" s="6" t="s">
        <v>5392</v>
      </c>
      <c r="C2141" s="6" t="s">
        <v>1897</v>
      </c>
      <c r="D2141" s="6" t="s">
        <v>5393</v>
      </c>
      <c r="E2141" s="6" t="s">
        <v>4321</v>
      </c>
      <c r="F2141" s="6" t="s">
        <v>88</v>
      </c>
      <c r="G2141" s="7">
        <v>0.94</v>
      </c>
      <c r="H2141" s="6" t="s">
        <v>5257</v>
      </c>
      <c r="I2141" s="6" t="s">
        <v>20</v>
      </c>
      <c r="J2141" s="6">
        <v>2026.0</v>
      </c>
      <c r="K2141" s="10">
        <v>46179.0</v>
      </c>
      <c r="L2141" s="6">
        <v>1.0</v>
      </c>
      <c r="M2141" s="8">
        <f t="shared" si="5"/>
        <v>0.94</v>
      </c>
      <c r="P2141" s="9"/>
    </row>
    <row r="2142">
      <c r="A2142" s="6" t="s">
        <v>5394</v>
      </c>
      <c r="B2142" s="6" t="s">
        <v>5395</v>
      </c>
      <c r="C2142" s="6" t="s">
        <v>1949</v>
      </c>
      <c r="D2142" s="6" t="s">
        <v>5396</v>
      </c>
      <c r="E2142" s="6" t="s">
        <v>2321</v>
      </c>
      <c r="F2142" s="6" t="s">
        <v>88</v>
      </c>
      <c r="G2142" s="7">
        <v>0.14</v>
      </c>
      <c r="H2142" s="6" t="s">
        <v>5257</v>
      </c>
      <c r="I2142" s="6" t="s">
        <v>20</v>
      </c>
      <c r="J2142" s="6">
        <v>2026.0</v>
      </c>
      <c r="K2142" s="10">
        <v>46116.0</v>
      </c>
      <c r="L2142" s="6">
        <v>1.0</v>
      </c>
      <c r="M2142" s="8">
        <f t="shared" si="5"/>
        <v>0.14</v>
      </c>
      <c r="P2142" s="9"/>
    </row>
    <row r="2143">
      <c r="A2143" s="6" t="s">
        <v>5397</v>
      </c>
      <c r="B2143" s="6" t="s">
        <v>378</v>
      </c>
      <c r="C2143" s="6" t="s">
        <v>295</v>
      </c>
      <c r="D2143" s="6" t="s">
        <v>5398</v>
      </c>
      <c r="E2143" s="6" t="s">
        <v>380</v>
      </c>
      <c r="F2143" s="6" t="s">
        <v>88</v>
      </c>
      <c r="G2143" s="7">
        <v>0.05</v>
      </c>
      <c r="H2143" s="6" t="s">
        <v>5257</v>
      </c>
      <c r="I2143" s="6" t="s">
        <v>20</v>
      </c>
      <c r="J2143" s="6">
        <v>2026.0</v>
      </c>
      <c r="L2143" s="6">
        <v>2.0</v>
      </c>
      <c r="M2143" s="8">
        <f t="shared" si="5"/>
        <v>0.1</v>
      </c>
      <c r="P2143" s="9"/>
    </row>
    <row r="2144">
      <c r="A2144" s="6" t="s">
        <v>5399</v>
      </c>
      <c r="B2144" s="6" t="s">
        <v>2822</v>
      </c>
      <c r="C2144" s="6" t="s">
        <v>295</v>
      </c>
      <c r="D2144" s="6" t="s">
        <v>5400</v>
      </c>
      <c r="E2144" s="6" t="s">
        <v>2318</v>
      </c>
      <c r="F2144" s="6" t="s">
        <v>88</v>
      </c>
      <c r="G2144" s="7">
        <v>0.1</v>
      </c>
      <c r="H2144" s="6" t="s">
        <v>5257</v>
      </c>
      <c r="I2144" s="6" t="s">
        <v>20</v>
      </c>
      <c r="J2144" s="6">
        <v>2026.0</v>
      </c>
      <c r="L2144" s="6">
        <v>2.0</v>
      </c>
      <c r="M2144" s="8">
        <f t="shared" si="5"/>
        <v>0.2</v>
      </c>
      <c r="P2144" s="9"/>
    </row>
    <row r="2145">
      <c r="A2145" s="6" t="s">
        <v>5401</v>
      </c>
      <c r="B2145" s="6" t="s">
        <v>675</v>
      </c>
      <c r="C2145" s="6" t="s">
        <v>1949</v>
      </c>
      <c r="D2145" s="6" t="s">
        <v>5402</v>
      </c>
      <c r="E2145" s="6" t="s">
        <v>2318</v>
      </c>
      <c r="F2145" s="6" t="s">
        <v>88</v>
      </c>
      <c r="G2145" s="7">
        <v>0.05</v>
      </c>
      <c r="H2145" s="6" t="s">
        <v>5257</v>
      </c>
      <c r="I2145" s="6" t="s">
        <v>20</v>
      </c>
      <c r="J2145" s="6">
        <v>2026.0</v>
      </c>
      <c r="L2145" s="6">
        <v>1.0</v>
      </c>
      <c r="M2145" s="8">
        <f t="shared" si="5"/>
        <v>0.05</v>
      </c>
      <c r="P2145" s="9"/>
    </row>
    <row r="2146">
      <c r="A2146" s="6" t="s">
        <v>5403</v>
      </c>
      <c r="B2146" s="6" t="s">
        <v>610</v>
      </c>
      <c r="C2146" s="6" t="s">
        <v>295</v>
      </c>
      <c r="D2146" s="6" t="s">
        <v>5404</v>
      </c>
      <c r="E2146" s="6" t="s">
        <v>2318</v>
      </c>
      <c r="F2146" s="6" t="s">
        <v>88</v>
      </c>
      <c r="G2146" s="7">
        <v>0.05</v>
      </c>
      <c r="H2146" s="6" t="s">
        <v>5257</v>
      </c>
      <c r="I2146" s="6" t="s">
        <v>20</v>
      </c>
      <c r="J2146" s="6">
        <v>2026.0</v>
      </c>
      <c r="L2146" s="6">
        <v>5.0</v>
      </c>
      <c r="M2146" s="8">
        <f t="shared" si="5"/>
        <v>0.25</v>
      </c>
      <c r="P2146" s="9"/>
    </row>
    <row r="2147">
      <c r="A2147" s="6" t="s">
        <v>5405</v>
      </c>
      <c r="B2147" s="6" t="s">
        <v>610</v>
      </c>
      <c r="C2147" s="6" t="s">
        <v>1949</v>
      </c>
      <c r="D2147" s="6" t="s">
        <v>5406</v>
      </c>
      <c r="E2147" s="6" t="s">
        <v>4324</v>
      </c>
      <c r="F2147" s="6" t="s">
        <v>88</v>
      </c>
      <c r="G2147" s="7">
        <v>0.11</v>
      </c>
      <c r="H2147" s="6" t="s">
        <v>5257</v>
      </c>
      <c r="I2147" s="6" t="s">
        <v>20</v>
      </c>
      <c r="J2147" s="6">
        <v>2026.0</v>
      </c>
      <c r="L2147" s="6">
        <v>2.0</v>
      </c>
      <c r="M2147" s="8">
        <f t="shared" si="5"/>
        <v>0.22</v>
      </c>
      <c r="P2147" s="9"/>
    </row>
    <row r="2148">
      <c r="A2148" s="6" t="s">
        <v>5407</v>
      </c>
      <c r="B2148" s="6" t="s">
        <v>5408</v>
      </c>
      <c r="C2148" s="6" t="s">
        <v>1897</v>
      </c>
      <c r="D2148" s="6" t="s">
        <v>5409</v>
      </c>
      <c r="E2148" s="6" t="s">
        <v>5410</v>
      </c>
      <c r="F2148" s="6" t="s">
        <v>88</v>
      </c>
      <c r="G2148" s="7">
        <v>14.3</v>
      </c>
      <c r="H2148" s="6" t="s">
        <v>5257</v>
      </c>
      <c r="I2148" s="6" t="s">
        <v>20</v>
      </c>
      <c r="J2148" s="6">
        <v>2026.0</v>
      </c>
      <c r="K2148" s="10">
        <v>46113.0</v>
      </c>
      <c r="L2148" s="6">
        <v>1.0</v>
      </c>
      <c r="M2148" s="8">
        <f t="shared" si="5"/>
        <v>14.3</v>
      </c>
      <c r="P2148" s="9"/>
    </row>
    <row r="2149">
      <c r="A2149" s="6" t="s">
        <v>5411</v>
      </c>
      <c r="B2149" s="6" t="s">
        <v>5312</v>
      </c>
      <c r="C2149" s="6" t="s">
        <v>1949</v>
      </c>
      <c r="D2149" s="6" t="s">
        <v>5412</v>
      </c>
      <c r="E2149" s="6" t="s">
        <v>2318</v>
      </c>
      <c r="F2149" s="6" t="s">
        <v>88</v>
      </c>
      <c r="G2149" s="7">
        <v>0.1</v>
      </c>
      <c r="H2149" s="6" t="s">
        <v>5257</v>
      </c>
      <c r="I2149" s="6" t="s">
        <v>20</v>
      </c>
      <c r="J2149" s="6">
        <v>2026.0</v>
      </c>
      <c r="K2149" s="10">
        <v>46054.0</v>
      </c>
      <c r="L2149" s="6">
        <v>2.0</v>
      </c>
      <c r="M2149" s="8">
        <f t="shared" si="5"/>
        <v>0.2</v>
      </c>
      <c r="P2149" s="9"/>
    </row>
    <row r="2150">
      <c r="A2150" s="6" t="s">
        <v>5411</v>
      </c>
      <c r="B2150" s="6" t="s">
        <v>5312</v>
      </c>
      <c r="C2150" s="6" t="s">
        <v>1949</v>
      </c>
      <c r="D2150" s="6" t="s">
        <v>5412</v>
      </c>
      <c r="E2150" s="6" t="s">
        <v>2318</v>
      </c>
      <c r="F2150" s="6" t="s">
        <v>88</v>
      </c>
      <c r="G2150" s="7">
        <v>0.29</v>
      </c>
      <c r="H2150" s="6" t="s">
        <v>5257</v>
      </c>
      <c r="I2150" s="6" t="s">
        <v>31</v>
      </c>
      <c r="J2150" s="6">
        <v>2026.0</v>
      </c>
      <c r="K2150" s="10">
        <v>46054.0</v>
      </c>
      <c r="L2150" s="6">
        <v>1.0</v>
      </c>
      <c r="M2150" s="8">
        <f t="shared" si="5"/>
        <v>0.29</v>
      </c>
      <c r="P2150" s="9"/>
    </row>
    <row r="2151">
      <c r="A2151" s="6" t="s">
        <v>5413</v>
      </c>
      <c r="B2151" s="6" t="s">
        <v>5312</v>
      </c>
      <c r="C2151" s="6" t="s">
        <v>295</v>
      </c>
      <c r="D2151" s="6" t="s">
        <v>5414</v>
      </c>
      <c r="E2151" s="6" t="s">
        <v>2326</v>
      </c>
      <c r="F2151" s="6" t="s">
        <v>88</v>
      </c>
      <c r="G2151" s="7">
        <v>0.1</v>
      </c>
      <c r="H2151" s="6" t="s">
        <v>5257</v>
      </c>
      <c r="I2151" s="6" t="s">
        <v>20</v>
      </c>
      <c r="J2151" s="6">
        <v>2026.0</v>
      </c>
      <c r="K2151" s="10">
        <v>46115.0</v>
      </c>
      <c r="L2151" s="6">
        <v>3.0</v>
      </c>
      <c r="M2151" s="8">
        <f t="shared" si="5"/>
        <v>0.3</v>
      </c>
      <c r="P2151" s="9"/>
    </row>
    <row r="2152">
      <c r="A2152" s="6" t="s">
        <v>5415</v>
      </c>
      <c r="B2152" s="6" t="s">
        <v>5416</v>
      </c>
      <c r="C2152" s="6" t="s">
        <v>295</v>
      </c>
      <c r="D2152" s="6" t="s">
        <v>5417</v>
      </c>
      <c r="E2152" s="6" t="s">
        <v>380</v>
      </c>
      <c r="F2152" s="6" t="s">
        <v>88</v>
      </c>
      <c r="G2152" s="7">
        <v>0.1</v>
      </c>
      <c r="H2152" s="6" t="s">
        <v>5257</v>
      </c>
      <c r="I2152" s="6" t="s">
        <v>20</v>
      </c>
      <c r="J2152" s="6">
        <v>2026.0</v>
      </c>
      <c r="K2152" s="6" t="s">
        <v>89</v>
      </c>
      <c r="L2152" s="6">
        <v>7.0</v>
      </c>
      <c r="M2152" s="8">
        <f t="shared" si="5"/>
        <v>0.7</v>
      </c>
      <c r="P2152" s="9"/>
    </row>
    <row r="2153">
      <c r="A2153" s="6" t="s">
        <v>5418</v>
      </c>
      <c r="B2153" s="6" t="s">
        <v>5419</v>
      </c>
      <c r="C2153" s="6" t="s">
        <v>295</v>
      </c>
      <c r="D2153" s="6" t="s">
        <v>5420</v>
      </c>
      <c r="E2153" s="6" t="s">
        <v>380</v>
      </c>
      <c r="F2153" s="6" t="s">
        <v>88</v>
      </c>
      <c r="G2153" s="7">
        <v>0.05</v>
      </c>
      <c r="H2153" s="6" t="s">
        <v>5257</v>
      </c>
      <c r="I2153" s="6" t="s">
        <v>20</v>
      </c>
      <c r="J2153" s="6">
        <v>2026.0</v>
      </c>
      <c r="K2153" s="10">
        <v>46023.0</v>
      </c>
      <c r="L2153" s="6">
        <v>3.0</v>
      </c>
      <c r="M2153" s="8">
        <f t="shared" si="5"/>
        <v>0.15</v>
      </c>
      <c r="P2153" s="9"/>
    </row>
    <row r="2154">
      <c r="A2154" s="6" t="s">
        <v>5421</v>
      </c>
      <c r="B2154" s="6" t="s">
        <v>554</v>
      </c>
      <c r="C2154" s="6" t="s">
        <v>295</v>
      </c>
      <c r="D2154" s="6" t="s">
        <v>5422</v>
      </c>
      <c r="E2154" s="6" t="s">
        <v>915</v>
      </c>
      <c r="F2154" s="6" t="s">
        <v>88</v>
      </c>
      <c r="G2154" s="7">
        <v>0.28</v>
      </c>
      <c r="H2154" s="6" t="s">
        <v>5257</v>
      </c>
      <c r="I2154" s="6" t="s">
        <v>20</v>
      </c>
      <c r="J2154" s="6">
        <v>2026.0</v>
      </c>
      <c r="L2154" s="6">
        <v>4.0</v>
      </c>
      <c r="M2154" s="8">
        <f t="shared" si="5"/>
        <v>1.12</v>
      </c>
      <c r="P2154" s="9"/>
    </row>
    <row r="2155">
      <c r="A2155" s="6" t="s">
        <v>5423</v>
      </c>
      <c r="B2155" s="6" t="s">
        <v>610</v>
      </c>
      <c r="C2155" s="6" t="s">
        <v>295</v>
      </c>
      <c r="D2155" s="6" t="s">
        <v>5424</v>
      </c>
      <c r="E2155" s="6" t="s">
        <v>2326</v>
      </c>
      <c r="F2155" s="6" t="s">
        <v>88</v>
      </c>
      <c r="G2155" s="7">
        <v>0.05</v>
      </c>
      <c r="H2155" s="6" t="s">
        <v>5257</v>
      </c>
      <c r="I2155" s="6" t="s">
        <v>20</v>
      </c>
      <c r="J2155" s="6">
        <v>2026.0</v>
      </c>
      <c r="L2155" s="6">
        <v>1.0</v>
      </c>
      <c r="M2155" s="8">
        <f t="shared" si="5"/>
        <v>0.05</v>
      </c>
      <c r="P2155" s="9"/>
    </row>
    <row r="2156">
      <c r="A2156" s="6" t="s">
        <v>5423</v>
      </c>
      <c r="B2156" s="6" t="s">
        <v>610</v>
      </c>
      <c r="C2156" s="6" t="s">
        <v>295</v>
      </c>
      <c r="D2156" s="6" t="s">
        <v>5424</v>
      </c>
      <c r="E2156" s="6" t="s">
        <v>2326</v>
      </c>
      <c r="F2156" s="6" t="s">
        <v>88</v>
      </c>
      <c r="G2156" s="7">
        <v>0.2</v>
      </c>
      <c r="H2156" s="6" t="s">
        <v>5257</v>
      </c>
      <c r="I2156" s="6" t="s">
        <v>31</v>
      </c>
      <c r="J2156" s="6">
        <v>2026.0</v>
      </c>
      <c r="L2156" s="6">
        <v>1.0</v>
      </c>
      <c r="M2156" s="8">
        <f t="shared" si="5"/>
        <v>0.2</v>
      </c>
      <c r="P2156" s="9"/>
    </row>
    <row r="2157">
      <c r="A2157" s="6" t="s">
        <v>5425</v>
      </c>
      <c r="B2157" s="6" t="s">
        <v>5426</v>
      </c>
      <c r="C2157" s="6" t="s">
        <v>1949</v>
      </c>
      <c r="D2157" s="6" t="s">
        <v>5427</v>
      </c>
      <c r="E2157" s="6" t="s">
        <v>2318</v>
      </c>
      <c r="F2157" s="6" t="s">
        <v>88</v>
      </c>
      <c r="G2157" s="7">
        <v>0.15</v>
      </c>
      <c r="H2157" s="6" t="s">
        <v>5257</v>
      </c>
      <c r="I2157" s="6" t="s">
        <v>20</v>
      </c>
      <c r="J2157" s="6">
        <v>2026.0</v>
      </c>
      <c r="K2157" s="10">
        <v>46055.0</v>
      </c>
      <c r="L2157" s="6">
        <v>2.0</v>
      </c>
      <c r="M2157" s="8">
        <f t="shared" si="5"/>
        <v>0.3</v>
      </c>
      <c r="P2157" s="9"/>
    </row>
    <row r="2158">
      <c r="A2158" s="6" t="s">
        <v>5428</v>
      </c>
      <c r="B2158" s="6" t="s">
        <v>5429</v>
      </c>
      <c r="C2158" s="6" t="s">
        <v>295</v>
      </c>
      <c r="D2158" s="6" t="s">
        <v>5430</v>
      </c>
      <c r="E2158" s="6" t="s">
        <v>2321</v>
      </c>
      <c r="F2158" s="6" t="s">
        <v>88</v>
      </c>
      <c r="G2158" s="7">
        <v>0.09</v>
      </c>
      <c r="H2158" s="6" t="s">
        <v>5257</v>
      </c>
      <c r="I2158" s="6" t="s">
        <v>20</v>
      </c>
      <c r="J2158" s="6">
        <v>2026.0</v>
      </c>
      <c r="K2158" s="10">
        <v>46115.0</v>
      </c>
      <c r="L2158" s="6">
        <v>6.0</v>
      </c>
      <c r="M2158" s="8">
        <f t="shared" si="5"/>
        <v>0.54</v>
      </c>
      <c r="P2158" s="9"/>
    </row>
    <row r="2159">
      <c r="A2159" s="6" t="s">
        <v>5431</v>
      </c>
      <c r="B2159" s="6" t="s">
        <v>5432</v>
      </c>
      <c r="C2159" s="6" t="s">
        <v>295</v>
      </c>
      <c r="D2159" s="6" t="s">
        <v>5433</v>
      </c>
      <c r="E2159" s="6" t="s">
        <v>3176</v>
      </c>
      <c r="F2159" s="6" t="s">
        <v>3177</v>
      </c>
      <c r="G2159" s="7">
        <v>0.1</v>
      </c>
      <c r="H2159" s="6" t="s">
        <v>5257</v>
      </c>
      <c r="I2159" s="6" t="s">
        <v>20</v>
      </c>
      <c r="J2159" s="6">
        <v>2026.0</v>
      </c>
      <c r="K2159" s="10">
        <v>46114.0</v>
      </c>
      <c r="L2159" s="6">
        <v>6.0</v>
      </c>
      <c r="M2159" s="8">
        <f t="shared" si="5"/>
        <v>0.6</v>
      </c>
      <c r="P2159" s="9"/>
    </row>
    <row r="2160">
      <c r="A2160" s="6" t="s">
        <v>5431</v>
      </c>
      <c r="B2160" s="6" t="s">
        <v>5432</v>
      </c>
      <c r="C2160" s="6" t="s">
        <v>295</v>
      </c>
      <c r="D2160" s="6" t="s">
        <v>5433</v>
      </c>
      <c r="E2160" s="6" t="s">
        <v>3176</v>
      </c>
      <c r="F2160" s="6" t="s">
        <v>3177</v>
      </c>
      <c r="G2160" s="7">
        <v>0.2</v>
      </c>
      <c r="H2160" s="6" t="s">
        <v>5257</v>
      </c>
      <c r="I2160" s="6" t="s">
        <v>31</v>
      </c>
      <c r="J2160" s="6">
        <v>2026.0</v>
      </c>
      <c r="K2160" s="10">
        <v>46114.0</v>
      </c>
      <c r="L2160" s="6">
        <v>1.0</v>
      </c>
      <c r="M2160" s="8">
        <f t="shared" si="5"/>
        <v>0.2</v>
      </c>
      <c r="P2160" s="9"/>
    </row>
    <row r="2161">
      <c r="A2161" s="6" t="s">
        <v>5434</v>
      </c>
      <c r="B2161" s="6" t="s">
        <v>385</v>
      </c>
      <c r="C2161" s="6" t="s">
        <v>1949</v>
      </c>
      <c r="D2161" s="6" t="s">
        <v>5435</v>
      </c>
      <c r="E2161" s="6" t="s">
        <v>3691</v>
      </c>
      <c r="F2161" s="6" t="s">
        <v>3177</v>
      </c>
      <c r="G2161" s="7">
        <v>0.19</v>
      </c>
      <c r="H2161" s="6" t="s">
        <v>5257</v>
      </c>
      <c r="I2161" s="6" t="s">
        <v>20</v>
      </c>
      <c r="J2161" s="6">
        <v>2026.0</v>
      </c>
      <c r="L2161" s="6">
        <v>1.0</v>
      </c>
      <c r="M2161" s="8">
        <f t="shared" si="5"/>
        <v>0.19</v>
      </c>
      <c r="P2161" s="9"/>
    </row>
    <row r="2162">
      <c r="A2162" s="6" t="s">
        <v>5436</v>
      </c>
      <c r="B2162" s="6" t="s">
        <v>591</v>
      </c>
      <c r="C2162" s="6" t="s">
        <v>295</v>
      </c>
      <c r="D2162" s="6" t="s">
        <v>5437</v>
      </c>
      <c r="E2162" s="6" t="s">
        <v>5438</v>
      </c>
      <c r="F2162" s="6" t="s">
        <v>3188</v>
      </c>
      <c r="G2162" s="7">
        <v>0.05</v>
      </c>
      <c r="H2162" s="6" t="s">
        <v>5257</v>
      </c>
      <c r="I2162" s="6" t="s">
        <v>20</v>
      </c>
      <c r="J2162" s="6">
        <v>2026.0</v>
      </c>
      <c r="K2162" s="10">
        <v>46024.0</v>
      </c>
      <c r="L2162" s="6">
        <v>4.0</v>
      </c>
      <c r="M2162" s="8">
        <f t="shared" si="5"/>
        <v>0.2</v>
      </c>
      <c r="P2162" s="9"/>
    </row>
    <row r="2163">
      <c r="A2163" s="6" t="s">
        <v>5439</v>
      </c>
      <c r="B2163" s="6" t="s">
        <v>5440</v>
      </c>
      <c r="C2163" s="6" t="s">
        <v>295</v>
      </c>
      <c r="D2163" s="6" t="s">
        <v>5441</v>
      </c>
      <c r="E2163" s="6" t="s">
        <v>3362</v>
      </c>
      <c r="F2163" s="6" t="s">
        <v>3188</v>
      </c>
      <c r="G2163" s="7">
        <v>0.1</v>
      </c>
      <c r="H2163" s="6" t="s">
        <v>5257</v>
      </c>
      <c r="I2163" s="6" t="s">
        <v>20</v>
      </c>
      <c r="J2163" s="6">
        <v>2026.0</v>
      </c>
      <c r="K2163" s="10">
        <v>46023.0</v>
      </c>
      <c r="L2163" s="6">
        <v>10.0</v>
      </c>
      <c r="M2163" s="8">
        <f t="shared" si="5"/>
        <v>1</v>
      </c>
      <c r="P2163" s="9"/>
    </row>
    <row r="2164">
      <c r="A2164" s="6" t="s">
        <v>5442</v>
      </c>
      <c r="B2164" s="6" t="s">
        <v>5443</v>
      </c>
      <c r="C2164" s="6" t="s">
        <v>1949</v>
      </c>
      <c r="D2164" s="6" t="s">
        <v>5444</v>
      </c>
      <c r="E2164" s="6" t="s">
        <v>4965</v>
      </c>
      <c r="F2164" s="6" t="s">
        <v>3188</v>
      </c>
      <c r="G2164" s="7">
        <v>0.15</v>
      </c>
      <c r="H2164" s="6" t="s">
        <v>5257</v>
      </c>
      <c r="I2164" s="6" t="s">
        <v>20</v>
      </c>
      <c r="J2164" s="6">
        <v>2026.0</v>
      </c>
      <c r="K2164" s="10">
        <v>46114.0</v>
      </c>
      <c r="L2164" s="6">
        <v>1.0</v>
      </c>
      <c r="M2164" s="8">
        <f t="shared" si="5"/>
        <v>0.15</v>
      </c>
      <c r="P2164" s="9"/>
    </row>
    <row r="2165">
      <c r="A2165" s="6" t="s">
        <v>5445</v>
      </c>
      <c r="B2165" s="6" t="s">
        <v>385</v>
      </c>
      <c r="C2165" s="6" t="s">
        <v>1949</v>
      </c>
      <c r="D2165" s="6" t="s">
        <v>5446</v>
      </c>
      <c r="E2165" s="6" t="s">
        <v>3365</v>
      </c>
      <c r="F2165" s="6" t="s">
        <v>3188</v>
      </c>
      <c r="G2165" s="7">
        <v>0.16</v>
      </c>
      <c r="H2165" s="6" t="s">
        <v>5257</v>
      </c>
      <c r="I2165" s="6" t="s">
        <v>20</v>
      </c>
      <c r="J2165" s="6">
        <v>2026.0</v>
      </c>
      <c r="L2165" s="6">
        <v>1.0</v>
      </c>
      <c r="M2165" s="8">
        <f t="shared" si="5"/>
        <v>0.16</v>
      </c>
      <c r="P2165" s="9"/>
    </row>
    <row r="2166">
      <c r="A2166" s="6" t="s">
        <v>5447</v>
      </c>
      <c r="B2166" s="6" t="s">
        <v>610</v>
      </c>
      <c r="C2166" s="6" t="s">
        <v>1949</v>
      </c>
      <c r="D2166" s="6" t="s">
        <v>5448</v>
      </c>
      <c r="E2166" s="6" t="s">
        <v>162</v>
      </c>
      <c r="F2166" s="6" t="s">
        <v>163</v>
      </c>
      <c r="G2166" s="7">
        <v>0.16</v>
      </c>
      <c r="H2166" s="6" t="s">
        <v>5257</v>
      </c>
      <c r="I2166" s="6" t="s">
        <v>20</v>
      </c>
      <c r="J2166" s="6">
        <v>2026.0</v>
      </c>
      <c r="L2166" s="6">
        <v>1.0</v>
      </c>
      <c r="M2166" s="8">
        <f t="shared" si="5"/>
        <v>0.16</v>
      </c>
      <c r="P2166" s="9"/>
    </row>
    <row r="2167">
      <c r="A2167" s="6" t="s">
        <v>5449</v>
      </c>
      <c r="B2167" s="6" t="s">
        <v>5450</v>
      </c>
      <c r="C2167" s="6" t="s">
        <v>1897</v>
      </c>
      <c r="D2167" s="6" t="s">
        <v>5451</v>
      </c>
      <c r="E2167" s="6" t="s">
        <v>4938</v>
      </c>
      <c r="F2167" s="6" t="s">
        <v>163</v>
      </c>
      <c r="G2167" s="7">
        <v>1.13</v>
      </c>
      <c r="H2167" s="6" t="s">
        <v>5257</v>
      </c>
      <c r="I2167" s="6" t="s">
        <v>20</v>
      </c>
      <c r="J2167" s="6">
        <v>2026.0</v>
      </c>
      <c r="K2167" s="10">
        <v>46149.0</v>
      </c>
      <c r="L2167" s="6">
        <v>1.0</v>
      </c>
      <c r="M2167" s="8">
        <f t="shared" si="5"/>
        <v>1.13</v>
      </c>
      <c r="P2167" s="9"/>
    </row>
    <row r="2168">
      <c r="A2168" s="6" t="s">
        <v>5452</v>
      </c>
      <c r="B2168" s="6" t="s">
        <v>5453</v>
      </c>
      <c r="C2168" s="6" t="s">
        <v>295</v>
      </c>
      <c r="D2168" s="6" t="s">
        <v>5454</v>
      </c>
      <c r="E2168" s="6" t="s">
        <v>5455</v>
      </c>
      <c r="F2168" s="6" t="s">
        <v>163</v>
      </c>
      <c r="G2168" s="7">
        <v>0.1</v>
      </c>
      <c r="H2168" s="6" t="s">
        <v>5257</v>
      </c>
      <c r="I2168" s="6" t="s">
        <v>20</v>
      </c>
      <c r="J2168" s="6">
        <v>2026.0</v>
      </c>
      <c r="K2168" s="10">
        <v>46084.0</v>
      </c>
      <c r="L2168" s="6">
        <v>1.0</v>
      </c>
      <c r="M2168" s="8">
        <f t="shared" si="5"/>
        <v>0.1</v>
      </c>
      <c r="P2168" s="9"/>
    </row>
    <row r="2169">
      <c r="A2169" s="6" t="s">
        <v>5456</v>
      </c>
      <c r="B2169" s="6" t="s">
        <v>5457</v>
      </c>
      <c r="C2169" s="6" t="s">
        <v>295</v>
      </c>
      <c r="D2169" s="6" t="s">
        <v>5458</v>
      </c>
      <c r="E2169" s="6" t="s">
        <v>5459</v>
      </c>
      <c r="F2169" s="6" t="s">
        <v>3150</v>
      </c>
      <c r="G2169" s="7">
        <v>0.1</v>
      </c>
      <c r="H2169" s="6" t="s">
        <v>5257</v>
      </c>
      <c r="I2169" s="6" t="s">
        <v>20</v>
      </c>
      <c r="J2169" s="6">
        <v>2026.0</v>
      </c>
      <c r="K2169" s="10">
        <v>46146.0</v>
      </c>
      <c r="L2169" s="6">
        <v>2.0</v>
      </c>
      <c r="M2169" s="8">
        <f t="shared" si="5"/>
        <v>0.2</v>
      </c>
      <c r="P2169" s="9"/>
    </row>
    <row r="2170">
      <c r="A2170" s="6" t="s">
        <v>5460</v>
      </c>
      <c r="B2170" s="6" t="s">
        <v>5461</v>
      </c>
      <c r="C2170" s="6" t="s">
        <v>295</v>
      </c>
      <c r="D2170" s="6" t="s">
        <v>5462</v>
      </c>
      <c r="E2170" s="6" t="s">
        <v>5463</v>
      </c>
      <c r="F2170" s="6" t="s">
        <v>163</v>
      </c>
      <c r="G2170" s="7">
        <v>0.14</v>
      </c>
      <c r="H2170" s="6" t="s">
        <v>5257</v>
      </c>
      <c r="I2170" s="6" t="s">
        <v>20</v>
      </c>
      <c r="J2170" s="6">
        <v>2026.0</v>
      </c>
      <c r="K2170" s="10">
        <v>46082.0</v>
      </c>
      <c r="L2170" s="6">
        <v>3.0</v>
      </c>
      <c r="M2170" s="8">
        <f t="shared" si="5"/>
        <v>0.42</v>
      </c>
      <c r="P2170" s="9"/>
    </row>
    <row r="2171">
      <c r="A2171" s="6" t="s">
        <v>5464</v>
      </c>
      <c r="B2171" s="6" t="s">
        <v>5465</v>
      </c>
      <c r="C2171" s="6" t="s">
        <v>1949</v>
      </c>
      <c r="D2171" s="6" t="s">
        <v>5466</v>
      </c>
      <c r="E2171" s="6" t="s">
        <v>5467</v>
      </c>
      <c r="F2171" s="6" t="s">
        <v>163</v>
      </c>
      <c r="G2171" s="7">
        <v>0.24</v>
      </c>
      <c r="H2171" s="6" t="s">
        <v>5257</v>
      </c>
      <c r="I2171" s="6" t="s">
        <v>31</v>
      </c>
      <c r="J2171" s="6">
        <v>2026.0</v>
      </c>
      <c r="K2171" s="10">
        <v>46114.0</v>
      </c>
      <c r="L2171" s="6">
        <v>1.0</v>
      </c>
      <c r="M2171" s="8">
        <f t="shared" si="5"/>
        <v>0.24</v>
      </c>
      <c r="P2171" s="9"/>
    </row>
    <row r="2172">
      <c r="A2172" s="6" t="s">
        <v>5468</v>
      </c>
      <c r="B2172" s="6" t="s">
        <v>5269</v>
      </c>
      <c r="C2172" s="6" t="s">
        <v>295</v>
      </c>
      <c r="D2172" s="6" t="s">
        <v>5469</v>
      </c>
      <c r="E2172" s="6" t="s">
        <v>4977</v>
      </c>
      <c r="F2172" s="6" t="s">
        <v>3196</v>
      </c>
      <c r="G2172" s="7">
        <v>0.1</v>
      </c>
      <c r="H2172" s="6" t="s">
        <v>5257</v>
      </c>
      <c r="I2172" s="6" t="s">
        <v>20</v>
      </c>
      <c r="J2172" s="6">
        <v>2026.0</v>
      </c>
      <c r="K2172" s="10">
        <v>46083.0</v>
      </c>
      <c r="L2172" s="6">
        <v>5.0</v>
      </c>
      <c r="M2172" s="8">
        <f t="shared" si="5"/>
        <v>0.5</v>
      </c>
      <c r="P2172" s="9"/>
    </row>
    <row r="2173">
      <c r="A2173" s="6" t="s">
        <v>5470</v>
      </c>
      <c r="B2173" s="6" t="s">
        <v>385</v>
      </c>
      <c r="C2173" s="6" t="s">
        <v>1949</v>
      </c>
      <c r="D2173" s="6" t="s">
        <v>5471</v>
      </c>
      <c r="E2173" s="6" t="s">
        <v>5472</v>
      </c>
      <c r="F2173" s="6" t="s">
        <v>3196</v>
      </c>
      <c r="G2173" s="7">
        <v>0.13</v>
      </c>
      <c r="H2173" s="6" t="s">
        <v>5257</v>
      </c>
      <c r="I2173" s="6" t="s">
        <v>20</v>
      </c>
      <c r="J2173" s="6">
        <v>2026.0</v>
      </c>
      <c r="L2173" s="6">
        <v>1.0</v>
      </c>
      <c r="M2173" s="8">
        <f t="shared" si="5"/>
        <v>0.13</v>
      </c>
      <c r="P2173" s="9"/>
    </row>
    <row r="2174">
      <c r="A2174" s="6" t="s">
        <v>5473</v>
      </c>
      <c r="B2174" s="6" t="s">
        <v>5474</v>
      </c>
      <c r="C2174" s="6" t="s">
        <v>295</v>
      </c>
      <c r="D2174" s="6" t="s">
        <v>5475</v>
      </c>
      <c r="E2174" s="6" t="s">
        <v>3195</v>
      </c>
      <c r="F2174" s="6" t="s">
        <v>3196</v>
      </c>
      <c r="G2174" s="7">
        <v>0.1</v>
      </c>
      <c r="H2174" s="6" t="s">
        <v>5257</v>
      </c>
      <c r="I2174" s="6" t="s">
        <v>20</v>
      </c>
      <c r="J2174" s="6">
        <v>2026.0</v>
      </c>
      <c r="K2174" s="10">
        <v>46056.0</v>
      </c>
      <c r="L2174" s="6">
        <v>1.0</v>
      </c>
      <c r="M2174" s="8">
        <f t="shared" si="5"/>
        <v>0.1</v>
      </c>
      <c r="P2174" s="9"/>
    </row>
    <row r="2175">
      <c r="A2175" s="6" t="s">
        <v>5476</v>
      </c>
      <c r="B2175" s="6" t="s">
        <v>5477</v>
      </c>
      <c r="C2175" s="6" t="s">
        <v>1949</v>
      </c>
      <c r="D2175" s="6" t="s">
        <v>5478</v>
      </c>
      <c r="E2175" s="6" t="s">
        <v>3653</v>
      </c>
      <c r="F2175" s="6" t="s">
        <v>3196</v>
      </c>
      <c r="G2175" s="7">
        <v>0.12</v>
      </c>
      <c r="H2175" s="6" t="s">
        <v>5257</v>
      </c>
      <c r="I2175" s="6" t="s">
        <v>20</v>
      </c>
      <c r="J2175" s="6">
        <v>2026.0</v>
      </c>
      <c r="K2175" s="10">
        <v>46084.0</v>
      </c>
      <c r="L2175" s="6">
        <v>2.0</v>
      </c>
      <c r="M2175" s="8">
        <f t="shared" si="5"/>
        <v>0.24</v>
      </c>
      <c r="P2175" s="9"/>
    </row>
    <row r="2176">
      <c r="A2176" s="6" t="s">
        <v>5479</v>
      </c>
      <c r="B2176" s="6" t="s">
        <v>5480</v>
      </c>
      <c r="C2176" s="6" t="s">
        <v>1949</v>
      </c>
      <c r="D2176" s="6" t="s">
        <v>5481</v>
      </c>
      <c r="E2176" s="6" t="s">
        <v>1371</v>
      </c>
      <c r="F2176" s="6" t="s">
        <v>3150</v>
      </c>
      <c r="G2176" s="7">
        <v>0.14</v>
      </c>
      <c r="H2176" s="6" t="s">
        <v>5257</v>
      </c>
      <c r="I2176" s="6" t="s">
        <v>20</v>
      </c>
      <c r="J2176" s="6">
        <v>2026.0</v>
      </c>
      <c r="K2176" s="10">
        <v>46082.0</v>
      </c>
      <c r="L2176" s="6">
        <v>2.0</v>
      </c>
      <c r="M2176" s="8">
        <f t="shared" si="5"/>
        <v>0.28</v>
      </c>
      <c r="P2176" s="9"/>
    </row>
    <row r="2177">
      <c r="A2177" s="6" t="s">
        <v>5482</v>
      </c>
      <c r="B2177" s="6" t="s">
        <v>5312</v>
      </c>
      <c r="C2177" s="6" t="s">
        <v>1897</v>
      </c>
      <c r="D2177" s="6" t="s">
        <v>5483</v>
      </c>
      <c r="E2177" s="6" t="s">
        <v>5484</v>
      </c>
      <c r="F2177" s="6" t="s">
        <v>3150</v>
      </c>
      <c r="G2177" s="7">
        <v>6.39</v>
      </c>
      <c r="H2177" s="6" t="s">
        <v>5257</v>
      </c>
      <c r="I2177" s="6" t="s">
        <v>20</v>
      </c>
      <c r="J2177" s="6">
        <v>2026.0</v>
      </c>
      <c r="K2177" s="10">
        <v>46084.0</v>
      </c>
      <c r="L2177" s="6">
        <v>1.0</v>
      </c>
      <c r="M2177" s="8">
        <f t="shared" si="5"/>
        <v>6.39</v>
      </c>
      <c r="P2177" s="9"/>
    </row>
    <row r="2178">
      <c r="A2178" s="6" t="s">
        <v>5485</v>
      </c>
      <c r="B2178" s="6" t="s">
        <v>5486</v>
      </c>
      <c r="C2178" s="6" t="s">
        <v>295</v>
      </c>
      <c r="D2178" s="6" t="s">
        <v>5417</v>
      </c>
      <c r="E2178" s="6" t="s">
        <v>5487</v>
      </c>
      <c r="F2178" s="6" t="s">
        <v>3150</v>
      </c>
      <c r="G2178" s="7">
        <v>0.1</v>
      </c>
      <c r="H2178" s="6" t="s">
        <v>5257</v>
      </c>
      <c r="I2178" s="6" t="s">
        <v>20</v>
      </c>
      <c r="J2178" s="6">
        <v>2026.0</v>
      </c>
      <c r="K2178" s="10">
        <v>46083.0</v>
      </c>
      <c r="L2178" s="6">
        <v>8.0</v>
      </c>
      <c r="M2178" s="8">
        <f t="shared" si="5"/>
        <v>0.8</v>
      </c>
      <c r="P2178" s="9"/>
    </row>
    <row r="2179">
      <c r="A2179" s="6" t="s">
        <v>5488</v>
      </c>
      <c r="B2179" s="6" t="s">
        <v>5489</v>
      </c>
      <c r="C2179" s="6" t="s">
        <v>1897</v>
      </c>
      <c r="D2179" s="6" t="s">
        <v>5490</v>
      </c>
      <c r="E2179" s="6" t="s">
        <v>5491</v>
      </c>
      <c r="F2179" s="6" t="s">
        <v>3169</v>
      </c>
      <c r="G2179" s="7">
        <v>1.33</v>
      </c>
      <c r="H2179" s="6" t="s">
        <v>5257</v>
      </c>
      <c r="I2179" s="6" t="s">
        <v>20</v>
      </c>
      <c r="J2179" s="6">
        <v>2026.0</v>
      </c>
      <c r="K2179" s="10">
        <v>46209.0</v>
      </c>
      <c r="L2179" s="6">
        <v>1.0</v>
      </c>
      <c r="M2179" s="8">
        <f t="shared" si="5"/>
        <v>1.33</v>
      </c>
      <c r="P2179" s="9"/>
    </row>
    <row r="2180">
      <c r="A2180" s="6" t="s">
        <v>5492</v>
      </c>
      <c r="B2180" s="6" t="s">
        <v>610</v>
      </c>
      <c r="C2180" s="6" t="s">
        <v>295</v>
      </c>
      <c r="D2180" s="6" t="s">
        <v>5493</v>
      </c>
      <c r="E2180" s="6" t="s">
        <v>2342</v>
      </c>
      <c r="F2180" s="6" t="s">
        <v>170</v>
      </c>
      <c r="G2180" s="7">
        <v>0.1</v>
      </c>
      <c r="H2180" s="6" t="s">
        <v>5257</v>
      </c>
      <c r="I2180" s="6" t="s">
        <v>20</v>
      </c>
      <c r="J2180" s="6">
        <v>2026.0</v>
      </c>
      <c r="L2180" s="6">
        <v>7.0</v>
      </c>
      <c r="M2180" s="8">
        <f t="shared" si="5"/>
        <v>0.7</v>
      </c>
      <c r="P2180" s="9"/>
    </row>
    <row r="2181">
      <c r="A2181" s="6" t="s">
        <v>5494</v>
      </c>
      <c r="B2181" s="6" t="s">
        <v>5495</v>
      </c>
      <c r="C2181" s="6" t="s">
        <v>295</v>
      </c>
      <c r="D2181" s="6" t="s">
        <v>5496</v>
      </c>
      <c r="E2181" s="6" t="s">
        <v>2350</v>
      </c>
      <c r="F2181" s="6" t="s">
        <v>170</v>
      </c>
      <c r="G2181" s="7">
        <v>0.1</v>
      </c>
      <c r="H2181" s="6" t="s">
        <v>5257</v>
      </c>
      <c r="I2181" s="6" t="s">
        <v>20</v>
      </c>
      <c r="J2181" s="6">
        <v>2026.0</v>
      </c>
      <c r="K2181" s="10">
        <v>46025.0</v>
      </c>
      <c r="L2181" s="6">
        <v>6.0</v>
      </c>
      <c r="M2181" s="8">
        <f t="shared" si="5"/>
        <v>0.6</v>
      </c>
      <c r="P2181" s="9"/>
    </row>
    <row r="2182">
      <c r="A2182" s="6" t="s">
        <v>5497</v>
      </c>
      <c r="B2182" s="6" t="s">
        <v>5498</v>
      </c>
      <c r="C2182" s="6" t="s">
        <v>295</v>
      </c>
      <c r="D2182" s="6" t="s">
        <v>5499</v>
      </c>
      <c r="E2182" s="6" t="s">
        <v>2350</v>
      </c>
      <c r="F2182" s="6" t="s">
        <v>170</v>
      </c>
      <c r="G2182" s="7">
        <v>0.05</v>
      </c>
      <c r="H2182" s="6" t="s">
        <v>5257</v>
      </c>
      <c r="I2182" s="6" t="s">
        <v>20</v>
      </c>
      <c r="J2182" s="6">
        <v>2026.0</v>
      </c>
      <c r="K2182" s="10">
        <v>46114.0</v>
      </c>
      <c r="L2182" s="6">
        <v>5.0</v>
      </c>
      <c r="M2182" s="8">
        <f t="shared" si="5"/>
        <v>0.25</v>
      </c>
      <c r="P2182" s="9"/>
    </row>
    <row r="2183">
      <c r="A2183" s="6" t="s">
        <v>5500</v>
      </c>
      <c r="B2183" s="6" t="s">
        <v>610</v>
      </c>
      <c r="C2183" s="6" t="s">
        <v>295</v>
      </c>
      <c r="D2183" s="6" t="s">
        <v>5501</v>
      </c>
      <c r="E2183" s="6" t="s">
        <v>2342</v>
      </c>
      <c r="F2183" s="6" t="s">
        <v>170</v>
      </c>
      <c r="G2183" s="7">
        <v>0.1</v>
      </c>
      <c r="H2183" s="6" t="s">
        <v>5257</v>
      </c>
      <c r="I2183" s="6" t="s">
        <v>20</v>
      </c>
      <c r="J2183" s="6">
        <v>2026.0</v>
      </c>
      <c r="L2183" s="6">
        <v>7.0</v>
      </c>
      <c r="M2183" s="8">
        <f t="shared" si="5"/>
        <v>0.7</v>
      </c>
      <c r="P2183" s="9"/>
    </row>
    <row r="2184">
      <c r="A2184" s="6" t="s">
        <v>5502</v>
      </c>
      <c r="B2184" s="6" t="s">
        <v>554</v>
      </c>
      <c r="C2184" s="6" t="s">
        <v>295</v>
      </c>
      <c r="D2184" s="6" t="s">
        <v>5503</v>
      </c>
      <c r="E2184" s="6" t="s">
        <v>2342</v>
      </c>
      <c r="F2184" s="6" t="s">
        <v>170</v>
      </c>
      <c r="G2184" s="7">
        <v>0.1</v>
      </c>
      <c r="H2184" s="6" t="s">
        <v>5257</v>
      </c>
      <c r="I2184" s="6" t="s">
        <v>20</v>
      </c>
      <c r="J2184" s="6">
        <v>2026.0</v>
      </c>
      <c r="L2184" s="6">
        <v>8.0</v>
      </c>
      <c r="M2184" s="8">
        <f t="shared" si="5"/>
        <v>0.8</v>
      </c>
      <c r="P2184" s="9"/>
    </row>
    <row r="2185">
      <c r="A2185" s="6" t="s">
        <v>5504</v>
      </c>
      <c r="B2185" s="6" t="s">
        <v>5505</v>
      </c>
      <c r="C2185" s="6" t="s">
        <v>295</v>
      </c>
      <c r="D2185" s="6" t="s">
        <v>5506</v>
      </c>
      <c r="E2185" s="6" t="s">
        <v>2754</v>
      </c>
      <c r="F2185" s="6" t="s">
        <v>170</v>
      </c>
      <c r="G2185" s="7">
        <v>0.1</v>
      </c>
      <c r="H2185" s="6" t="s">
        <v>5257</v>
      </c>
      <c r="I2185" s="6" t="s">
        <v>20</v>
      </c>
      <c r="J2185" s="6">
        <v>2026.0</v>
      </c>
      <c r="K2185" s="10">
        <v>46117.0</v>
      </c>
      <c r="L2185" s="6">
        <v>3.0</v>
      </c>
      <c r="M2185" s="8">
        <f t="shared" si="5"/>
        <v>0.3</v>
      </c>
      <c r="P2185" s="9"/>
    </row>
    <row r="2186">
      <c r="A2186" s="6" t="s">
        <v>5507</v>
      </c>
      <c r="B2186" s="6" t="s">
        <v>385</v>
      </c>
      <c r="C2186" s="6" t="s">
        <v>295</v>
      </c>
      <c r="D2186" s="6" t="s">
        <v>5508</v>
      </c>
      <c r="E2186" s="6" t="s">
        <v>2365</v>
      </c>
      <c r="F2186" s="6" t="s">
        <v>170</v>
      </c>
      <c r="G2186" s="7">
        <v>0.1</v>
      </c>
      <c r="H2186" s="6" t="s">
        <v>5257</v>
      </c>
      <c r="I2186" s="6" t="s">
        <v>20</v>
      </c>
      <c r="J2186" s="6">
        <v>2026.0</v>
      </c>
      <c r="L2186" s="6">
        <v>1.0</v>
      </c>
      <c r="M2186" s="8">
        <f t="shared" si="5"/>
        <v>0.1</v>
      </c>
      <c r="P2186" s="9"/>
    </row>
    <row r="2187">
      <c r="A2187" s="6" t="s">
        <v>5507</v>
      </c>
      <c r="B2187" s="6" t="s">
        <v>385</v>
      </c>
      <c r="C2187" s="6" t="s">
        <v>295</v>
      </c>
      <c r="D2187" s="6" t="s">
        <v>5508</v>
      </c>
      <c r="E2187" s="6" t="s">
        <v>2365</v>
      </c>
      <c r="F2187" s="6" t="s">
        <v>170</v>
      </c>
      <c r="G2187" s="7">
        <v>0.2</v>
      </c>
      <c r="H2187" s="6" t="s">
        <v>5257</v>
      </c>
      <c r="I2187" s="6" t="s">
        <v>31</v>
      </c>
      <c r="J2187" s="6">
        <v>2026.0</v>
      </c>
      <c r="L2187" s="6">
        <v>1.0</v>
      </c>
      <c r="M2187" s="8">
        <f t="shared" si="5"/>
        <v>0.2</v>
      </c>
      <c r="P2187" s="9"/>
    </row>
    <row r="2188">
      <c r="A2188" s="6" t="s">
        <v>5509</v>
      </c>
      <c r="B2188" s="6" t="s">
        <v>5510</v>
      </c>
      <c r="C2188" s="6" t="s">
        <v>1949</v>
      </c>
      <c r="D2188" s="6" t="s">
        <v>5511</v>
      </c>
      <c r="E2188" s="6" t="s">
        <v>2342</v>
      </c>
      <c r="F2188" s="6" t="s">
        <v>170</v>
      </c>
      <c r="G2188" s="7">
        <v>0.1</v>
      </c>
      <c r="H2188" s="6" t="s">
        <v>5257</v>
      </c>
      <c r="I2188" s="6" t="s">
        <v>20</v>
      </c>
      <c r="J2188" s="6">
        <v>2026.0</v>
      </c>
      <c r="K2188" s="10">
        <v>46024.0</v>
      </c>
      <c r="L2188" s="6">
        <v>2.0</v>
      </c>
      <c r="M2188" s="8">
        <f t="shared" si="5"/>
        <v>0.2</v>
      </c>
      <c r="P2188" s="9"/>
    </row>
    <row r="2189">
      <c r="A2189" s="6" t="s">
        <v>5512</v>
      </c>
      <c r="B2189" s="6" t="s">
        <v>5513</v>
      </c>
      <c r="C2189" s="6" t="s">
        <v>295</v>
      </c>
      <c r="D2189" s="6" t="s">
        <v>5514</v>
      </c>
      <c r="E2189" s="6" t="s">
        <v>2342</v>
      </c>
      <c r="F2189" s="6" t="s">
        <v>170</v>
      </c>
      <c r="G2189" s="7">
        <v>0.1</v>
      </c>
      <c r="H2189" s="6" t="s">
        <v>5257</v>
      </c>
      <c r="I2189" s="6" t="s">
        <v>20</v>
      </c>
      <c r="J2189" s="6">
        <v>2026.0</v>
      </c>
      <c r="K2189" s="10">
        <v>46055.0</v>
      </c>
      <c r="L2189" s="6">
        <v>2.0</v>
      </c>
      <c r="M2189" s="8">
        <f t="shared" si="5"/>
        <v>0.2</v>
      </c>
      <c r="P2189" s="9"/>
    </row>
    <row r="2190">
      <c r="A2190" s="6" t="s">
        <v>5515</v>
      </c>
      <c r="B2190" s="6" t="s">
        <v>5516</v>
      </c>
      <c r="C2190" s="6" t="s">
        <v>1949</v>
      </c>
      <c r="D2190" s="6" t="s">
        <v>5517</v>
      </c>
      <c r="E2190" s="6" t="s">
        <v>2754</v>
      </c>
      <c r="F2190" s="6" t="s">
        <v>170</v>
      </c>
      <c r="G2190" s="7">
        <v>0.08</v>
      </c>
      <c r="H2190" s="6" t="s">
        <v>5257</v>
      </c>
      <c r="I2190" s="6" t="s">
        <v>20</v>
      </c>
      <c r="J2190" s="6">
        <v>2026.0</v>
      </c>
      <c r="K2190" s="10">
        <v>46116.0</v>
      </c>
      <c r="L2190" s="6">
        <v>2.0</v>
      </c>
      <c r="M2190" s="8">
        <f t="shared" si="5"/>
        <v>0.16</v>
      </c>
      <c r="P2190" s="9"/>
    </row>
    <row r="2191">
      <c r="A2191" s="6" t="s">
        <v>5518</v>
      </c>
      <c r="B2191" s="6" t="s">
        <v>5312</v>
      </c>
      <c r="C2191" s="6" t="s">
        <v>1897</v>
      </c>
      <c r="D2191" s="6" t="s">
        <v>5519</v>
      </c>
      <c r="E2191" s="6" t="s">
        <v>3424</v>
      </c>
      <c r="F2191" s="6" t="s">
        <v>170</v>
      </c>
      <c r="G2191" s="7">
        <v>7.45</v>
      </c>
      <c r="H2191" s="6" t="s">
        <v>5257</v>
      </c>
      <c r="I2191" s="6" t="s">
        <v>20</v>
      </c>
      <c r="J2191" s="6">
        <v>2026.0</v>
      </c>
      <c r="K2191" s="10">
        <v>46083.0</v>
      </c>
      <c r="L2191" s="6">
        <v>1.0</v>
      </c>
      <c r="M2191" s="8">
        <f t="shared" si="5"/>
        <v>7.45</v>
      </c>
      <c r="P2191" s="9"/>
    </row>
    <row r="2192">
      <c r="A2192" s="6" t="s">
        <v>5520</v>
      </c>
      <c r="B2192" s="6" t="s">
        <v>5312</v>
      </c>
      <c r="C2192" s="6" t="s">
        <v>1949</v>
      </c>
      <c r="D2192" s="6" t="s">
        <v>5521</v>
      </c>
      <c r="E2192" s="6" t="s">
        <v>2365</v>
      </c>
      <c r="F2192" s="6" t="s">
        <v>170</v>
      </c>
      <c r="G2192" s="7">
        <v>0.09</v>
      </c>
      <c r="H2192" s="6" t="s">
        <v>5257</v>
      </c>
      <c r="I2192" s="6" t="s">
        <v>20</v>
      </c>
      <c r="J2192" s="6">
        <v>2026.0</v>
      </c>
      <c r="K2192" s="10">
        <v>46085.0</v>
      </c>
      <c r="L2192" s="6">
        <v>1.0</v>
      </c>
      <c r="M2192" s="8">
        <f t="shared" si="5"/>
        <v>0.09</v>
      </c>
      <c r="P2192" s="9"/>
    </row>
    <row r="2193">
      <c r="A2193" s="6" t="s">
        <v>5520</v>
      </c>
      <c r="B2193" s="6" t="s">
        <v>5312</v>
      </c>
      <c r="C2193" s="6" t="s">
        <v>1949</v>
      </c>
      <c r="D2193" s="6" t="s">
        <v>5521</v>
      </c>
      <c r="E2193" s="6" t="s">
        <v>2365</v>
      </c>
      <c r="F2193" s="6" t="s">
        <v>170</v>
      </c>
      <c r="G2193" s="7">
        <v>0.44</v>
      </c>
      <c r="H2193" s="6" t="s">
        <v>5257</v>
      </c>
      <c r="I2193" s="6" t="s">
        <v>31</v>
      </c>
      <c r="J2193" s="6">
        <v>2026.0</v>
      </c>
      <c r="K2193" s="10">
        <v>46085.0</v>
      </c>
      <c r="L2193" s="6">
        <v>1.0</v>
      </c>
      <c r="M2193" s="8">
        <f t="shared" si="5"/>
        <v>0.44</v>
      </c>
      <c r="P2193" s="9"/>
    </row>
    <row r="2194">
      <c r="A2194" s="6" t="s">
        <v>5522</v>
      </c>
      <c r="B2194" s="6" t="s">
        <v>610</v>
      </c>
      <c r="C2194" s="6" t="s">
        <v>1949</v>
      </c>
      <c r="D2194" s="6" t="s">
        <v>5523</v>
      </c>
      <c r="E2194" s="6" t="s">
        <v>2350</v>
      </c>
      <c r="F2194" s="6" t="s">
        <v>170</v>
      </c>
      <c r="G2194" s="7">
        <v>0.23</v>
      </c>
      <c r="H2194" s="6" t="s">
        <v>5257</v>
      </c>
      <c r="I2194" s="6" t="s">
        <v>20</v>
      </c>
      <c r="J2194" s="6">
        <v>2026.0</v>
      </c>
      <c r="L2194" s="6">
        <v>1.0</v>
      </c>
      <c r="M2194" s="8">
        <f t="shared" si="5"/>
        <v>0.23</v>
      </c>
      <c r="P2194" s="9"/>
    </row>
    <row r="2195">
      <c r="A2195" s="6" t="s">
        <v>5524</v>
      </c>
      <c r="B2195" s="6" t="s">
        <v>5312</v>
      </c>
      <c r="C2195" s="6" t="s">
        <v>295</v>
      </c>
      <c r="D2195" s="6" t="s">
        <v>5525</v>
      </c>
      <c r="E2195" s="6" t="s">
        <v>2342</v>
      </c>
      <c r="F2195" s="6" t="s">
        <v>170</v>
      </c>
      <c r="G2195" s="7">
        <v>0.1</v>
      </c>
      <c r="H2195" s="6" t="s">
        <v>5257</v>
      </c>
      <c r="I2195" s="6" t="s">
        <v>20</v>
      </c>
      <c r="J2195" s="6">
        <v>2026.0</v>
      </c>
      <c r="K2195" s="10">
        <v>46082.0</v>
      </c>
      <c r="L2195" s="6">
        <v>4.0</v>
      </c>
      <c r="M2195" s="8">
        <f t="shared" si="5"/>
        <v>0.4</v>
      </c>
      <c r="P2195" s="9"/>
    </row>
    <row r="2196">
      <c r="A2196" s="6" t="s">
        <v>5526</v>
      </c>
      <c r="B2196" s="6" t="s">
        <v>1666</v>
      </c>
      <c r="C2196" s="6" t="s">
        <v>1949</v>
      </c>
      <c r="D2196" s="6" t="s">
        <v>5527</v>
      </c>
      <c r="E2196" s="6" t="s">
        <v>2350</v>
      </c>
      <c r="F2196" s="6" t="s">
        <v>170</v>
      </c>
      <c r="G2196" s="7">
        <v>0.12</v>
      </c>
      <c r="H2196" s="6" t="s">
        <v>5257</v>
      </c>
      <c r="I2196" s="6" t="s">
        <v>20</v>
      </c>
      <c r="J2196" s="6">
        <v>2026.0</v>
      </c>
      <c r="L2196" s="6">
        <v>2.0</v>
      </c>
      <c r="M2196" s="8">
        <f t="shared" si="5"/>
        <v>0.24</v>
      </c>
      <c r="P2196" s="9"/>
    </row>
    <row r="2197">
      <c r="A2197" s="6" t="s">
        <v>5528</v>
      </c>
      <c r="B2197" s="6" t="s">
        <v>5529</v>
      </c>
      <c r="C2197" s="6" t="s">
        <v>1949</v>
      </c>
      <c r="D2197" s="6" t="s">
        <v>5530</v>
      </c>
      <c r="E2197" s="6" t="s">
        <v>2342</v>
      </c>
      <c r="F2197" s="6" t="s">
        <v>170</v>
      </c>
      <c r="G2197" s="7">
        <v>0.15</v>
      </c>
      <c r="H2197" s="6" t="s">
        <v>5257</v>
      </c>
      <c r="I2197" s="6" t="s">
        <v>20</v>
      </c>
      <c r="J2197" s="6">
        <v>2026.0</v>
      </c>
      <c r="K2197" s="10">
        <v>46054.0</v>
      </c>
      <c r="L2197" s="6">
        <v>1.0</v>
      </c>
      <c r="M2197" s="8">
        <f t="shared" si="5"/>
        <v>0.15</v>
      </c>
      <c r="P2197" s="9"/>
    </row>
    <row r="2198">
      <c r="A2198" s="6" t="s">
        <v>5531</v>
      </c>
      <c r="B2198" s="6" t="s">
        <v>5532</v>
      </c>
      <c r="C2198" s="6" t="s">
        <v>1949</v>
      </c>
      <c r="D2198" s="6" t="s">
        <v>5533</v>
      </c>
      <c r="E2198" s="6" t="s">
        <v>2779</v>
      </c>
      <c r="F2198" s="6" t="s">
        <v>170</v>
      </c>
      <c r="G2198" s="7">
        <v>0.13</v>
      </c>
      <c r="H2198" s="6" t="s">
        <v>5257</v>
      </c>
      <c r="I2198" s="6" t="s">
        <v>20</v>
      </c>
      <c r="J2198" s="6">
        <v>2026.0</v>
      </c>
      <c r="K2198" s="10">
        <v>46085.0</v>
      </c>
      <c r="L2198" s="6">
        <v>1.0</v>
      </c>
      <c r="M2198" s="8">
        <f t="shared" si="5"/>
        <v>0.13</v>
      </c>
      <c r="P2198" s="9"/>
    </row>
    <row r="2199">
      <c r="A2199" s="6" t="s">
        <v>5534</v>
      </c>
      <c r="B2199" s="6" t="s">
        <v>5535</v>
      </c>
      <c r="C2199" s="6" t="s">
        <v>295</v>
      </c>
      <c r="D2199" s="6" t="s">
        <v>5536</v>
      </c>
      <c r="E2199" s="6" t="s">
        <v>2365</v>
      </c>
      <c r="F2199" s="6" t="s">
        <v>170</v>
      </c>
      <c r="G2199" s="7">
        <v>0.1</v>
      </c>
      <c r="H2199" s="6" t="s">
        <v>5257</v>
      </c>
      <c r="I2199" s="6" t="s">
        <v>20</v>
      </c>
      <c r="J2199" s="6">
        <v>2026.0</v>
      </c>
      <c r="K2199" s="10">
        <v>46085.0</v>
      </c>
      <c r="L2199" s="6">
        <v>1.0</v>
      </c>
      <c r="M2199" s="8">
        <f t="shared" si="5"/>
        <v>0.1</v>
      </c>
      <c r="P2199" s="9"/>
    </row>
    <row r="2200">
      <c r="A2200" s="6" t="s">
        <v>5537</v>
      </c>
      <c r="B2200" s="6" t="s">
        <v>675</v>
      </c>
      <c r="C2200" s="6" t="s">
        <v>1949</v>
      </c>
      <c r="D2200" s="6" t="s">
        <v>5538</v>
      </c>
      <c r="E2200" s="6" t="s">
        <v>2342</v>
      </c>
      <c r="F2200" s="6" t="s">
        <v>170</v>
      </c>
      <c r="G2200" s="7">
        <v>0.15</v>
      </c>
      <c r="H2200" s="6" t="s">
        <v>5257</v>
      </c>
      <c r="I2200" s="6" t="s">
        <v>20</v>
      </c>
      <c r="J2200" s="6">
        <v>2026.0</v>
      </c>
      <c r="L2200" s="6">
        <v>1.0</v>
      </c>
      <c r="M2200" s="8">
        <f t="shared" si="5"/>
        <v>0.15</v>
      </c>
      <c r="P2200" s="9"/>
    </row>
    <row r="2201">
      <c r="A2201" s="6" t="s">
        <v>5539</v>
      </c>
      <c r="B2201" s="6" t="s">
        <v>5347</v>
      </c>
      <c r="C2201" s="6" t="s">
        <v>295</v>
      </c>
      <c r="D2201" s="6" t="s">
        <v>5540</v>
      </c>
      <c r="E2201" s="6" t="s">
        <v>1743</v>
      </c>
      <c r="F2201" s="6" t="s">
        <v>152</v>
      </c>
      <c r="G2201" s="7">
        <v>0.1</v>
      </c>
      <c r="H2201" s="6" t="s">
        <v>5257</v>
      </c>
      <c r="I2201" s="6" t="s">
        <v>20</v>
      </c>
      <c r="J2201" s="6">
        <v>2026.0</v>
      </c>
      <c r="K2201" s="10">
        <v>46055.0</v>
      </c>
      <c r="L2201" s="6">
        <v>5.0</v>
      </c>
      <c r="M2201" s="8">
        <f t="shared" si="5"/>
        <v>0.5</v>
      </c>
      <c r="P2201" s="9"/>
    </row>
    <row r="2202">
      <c r="A2202" s="6" t="s">
        <v>5541</v>
      </c>
      <c r="B2202" s="6" t="s">
        <v>5542</v>
      </c>
      <c r="C2202" s="6" t="s">
        <v>295</v>
      </c>
      <c r="D2202" s="6" t="s">
        <v>5543</v>
      </c>
      <c r="E2202" s="6" t="s">
        <v>1761</v>
      </c>
      <c r="F2202" s="6" t="s">
        <v>152</v>
      </c>
      <c r="G2202" s="7">
        <v>0.1</v>
      </c>
      <c r="H2202" s="6" t="s">
        <v>5257</v>
      </c>
      <c r="I2202" s="6" t="s">
        <v>20</v>
      </c>
      <c r="J2202" s="6">
        <v>2026.0</v>
      </c>
      <c r="K2202" s="10">
        <v>46114.0</v>
      </c>
      <c r="L2202" s="6">
        <v>4.0</v>
      </c>
      <c r="M2202" s="8">
        <f t="shared" si="5"/>
        <v>0.4</v>
      </c>
      <c r="P2202" s="9"/>
    </row>
    <row r="2203">
      <c r="A2203" s="6" t="s">
        <v>5544</v>
      </c>
      <c r="B2203" s="6" t="s">
        <v>610</v>
      </c>
      <c r="C2203" s="6" t="s">
        <v>1949</v>
      </c>
      <c r="D2203" s="6" t="s">
        <v>5545</v>
      </c>
      <c r="E2203" s="6" t="s">
        <v>1761</v>
      </c>
      <c r="F2203" s="6" t="s">
        <v>152</v>
      </c>
      <c r="G2203" s="7">
        <v>0.2</v>
      </c>
      <c r="H2203" s="6" t="s">
        <v>5257</v>
      </c>
      <c r="I2203" s="6" t="s">
        <v>20</v>
      </c>
      <c r="J2203" s="6">
        <v>2026.0</v>
      </c>
      <c r="L2203" s="6">
        <v>2.0</v>
      </c>
      <c r="M2203" s="8">
        <f t="shared" si="5"/>
        <v>0.4</v>
      </c>
      <c r="P2203" s="9"/>
    </row>
    <row r="2204">
      <c r="A2204" s="6" t="s">
        <v>5546</v>
      </c>
      <c r="B2204" s="6" t="s">
        <v>5547</v>
      </c>
      <c r="C2204" s="6" t="s">
        <v>1949</v>
      </c>
      <c r="D2204" s="6" t="s">
        <v>5548</v>
      </c>
      <c r="E2204" s="6" t="s">
        <v>713</v>
      </c>
      <c r="F2204" s="6" t="s">
        <v>152</v>
      </c>
      <c r="G2204" s="7">
        <v>0.11</v>
      </c>
      <c r="H2204" s="6" t="s">
        <v>5257</v>
      </c>
      <c r="I2204" s="6" t="s">
        <v>20</v>
      </c>
      <c r="J2204" s="6">
        <v>2026.0</v>
      </c>
      <c r="K2204" s="6" t="s">
        <v>1733</v>
      </c>
      <c r="L2204" s="6">
        <v>2.0</v>
      </c>
      <c r="M2204" s="8">
        <f t="shared" si="5"/>
        <v>0.22</v>
      </c>
      <c r="P2204" s="9"/>
    </row>
    <row r="2205">
      <c r="A2205" s="6" t="s">
        <v>5549</v>
      </c>
      <c r="B2205" s="6" t="s">
        <v>5550</v>
      </c>
      <c r="C2205" s="6" t="s">
        <v>1949</v>
      </c>
      <c r="D2205" s="6" t="s">
        <v>5551</v>
      </c>
      <c r="E2205" s="6" t="s">
        <v>1755</v>
      </c>
      <c r="F2205" s="6" t="s">
        <v>152</v>
      </c>
      <c r="G2205" s="7">
        <v>0.15</v>
      </c>
      <c r="H2205" s="6" t="s">
        <v>5257</v>
      </c>
      <c r="I2205" s="6" t="s">
        <v>20</v>
      </c>
      <c r="J2205" s="6">
        <v>2026.0</v>
      </c>
      <c r="K2205" s="10">
        <v>46024.0</v>
      </c>
      <c r="L2205" s="6">
        <v>2.0</v>
      </c>
      <c r="M2205" s="8">
        <f t="shared" si="5"/>
        <v>0.3</v>
      </c>
      <c r="P2205" s="9"/>
    </row>
    <row r="2206">
      <c r="A2206" s="6" t="s">
        <v>5552</v>
      </c>
      <c r="B2206" s="6" t="s">
        <v>675</v>
      </c>
      <c r="C2206" s="6" t="s">
        <v>1949</v>
      </c>
      <c r="D2206" s="6" t="s">
        <v>5553</v>
      </c>
      <c r="E2206" s="6" t="s">
        <v>713</v>
      </c>
      <c r="F2206" s="6" t="s">
        <v>152</v>
      </c>
      <c r="G2206" s="7">
        <v>0.17</v>
      </c>
      <c r="H2206" s="6" t="s">
        <v>5257</v>
      </c>
      <c r="I2206" s="6" t="s">
        <v>20</v>
      </c>
      <c r="J2206" s="6">
        <v>2026.0</v>
      </c>
      <c r="L2206" s="6">
        <v>1.0</v>
      </c>
      <c r="M2206" s="8">
        <f t="shared" si="5"/>
        <v>0.17</v>
      </c>
      <c r="P2206" s="9"/>
    </row>
    <row r="2207">
      <c r="A2207" s="6" t="s">
        <v>5554</v>
      </c>
      <c r="B2207" s="6" t="s">
        <v>378</v>
      </c>
      <c r="C2207" s="6" t="s">
        <v>295</v>
      </c>
      <c r="D2207" s="6" t="s">
        <v>5555</v>
      </c>
      <c r="E2207" s="6" t="s">
        <v>1779</v>
      </c>
      <c r="F2207" s="6" t="s">
        <v>152</v>
      </c>
      <c r="G2207" s="7">
        <v>0.05</v>
      </c>
      <c r="H2207" s="6" t="s">
        <v>5257</v>
      </c>
      <c r="I2207" s="6" t="s">
        <v>20</v>
      </c>
      <c r="J2207" s="6">
        <v>2026.0</v>
      </c>
      <c r="L2207" s="6">
        <v>6.0</v>
      </c>
      <c r="M2207" s="8">
        <f t="shared" si="5"/>
        <v>0.3</v>
      </c>
      <c r="P2207" s="9"/>
    </row>
    <row r="2208">
      <c r="A2208" s="6" t="s">
        <v>5556</v>
      </c>
      <c r="B2208" s="6" t="s">
        <v>5312</v>
      </c>
      <c r="C2208" s="6" t="s">
        <v>1949</v>
      </c>
      <c r="D2208" s="6" t="s">
        <v>5557</v>
      </c>
      <c r="E2208" s="6" t="s">
        <v>1743</v>
      </c>
      <c r="F2208" s="6" t="s">
        <v>152</v>
      </c>
      <c r="G2208" s="7">
        <v>0.1</v>
      </c>
      <c r="H2208" s="6" t="s">
        <v>5257</v>
      </c>
      <c r="I2208" s="6" t="s">
        <v>20</v>
      </c>
      <c r="J2208" s="6">
        <v>2026.0</v>
      </c>
      <c r="K2208" s="10">
        <v>46024.0</v>
      </c>
      <c r="L2208" s="6">
        <v>4.0</v>
      </c>
      <c r="M2208" s="8">
        <f t="shared" si="5"/>
        <v>0.4</v>
      </c>
      <c r="P2208" s="9"/>
    </row>
    <row r="2209">
      <c r="A2209" s="6" t="s">
        <v>5558</v>
      </c>
      <c r="B2209" s="6" t="s">
        <v>595</v>
      </c>
      <c r="C2209" s="6" t="s">
        <v>1897</v>
      </c>
      <c r="D2209" s="6" t="s">
        <v>5559</v>
      </c>
      <c r="E2209" s="6" t="s">
        <v>1779</v>
      </c>
      <c r="F2209" s="6" t="s">
        <v>152</v>
      </c>
      <c r="G2209" s="7">
        <v>0.32</v>
      </c>
      <c r="H2209" s="6" t="s">
        <v>5257</v>
      </c>
      <c r="I2209" s="6" t="s">
        <v>20</v>
      </c>
      <c r="J2209" s="6">
        <v>2026.0</v>
      </c>
      <c r="K2209" s="10">
        <v>46054.0</v>
      </c>
      <c r="L2209" s="6">
        <v>1.0</v>
      </c>
      <c r="M2209" s="8">
        <f t="shared" si="5"/>
        <v>0.32</v>
      </c>
      <c r="P2209" s="9"/>
    </row>
    <row r="2210">
      <c r="A2210" s="6" t="s">
        <v>5558</v>
      </c>
      <c r="B2210" s="6" t="s">
        <v>595</v>
      </c>
      <c r="C2210" s="6" t="s">
        <v>1897</v>
      </c>
      <c r="D2210" s="6" t="s">
        <v>5559</v>
      </c>
      <c r="E2210" s="6" t="s">
        <v>1779</v>
      </c>
      <c r="F2210" s="6" t="s">
        <v>152</v>
      </c>
      <c r="G2210" s="7">
        <v>0.92</v>
      </c>
      <c r="H2210" s="6" t="s">
        <v>5257</v>
      </c>
      <c r="I2210" s="6" t="s">
        <v>31</v>
      </c>
      <c r="J2210" s="6">
        <v>2026.0</v>
      </c>
      <c r="K2210" s="10">
        <v>46054.0</v>
      </c>
      <c r="L2210" s="6">
        <v>1.0</v>
      </c>
      <c r="M2210" s="8">
        <f t="shared" si="5"/>
        <v>0.92</v>
      </c>
      <c r="P2210" s="9"/>
    </row>
    <row r="2211">
      <c r="A2211" s="6" t="s">
        <v>5560</v>
      </c>
      <c r="B2211" s="6" t="s">
        <v>2822</v>
      </c>
      <c r="C2211" s="6" t="s">
        <v>295</v>
      </c>
      <c r="D2211" s="6" t="s">
        <v>5561</v>
      </c>
      <c r="E2211" s="6" t="s">
        <v>1743</v>
      </c>
      <c r="F2211" s="6" t="s">
        <v>152</v>
      </c>
      <c r="G2211" s="7">
        <v>0.1</v>
      </c>
      <c r="H2211" s="6" t="s">
        <v>5257</v>
      </c>
      <c r="I2211" s="6" t="s">
        <v>20</v>
      </c>
      <c r="J2211" s="6">
        <v>2026.0</v>
      </c>
      <c r="L2211" s="6">
        <v>1.0</v>
      </c>
      <c r="M2211" s="8">
        <f t="shared" si="5"/>
        <v>0.1</v>
      </c>
      <c r="P2211" s="9"/>
    </row>
    <row r="2212">
      <c r="A2212" s="6" t="s">
        <v>5560</v>
      </c>
      <c r="B2212" s="6" t="s">
        <v>2822</v>
      </c>
      <c r="C2212" s="6" t="s">
        <v>295</v>
      </c>
      <c r="D2212" s="6" t="s">
        <v>5561</v>
      </c>
      <c r="E2212" s="6" t="s">
        <v>1743</v>
      </c>
      <c r="F2212" s="6" t="s">
        <v>152</v>
      </c>
      <c r="G2212" s="7">
        <v>0.23</v>
      </c>
      <c r="H2212" s="6" t="s">
        <v>5257</v>
      </c>
      <c r="I2212" s="6" t="s">
        <v>31</v>
      </c>
      <c r="J2212" s="6">
        <v>2026.0</v>
      </c>
      <c r="L2212" s="6">
        <v>1.0</v>
      </c>
      <c r="M2212" s="8">
        <f t="shared" si="5"/>
        <v>0.23</v>
      </c>
      <c r="P2212" s="9"/>
    </row>
    <row r="2213">
      <c r="A2213" s="6" t="s">
        <v>5562</v>
      </c>
      <c r="B2213" s="6" t="s">
        <v>5547</v>
      </c>
      <c r="C2213" s="6" t="s">
        <v>295</v>
      </c>
      <c r="D2213" s="6" t="s">
        <v>5563</v>
      </c>
      <c r="E2213" s="6" t="s">
        <v>1779</v>
      </c>
      <c r="F2213" s="6" t="s">
        <v>152</v>
      </c>
      <c r="G2213" s="7">
        <v>0.05</v>
      </c>
      <c r="H2213" s="6" t="s">
        <v>5257</v>
      </c>
      <c r="I2213" s="6" t="s">
        <v>20</v>
      </c>
      <c r="J2213" s="6">
        <v>2026.0</v>
      </c>
      <c r="K2213" s="10">
        <v>46083.0</v>
      </c>
      <c r="L2213" s="6">
        <v>7.0</v>
      </c>
      <c r="M2213" s="8">
        <f t="shared" si="5"/>
        <v>0.35</v>
      </c>
      <c r="P2213" s="9"/>
    </row>
    <row r="2214">
      <c r="A2214" s="6" t="s">
        <v>5564</v>
      </c>
      <c r="B2214" s="6" t="s">
        <v>5565</v>
      </c>
      <c r="C2214" s="6" t="s">
        <v>1949</v>
      </c>
      <c r="D2214" s="6" t="s">
        <v>5566</v>
      </c>
      <c r="E2214" s="6" t="s">
        <v>1779</v>
      </c>
      <c r="F2214" s="6" t="s">
        <v>152</v>
      </c>
      <c r="G2214" s="7">
        <v>0.08</v>
      </c>
      <c r="H2214" s="6" t="s">
        <v>5257</v>
      </c>
      <c r="I2214" s="6" t="s">
        <v>20</v>
      </c>
      <c r="J2214" s="6">
        <v>2026.0</v>
      </c>
      <c r="K2214" s="10">
        <v>46024.0</v>
      </c>
      <c r="L2214" s="6">
        <v>1.0</v>
      </c>
      <c r="M2214" s="8">
        <f t="shared" si="5"/>
        <v>0.08</v>
      </c>
      <c r="P2214" s="9"/>
    </row>
    <row r="2215">
      <c r="A2215" s="6" t="s">
        <v>5567</v>
      </c>
      <c r="B2215" s="6" t="s">
        <v>2822</v>
      </c>
      <c r="C2215" s="6" t="s">
        <v>1949</v>
      </c>
      <c r="D2215" s="6" t="s">
        <v>5568</v>
      </c>
      <c r="E2215" s="6" t="s">
        <v>1743</v>
      </c>
      <c r="F2215" s="6" t="s">
        <v>152</v>
      </c>
      <c r="G2215" s="7">
        <v>0.18</v>
      </c>
      <c r="H2215" s="6" t="s">
        <v>5257</v>
      </c>
      <c r="I2215" s="6" t="s">
        <v>20</v>
      </c>
      <c r="J2215" s="6">
        <v>2026.0</v>
      </c>
      <c r="L2215" s="6">
        <v>1.0</v>
      </c>
      <c r="M2215" s="8">
        <f t="shared" si="5"/>
        <v>0.18</v>
      </c>
      <c r="P2215" s="9"/>
    </row>
    <row r="2216">
      <c r="A2216" s="6" t="s">
        <v>5567</v>
      </c>
      <c r="B2216" s="6" t="s">
        <v>2822</v>
      </c>
      <c r="C2216" s="6" t="s">
        <v>1949</v>
      </c>
      <c r="D2216" s="6" t="s">
        <v>5568</v>
      </c>
      <c r="E2216" s="6" t="s">
        <v>1743</v>
      </c>
      <c r="F2216" s="6" t="s">
        <v>152</v>
      </c>
      <c r="G2216" s="7">
        <v>0.25</v>
      </c>
      <c r="H2216" s="6" t="s">
        <v>5257</v>
      </c>
      <c r="I2216" s="6" t="s">
        <v>31</v>
      </c>
      <c r="J2216" s="6">
        <v>2026.0</v>
      </c>
      <c r="L2216" s="6">
        <v>1.0</v>
      </c>
      <c r="M2216" s="8">
        <f t="shared" si="5"/>
        <v>0.25</v>
      </c>
      <c r="P2216" s="9"/>
    </row>
    <row r="2217">
      <c r="A2217" s="6" t="s">
        <v>5569</v>
      </c>
      <c r="B2217" s="6" t="s">
        <v>610</v>
      </c>
      <c r="C2217" s="6" t="s">
        <v>295</v>
      </c>
      <c r="D2217" s="6" t="s">
        <v>5570</v>
      </c>
      <c r="E2217" s="6" t="s">
        <v>713</v>
      </c>
      <c r="F2217" s="6" t="s">
        <v>152</v>
      </c>
      <c r="G2217" s="7">
        <v>0.05</v>
      </c>
      <c r="H2217" s="6" t="s">
        <v>5257</v>
      </c>
      <c r="I2217" s="6" t="s">
        <v>20</v>
      </c>
      <c r="J2217" s="6">
        <v>2026.0</v>
      </c>
      <c r="L2217" s="6">
        <v>5.0</v>
      </c>
      <c r="M2217" s="8">
        <f t="shared" si="5"/>
        <v>0.25</v>
      </c>
      <c r="P2217" s="9"/>
    </row>
    <row r="2218">
      <c r="A2218" s="6" t="s">
        <v>5571</v>
      </c>
      <c r="B2218" s="6" t="s">
        <v>5312</v>
      </c>
      <c r="C2218" s="6" t="s">
        <v>295</v>
      </c>
      <c r="D2218" s="6" t="s">
        <v>5572</v>
      </c>
      <c r="E2218" s="6" t="s">
        <v>1779</v>
      </c>
      <c r="F2218" s="6" t="s">
        <v>152</v>
      </c>
      <c r="G2218" s="7">
        <v>1.7</v>
      </c>
      <c r="H2218" s="6" t="s">
        <v>5257</v>
      </c>
      <c r="I2218" s="6" t="s">
        <v>20</v>
      </c>
      <c r="J2218" s="6">
        <v>2026.0</v>
      </c>
      <c r="K2218" s="10">
        <v>46082.0</v>
      </c>
      <c r="L2218" s="6">
        <v>1.0</v>
      </c>
      <c r="M2218" s="8">
        <f t="shared" si="5"/>
        <v>1.7</v>
      </c>
      <c r="P2218" s="9"/>
    </row>
    <row r="2219">
      <c r="A2219" s="6" t="s">
        <v>5573</v>
      </c>
      <c r="B2219" s="6" t="s">
        <v>5312</v>
      </c>
      <c r="C2219" s="6" t="s">
        <v>1949</v>
      </c>
      <c r="D2219" s="6" t="s">
        <v>5574</v>
      </c>
      <c r="E2219" s="6" t="s">
        <v>713</v>
      </c>
      <c r="F2219" s="6" t="s">
        <v>152</v>
      </c>
      <c r="G2219" s="7">
        <v>0.6</v>
      </c>
      <c r="H2219" s="6" t="s">
        <v>5257</v>
      </c>
      <c r="I2219" s="6" t="s">
        <v>31</v>
      </c>
      <c r="J2219" s="6">
        <v>2026.0</v>
      </c>
      <c r="K2219" s="10">
        <v>46024.0</v>
      </c>
      <c r="L2219" s="6">
        <v>1.0</v>
      </c>
      <c r="M2219" s="8">
        <f t="shared" si="5"/>
        <v>0.6</v>
      </c>
      <c r="P2219" s="9"/>
    </row>
    <row r="2220">
      <c r="A2220" s="6" t="s">
        <v>5575</v>
      </c>
      <c r="B2220" s="6" t="s">
        <v>5312</v>
      </c>
      <c r="C2220" s="6" t="s">
        <v>295</v>
      </c>
      <c r="D2220" s="6" t="s">
        <v>5576</v>
      </c>
      <c r="E2220" s="6" t="s">
        <v>1838</v>
      </c>
      <c r="F2220" s="6" t="s">
        <v>152</v>
      </c>
      <c r="G2220" s="7">
        <v>0.1</v>
      </c>
      <c r="H2220" s="6" t="s">
        <v>5257</v>
      </c>
      <c r="I2220" s="6" t="s">
        <v>20</v>
      </c>
      <c r="J2220" s="6">
        <v>2026.0</v>
      </c>
      <c r="K2220" s="10">
        <v>46084.0</v>
      </c>
      <c r="L2220" s="6">
        <v>3.0</v>
      </c>
      <c r="M2220" s="8">
        <f t="shared" si="5"/>
        <v>0.3</v>
      </c>
      <c r="P2220" s="9"/>
    </row>
    <row r="2221">
      <c r="A2221" s="6" t="s">
        <v>5575</v>
      </c>
      <c r="B2221" s="6" t="s">
        <v>5312</v>
      </c>
      <c r="C2221" s="6" t="s">
        <v>295</v>
      </c>
      <c r="D2221" s="6" t="s">
        <v>5576</v>
      </c>
      <c r="E2221" s="6" t="s">
        <v>1838</v>
      </c>
      <c r="F2221" s="6" t="s">
        <v>152</v>
      </c>
      <c r="G2221" s="7">
        <v>0.15</v>
      </c>
      <c r="H2221" s="6" t="s">
        <v>5257</v>
      </c>
      <c r="I2221" s="6" t="s">
        <v>31</v>
      </c>
      <c r="J2221" s="6">
        <v>2026.0</v>
      </c>
      <c r="K2221" s="10">
        <v>46084.0</v>
      </c>
      <c r="L2221" s="6">
        <v>1.0</v>
      </c>
      <c r="M2221" s="8">
        <f t="shared" si="5"/>
        <v>0.15</v>
      </c>
      <c r="P2221" s="9"/>
    </row>
    <row r="2222">
      <c r="A2222" s="6" t="s">
        <v>5577</v>
      </c>
      <c r="B2222" s="6" t="s">
        <v>610</v>
      </c>
      <c r="C2222" s="6" t="s">
        <v>295</v>
      </c>
      <c r="D2222" s="6" t="s">
        <v>5578</v>
      </c>
      <c r="E2222" s="6" t="s">
        <v>1838</v>
      </c>
      <c r="F2222" s="6" t="s">
        <v>152</v>
      </c>
      <c r="G2222" s="7">
        <v>0.1</v>
      </c>
      <c r="H2222" s="6" t="s">
        <v>5257</v>
      </c>
      <c r="I2222" s="6" t="s">
        <v>20</v>
      </c>
      <c r="J2222" s="6">
        <v>2026.0</v>
      </c>
      <c r="L2222" s="6">
        <v>4.0</v>
      </c>
      <c r="M2222" s="8">
        <f t="shared" si="5"/>
        <v>0.4</v>
      </c>
      <c r="P2222" s="9"/>
    </row>
    <row r="2223">
      <c r="A2223" s="6" t="s">
        <v>5579</v>
      </c>
      <c r="B2223" s="6" t="s">
        <v>5580</v>
      </c>
      <c r="C2223" s="6" t="s">
        <v>295</v>
      </c>
      <c r="D2223" s="6" t="s">
        <v>5581</v>
      </c>
      <c r="F2223" s="6" t="s">
        <v>152</v>
      </c>
      <c r="G2223" s="7">
        <v>0.2</v>
      </c>
      <c r="H2223" s="6" t="s">
        <v>164</v>
      </c>
      <c r="I2223" s="6" t="s">
        <v>20</v>
      </c>
      <c r="J2223" s="6">
        <v>2014.0</v>
      </c>
      <c r="L2223" s="6">
        <v>1.0</v>
      </c>
      <c r="M2223" s="8">
        <f t="shared" si="5"/>
        <v>0.2</v>
      </c>
      <c r="P2223" s="9"/>
    </row>
    <row r="2224">
      <c r="A2224" s="6" t="s">
        <v>5579</v>
      </c>
      <c r="B2224" s="6" t="s">
        <v>5580</v>
      </c>
      <c r="C2224" s="6" t="s">
        <v>295</v>
      </c>
      <c r="D2224" s="6" t="s">
        <v>5581</v>
      </c>
      <c r="F2224" s="6" t="s">
        <v>152</v>
      </c>
      <c r="G2224" s="7">
        <v>0.35</v>
      </c>
      <c r="H2224" s="6" t="s">
        <v>164</v>
      </c>
      <c r="I2224" s="6" t="s">
        <v>20</v>
      </c>
      <c r="J2224" s="6">
        <v>2014.0</v>
      </c>
      <c r="L2224" s="6">
        <v>1.0</v>
      </c>
      <c r="M2224" s="8">
        <f t="shared" si="5"/>
        <v>0.35</v>
      </c>
      <c r="P2224" s="9"/>
    </row>
    <row r="2225">
      <c r="A2225" s="6" t="s">
        <v>5582</v>
      </c>
      <c r="B2225" s="6" t="s">
        <v>2058</v>
      </c>
      <c r="C2225" s="6" t="s">
        <v>295</v>
      </c>
      <c r="D2225" s="6" t="s">
        <v>5583</v>
      </c>
      <c r="E2225" s="6" t="s">
        <v>2295</v>
      </c>
      <c r="F2225" s="6" t="s">
        <v>18</v>
      </c>
      <c r="G2225" s="7">
        <v>0.09</v>
      </c>
      <c r="H2225" s="6" t="s">
        <v>164</v>
      </c>
      <c r="I2225" s="6" t="s">
        <v>20</v>
      </c>
      <c r="J2225" s="6">
        <v>2014.0</v>
      </c>
      <c r="L2225" s="6">
        <v>4.0</v>
      </c>
      <c r="M2225" s="8">
        <f t="shared" si="5"/>
        <v>0.36</v>
      </c>
      <c r="P2225" s="9"/>
    </row>
    <row r="2226">
      <c r="A2226" s="6" t="s">
        <v>5584</v>
      </c>
      <c r="B2226" s="6" t="s">
        <v>5585</v>
      </c>
      <c r="C2226" s="6" t="s">
        <v>295</v>
      </c>
      <c r="D2226" s="6" t="s">
        <v>5586</v>
      </c>
      <c r="E2226" s="6" t="s">
        <v>1954</v>
      </c>
      <c r="F2226" s="6" t="s">
        <v>18</v>
      </c>
      <c r="G2226" s="7">
        <v>0.03</v>
      </c>
      <c r="H2226" s="6" t="s">
        <v>164</v>
      </c>
      <c r="I2226" s="6" t="s">
        <v>20</v>
      </c>
      <c r="J2226" s="6">
        <v>2014.0</v>
      </c>
      <c r="K2226" s="10">
        <v>46023.0</v>
      </c>
      <c r="L2226" s="6">
        <v>4.0</v>
      </c>
      <c r="M2226" s="8">
        <f t="shared" si="5"/>
        <v>0.12</v>
      </c>
      <c r="P2226" s="9"/>
    </row>
    <row r="2227">
      <c r="A2227" s="6" t="s">
        <v>5587</v>
      </c>
      <c r="B2227" s="6" t="s">
        <v>2058</v>
      </c>
      <c r="C2227" s="6" t="s">
        <v>295</v>
      </c>
      <c r="D2227" s="6" t="s">
        <v>5588</v>
      </c>
      <c r="E2227" s="6" t="s">
        <v>2299</v>
      </c>
      <c r="F2227" s="6" t="s">
        <v>18</v>
      </c>
      <c r="G2227" s="7">
        <v>0.03</v>
      </c>
      <c r="H2227" s="6" t="s">
        <v>164</v>
      </c>
      <c r="I2227" s="6" t="s">
        <v>20</v>
      </c>
      <c r="J2227" s="6">
        <v>2014.0</v>
      </c>
      <c r="L2227" s="6">
        <v>4.0</v>
      </c>
      <c r="M2227" s="8">
        <f t="shared" si="5"/>
        <v>0.12</v>
      </c>
      <c r="P2227" s="9"/>
    </row>
    <row r="2228">
      <c r="A2228" s="6" t="s">
        <v>5589</v>
      </c>
      <c r="B2228" s="6" t="s">
        <v>5590</v>
      </c>
      <c r="C2228" s="6" t="s">
        <v>1949</v>
      </c>
      <c r="D2228" s="6" t="s">
        <v>5591</v>
      </c>
      <c r="E2228" s="6" t="s">
        <v>5220</v>
      </c>
      <c r="F2228" s="6" t="s">
        <v>18</v>
      </c>
      <c r="G2228" s="7">
        <v>0.05</v>
      </c>
      <c r="H2228" s="6" t="s">
        <v>164</v>
      </c>
      <c r="I2228" s="6" t="s">
        <v>20</v>
      </c>
      <c r="J2228" s="6">
        <v>2014.0</v>
      </c>
      <c r="K2228" s="10">
        <v>46117.0</v>
      </c>
      <c r="L2228" s="6">
        <v>2.0</v>
      </c>
      <c r="M2228" s="8">
        <f t="shared" si="5"/>
        <v>0.1</v>
      </c>
      <c r="P2228" s="9"/>
    </row>
    <row r="2229">
      <c r="A2229" s="6" t="s">
        <v>5592</v>
      </c>
      <c r="B2229" s="6" t="s">
        <v>5593</v>
      </c>
      <c r="C2229" s="6" t="s">
        <v>295</v>
      </c>
      <c r="D2229" s="6" t="s">
        <v>5594</v>
      </c>
      <c r="E2229" s="6" t="s">
        <v>2295</v>
      </c>
      <c r="F2229" s="6" t="s">
        <v>18</v>
      </c>
      <c r="G2229" s="7">
        <v>0.03</v>
      </c>
      <c r="H2229" s="6" t="s">
        <v>164</v>
      </c>
      <c r="I2229" s="6" t="s">
        <v>20</v>
      </c>
      <c r="J2229" s="6">
        <v>2014.0</v>
      </c>
      <c r="K2229" s="10">
        <v>46083.0</v>
      </c>
      <c r="L2229" s="6">
        <v>5.0</v>
      </c>
      <c r="M2229" s="8">
        <f t="shared" si="5"/>
        <v>0.15</v>
      </c>
      <c r="P2229" s="9"/>
    </row>
    <row r="2230">
      <c r="A2230" s="6" t="s">
        <v>5595</v>
      </c>
      <c r="B2230" s="6" t="s">
        <v>2058</v>
      </c>
      <c r="C2230" s="6" t="s">
        <v>1949</v>
      </c>
      <c r="D2230" s="6" t="s">
        <v>5596</v>
      </c>
      <c r="E2230" s="6" t="s">
        <v>2295</v>
      </c>
      <c r="F2230" s="6" t="s">
        <v>18</v>
      </c>
      <c r="G2230" s="7">
        <v>0.05</v>
      </c>
      <c r="H2230" s="6" t="s">
        <v>164</v>
      </c>
      <c r="I2230" s="6" t="s">
        <v>20</v>
      </c>
      <c r="J2230" s="6">
        <v>2014.0</v>
      </c>
      <c r="L2230" s="6">
        <v>2.0</v>
      </c>
      <c r="M2230" s="8">
        <f t="shared" si="5"/>
        <v>0.1</v>
      </c>
      <c r="P2230" s="9"/>
    </row>
    <row r="2231">
      <c r="A2231" s="6" t="s">
        <v>5597</v>
      </c>
      <c r="B2231" s="6" t="s">
        <v>2491</v>
      </c>
      <c r="C2231" s="6" t="s">
        <v>295</v>
      </c>
      <c r="D2231" s="6" t="s">
        <v>5598</v>
      </c>
      <c r="E2231" s="6" t="s">
        <v>2299</v>
      </c>
      <c r="F2231" s="6" t="s">
        <v>18</v>
      </c>
      <c r="G2231" s="7">
        <v>0.03</v>
      </c>
      <c r="H2231" s="6" t="s">
        <v>164</v>
      </c>
      <c r="I2231" s="6" t="s">
        <v>20</v>
      </c>
      <c r="J2231" s="6">
        <v>2014.0</v>
      </c>
      <c r="K2231" s="10">
        <v>46114.0</v>
      </c>
      <c r="L2231" s="6">
        <v>2.0</v>
      </c>
      <c r="M2231" s="8">
        <f t="shared" si="5"/>
        <v>0.06</v>
      </c>
      <c r="P2231" s="9"/>
    </row>
    <row r="2232">
      <c r="A2232" s="6" t="s">
        <v>5599</v>
      </c>
      <c r="B2232" s="6" t="s">
        <v>1944</v>
      </c>
      <c r="C2232" s="6" t="s">
        <v>1949</v>
      </c>
      <c r="D2232" s="6" t="s">
        <v>5600</v>
      </c>
      <c r="E2232" s="6" t="s">
        <v>1954</v>
      </c>
      <c r="F2232" s="6" t="s">
        <v>18</v>
      </c>
      <c r="G2232" s="7">
        <v>0.05</v>
      </c>
      <c r="H2232" s="6" t="s">
        <v>164</v>
      </c>
      <c r="I2232" s="6" t="s">
        <v>20</v>
      </c>
      <c r="J2232" s="6">
        <v>2014.0</v>
      </c>
      <c r="L2232" s="6">
        <v>4.0</v>
      </c>
      <c r="M2232" s="8">
        <f t="shared" si="5"/>
        <v>0.2</v>
      </c>
      <c r="P2232" s="9"/>
    </row>
    <row r="2233">
      <c r="A2233" s="6" t="s">
        <v>5601</v>
      </c>
      <c r="B2233" s="6" t="s">
        <v>2486</v>
      </c>
      <c r="C2233" s="6" t="s">
        <v>295</v>
      </c>
      <c r="D2233" s="6" t="s">
        <v>5602</v>
      </c>
      <c r="E2233" s="6" t="s">
        <v>780</v>
      </c>
      <c r="F2233" s="6" t="s">
        <v>18</v>
      </c>
      <c r="G2233" s="7">
        <v>0.03</v>
      </c>
      <c r="H2233" s="6" t="s">
        <v>164</v>
      </c>
      <c r="I2233" s="6" t="s">
        <v>20</v>
      </c>
      <c r="J2233" s="6">
        <v>2014.0</v>
      </c>
      <c r="K2233" s="10">
        <v>46023.0</v>
      </c>
      <c r="L2233" s="6">
        <v>5.0</v>
      </c>
      <c r="M2233" s="8">
        <f t="shared" si="5"/>
        <v>0.15</v>
      </c>
      <c r="P2233" s="9"/>
    </row>
    <row r="2234">
      <c r="A2234" s="6" t="s">
        <v>5603</v>
      </c>
      <c r="B2234" s="6" t="s">
        <v>2662</v>
      </c>
      <c r="C2234" s="6" t="s">
        <v>1949</v>
      </c>
      <c r="D2234" s="6" t="s">
        <v>5604</v>
      </c>
      <c r="E2234" s="6" t="s">
        <v>2556</v>
      </c>
      <c r="F2234" s="6" t="s">
        <v>18</v>
      </c>
      <c r="G2234" s="7">
        <v>0.05</v>
      </c>
      <c r="H2234" s="6" t="s">
        <v>164</v>
      </c>
      <c r="I2234" s="6" t="s">
        <v>20</v>
      </c>
      <c r="J2234" s="6">
        <v>2014.0</v>
      </c>
      <c r="K2234" s="10">
        <v>46179.0</v>
      </c>
      <c r="L2234" s="6">
        <v>1.0</v>
      </c>
      <c r="M2234" s="8">
        <f t="shared" si="5"/>
        <v>0.05</v>
      </c>
      <c r="P2234" s="9"/>
    </row>
    <row r="2235">
      <c r="A2235" s="6" t="s">
        <v>5605</v>
      </c>
      <c r="B2235" s="6" t="s">
        <v>4124</v>
      </c>
      <c r="C2235" s="6" t="s">
        <v>295</v>
      </c>
      <c r="D2235" s="6" t="s">
        <v>5606</v>
      </c>
      <c r="E2235" s="6" t="s">
        <v>1954</v>
      </c>
      <c r="F2235" s="6" t="s">
        <v>18</v>
      </c>
      <c r="G2235" s="7">
        <v>0.03</v>
      </c>
      <c r="H2235" s="6" t="s">
        <v>164</v>
      </c>
      <c r="I2235" s="6" t="s">
        <v>20</v>
      </c>
      <c r="J2235" s="6">
        <v>2014.0</v>
      </c>
      <c r="K2235" s="10">
        <v>46024.0</v>
      </c>
      <c r="L2235" s="6">
        <v>1.0</v>
      </c>
      <c r="M2235" s="8">
        <f t="shared" si="5"/>
        <v>0.03</v>
      </c>
      <c r="P2235" s="9"/>
    </row>
    <row r="2236">
      <c r="A2236" s="6" t="s">
        <v>5607</v>
      </c>
      <c r="B2236" s="6" t="s">
        <v>378</v>
      </c>
      <c r="C2236" s="6" t="s">
        <v>1949</v>
      </c>
      <c r="D2236" s="6" t="s">
        <v>5608</v>
      </c>
      <c r="E2236" s="6" t="s">
        <v>1954</v>
      </c>
      <c r="F2236" s="6" t="s">
        <v>18</v>
      </c>
      <c r="G2236" s="7">
        <v>0.86</v>
      </c>
      <c r="H2236" s="6" t="s">
        <v>5609</v>
      </c>
      <c r="I2236" s="6" t="s">
        <v>20</v>
      </c>
      <c r="J2236" s="6">
        <v>2016.0</v>
      </c>
      <c r="L2236" s="6">
        <v>1.0</v>
      </c>
      <c r="M2236" s="8">
        <f t="shared" si="5"/>
        <v>0.86</v>
      </c>
      <c r="P2236" s="9"/>
    </row>
    <row r="2237">
      <c r="A2237" s="6" t="s">
        <v>5610</v>
      </c>
      <c r="B2237" s="6" t="s">
        <v>5611</v>
      </c>
      <c r="C2237" s="6" t="s">
        <v>1949</v>
      </c>
      <c r="D2237" s="6" t="s">
        <v>5612</v>
      </c>
      <c r="E2237" s="6" t="s">
        <v>2546</v>
      </c>
      <c r="F2237" s="6" t="s">
        <v>18</v>
      </c>
      <c r="G2237" s="7">
        <v>0.2</v>
      </c>
      <c r="H2237" s="6" t="s">
        <v>164</v>
      </c>
      <c r="I2237" s="6" t="s">
        <v>20</v>
      </c>
      <c r="J2237" s="6">
        <v>2014.0</v>
      </c>
      <c r="K2237" s="10">
        <v>46024.0</v>
      </c>
      <c r="L2237" s="6">
        <v>1.0</v>
      </c>
      <c r="M2237" s="8">
        <f t="shared" si="5"/>
        <v>0.2</v>
      </c>
      <c r="P2237" s="9"/>
    </row>
    <row r="2238">
      <c r="A2238" s="6" t="s">
        <v>5613</v>
      </c>
      <c r="B2238" s="6" t="s">
        <v>1944</v>
      </c>
      <c r="C2238" s="6" t="s">
        <v>295</v>
      </c>
      <c r="D2238" s="6" t="s">
        <v>5614</v>
      </c>
      <c r="E2238" s="6" t="s">
        <v>780</v>
      </c>
      <c r="F2238" s="6" t="s">
        <v>18</v>
      </c>
      <c r="G2238" s="7">
        <v>0.03</v>
      </c>
      <c r="H2238" s="6" t="s">
        <v>164</v>
      </c>
      <c r="I2238" s="6" t="s">
        <v>20</v>
      </c>
      <c r="J2238" s="6">
        <v>2014.0</v>
      </c>
      <c r="L2238" s="6">
        <v>1.0</v>
      </c>
      <c r="M2238" s="8">
        <f t="shared" si="5"/>
        <v>0.03</v>
      </c>
      <c r="P2238" s="9"/>
    </row>
    <row r="2239">
      <c r="A2239" s="6" t="s">
        <v>5615</v>
      </c>
      <c r="B2239" s="6" t="s">
        <v>2545</v>
      </c>
      <c r="C2239" s="6" t="s">
        <v>295</v>
      </c>
      <c r="D2239" s="6" t="s">
        <v>5616</v>
      </c>
      <c r="E2239" s="6" t="s">
        <v>2503</v>
      </c>
      <c r="F2239" s="6" t="s">
        <v>18</v>
      </c>
      <c r="G2239" s="7">
        <v>0.03</v>
      </c>
      <c r="H2239" s="6" t="s">
        <v>164</v>
      </c>
      <c r="I2239" s="6" t="s">
        <v>20</v>
      </c>
      <c r="J2239" s="6">
        <v>2014.0</v>
      </c>
      <c r="K2239" s="10">
        <v>46115.0</v>
      </c>
      <c r="L2239" s="6">
        <v>1.0</v>
      </c>
      <c r="M2239" s="8">
        <f t="shared" si="5"/>
        <v>0.03</v>
      </c>
      <c r="P2239" s="9"/>
    </row>
    <row r="2240">
      <c r="A2240" s="6" t="s">
        <v>5617</v>
      </c>
      <c r="B2240" s="6" t="s">
        <v>5618</v>
      </c>
      <c r="C2240" s="6" t="s">
        <v>1949</v>
      </c>
      <c r="D2240" s="6" t="s">
        <v>5619</v>
      </c>
      <c r="E2240" s="6" t="s">
        <v>5620</v>
      </c>
      <c r="F2240" s="6" t="s">
        <v>3196</v>
      </c>
      <c r="G2240" s="7">
        <v>0.05</v>
      </c>
      <c r="H2240" s="6" t="s">
        <v>164</v>
      </c>
      <c r="I2240" s="6" t="s">
        <v>20</v>
      </c>
      <c r="J2240" s="6">
        <v>2014.0</v>
      </c>
      <c r="K2240" s="10">
        <v>46083.0</v>
      </c>
      <c r="L2240" s="6">
        <v>1.0</v>
      </c>
      <c r="M2240" s="8">
        <f t="shared" si="5"/>
        <v>0.05</v>
      </c>
      <c r="P2240" s="9"/>
    </row>
    <row r="2241">
      <c r="A2241" s="6" t="s">
        <v>5621</v>
      </c>
      <c r="B2241" s="6" t="s">
        <v>2058</v>
      </c>
      <c r="C2241" s="6" t="s">
        <v>1949</v>
      </c>
      <c r="D2241" s="6" t="s">
        <v>5622</v>
      </c>
      <c r="E2241" s="6" t="s">
        <v>3365</v>
      </c>
      <c r="F2241" s="6" t="s">
        <v>3188</v>
      </c>
      <c r="G2241" s="7">
        <v>0.05</v>
      </c>
      <c r="H2241" s="6" t="s">
        <v>164</v>
      </c>
      <c r="I2241" s="6" t="s">
        <v>20</v>
      </c>
      <c r="J2241" s="6">
        <v>2014.0</v>
      </c>
      <c r="L2241" s="6">
        <v>4.0</v>
      </c>
      <c r="M2241" s="8">
        <f t="shared" si="5"/>
        <v>0.2</v>
      </c>
      <c r="P2241" s="9"/>
    </row>
    <row r="2242">
      <c r="A2242" s="6" t="s">
        <v>5623</v>
      </c>
      <c r="B2242" s="6" t="s">
        <v>3487</v>
      </c>
      <c r="C2242" s="6" t="s">
        <v>1949</v>
      </c>
      <c r="D2242" s="6" t="s">
        <v>5624</v>
      </c>
      <c r="E2242" s="6" t="s">
        <v>3330</v>
      </c>
      <c r="F2242" s="6" t="s">
        <v>3169</v>
      </c>
      <c r="G2242" s="7">
        <v>0.11</v>
      </c>
      <c r="H2242" s="6" t="s">
        <v>164</v>
      </c>
      <c r="I2242" s="6" t="s">
        <v>20</v>
      </c>
      <c r="J2242" s="6">
        <v>2014.0</v>
      </c>
      <c r="K2242" s="10">
        <v>46082.0</v>
      </c>
      <c r="L2242" s="6">
        <v>1.0</v>
      </c>
      <c r="M2242" s="8">
        <f t="shared" si="5"/>
        <v>0.11</v>
      </c>
      <c r="P2242" s="9"/>
    </row>
    <row r="2243">
      <c r="A2243" s="6" t="s">
        <v>5625</v>
      </c>
      <c r="B2243" s="6" t="s">
        <v>5626</v>
      </c>
      <c r="C2243" s="6" t="s">
        <v>1949</v>
      </c>
      <c r="D2243" s="6" t="s">
        <v>5627</v>
      </c>
      <c r="E2243" s="6" t="s">
        <v>987</v>
      </c>
      <c r="F2243" s="6" t="s">
        <v>3177</v>
      </c>
      <c r="G2243" s="7">
        <v>0.05</v>
      </c>
      <c r="H2243" s="6" t="s">
        <v>164</v>
      </c>
      <c r="I2243" s="6" t="s">
        <v>20</v>
      </c>
      <c r="J2243" s="6">
        <v>2014.0</v>
      </c>
      <c r="K2243" s="10">
        <v>46055.0</v>
      </c>
      <c r="L2243" s="6">
        <v>1.0</v>
      </c>
      <c r="M2243" s="8">
        <f t="shared" si="5"/>
        <v>0.05</v>
      </c>
      <c r="P2243" s="9"/>
    </row>
    <row r="2244">
      <c r="A2244" s="6" t="s">
        <v>5628</v>
      </c>
      <c r="B2244" s="6" t="s">
        <v>2058</v>
      </c>
      <c r="C2244" s="6" t="s">
        <v>1897</v>
      </c>
      <c r="D2244" s="6" t="s">
        <v>5629</v>
      </c>
      <c r="E2244" s="6" t="s">
        <v>713</v>
      </c>
      <c r="F2244" s="6" t="s">
        <v>152</v>
      </c>
      <c r="G2244" s="7">
        <v>0.3</v>
      </c>
      <c r="H2244" s="6" t="s">
        <v>164</v>
      </c>
      <c r="I2244" s="6" t="s">
        <v>20</v>
      </c>
      <c r="J2244" s="6">
        <v>2014.0</v>
      </c>
      <c r="L2244" s="6">
        <v>2.0</v>
      </c>
      <c r="M2244" s="8">
        <f t="shared" si="5"/>
        <v>0.6</v>
      </c>
      <c r="P2244" s="9"/>
    </row>
    <row r="2245">
      <c r="A2245" s="6" t="s">
        <v>5630</v>
      </c>
      <c r="B2245" s="6" t="s">
        <v>5631</v>
      </c>
      <c r="C2245" s="6" t="s">
        <v>295</v>
      </c>
      <c r="D2245" s="6" t="s">
        <v>5632</v>
      </c>
      <c r="E2245" s="6" t="s">
        <v>713</v>
      </c>
      <c r="F2245" s="6" t="s">
        <v>152</v>
      </c>
      <c r="G2245" s="7">
        <v>0.64</v>
      </c>
      <c r="H2245" s="6" t="s">
        <v>164</v>
      </c>
      <c r="I2245" s="6" t="s">
        <v>20</v>
      </c>
      <c r="J2245" s="6">
        <v>2014.0</v>
      </c>
      <c r="K2245" s="6" t="s">
        <v>564</v>
      </c>
      <c r="L2245" s="6">
        <v>5.0</v>
      </c>
      <c r="M2245" s="8">
        <f t="shared" si="5"/>
        <v>3.2</v>
      </c>
      <c r="P2245" s="9"/>
    </row>
    <row r="2246">
      <c r="A2246" s="6" t="s">
        <v>5633</v>
      </c>
      <c r="B2246" s="6" t="s">
        <v>2316</v>
      </c>
      <c r="C2246" s="6" t="s">
        <v>295</v>
      </c>
      <c r="D2246" s="6" t="s">
        <v>5634</v>
      </c>
      <c r="E2246" s="6" t="s">
        <v>1743</v>
      </c>
      <c r="F2246" s="6" t="s">
        <v>152</v>
      </c>
      <c r="G2246" s="7">
        <v>0.03</v>
      </c>
      <c r="H2246" s="6" t="s">
        <v>164</v>
      </c>
      <c r="I2246" s="6" t="s">
        <v>20</v>
      </c>
      <c r="J2246" s="6">
        <v>2014.0</v>
      </c>
      <c r="K2246" s="10">
        <v>46055.0</v>
      </c>
      <c r="L2246" s="6">
        <v>3.0</v>
      </c>
      <c r="M2246" s="8">
        <f t="shared" si="5"/>
        <v>0.09</v>
      </c>
      <c r="P2246" s="9"/>
    </row>
    <row r="2247">
      <c r="A2247" s="6" t="s">
        <v>5635</v>
      </c>
      <c r="B2247" s="6" t="s">
        <v>2014</v>
      </c>
      <c r="C2247" s="6" t="s">
        <v>295</v>
      </c>
      <c r="D2247" s="6" t="s">
        <v>5636</v>
      </c>
      <c r="E2247" s="6" t="s">
        <v>713</v>
      </c>
      <c r="F2247" s="6" t="s">
        <v>152</v>
      </c>
      <c r="G2247" s="7">
        <v>0.03</v>
      </c>
      <c r="H2247" s="6" t="s">
        <v>164</v>
      </c>
      <c r="I2247" s="6" t="s">
        <v>20</v>
      </c>
      <c r="J2247" s="6">
        <v>2014.0</v>
      </c>
      <c r="L2247" s="6">
        <v>3.0</v>
      </c>
      <c r="M2247" s="8">
        <f t="shared" si="5"/>
        <v>0.09</v>
      </c>
      <c r="P2247" s="9"/>
    </row>
    <row r="2248">
      <c r="A2248" s="6" t="s">
        <v>5637</v>
      </c>
      <c r="B2248" s="6" t="s">
        <v>5638</v>
      </c>
      <c r="C2248" s="6" t="s">
        <v>1949</v>
      </c>
      <c r="D2248" s="6" t="s">
        <v>5639</v>
      </c>
      <c r="E2248" s="6" t="s">
        <v>1779</v>
      </c>
      <c r="F2248" s="6" t="s">
        <v>152</v>
      </c>
      <c r="G2248" s="7">
        <v>6.5</v>
      </c>
      <c r="H2248" s="6" t="s">
        <v>164</v>
      </c>
      <c r="I2248" s="6" t="s">
        <v>20</v>
      </c>
      <c r="J2248" s="6">
        <v>2014.0</v>
      </c>
      <c r="K2248" s="10">
        <v>46113.0</v>
      </c>
      <c r="L2248" s="6">
        <v>2.0</v>
      </c>
      <c r="M2248" s="8">
        <f t="shared" si="5"/>
        <v>13</v>
      </c>
      <c r="P2248" s="9"/>
    </row>
    <row r="2249">
      <c r="A2249" s="6" t="s">
        <v>5640</v>
      </c>
      <c r="B2249" s="6" t="s">
        <v>1944</v>
      </c>
      <c r="C2249" s="6" t="s">
        <v>295</v>
      </c>
      <c r="D2249" s="6" t="s">
        <v>5641</v>
      </c>
      <c r="E2249" s="6" t="s">
        <v>1743</v>
      </c>
      <c r="F2249" s="6" t="s">
        <v>152</v>
      </c>
      <c r="G2249" s="7">
        <v>0.03</v>
      </c>
      <c r="H2249" s="6" t="s">
        <v>164</v>
      </c>
      <c r="I2249" s="6" t="s">
        <v>20</v>
      </c>
      <c r="J2249" s="6">
        <v>2014.0</v>
      </c>
      <c r="L2249" s="6">
        <v>2.0</v>
      </c>
      <c r="M2249" s="8">
        <f t="shared" si="5"/>
        <v>0.06</v>
      </c>
      <c r="P2249" s="9"/>
    </row>
    <row r="2250">
      <c r="A2250" s="6" t="s">
        <v>5642</v>
      </c>
      <c r="B2250" s="6" t="s">
        <v>2017</v>
      </c>
      <c r="C2250" s="6" t="s">
        <v>295</v>
      </c>
      <c r="D2250" s="6" t="s">
        <v>5643</v>
      </c>
      <c r="E2250" s="6" t="s">
        <v>2426</v>
      </c>
      <c r="F2250" s="6" t="s">
        <v>152</v>
      </c>
      <c r="G2250" s="7">
        <v>0.03</v>
      </c>
      <c r="H2250" s="6" t="s">
        <v>164</v>
      </c>
      <c r="I2250" s="6" t="s">
        <v>20</v>
      </c>
      <c r="J2250" s="6">
        <v>2014.0</v>
      </c>
      <c r="K2250" s="10">
        <v>46114.0</v>
      </c>
      <c r="L2250" s="6">
        <v>2.0</v>
      </c>
      <c r="M2250" s="8">
        <f t="shared" si="5"/>
        <v>0.06</v>
      </c>
      <c r="P2250" s="9"/>
    </row>
    <row r="2251">
      <c r="A2251" s="6" t="s">
        <v>5644</v>
      </c>
      <c r="B2251" s="6" t="s">
        <v>4792</v>
      </c>
      <c r="C2251" s="6" t="s">
        <v>295</v>
      </c>
      <c r="D2251" s="6" t="s">
        <v>4597</v>
      </c>
      <c r="E2251" s="6" t="s">
        <v>1761</v>
      </c>
      <c r="F2251" s="6" t="s">
        <v>152</v>
      </c>
      <c r="G2251" s="7">
        <v>0.03</v>
      </c>
      <c r="H2251" s="6" t="s">
        <v>164</v>
      </c>
      <c r="I2251" s="6" t="s">
        <v>20</v>
      </c>
      <c r="J2251" s="6">
        <v>2014.0</v>
      </c>
      <c r="K2251" s="10">
        <v>46055.0</v>
      </c>
      <c r="L2251" s="6">
        <v>5.0</v>
      </c>
      <c r="M2251" s="8">
        <f t="shared" si="5"/>
        <v>0.15</v>
      </c>
      <c r="P2251" s="9"/>
    </row>
    <row r="2252">
      <c r="A2252" s="6" t="s">
        <v>5645</v>
      </c>
      <c r="B2252" s="6" t="s">
        <v>5646</v>
      </c>
      <c r="C2252" s="6" t="s">
        <v>1949</v>
      </c>
      <c r="D2252" s="6" t="s">
        <v>5647</v>
      </c>
      <c r="E2252" s="6" t="s">
        <v>1743</v>
      </c>
      <c r="F2252" s="6" t="s">
        <v>152</v>
      </c>
      <c r="G2252" s="7">
        <v>0.44</v>
      </c>
      <c r="H2252" s="6" t="s">
        <v>5648</v>
      </c>
      <c r="I2252" s="6" t="s">
        <v>20</v>
      </c>
      <c r="J2252" s="6">
        <v>2020.0</v>
      </c>
      <c r="K2252" s="6" t="s">
        <v>3153</v>
      </c>
      <c r="L2252" s="6">
        <v>2.0</v>
      </c>
      <c r="M2252" s="8">
        <f t="shared" si="5"/>
        <v>0.88</v>
      </c>
      <c r="P2252" s="9"/>
    </row>
    <row r="2253">
      <c r="A2253" s="6" t="s">
        <v>5649</v>
      </c>
      <c r="B2253" s="6" t="s">
        <v>2014</v>
      </c>
      <c r="C2253" s="6" t="s">
        <v>295</v>
      </c>
      <c r="D2253" s="6" t="s">
        <v>5650</v>
      </c>
      <c r="E2253" s="6" t="s">
        <v>713</v>
      </c>
      <c r="F2253" s="6" t="s">
        <v>152</v>
      </c>
      <c r="G2253" s="7">
        <v>0.03</v>
      </c>
      <c r="H2253" s="6" t="s">
        <v>164</v>
      </c>
      <c r="I2253" s="6" t="s">
        <v>20</v>
      </c>
      <c r="J2253" s="6">
        <v>2014.0</v>
      </c>
      <c r="L2253" s="6">
        <v>5.0</v>
      </c>
      <c r="M2253" s="8">
        <f t="shared" si="5"/>
        <v>0.15</v>
      </c>
      <c r="P2253" s="9"/>
    </row>
    <row r="2254">
      <c r="A2254" s="6" t="s">
        <v>5651</v>
      </c>
      <c r="B2254" s="6" t="s">
        <v>3219</v>
      </c>
      <c r="C2254" s="6" t="s">
        <v>295</v>
      </c>
      <c r="D2254" s="6" t="s">
        <v>5652</v>
      </c>
      <c r="E2254" s="6" t="s">
        <v>1779</v>
      </c>
      <c r="F2254" s="6" t="s">
        <v>152</v>
      </c>
      <c r="G2254" s="7">
        <v>0.03</v>
      </c>
      <c r="H2254" s="6" t="s">
        <v>164</v>
      </c>
      <c r="I2254" s="6" t="s">
        <v>20</v>
      </c>
      <c r="J2254" s="6">
        <v>2014.0</v>
      </c>
      <c r="K2254" s="10">
        <v>46083.0</v>
      </c>
      <c r="L2254" s="6">
        <v>2.0</v>
      </c>
      <c r="M2254" s="8">
        <f t="shared" si="5"/>
        <v>0.06</v>
      </c>
      <c r="P2254" s="9"/>
    </row>
    <row r="2255">
      <c r="A2255" s="6" t="s">
        <v>5653</v>
      </c>
      <c r="B2255" s="6" t="s">
        <v>2014</v>
      </c>
      <c r="C2255" s="6" t="s">
        <v>295</v>
      </c>
      <c r="D2255" s="6" t="s">
        <v>5654</v>
      </c>
      <c r="E2255" s="6" t="s">
        <v>1779</v>
      </c>
      <c r="F2255" s="6" t="s">
        <v>152</v>
      </c>
      <c r="G2255" s="7">
        <v>0.06</v>
      </c>
      <c r="H2255" s="6" t="s">
        <v>164</v>
      </c>
      <c r="I2255" s="6" t="s">
        <v>20</v>
      </c>
      <c r="J2255" s="6">
        <v>2014.0</v>
      </c>
      <c r="L2255" s="6">
        <v>2.0</v>
      </c>
      <c r="M2255" s="8">
        <f t="shared" si="5"/>
        <v>0.12</v>
      </c>
      <c r="P2255" s="9"/>
    </row>
    <row r="2256">
      <c r="A2256" s="6" t="s">
        <v>5655</v>
      </c>
      <c r="B2256" s="6" t="s">
        <v>378</v>
      </c>
      <c r="C2256" s="6" t="s">
        <v>295</v>
      </c>
      <c r="D2256" s="6" t="s">
        <v>5656</v>
      </c>
      <c r="E2256" s="6" t="s">
        <v>713</v>
      </c>
      <c r="F2256" s="6" t="s">
        <v>152</v>
      </c>
      <c r="G2256" s="7">
        <v>0.08</v>
      </c>
      <c r="H2256" s="6" t="s">
        <v>164</v>
      </c>
      <c r="I2256" s="6" t="s">
        <v>20</v>
      </c>
      <c r="J2256" s="6">
        <v>2014.0</v>
      </c>
      <c r="L2256" s="6">
        <v>5.0</v>
      </c>
      <c r="M2256" s="8">
        <f t="shared" si="5"/>
        <v>0.4</v>
      </c>
      <c r="P2256" s="9"/>
    </row>
    <row r="2257">
      <c r="A2257" s="6" t="s">
        <v>5657</v>
      </c>
      <c r="B2257" s="6" t="s">
        <v>1944</v>
      </c>
      <c r="C2257" s="6" t="s">
        <v>1897</v>
      </c>
      <c r="D2257" s="6" t="s">
        <v>5658</v>
      </c>
      <c r="E2257" s="6" t="s">
        <v>2426</v>
      </c>
      <c r="F2257" s="6" t="s">
        <v>152</v>
      </c>
      <c r="G2257" s="7">
        <v>0.68</v>
      </c>
      <c r="H2257" s="6" t="s">
        <v>4412</v>
      </c>
      <c r="I2257" s="6" t="s">
        <v>20</v>
      </c>
      <c r="J2257" s="6">
        <v>2019.0</v>
      </c>
      <c r="L2257" s="6">
        <v>2.0</v>
      </c>
      <c r="M2257" s="8">
        <f t="shared" si="5"/>
        <v>1.36</v>
      </c>
      <c r="P2257" s="9"/>
    </row>
    <row r="2258">
      <c r="A2258" s="6" t="s">
        <v>5659</v>
      </c>
      <c r="B2258" s="6" t="s">
        <v>2017</v>
      </c>
      <c r="C2258" s="6" t="s">
        <v>295</v>
      </c>
      <c r="D2258" s="6" t="s">
        <v>5660</v>
      </c>
      <c r="E2258" s="6" t="s">
        <v>1779</v>
      </c>
      <c r="F2258" s="6" t="s">
        <v>152</v>
      </c>
      <c r="G2258" s="7">
        <v>0.03</v>
      </c>
      <c r="H2258" s="6" t="s">
        <v>164</v>
      </c>
      <c r="I2258" s="6" t="s">
        <v>20</v>
      </c>
      <c r="J2258" s="6">
        <v>2014.0</v>
      </c>
      <c r="K2258" s="10">
        <v>46024.0</v>
      </c>
      <c r="L2258" s="6">
        <v>3.0</v>
      </c>
      <c r="M2258" s="8">
        <f t="shared" si="5"/>
        <v>0.09</v>
      </c>
      <c r="P2258" s="9"/>
    </row>
    <row r="2259">
      <c r="A2259" s="6" t="s">
        <v>5661</v>
      </c>
      <c r="B2259" s="6" t="s">
        <v>2411</v>
      </c>
      <c r="C2259" s="6" t="s">
        <v>295</v>
      </c>
      <c r="D2259" s="6" t="s">
        <v>5662</v>
      </c>
      <c r="E2259" s="6" t="s">
        <v>2426</v>
      </c>
      <c r="F2259" s="6" t="s">
        <v>152</v>
      </c>
      <c r="G2259" s="7">
        <v>0.06</v>
      </c>
      <c r="H2259" s="6" t="s">
        <v>2179</v>
      </c>
      <c r="I2259" s="6" t="s">
        <v>20</v>
      </c>
      <c r="J2259" s="6">
        <v>2018.0</v>
      </c>
      <c r="K2259" s="10">
        <v>46055.0</v>
      </c>
      <c r="L2259" s="6">
        <v>1.0</v>
      </c>
      <c r="M2259" s="8">
        <f t="shared" si="5"/>
        <v>0.06</v>
      </c>
      <c r="P2259" s="9"/>
    </row>
    <row r="2260">
      <c r="A2260" s="6" t="s">
        <v>5663</v>
      </c>
      <c r="B2260" s="6" t="s">
        <v>2662</v>
      </c>
      <c r="C2260" s="6" t="s">
        <v>1949</v>
      </c>
      <c r="D2260" s="6" t="s">
        <v>5664</v>
      </c>
      <c r="E2260" s="6" t="s">
        <v>1794</v>
      </c>
      <c r="F2260" s="6" t="s">
        <v>152</v>
      </c>
      <c r="G2260" s="7">
        <v>0.05</v>
      </c>
      <c r="H2260" s="6" t="s">
        <v>164</v>
      </c>
      <c r="I2260" s="6" t="s">
        <v>20</v>
      </c>
      <c r="J2260" s="6">
        <v>2014.0</v>
      </c>
      <c r="K2260" s="10">
        <v>46178.0</v>
      </c>
      <c r="L2260" s="6">
        <v>1.0</v>
      </c>
      <c r="M2260" s="8">
        <f t="shared" si="5"/>
        <v>0.05</v>
      </c>
      <c r="P2260" s="9"/>
    </row>
    <row r="2261">
      <c r="A2261" s="6" t="s">
        <v>5665</v>
      </c>
      <c r="B2261" s="6" t="s">
        <v>378</v>
      </c>
      <c r="C2261" s="6" t="s">
        <v>1949</v>
      </c>
      <c r="D2261" s="6" t="s">
        <v>5666</v>
      </c>
      <c r="E2261" s="6" t="s">
        <v>1779</v>
      </c>
      <c r="F2261" s="6" t="s">
        <v>152</v>
      </c>
      <c r="G2261" s="7">
        <v>0.05</v>
      </c>
      <c r="H2261" s="6" t="s">
        <v>164</v>
      </c>
      <c r="I2261" s="6" t="s">
        <v>20</v>
      </c>
      <c r="J2261" s="6">
        <v>2014.0</v>
      </c>
      <c r="L2261" s="6">
        <v>1.0</v>
      </c>
      <c r="M2261" s="8">
        <f t="shared" si="5"/>
        <v>0.05</v>
      </c>
      <c r="P2261" s="9"/>
    </row>
    <row r="2262">
      <c r="A2262" s="6" t="s">
        <v>5667</v>
      </c>
      <c r="B2262" s="6" t="s">
        <v>4218</v>
      </c>
      <c r="C2262" s="6" t="s">
        <v>1949</v>
      </c>
      <c r="D2262" s="6" t="s">
        <v>5668</v>
      </c>
      <c r="E2262" s="6" t="s">
        <v>1853</v>
      </c>
      <c r="F2262" s="6" t="s">
        <v>277</v>
      </c>
      <c r="G2262" s="7">
        <v>0.48</v>
      </c>
      <c r="H2262" s="6" t="s">
        <v>164</v>
      </c>
      <c r="I2262" s="6" t="s">
        <v>20</v>
      </c>
      <c r="J2262" s="6">
        <v>2014.0</v>
      </c>
      <c r="K2262" s="10">
        <v>46055.0</v>
      </c>
      <c r="L2262" s="6">
        <v>2.0</v>
      </c>
      <c r="M2262" s="8">
        <f t="shared" si="5"/>
        <v>0.96</v>
      </c>
      <c r="P2262" s="9"/>
    </row>
    <row r="2263">
      <c r="A2263" s="6" t="s">
        <v>5669</v>
      </c>
      <c r="B2263" s="6" t="s">
        <v>378</v>
      </c>
      <c r="C2263" s="6" t="s">
        <v>295</v>
      </c>
      <c r="D2263" s="6" t="s">
        <v>5670</v>
      </c>
      <c r="E2263" s="6" t="s">
        <v>2280</v>
      </c>
      <c r="F2263" s="6" t="s">
        <v>277</v>
      </c>
      <c r="G2263" s="7">
        <v>0.06</v>
      </c>
      <c r="H2263" s="6" t="s">
        <v>164</v>
      </c>
      <c r="I2263" s="6" t="s">
        <v>20</v>
      </c>
      <c r="J2263" s="6">
        <v>2014.0</v>
      </c>
      <c r="L2263" s="6">
        <v>4.0</v>
      </c>
      <c r="M2263" s="8">
        <f t="shared" si="5"/>
        <v>0.24</v>
      </c>
      <c r="P2263" s="9"/>
    </row>
    <row r="2264">
      <c r="A2264" s="6" t="s">
        <v>5671</v>
      </c>
      <c r="B2264" s="6" t="s">
        <v>3219</v>
      </c>
      <c r="C2264" s="6" t="s">
        <v>295</v>
      </c>
      <c r="D2264" s="6" t="s">
        <v>5672</v>
      </c>
      <c r="E2264" s="6" t="s">
        <v>2287</v>
      </c>
      <c r="F2264" s="6" t="s">
        <v>277</v>
      </c>
      <c r="G2264" s="7">
        <v>0.03</v>
      </c>
      <c r="H2264" s="6" t="s">
        <v>4412</v>
      </c>
      <c r="I2264" s="6" t="s">
        <v>20</v>
      </c>
      <c r="J2264" s="6">
        <v>2019.0</v>
      </c>
      <c r="K2264" s="10">
        <v>46057.0</v>
      </c>
      <c r="L2264" s="6">
        <v>2.0</v>
      </c>
      <c r="M2264" s="8">
        <f t="shared" si="5"/>
        <v>0.06</v>
      </c>
      <c r="P2264" s="9"/>
    </row>
    <row r="2265">
      <c r="A2265" s="6" t="s">
        <v>5673</v>
      </c>
      <c r="B2265" s="6" t="s">
        <v>378</v>
      </c>
      <c r="C2265" s="6" t="s">
        <v>1949</v>
      </c>
      <c r="D2265" s="6" t="s">
        <v>5674</v>
      </c>
      <c r="E2265" s="6" t="s">
        <v>1856</v>
      </c>
      <c r="F2265" s="6" t="s">
        <v>277</v>
      </c>
      <c r="G2265" s="7">
        <v>0.05</v>
      </c>
      <c r="H2265" s="6" t="s">
        <v>164</v>
      </c>
      <c r="I2265" s="6" t="s">
        <v>20</v>
      </c>
      <c r="J2265" s="6">
        <v>2014.0</v>
      </c>
      <c r="L2265" s="6">
        <v>2.0</v>
      </c>
      <c r="M2265" s="8">
        <f t="shared" si="5"/>
        <v>0.1</v>
      </c>
      <c r="P2265" s="9"/>
    </row>
    <row r="2266">
      <c r="A2266" s="6" t="s">
        <v>5675</v>
      </c>
      <c r="B2266" s="6" t="s">
        <v>2411</v>
      </c>
      <c r="C2266" s="6" t="s">
        <v>295</v>
      </c>
      <c r="D2266" s="6" t="s">
        <v>5676</v>
      </c>
      <c r="E2266" s="6" t="s">
        <v>2280</v>
      </c>
      <c r="F2266" s="6" t="s">
        <v>277</v>
      </c>
      <c r="G2266" s="7">
        <v>0.03</v>
      </c>
      <c r="H2266" s="6" t="s">
        <v>164</v>
      </c>
      <c r="I2266" s="6" t="s">
        <v>20</v>
      </c>
      <c r="J2266" s="6">
        <v>2014.0</v>
      </c>
      <c r="K2266" s="10">
        <v>46024.0</v>
      </c>
      <c r="L2266" s="6">
        <v>4.0</v>
      </c>
      <c r="M2266" s="8">
        <f t="shared" si="5"/>
        <v>0.12</v>
      </c>
      <c r="P2266" s="9"/>
    </row>
    <row r="2267">
      <c r="A2267" s="6" t="s">
        <v>5677</v>
      </c>
      <c r="B2267" s="6" t="s">
        <v>2014</v>
      </c>
      <c r="C2267" s="6" t="s">
        <v>295</v>
      </c>
      <c r="D2267" s="6" t="s">
        <v>5678</v>
      </c>
      <c r="E2267" s="6" t="s">
        <v>2280</v>
      </c>
      <c r="F2267" s="6" t="s">
        <v>277</v>
      </c>
      <c r="G2267" s="7">
        <v>0.03</v>
      </c>
      <c r="H2267" s="6" t="s">
        <v>164</v>
      </c>
      <c r="I2267" s="6" t="s">
        <v>20</v>
      </c>
      <c r="J2267" s="6">
        <v>2014.0</v>
      </c>
      <c r="L2267" s="6">
        <v>3.0</v>
      </c>
      <c r="M2267" s="8">
        <f t="shared" si="5"/>
        <v>0.09</v>
      </c>
      <c r="P2267" s="9"/>
    </row>
    <row r="2268">
      <c r="A2268" s="6" t="s">
        <v>5679</v>
      </c>
      <c r="B2268" s="6" t="s">
        <v>5680</v>
      </c>
      <c r="C2268" s="6" t="s">
        <v>1949</v>
      </c>
      <c r="D2268" s="6" t="s">
        <v>5681</v>
      </c>
      <c r="E2268" s="6" t="s">
        <v>4252</v>
      </c>
      <c r="F2268" s="6" t="s">
        <v>277</v>
      </c>
      <c r="G2268" s="7">
        <v>0.05</v>
      </c>
      <c r="H2268" s="6" t="s">
        <v>164</v>
      </c>
      <c r="I2268" s="6" t="s">
        <v>20</v>
      </c>
      <c r="J2268" s="6">
        <v>2014.0</v>
      </c>
      <c r="K2268" s="10">
        <v>46086.0</v>
      </c>
      <c r="L2268" s="6">
        <v>1.0</v>
      </c>
      <c r="M2268" s="8">
        <f t="shared" si="5"/>
        <v>0.05</v>
      </c>
      <c r="P2268" s="9"/>
    </row>
    <row r="2269">
      <c r="A2269" s="6" t="s">
        <v>5682</v>
      </c>
      <c r="B2269" s="6" t="s">
        <v>378</v>
      </c>
      <c r="C2269" s="6" t="s">
        <v>295</v>
      </c>
      <c r="D2269" s="6" t="s">
        <v>5683</v>
      </c>
      <c r="E2269" s="6" t="s">
        <v>629</v>
      </c>
      <c r="F2269" s="6" t="s">
        <v>277</v>
      </c>
      <c r="G2269" s="7">
        <v>0.03</v>
      </c>
      <c r="H2269" s="6" t="s">
        <v>164</v>
      </c>
      <c r="I2269" s="6" t="s">
        <v>20</v>
      </c>
      <c r="J2269" s="6">
        <v>2014.0</v>
      </c>
      <c r="L2269" s="6">
        <v>6.0</v>
      </c>
      <c r="M2269" s="8">
        <f t="shared" si="5"/>
        <v>0.18</v>
      </c>
      <c r="P2269" s="9"/>
    </row>
    <row r="2270">
      <c r="A2270" s="6" t="s">
        <v>5684</v>
      </c>
      <c r="B2270" s="6" t="s">
        <v>2669</v>
      </c>
      <c r="C2270" s="6" t="s">
        <v>295</v>
      </c>
      <c r="E2270" s="6" t="s">
        <v>1853</v>
      </c>
      <c r="F2270" s="6" t="s">
        <v>277</v>
      </c>
      <c r="G2270" s="7">
        <v>0.03</v>
      </c>
      <c r="H2270" s="6" t="s">
        <v>164</v>
      </c>
      <c r="I2270" s="6" t="s">
        <v>20</v>
      </c>
      <c r="J2270" s="6">
        <v>2014.0</v>
      </c>
      <c r="K2270" s="10">
        <v>46144.0</v>
      </c>
      <c r="L2270" s="6">
        <v>2.0</v>
      </c>
      <c r="M2270" s="8">
        <f t="shared" si="5"/>
        <v>0.06</v>
      </c>
      <c r="P2270" s="9"/>
    </row>
    <row r="2271">
      <c r="A2271" s="6" t="s">
        <v>5685</v>
      </c>
      <c r="B2271" s="6" t="s">
        <v>2058</v>
      </c>
      <c r="C2271" s="6" t="s">
        <v>1949</v>
      </c>
      <c r="D2271" s="6" t="s">
        <v>5686</v>
      </c>
      <c r="E2271" s="6" t="s">
        <v>4252</v>
      </c>
      <c r="F2271" s="6" t="s">
        <v>277</v>
      </c>
      <c r="G2271" s="7">
        <v>0.05</v>
      </c>
      <c r="H2271" s="6" t="s">
        <v>164</v>
      </c>
      <c r="I2271" s="6" t="s">
        <v>20</v>
      </c>
      <c r="J2271" s="6">
        <v>2014.0</v>
      </c>
      <c r="L2271" s="6">
        <v>2.0</v>
      </c>
      <c r="M2271" s="8">
        <f t="shared" si="5"/>
        <v>0.1</v>
      </c>
      <c r="P2271" s="9"/>
    </row>
    <row r="2272">
      <c r="A2272" s="6" t="s">
        <v>5687</v>
      </c>
      <c r="B2272" s="6" t="s">
        <v>2014</v>
      </c>
      <c r="C2272" s="6" t="s">
        <v>295</v>
      </c>
      <c r="D2272" s="6" t="s">
        <v>5688</v>
      </c>
      <c r="E2272" s="6" t="s">
        <v>1856</v>
      </c>
      <c r="F2272" s="6" t="s">
        <v>277</v>
      </c>
      <c r="G2272" s="7">
        <v>0.03</v>
      </c>
      <c r="H2272" s="6" t="s">
        <v>164</v>
      </c>
      <c r="I2272" s="6" t="s">
        <v>20</v>
      </c>
      <c r="J2272" s="6">
        <v>2014.0</v>
      </c>
      <c r="L2272" s="6">
        <v>5.0</v>
      </c>
      <c r="M2272" s="8">
        <f t="shared" si="5"/>
        <v>0.15</v>
      </c>
      <c r="P2272" s="9"/>
    </row>
    <row r="2273">
      <c r="A2273" s="6" t="s">
        <v>5689</v>
      </c>
      <c r="B2273" s="6" t="s">
        <v>2014</v>
      </c>
      <c r="C2273" s="6" t="s">
        <v>295</v>
      </c>
      <c r="D2273" s="6" t="s">
        <v>5690</v>
      </c>
      <c r="E2273" s="6" t="s">
        <v>1856</v>
      </c>
      <c r="F2273" s="6" t="s">
        <v>277</v>
      </c>
      <c r="G2273" s="7">
        <v>0.03</v>
      </c>
      <c r="H2273" s="6" t="s">
        <v>164</v>
      </c>
      <c r="I2273" s="6" t="s">
        <v>20</v>
      </c>
      <c r="J2273" s="6">
        <v>2014.0</v>
      </c>
      <c r="L2273" s="6">
        <v>4.0</v>
      </c>
      <c r="M2273" s="8">
        <f t="shared" si="5"/>
        <v>0.12</v>
      </c>
      <c r="P2273" s="9"/>
    </row>
    <row r="2274">
      <c r="A2274" s="6" t="s">
        <v>5691</v>
      </c>
      <c r="B2274" s="6" t="s">
        <v>5692</v>
      </c>
      <c r="C2274" s="6" t="s">
        <v>295</v>
      </c>
      <c r="D2274" s="6" t="s">
        <v>5693</v>
      </c>
      <c r="E2274" s="6" t="s">
        <v>629</v>
      </c>
      <c r="F2274" s="6" t="s">
        <v>277</v>
      </c>
      <c r="G2274" s="7">
        <v>0.06</v>
      </c>
      <c r="H2274" s="6" t="s">
        <v>164</v>
      </c>
      <c r="I2274" s="6" t="s">
        <v>20</v>
      </c>
      <c r="J2274" s="6">
        <v>2014.0</v>
      </c>
      <c r="K2274" s="10">
        <v>46023.0</v>
      </c>
      <c r="L2274" s="6">
        <v>3.0</v>
      </c>
      <c r="M2274" s="8">
        <f t="shared" si="5"/>
        <v>0.18</v>
      </c>
      <c r="P2274" s="9"/>
    </row>
    <row r="2275">
      <c r="A2275" s="6" t="s">
        <v>5694</v>
      </c>
      <c r="B2275" s="6" t="s">
        <v>5695</v>
      </c>
      <c r="C2275" s="6" t="s">
        <v>1897</v>
      </c>
      <c r="D2275" s="6" t="s">
        <v>5696</v>
      </c>
      <c r="E2275" s="6" t="s">
        <v>2287</v>
      </c>
      <c r="F2275" s="6" t="s">
        <v>277</v>
      </c>
      <c r="G2275" s="7">
        <v>0.33</v>
      </c>
      <c r="H2275" s="6" t="s">
        <v>2739</v>
      </c>
      <c r="I2275" s="6" t="s">
        <v>20</v>
      </c>
      <c r="J2275" s="6">
        <v>2015.0</v>
      </c>
      <c r="K2275" s="10">
        <v>46177.0</v>
      </c>
      <c r="L2275" s="6">
        <v>1.0</v>
      </c>
      <c r="M2275" s="8">
        <f t="shared" si="5"/>
        <v>0.33</v>
      </c>
      <c r="P2275" s="9"/>
    </row>
    <row r="2276">
      <c r="A2276" s="6" t="s">
        <v>5697</v>
      </c>
      <c r="B2276" s="6" t="s">
        <v>5698</v>
      </c>
      <c r="C2276" s="6" t="s">
        <v>1897</v>
      </c>
      <c r="D2276" s="6" t="s">
        <v>5699</v>
      </c>
      <c r="E2276" s="6" t="s">
        <v>2839</v>
      </c>
      <c r="F2276" s="6" t="s">
        <v>277</v>
      </c>
      <c r="G2276" s="7">
        <v>4.11</v>
      </c>
      <c r="H2276" s="6" t="s">
        <v>164</v>
      </c>
      <c r="I2276" s="6" t="s">
        <v>20</v>
      </c>
      <c r="J2276" s="6">
        <v>2014.0</v>
      </c>
      <c r="K2276" s="10">
        <v>46147.0</v>
      </c>
      <c r="L2276" s="6">
        <v>1.0</v>
      </c>
      <c r="M2276" s="8">
        <f t="shared" si="5"/>
        <v>4.11</v>
      </c>
      <c r="P2276" s="9"/>
    </row>
    <row r="2277">
      <c r="A2277" s="6" t="s">
        <v>5700</v>
      </c>
      <c r="B2277" s="6" t="s">
        <v>378</v>
      </c>
      <c r="C2277" s="6" t="s">
        <v>1949</v>
      </c>
      <c r="D2277" s="6" t="s">
        <v>5701</v>
      </c>
      <c r="E2277" s="6" t="s">
        <v>1853</v>
      </c>
      <c r="F2277" s="6" t="s">
        <v>277</v>
      </c>
      <c r="G2277" s="7">
        <v>0.05</v>
      </c>
      <c r="H2277" s="6" t="s">
        <v>164</v>
      </c>
      <c r="I2277" s="6" t="s">
        <v>20</v>
      </c>
      <c r="J2277" s="6">
        <v>2014.0</v>
      </c>
      <c r="L2277" s="6">
        <v>1.0</v>
      </c>
      <c r="M2277" s="8">
        <f t="shared" si="5"/>
        <v>0.05</v>
      </c>
      <c r="P2277" s="9"/>
    </row>
    <row r="2278">
      <c r="A2278" s="6" t="s">
        <v>5702</v>
      </c>
      <c r="B2278" s="6" t="s">
        <v>5703</v>
      </c>
      <c r="C2278" s="6" t="s">
        <v>1949</v>
      </c>
      <c r="D2278" s="6" t="s">
        <v>5704</v>
      </c>
      <c r="E2278" s="6" t="s">
        <v>629</v>
      </c>
      <c r="F2278" s="6" t="s">
        <v>277</v>
      </c>
      <c r="G2278" s="7">
        <v>0.15</v>
      </c>
      <c r="H2278" s="6" t="s">
        <v>164</v>
      </c>
      <c r="I2278" s="6" t="s">
        <v>20</v>
      </c>
      <c r="J2278" s="6">
        <v>2014.0</v>
      </c>
      <c r="K2278" s="10">
        <v>46024.0</v>
      </c>
      <c r="L2278" s="6">
        <v>1.0</v>
      </c>
      <c r="M2278" s="8">
        <f t="shared" si="5"/>
        <v>0.15</v>
      </c>
      <c r="P2278" s="9"/>
    </row>
    <row r="2279">
      <c r="A2279" s="6" t="s">
        <v>5705</v>
      </c>
      <c r="B2279" s="6" t="s">
        <v>5706</v>
      </c>
      <c r="C2279" s="6" t="s">
        <v>295</v>
      </c>
      <c r="D2279" s="6" t="s">
        <v>5707</v>
      </c>
      <c r="E2279" s="6" t="s">
        <v>2280</v>
      </c>
      <c r="F2279" s="6" t="s">
        <v>277</v>
      </c>
      <c r="G2279" s="7">
        <v>0.03</v>
      </c>
      <c r="H2279" s="6" t="s">
        <v>164</v>
      </c>
      <c r="I2279" s="6" t="s">
        <v>20</v>
      </c>
      <c r="J2279" s="6">
        <v>2014.0</v>
      </c>
      <c r="K2279" s="10">
        <v>46082.0</v>
      </c>
      <c r="L2279" s="6">
        <v>2.0</v>
      </c>
      <c r="M2279" s="8">
        <f t="shared" si="5"/>
        <v>0.06</v>
      </c>
      <c r="P2279" s="9"/>
    </row>
    <row r="2280">
      <c r="A2280" s="6" t="s">
        <v>5708</v>
      </c>
      <c r="B2280" s="6" t="s">
        <v>1944</v>
      </c>
      <c r="C2280" s="6" t="s">
        <v>295</v>
      </c>
      <c r="D2280" s="6" t="s">
        <v>5709</v>
      </c>
      <c r="E2280" s="6" t="s">
        <v>2280</v>
      </c>
      <c r="F2280" s="6" t="s">
        <v>277</v>
      </c>
      <c r="G2280" s="7">
        <v>0.06</v>
      </c>
      <c r="H2280" s="6" t="s">
        <v>164</v>
      </c>
      <c r="I2280" s="6" t="s">
        <v>20</v>
      </c>
      <c r="J2280" s="6">
        <v>2014.0</v>
      </c>
      <c r="L2280" s="6">
        <v>1.0</v>
      </c>
      <c r="M2280" s="8">
        <f t="shared" si="5"/>
        <v>0.06</v>
      </c>
      <c r="P2280" s="9"/>
    </row>
    <row r="2281">
      <c r="A2281" s="6" t="s">
        <v>5710</v>
      </c>
      <c r="B2281" s="6" t="s">
        <v>2058</v>
      </c>
      <c r="C2281" s="6" t="s">
        <v>1949</v>
      </c>
      <c r="D2281" s="6" t="s">
        <v>5711</v>
      </c>
      <c r="E2281" s="6" t="s">
        <v>1856</v>
      </c>
      <c r="F2281" s="6" t="s">
        <v>277</v>
      </c>
      <c r="G2281" s="7">
        <v>0.09</v>
      </c>
      <c r="H2281" s="6" t="s">
        <v>164</v>
      </c>
      <c r="I2281" s="6" t="s">
        <v>20</v>
      </c>
      <c r="J2281" s="6">
        <v>2014.0</v>
      </c>
      <c r="L2281" s="6">
        <v>1.0</v>
      </c>
      <c r="M2281" s="8">
        <f t="shared" si="5"/>
        <v>0.09</v>
      </c>
      <c r="P2281" s="9"/>
    </row>
    <row r="2282">
      <c r="A2282" s="6" t="s">
        <v>5712</v>
      </c>
      <c r="B2282" s="6" t="s">
        <v>378</v>
      </c>
      <c r="C2282" s="6" t="s">
        <v>1897</v>
      </c>
      <c r="D2282" s="6" t="s">
        <v>5713</v>
      </c>
      <c r="E2282" s="6" t="s">
        <v>1758</v>
      </c>
      <c r="F2282" s="6" t="s">
        <v>277</v>
      </c>
      <c r="G2282" s="7">
        <v>0.13</v>
      </c>
      <c r="H2282" s="6" t="s">
        <v>164</v>
      </c>
      <c r="I2282" s="6" t="s">
        <v>20</v>
      </c>
      <c r="J2282" s="6">
        <v>2014.0</v>
      </c>
      <c r="L2282" s="6">
        <v>1.0</v>
      </c>
      <c r="M2282" s="8">
        <f t="shared" si="5"/>
        <v>0.13</v>
      </c>
      <c r="P2282" s="9"/>
    </row>
    <row r="2283">
      <c r="A2283" s="6" t="s">
        <v>5714</v>
      </c>
      <c r="B2283" s="6" t="s">
        <v>5715</v>
      </c>
      <c r="C2283" s="6" t="s">
        <v>295</v>
      </c>
      <c r="D2283" s="6" t="s">
        <v>5716</v>
      </c>
      <c r="E2283" s="6" t="s">
        <v>1779</v>
      </c>
      <c r="F2283" s="6" t="s">
        <v>152</v>
      </c>
      <c r="G2283" s="7">
        <v>0.06</v>
      </c>
      <c r="H2283" s="6" t="s">
        <v>1711</v>
      </c>
      <c r="I2283" s="6" t="s">
        <v>20</v>
      </c>
      <c r="J2283" s="6">
        <v>2022.0</v>
      </c>
      <c r="K2283" s="10">
        <v>46056.0</v>
      </c>
      <c r="L2283" s="6">
        <v>2.0</v>
      </c>
      <c r="M2283" s="8">
        <f t="shared" si="5"/>
        <v>0.12</v>
      </c>
      <c r="P2283" s="9"/>
    </row>
    <row r="2284">
      <c r="A2284" s="6" t="s">
        <v>5714</v>
      </c>
      <c r="B2284" s="6" t="s">
        <v>5715</v>
      </c>
      <c r="C2284" s="6" t="s">
        <v>295</v>
      </c>
      <c r="D2284" s="6" t="s">
        <v>5716</v>
      </c>
      <c r="E2284" s="6" t="s">
        <v>1779</v>
      </c>
      <c r="F2284" s="6" t="s">
        <v>152</v>
      </c>
      <c r="G2284" s="7">
        <v>0.13</v>
      </c>
      <c r="H2284" s="6" t="s">
        <v>3247</v>
      </c>
      <c r="I2284" s="6" t="s">
        <v>20</v>
      </c>
      <c r="J2284" s="6">
        <v>2022.0</v>
      </c>
      <c r="K2284" s="10">
        <v>46056.0</v>
      </c>
      <c r="L2284" s="6">
        <v>1.0</v>
      </c>
      <c r="M2284" s="8">
        <f t="shared" si="5"/>
        <v>0.13</v>
      </c>
      <c r="P2284" s="9"/>
    </row>
    <row r="2285">
      <c r="A2285" s="6" t="s">
        <v>5717</v>
      </c>
      <c r="B2285" s="6" t="s">
        <v>2621</v>
      </c>
      <c r="C2285" s="6" t="s">
        <v>295</v>
      </c>
      <c r="D2285" s="6" t="s">
        <v>5718</v>
      </c>
      <c r="E2285" s="6" t="s">
        <v>2287</v>
      </c>
      <c r="F2285" s="6" t="s">
        <v>277</v>
      </c>
      <c r="G2285" s="7">
        <v>0.05</v>
      </c>
      <c r="H2285" s="6" t="s">
        <v>1711</v>
      </c>
      <c r="I2285" s="6" t="s">
        <v>20</v>
      </c>
      <c r="J2285" s="6">
        <v>2022.0</v>
      </c>
      <c r="K2285" s="10">
        <v>46084.0</v>
      </c>
      <c r="L2285" s="6">
        <v>1.0</v>
      </c>
      <c r="M2285" s="8">
        <f t="shared" si="5"/>
        <v>0.05</v>
      </c>
      <c r="P2285" s="9"/>
    </row>
    <row r="2286">
      <c r="A2286" s="6" t="s">
        <v>5719</v>
      </c>
      <c r="B2286" s="6" t="s">
        <v>5720</v>
      </c>
      <c r="C2286" s="6" t="s">
        <v>295</v>
      </c>
      <c r="D2286" s="6" t="s">
        <v>5721</v>
      </c>
      <c r="E2286" s="6" t="s">
        <v>4252</v>
      </c>
      <c r="F2286" s="6" t="s">
        <v>277</v>
      </c>
      <c r="G2286" s="7">
        <v>0.1</v>
      </c>
      <c r="H2286" s="6" t="s">
        <v>1711</v>
      </c>
      <c r="I2286" s="6" t="s">
        <v>20</v>
      </c>
      <c r="J2286" s="6">
        <v>2022.0</v>
      </c>
      <c r="K2286" s="10">
        <v>46147.0</v>
      </c>
      <c r="L2286" s="6">
        <v>1.0</v>
      </c>
      <c r="M2286" s="8">
        <f t="shared" si="5"/>
        <v>0.1</v>
      </c>
      <c r="P2286" s="9"/>
    </row>
    <row r="2287">
      <c r="A2287" s="6" t="s">
        <v>5722</v>
      </c>
      <c r="B2287" s="6" t="s">
        <v>5723</v>
      </c>
      <c r="C2287" s="6" t="s">
        <v>295</v>
      </c>
      <c r="D2287" s="6" t="s">
        <v>5724</v>
      </c>
      <c r="E2287" s="6" t="s">
        <v>930</v>
      </c>
      <c r="F2287" s="6" t="s">
        <v>170</v>
      </c>
      <c r="G2287" s="7">
        <v>0.1</v>
      </c>
      <c r="H2287" s="6" t="s">
        <v>1711</v>
      </c>
      <c r="I2287" s="6" t="s">
        <v>20</v>
      </c>
      <c r="J2287" s="6">
        <v>2022.0</v>
      </c>
      <c r="K2287" s="10">
        <v>46023.0</v>
      </c>
      <c r="L2287" s="6">
        <v>1.0</v>
      </c>
      <c r="M2287" s="8">
        <f t="shared" si="5"/>
        <v>0.1</v>
      </c>
      <c r="P2287" s="9"/>
    </row>
    <row r="2288">
      <c r="A2288" s="6" t="s">
        <v>5725</v>
      </c>
      <c r="B2288" s="6" t="s">
        <v>2621</v>
      </c>
      <c r="C2288" s="6" t="s">
        <v>295</v>
      </c>
      <c r="D2288" s="6" t="s">
        <v>5726</v>
      </c>
      <c r="E2288" s="6" t="s">
        <v>2754</v>
      </c>
      <c r="F2288" s="6" t="s">
        <v>170</v>
      </c>
      <c r="G2288" s="7">
        <v>0.06</v>
      </c>
      <c r="H2288" s="6" t="s">
        <v>1711</v>
      </c>
      <c r="I2288" s="6" t="s">
        <v>20</v>
      </c>
      <c r="J2288" s="6">
        <v>2022.0</v>
      </c>
      <c r="K2288" s="10">
        <v>46176.0</v>
      </c>
      <c r="L2288" s="6">
        <v>1.0</v>
      </c>
      <c r="M2288" s="8">
        <f t="shared" si="5"/>
        <v>0.06</v>
      </c>
      <c r="P2288" s="9"/>
    </row>
    <row r="2289">
      <c r="A2289" s="6" t="s">
        <v>5727</v>
      </c>
      <c r="B2289" s="6" t="s">
        <v>378</v>
      </c>
      <c r="C2289" s="6" t="s">
        <v>295</v>
      </c>
      <c r="D2289" s="6" t="s">
        <v>5728</v>
      </c>
      <c r="E2289" s="6" t="s">
        <v>2295</v>
      </c>
      <c r="F2289" s="6" t="s">
        <v>18</v>
      </c>
      <c r="G2289" s="7">
        <v>0.13</v>
      </c>
      <c r="H2289" s="6" t="s">
        <v>1711</v>
      </c>
      <c r="I2289" s="6" t="s">
        <v>20</v>
      </c>
      <c r="J2289" s="6">
        <v>2022.0</v>
      </c>
      <c r="L2289" s="6">
        <v>1.0</v>
      </c>
      <c r="M2289" s="8">
        <f t="shared" si="5"/>
        <v>0.13</v>
      </c>
      <c r="P2289" s="9"/>
    </row>
    <row r="2290">
      <c r="A2290" s="6" t="s">
        <v>5729</v>
      </c>
      <c r="B2290" s="6" t="s">
        <v>5715</v>
      </c>
      <c r="C2290" s="6" t="s">
        <v>295</v>
      </c>
      <c r="D2290" s="6" t="s">
        <v>5730</v>
      </c>
      <c r="E2290" s="6" t="s">
        <v>1954</v>
      </c>
      <c r="F2290" s="6" t="s">
        <v>18</v>
      </c>
      <c r="G2290" s="7">
        <v>0.06</v>
      </c>
      <c r="H2290" s="6" t="s">
        <v>1711</v>
      </c>
      <c r="I2290" s="6" t="s">
        <v>20</v>
      </c>
      <c r="J2290" s="6">
        <v>2022.0</v>
      </c>
      <c r="K2290" s="10">
        <v>46055.0</v>
      </c>
      <c r="L2290" s="6">
        <v>1.0</v>
      </c>
      <c r="M2290" s="8">
        <f t="shared" si="5"/>
        <v>0.06</v>
      </c>
      <c r="P2290" s="9"/>
    </row>
    <row r="2291">
      <c r="A2291" s="6" t="s">
        <v>5731</v>
      </c>
      <c r="B2291" s="6" t="s">
        <v>378</v>
      </c>
      <c r="C2291" s="6" t="s">
        <v>295</v>
      </c>
      <c r="D2291" s="6" t="s">
        <v>5732</v>
      </c>
      <c r="E2291" s="6" t="s">
        <v>1954</v>
      </c>
      <c r="F2291" s="6" t="s">
        <v>18</v>
      </c>
      <c r="G2291" s="7">
        <v>0.16</v>
      </c>
      <c r="H2291" s="6" t="s">
        <v>1711</v>
      </c>
      <c r="I2291" s="6" t="s">
        <v>20</v>
      </c>
      <c r="J2291" s="6">
        <v>2022.0</v>
      </c>
      <c r="L2291" s="6">
        <v>1.0</v>
      </c>
      <c r="M2291" s="8">
        <f t="shared" si="5"/>
        <v>0.16</v>
      </c>
      <c r="P2291" s="9"/>
    </row>
    <row r="2292">
      <c r="A2292" s="6" t="s">
        <v>5733</v>
      </c>
      <c r="B2292" s="6" t="s">
        <v>5734</v>
      </c>
      <c r="C2292" s="6" t="s">
        <v>295</v>
      </c>
      <c r="D2292" s="6" t="s">
        <v>5735</v>
      </c>
      <c r="E2292" s="6" t="s">
        <v>2503</v>
      </c>
      <c r="F2292" s="6" t="s">
        <v>18</v>
      </c>
      <c r="G2292" s="7">
        <v>0.06</v>
      </c>
      <c r="H2292" s="6" t="s">
        <v>1711</v>
      </c>
      <c r="I2292" s="6" t="s">
        <v>20</v>
      </c>
      <c r="J2292" s="6">
        <v>2022.0</v>
      </c>
      <c r="K2292" s="10">
        <v>46147.0</v>
      </c>
      <c r="L2292" s="6">
        <v>1.0</v>
      </c>
      <c r="M2292" s="8">
        <f t="shared" si="5"/>
        <v>0.06</v>
      </c>
      <c r="P2292" s="9"/>
    </row>
    <row r="2293">
      <c r="A2293" s="6" t="s">
        <v>5736</v>
      </c>
      <c r="B2293" s="6" t="s">
        <v>378</v>
      </c>
      <c r="C2293" s="6" t="s">
        <v>295</v>
      </c>
      <c r="D2293" s="6" t="s">
        <v>5737</v>
      </c>
      <c r="E2293" s="6" t="s">
        <v>2280</v>
      </c>
      <c r="F2293" s="6" t="s">
        <v>277</v>
      </c>
      <c r="G2293" s="7">
        <v>0.06</v>
      </c>
      <c r="H2293" s="6" t="s">
        <v>1711</v>
      </c>
      <c r="I2293" s="6" t="s">
        <v>20</v>
      </c>
      <c r="J2293" s="6">
        <v>2022.0</v>
      </c>
      <c r="L2293" s="6">
        <v>1.0</v>
      </c>
      <c r="M2293" s="8">
        <f t="shared" si="5"/>
        <v>0.06</v>
      </c>
      <c r="P2293" s="9"/>
    </row>
    <row r="2294">
      <c r="A2294" s="6" t="s">
        <v>5738</v>
      </c>
      <c r="B2294" s="6" t="s">
        <v>2014</v>
      </c>
      <c r="C2294" s="6" t="s">
        <v>295</v>
      </c>
      <c r="D2294" s="6" t="s">
        <v>5739</v>
      </c>
      <c r="E2294" s="6" t="s">
        <v>2295</v>
      </c>
      <c r="F2294" s="6" t="s">
        <v>18</v>
      </c>
      <c r="G2294" s="7">
        <v>0.14</v>
      </c>
      <c r="H2294" s="6" t="s">
        <v>1711</v>
      </c>
      <c r="I2294" s="6" t="s">
        <v>20</v>
      </c>
      <c r="J2294" s="6">
        <v>2022.0</v>
      </c>
      <c r="L2294" s="6">
        <v>1.0</v>
      </c>
      <c r="M2294" s="8">
        <f t="shared" si="5"/>
        <v>0.14</v>
      </c>
      <c r="P2294" s="9"/>
    </row>
    <row r="2295">
      <c r="A2295" s="6" t="s">
        <v>5740</v>
      </c>
      <c r="B2295" s="6" t="s">
        <v>2232</v>
      </c>
      <c r="C2295" s="6" t="s">
        <v>295</v>
      </c>
      <c r="D2295" s="6" t="s">
        <v>5741</v>
      </c>
      <c r="E2295" s="6" t="s">
        <v>1779</v>
      </c>
      <c r="F2295" s="6" t="s">
        <v>152</v>
      </c>
      <c r="G2295" s="7">
        <v>0.06</v>
      </c>
      <c r="H2295" s="6" t="s">
        <v>1711</v>
      </c>
      <c r="I2295" s="6" t="s">
        <v>20</v>
      </c>
      <c r="J2295" s="6">
        <v>2022.0</v>
      </c>
      <c r="K2295" s="10">
        <v>46056.0</v>
      </c>
      <c r="L2295" s="6">
        <v>1.0</v>
      </c>
      <c r="M2295" s="8">
        <f t="shared" si="5"/>
        <v>0.06</v>
      </c>
      <c r="P2295" s="9"/>
    </row>
    <row r="2296">
      <c r="A2296" s="6" t="s">
        <v>5742</v>
      </c>
      <c r="B2296" s="6" t="s">
        <v>2014</v>
      </c>
      <c r="C2296" s="6" t="s">
        <v>295</v>
      </c>
      <c r="D2296" s="6" t="s">
        <v>5743</v>
      </c>
      <c r="E2296" s="6" t="s">
        <v>2299</v>
      </c>
      <c r="F2296" s="6" t="s">
        <v>18</v>
      </c>
      <c r="G2296" s="7">
        <v>0.04</v>
      </c>
      <c r="H2296" s="6" t="s">
        <v>1711</v>
      </c>
      <c r="I2296" s="6" t="s">
        <v>20</v>
      </c>
      <c r="J2296" s="6">
        <v>2022.0</v>
      </c>
      <c r="L2296" s="6">
        <v>1.0</v>
      </c>
      <c r="M2296" s="8">
        <f t="shared" si="5"/>
        <v>0.04</v>
      </c>
      <c r="P2296" s="9"/>
    </row>
    <row r="2297">
      <c r="A2297" s="6" t="s">
        <v>5744</v>
      </c>
      <c r="B2297" s="6" t="s">
        <v>5745</v>
      </c>
      <c r="C2297" s="6" t="s">
        <v>295</v>
      </c>
      <c r="D2297" s="6" t="s">
        <v>5746</v>
      </c>
      <c r="E2297" s="6" t="s">
        <v>713</v>
      </c>
      <c r="F2297" s="6" t="s">
        <v>152</v>
      </c>
      <c r="G2297" s="7">
        <v>0.05</v>
      </c>
      <c r="H2297" s="6" t="s">
        <v>1711</v>
      </c>
      <c r="I2297" s="6" t="s">
        <v>20</v>
      </c>
      <c r="J2297" s="6">
        <v>2022.0</v>
      </c>
      <c r="K2297" s="10">
        <v>46023.0</v>
      </c>
      <c r="L2297" s="6">
        <v>1.0</v>
      </c>
      <c r="M2297" s="8">
        <f t="shared" si="5"/>
        <v>0.05</v>
      </c>
      <c r="P2297" s="9"/>
    </row>
    <row r="2298">
      <c r="A2298" s="6" t="s">
        <v>5747</v>
      </c>
      <c r="B2298" s="6" t="s">
        <v>4841</v>
      </c>
      <c r="C2298" s="6" t="s">
        <v>295</v>
      </c>
      <c r="D2298" s="6" t="s">
        <v>5748</v>
      </c>
      <c r="E2298" s="6" t="s">
        <v>1838</v>
      </c>
      <c r="F2298" s="6" t="s">
        <v>152</v>
      </c>
      <c r="G2298" s="7">
        <v>0.12</v>
      </c>
      <c r="H2298" s="6" t="s">
        <v>3247</v>
      </c>
      <c r="I2298" s="6" t="s">
        <v>20</v>
      </c>
      <c r="J2298" s="6">
        <v>2022.0</v>
      </c>
      <c r="K2298" s="10">
        <v>46116.0</v>
      </c>
      <c r="L2298" s="6">
        <v>1.0</v>
      </c>
      <c r="M2298" s="8">
        <f t="shared" si="5"/>
        <v>0.12</v>
      </c>
      <c r="P2298" s="9"/>
    </row>
    <row r="2299">
      <c r="A2299" s="6" t="s">
        <v>5749</v>
      </c>
      <c r="B2299" s="6" t="s">
        <v>5750</v>
      </c>
      <c r="C2299" s="6" t="s">
        <v>295</v>
      </c>
      <c r="D2299" s="6" t="s">
        <v>5751</v>
      </c>
      <c r="E2299" s="6" t="s">
        <v>2365</v>
      </c>
      <c r="F2299" s="6" t="s">
        <v>277</v>
      </c>
      <c r="G2299" s="7">
        <v>1.0</v>
      </c>
      <c r="H2299" s="6" t="s">
        <v>3247</v>
      </c>
      <c r="I2299" s="6" t="s">
        <v>20</v>
      </c>
      <c r="J2299" s="6">
        <v>2022.0</v>
      </c>
      <c r="L2299" s="6">
        <v>1.0</v>
      </c>
      <c r="M2299" s="8">
        <f t="shared" si="5"/>
        <v>1</v>
      </c>
      <c r="P2299" s="9"/>
    </row>
    <row r="2300">
      <c r="A2300" s="6" t="s">
        <v>4802</v>
      </c>
      <c r="B2300" s="6" t="s">
        <v>4803</v>
      </c>
      <c r="C2300" s="6" t="s">
        <v>295</v>
      </c>
      <c r="D2300" s="6" t="s">
        <v>4804</v>
      </c>
      <c r="E2300" s="6" t="s">
        <v>1761</v>
      </c>
      <c r="F2300" s="6" t="s">
        <v>152</v>
      </c>
      <c r="G2300" s="7">
        <v>0.11</v>
      </c>
      <c r="H2300" s="6" t="s">
        <v>1711</v>
      </c>
      <c r="I2300" s="6" t="s">
        <v>20</v>
      </c>
      <c r="J2300" s="6">
        <v>2022.0</v>
      </c>
      <c r="K2300" s="10">
        <v>46083.0</v>
      </c>
      <c r="L2300" s="6">
        <v>1.0</v>
      </c>
      <c r="M2300" s="8">
        <f t="shared" si="5"/>
        <v>0.11</v>
      </c>
      <c r="P2300" s="9"/>
    </row>
    <row r="2301">
      <c r="A2301" s="6" t="s">
        <v>1756</v>
      </c>
      <c r="B2301" s="6" t="s">
        <v>1753</v>
      </c>
      <c r="C2301" s="6" t="s">
        <v>295</v>
      </c>
      <c r="D2301" s="6" t="s">
        <v>5752</v>
      </c>
      <c r="E2301" s="6" t="s">
        <v>1758</v>
      </c>
      <c r="F2301" s="6" t="s">
        <v>277</v>
      </c>
      <c r="G2301" s="7">
        <v>0.99</v>
      </c>
      <c r="H2301" s="6" t="s">
        <v>5753</v>
      </c>
      <c r="I2301" s="6" t="s">
        <v>20</v>
      </c>
      <c r="J2301" s="6">
        <v>1995.0</v>
      </c>
      <c r="L2301" s="6">
        <v>3.0</v>
      </c>
      <c r="M2301" s="8">
        <f t="shared" si="5"/>
        <v>2.97</v>
      </c>
      <c r="P2301" s="9"/>
    </row>
    <row r="2302">
      <c r="A2302" s="6" t="s">
        <v>1756</v>
      </c>
      <c r="B2302" s="6" t="s">
        <v>1753</v>
      </c>
      <c r="C2302" s="6" t="s">
        <v>295</v>
      </c>
      <c r="D2302" s="6" t="s">
        <v>5752</v>
      </c>
      <c r="E2302" s="6" t="s">
        <v>1758</v>
      </c>
      <c r="F2302" s="6" t="s">
        <v>277</v>
      </c>
      <c r="G2302" s="7">
        <v>3.12</v>
      </c>
      <c r="H2302" s="6" t="s">
        <v>5754</v>
      </c>
      <c r="I2302" s="6" t="s">
        <v>20</v>
      </c>
      <c r="J2302" s="6">
        <v>1993.0</v>
      </c>
      <c r="L2302" s="6">
        <v>1.0</v>
      </c>
      <c r="M2302" s="8">
        <f t="shared" si="5"/>
        <v>3.12</v>
      </c>
      <c r="P2302" s="9"/>
    </row>
    <row r="2303">
      <c r="A2303" s="6" t="s">
        <v>5755</v>
      </c>
      <c r="B2303" s="6" t="s">
        <v>385</v>
      </c>
      <c r="C2303" s="6" t="s">
        <v>295</v>
      </c>
      <c r="D2303" s="6" t="s">
        <v>5756</v>
      </c>
      <c r="E2303" s="6" t="s">
        <v>3052</v>
      </c>
      <c r="F2303" s="6" t="s">
        <v>277</v>
      </c>
      <c r="G2303" s="7">
        <v>0.08</v>
      </c>
      <c r="H2303" s="6" t="s">
        <v>5757</v>
      </c>
      <c r="I2303" s="6" t="s">
        <v>20</v>
      </c>
      <c r="J2303" s="6">
        <v>1995.0</v>
      </c>
      <c r="L2303" s="6">
        <v>3.0</v>
      </c>
      <c r="M2303" s="8">
        <f t="shared" si="5"/>
        <v>0.24</v>
      </c>
      <c r="P2303" s="9"/>
    </row>
    <row r="2304">
      <c r="A2304" s="6" t="s">
        <v>5755</v>
      </c>
      <c r="B2304" s="6" t="s">
        <v>385</v>
      </c>
      <c r="C2304" s="6" t="s">
        <v>295</v>
      </c>
      <c r="D2304" s="6" t="s">
        <v>5756</v>
      </c>
      <c r="E2304" s="6" t="s">
        <v>3052</v>
      </c>
      <c r="F2304" s="6" t="s">
        <v>277</v>
      </c>
      <c r="G2304" s="7">
        <v>0.06</v>
      </c>
      <c r="H2304" s="6" t="s">
        <v>5758</v>
      </c>
      <c r="I2304" s="6" t="s">
        <v>20</v>
      </c>
      <c r="J2304" s="6">
        <v>1995.0</v>
      </c>
      <c r="L2304" s="6">
        <v>2.0</v>
      </c>
      <c r="M2304" s="8">
        <f t="shared" si="5"/>
        <v>0.12</v>
      </c>
      <c r="P2304" s="9"/>
    </row>
    <row r="2305">
      <c r="A2305" s="6" t="s">
        <v>5759</v>
      </c>
      <c r="B2305" s="6" t="s">
        <v>610</v>
      </c>
      <c r="C2305" s="6" t="s">
        <v>295</v>
      </c>
      <c r="D2305" s="6" t="s">
        <v>5760</v>
      </c>
      <c r="E2305" s="6" t="s">
        <v>1853</v>
      </c>
      <c r="F2305" s="6" t="s">
        <v>277</v>
      </c>
      <c r="G2305" s="7">
        <v>0.08</v>
      </c>
      <c r="H2305" s="6" t="s">
        <v>2024</v>
      </c>
      <c r="I2305" s="6" t="s">
        <v>20</v>
      </c>
      <c r="J2305" s="6">
        <v>1996.0</v>
      </c>
      <c r="L2305" s="6">
        <v>2.0</v>
      </c>
      <c r="M2305" s="8">
        <f t="shared" si="5"/>
        <v>0.16</v>
      </c>
      <c r="P2305" s="9"/>
    </row>
    <row r="2306">
      <c r="A2306" s="6" t="s">
        <v>5761</v>
      </c>
      <c r="B2306" s="6" t="s">
        <v>2822</v>
      </c>
      <c r="C2306" s="6" t="s">
        <v>295</v>
      </c>
      <c r="D2306" s="6" t="s">
        <v>5762</v>
      </c>
      <c r="E2306" s="6" t="s">
        <v>629</v>
      </c>
      <c r="F2306" s="6" t="s">
        <v>277</v>
      </c>
      <c r="G2306" s="7">
        <v>0.12</v>
      </c>
      <c r="H2306" s="6" t="s">
        <v>5757</v>
      </c>
      <c r="I2306" s="6" t="s">
        <v>20</v>
      </c>
      <c r="J2306" s="6">
        <v>1995.0</v>
      </c>
      <c r="L2306" s="6">
        <v>2.0</v>
      </c>
      <c r="M2306" s="8">
        <f t="shared" si="5"/>
        <v>0.24</v>
      </c>
      <c r="P2306" s="9"/>
    </row>
    <row r="2307">
      <c r="A2307" s="6" t="s">
        <v>5761</v>
      </c>
      <c r="B2307" s="6" t="s">
        <v>2822</v>
      </c>
      <c r="C2307" s="6" t="s">
        <v>295</v>
      </c>
      <c r="D2307" s="6" t="s">
        <v>5762</v>
      </c>
      <c r="E2307" s="6" t="s">
        <v>629</v>
      </c>
      <c r="F2307" s="6" t="s">
        <v>277</v>
      </c>
      <c r="G2307" s="7">
        <v>0.05</v>
      </c>
      <c r="H2307" s="6" t="s">
        <v>5758</v>
      </c>
      <c r="I2307" s="6" t="s">
        <v>20</v>
      </c>
      <c r="J2307" s="6">
        <v>1995.0</v>
      </c>
      <c r="L2307" s="6">
        <v>2.0</v>
      </c>
      <c r="M2307" s="8">
        <f t="shared" si="5"/>
        <v>0.1</v>
      </c>
      <c r="P2307" s="9"/>
    </row>
    <row r="2308">
      <c r="A2308" s="6" t="s">
        <v>5761</v>
      </c>
      <c r="B2308" s="6" t="s">
        <v>2822</v>
      </c>
      <c r="C2308" s="6" t="s">
        <v>295</v>
      </c>
      <c r="D2308" s="6" t="s">
        <v>5762</v>
      </c>
      <c r="E2308" s="6" t="s">
        <v>629</v>
      </c>
      <c r="F2308" s="6" t="s">
        <v>277</v>
      </c>
      <c r="G2308" s="7">
        <v>0.48</v>
      </c>
      <c r="H2308" s="6" t="s">
        <v>5754</v>
      </c>
      <c r="I2308" s="6" t="s">
        <v>20</v>
      </c>
      <c r="J2308" s="6">
        <v>1994.0</v>
      </c>
      <c r="L2308" s="6">
        <v>2.0</v>
      </c>
      <c r="M2308" s="8">
        <f t="shared" si="5"/>
        <v>0.96</v>
      </c>
      <c r="P2308" s="9"/>
    </row>
    <row r="2309">
      <c r="A2309" s="6" t="s">
        <v>5763</v>
      </c>
      <c r="B2309" s="6" t="s">
        <v>2316</v>
      </c>
      <c r="C2309" s="6" t="s">
        <v>295</v>
      </c>
      <c r="D2309" s="6" t="s">
        <v>5764</v>
      </c>
      <c r="E2309" s="6" t="s">
        <v>2967</v>
      </c>
      <c r="F2309" s="6" t="s">
        <v>277</v>
      </c>
      <c r="G2309" s="7">
        <v>1.02</v>
      </c>
      <c r="H2309" s="6" t="s">
        <v>5765</v>
      </c>
      <c r="I2309" s="6" t="s">
        <v>20</v>
      </c>
      <c r="J2309" s="6">
        <v>1995.0</v>
      </c>
      <c r="K2309" s="10">
        <v>46082.0</v>
      </c>
      <c r="L2309" s="6">
        <v>4.0</v>
      </c>
      <c r="M2309" s="8">
        <f t="shared" si="5"/>
        <v>4.08</v>
      </c>
      <c r="P2309" s="9"/>
    </row>
    <row r="2310">
      <c r="A2310" s="6" t="s">
        <v>5766</v>
      </c>
      <c r="B2310" s="6" t="s">
        <v>2014</v>
      </c>
      <c r="C2310" s="6" t="s">
        <v>295</v>
      </c>
      <c r="D2310" s="6" t="s">
        <v>5767</v>
      </c>
      <c r="E2310" s="6" t="s">
        <v>629</v>
      </c>
      <c r="F2310" s="6" t="s">
        <v>277</v>
      </c>
      <c r="G2310" s="7">
        <v>0.06</v>
      </c>
      <c r="H2310" s="6" t="s">
        <v>2089</v>
      </c>
      <c r="I2310" s="6" t="s">
        <v>20</v>
      </c>
      <c r="J2310" s="6">
        <v>1995.0</v>
      </c>
      <c r="L2310" s="6">
        <v>2.0</v>
      </c>
      <c r="M2310" s="8">
        <f t="shared" si="5"/>
        <v>0.12</v>
      </c>
      <c r="P2310" s="9"/>
    </row>
    <row r="2311">
      <c r="A2311" s="6" t="s">
        <v>5768</v>
      </c>
      <c r="B2311" s="6" t="s">
        <v>385</v>
      </c>
      <c r="C2311" s="6" t="s">
        <v>295</v>
      </c>
      <c r="D2311" s="6" t="s">
        <v>5769</v>
      </c>
      <c r="E2311" s="6" t="s">
        <v>2280</v>
      </c>
      <c r="F2311" s="6" t="s">
        <v>277</v>
      </c>
      <c r="G2311" s="7">
        <v>0.05</v>
      </c>
      <c r="H2311" s="6" t="s">
        <v>1774</v>
      </c>
      <c r="I2311" s="6" t="s">
        <v>20</v>
      </c>
      <c r="J2311" s="6">
        <v>1995.0</v>
      </c>
      <c r="L2311" s="6">
        <v>2.0</v>
      </c>
      <c r="M2311" s="8">
        <f t="shared" si="5"/>
        <v>0.1</v>
      </c>
      <c r="P2311" s="9"/>
    </row>
    <row r="2312">
      <c r="A2312" s="6" t="s">
        <v>5770</v>
      </c>
      <c r="B2312" s="6" t="s">
        <v>385</v>
      </c>
      <c r="C2312" s="6" t="s">
        <v>295</v>
      </c>
      <c r="D2312" s="6" t="s">
        <v>5771</v>
      </c>
      <c r="E2312" s="6" t="s">
        <v>1856</v>
      </c>
      <c r="F2312" s="6" t="s">
        <v>277</v>
      </c>
      <c r="G2312" s="7">
        <v>0.05</v>
      </c>
      <c r="H2312" s="6" t="s">
        <v>1774</v>
      </c>
      <c r="I2312" s="6" t="s">
        <v>20</v>
      </c>
      <c r="J2312" s="6">
        <v>1995.0</v>
      </c>
      <c r="L2312" s="6">
        <v>2.0</v>
      </c>
      <c r="M2312" s="8">
        <f t="shared" si="5"/>
        <v>0.1</v>
      </c>
      <c r="P2312" s="9"/>
    </row>
    <row r="2313">
      <c r="A2313" s="6" t="s">
        <v>5772</v>
      </c>
      <c r="B2313" s="6" t="s">
        <v>2822</v>
      </c>
      <c r="C2313" s="6" t="s">
        <v>295</v>
      </c>
      <c r="D2313" s="6" t="s">
        <v>5773</v>
      </c>
      <c r="E2313" s="6" t="s">
        <v>1856</v>
      </c>
      <c r="F2313" s="6" t="s">
        <v>277</v>
      </c>
      <c r="G2313" s="7">
        <v>0.08</v>
      </c>
      <c r="H2313" s="6" t="s">
        <v>1774</v>
      </c>
      <c r="I2313" s="6" t="s">
        <v>20</v>
      </c>
      <c r="J2313" s="6">
        <v>1995.0</v>
      </c>
      <c r="L2313" s="6">
        <v>1.0</v>
      </c>
      <c r="M2313" s="8">
        <f t="shared" si="5"/>
        <v>0.08</v>
      </c>
      <c r="P2313" s="9"/>
    </row>
    <row r="2314">
      <c r="A2314" s="6" t="s">
        <v>5774</v>
      </c>
      <c r="B2314" s="6" t="s">
        <v>2822</v>
      </c>
      <c r="C2314" s="6" t="s">
        <v>295</v>
      </c>
      <c r="D2314" s="6" t="s">
        <v>5775</v>
      </c>
      <c r="E2314" s="6" t="s">
        <v>1856</v>
      </c>
      <c r="F2314" s="6" t="s">
        <v>277</v>
      </c>
      <c r="G2314" s="7">
        <v>0.05</v>
      </c>
      <c r="H2314" s="6" t="s">
        <v>1774</v>
      </c>
      <c r="I2314" s="6" t="s">
        <v>20</v>
      </c>
      <c r="J2314" s="6">
        <v>1995.0</v>
      </c>
      <c r="L2314" s="6">
        <v>1.0</v>
      </c>
      <c r="M2314" s="8">
        <f t="shared" si="5"/>
        <v>0.05</v>
      </c>
      <c r="P2314" s="9"/>
    </row>
    <row r="2315">
      <c r="A2315" s="6" t="s">
        <v>5776</v>
      </c>
      <c r="B2315" s="6" t="s">
        <v>5777</v>
      </c>
      <c r="C2315" s="6" t="s">
        <v>295</v>
      </c>
      <c r="D2315" s="6" t="s">
        <v>5778</v>
      </c>
      <c r="E2315" s="6" t="s">
        <v>1853</v>
      </c>
      <c r="F2315" s="6" t="s">
        <v>277</v>
      </c>
      <c r="G2315" s="7">
        <v>0.05</v>
      </c>
      <c r="H2315" s="6" t="s">
        <v>1774</v>
      </c>
      <c r="I2315" s="6" t="s">
        <v>20</v>
      </c>
      <c r="J2315" s="6">
        <v>1995.0</v>
      </c>
      <c r="K2315" s="10">
        <v>46023.0</v>
      </c>
      <c r="L2315" s="6">
        <v>2.0</v>
      </c>
      <c r="M2315" s="8">
        <f t="shared" si="5"/>
        <v>0.1</v>
      </c>
      <c r="P2315" s="9"/>
    </row>
    <row r="2316">
      <c r="A2316" s="6" t="s">
        <v>5779</v>
      </c>
      <c r="B2316" s="6" t="s">
        <v>3022</v>
      </c>
      <c r="C2316" s="6" t="s">
        <v>295</v>
      </c>
      <c r="D2316" s="6" t="s">
        <v>5780</v>
      </c>
      <c r="E2316" s="6" t="s">
        <v>2839</v>
      </c>
      <c r="F2316" s="6" t="s">
        <v>277</v>
      </c>
      <c r="G2316" s="7">
        <v>0.05</v>
      </c>
      <c r="H2316" s="6" t="s">
        <v>1774</v>
      </c>
      <c r="I2316" s="6" t="s">
        <v>20</v>
      </c>
      <c r="J2316" s="6">
        <v>1995.0</v>
      </c>
      <c r="K2316" s="10">
        <v>46083.0</v>
      </c>
      <c r="L2316" s="6">
        <v>2.0</v>
      </c>
      <c r="M2316" s="8">
        <f t="shared" si="5"/>
        <v>0.1</v>
      </c>
      <c r="P2316" s="9"/>
    </row>
    <row r="2317">
      <c r="A2317" s="6" t="s">
        <v>5781</v>
      </c>
      <c r="B2317" s="6" t="s">
        <v>5782</v>
      </c>
      <c r="C2317" s="6" t="s">
        <v>1949</v>
      </c>
      <c r="D2317" s="6" t="s">
        <v>5783</v>
      </c>
      <c r="E2317" s="6" t="s">
        <v>1856</v>
      </c>
      <c r="F2317" s="6" t="s">
        <v>277</v>
      </c>
      <c r="G2317" s="7">
        <v>0.09</v>
      </c>
      <c r="H2317" s="6" t="s">
        <v>5758</v>
      </c>
      <c r="I2317" s="6" t="s">
        <v>20</v>
      </c>
      <c r="J2317" s="6">
        <v>1995.0</v>
      </c>
      <c r="K2317" s="10">
        <v>46113.0</v>
      </c>
      <c r="L2317" s="6">
        <v>2.0</v>
      </c>
      <c r="M2317" s="8">
        <f t="shared" si="5"/>
        <v>0.18</v>
      </c>
      <c r="P2317" s="9"/>
    </row>
    <row r="2318">
      <c r="A2318" s="6" t="s">
        <v>1763</v>
      </c>
      <c r="B2318" s="6" t="s">
        <v>2014</v>
      </c>
      <c r="C2318" s="6" t="s">
        <v>295</v>
      </c>
      <c r="D2318" s="6" t="s">
        <v>5784</v>
      </c>
      <c r="E2318" s="6" t="s">
        <v>629</v>
      </c>
      <c r="F2318" s="6" t="s">
        <v>277</v>
      </c>
      <c r="G2318" s="7">
        <v>0.2</v>
      </c>
      <c r="H2318" s="6" t="s">
        <v>5757</v>
      </c>
      <c r="I2318" s="6" t="s">
        <v>20</v>
      </c>
      <c r="J2318" s="6">
        <v>1995.0</v>
      </c>
      <c r="L2318" s="6">
        <v>4.0</v>
      </c>
      <c r="M2318" s="8">
        <f t="shared" si="5"/>
        <v>0.8</v>
      </c>
      <c r="P2318" s="9"/>
    </row>
    <row r="2319">
      <c r="A2319" s="6" t="s">
        <v>1763</v>
      </c>
      <c r="B2319" s="6" t="s">
        <v>2014</v>
      </c>
      <c r="C2319" s="6" t="s">
        <v>295</v>
      </c>
      <c r="D2319" s="6" t="s">
        <v>5784</v>
      </c>
      <c r="E2319" s="6" t="s">
        <v>629</v>
      </c>
      <c r="F2319" s="6" t="s">
        <v>277</v>
      </c>
      <c r="G2319" s="7">
        <v>0.09</v>
      </c>
      <c r="H2319" s="6" t="s">
        <v>5758</v>
      </c>
      <c r="I2319" s="6" t="s">
        <v>20</v>
      </c>
      <c r="J2319" s="6">
        <v>1995.0</v>
      </c>
      <c r="L2319" s="6">
        <v>5.0</v>
      </c>
      <c r="M2319" s="8">
        <f t="shared" si="5"/>
        <v>0.45</v>
      </c>
      <c r="P2319" s="9"/>
    </row>
    <row r="2320">
      <c r="A2320" s="6" t="s">
        <v>1763</v>
      </c>
      <c r="B2320" s="6" t="s">
        <v>2014</v>
      </c>
      <c r="C2320" s="6" t="s">
        <v>295</v>
      </c>
      <c r="D2320" s="6" t="s">
        <v>5784</v>
      </c>
      <c r="E2320" s="6" t="s">
        <v>629</v>
      </c>
      <c r="F2320" s="6" t="s">
        <v>277</v>
      </c>
      <c r="G2320" s="7">
        <v>0.68</v>
      </c>
      <c r="H2320" s="6" t="s">
        <v>5754</v>
      </c>
      <c r="I2320" s="6" t="s">
        <v>20</v>
      </c>
      <c r="J2320" s="6">
        <v>1994.0</v>
      </c>
      <c r="L2320" s="6">
        <v>1.0</v>
      </c>
      <c r="M2320" s="8">
        <f t="shared" si="5"/>
        <v>0.68</v>
      </c>
      <c r="P2320" s="9"/>
    </row>
    <row r="2321">
      <c r="A2321" s="6" t="s">
        <v>5785</v>
      </c>
      <c r="B2321" s="6" t="s">
        <v>2014</v>
      </c>
      <c r="C2321" s="6" t="s">
        <v>295</v>
      </c>
      <c r="D2321" s="6" t="s">
        <v>5786</v>
      </c>
      <c r="E2321" s="6" t="s">
        <v>2967</v>
      </c>
      <c r="F2321" s="6" t="s">
        <v>277</v>
      </c>
      <c r="G2321" s="7">
        <v>0.21</v>
      </c>
      <c r="H2321" s="6" t="s">
        <v>5757</v>
      </c>
      <c r="I2321" s="6" t="s">
        <v>20</v>
      </c>
      <c r="J2321" s="6">
        <v>1995.0</v>
      </c>
      <c r="L2321" s="6">
        <v>3.0</v>
      </c>
      <c r="M2321" s="8">
        <f t="shared" si="5"/>
        <v>0.63</v>
      </c>
      <c r="P2321" s="9"/>
    </row>
    <row r="2322">
      <c r="A2322" s="6" t="s">
        <v>5785</v>
      </c>
      <c r="B2322" s="6" t="s">
        <v>2014</v>
      </c>
      <c r="C2322" s="6" t="s">
        <v>295</v>
      </c>
      <c r="D2322" s="6" t="s">
        <v>5786</v>
      </c>
      <c r="E2322" s="6" t="s">
        <v>2967</v>
      </c>
      <c r="F2322" s="6" t="s">
        <v>277</v>
      </c>
      <c r="G2322" s="7">
        <v>0.08</v>
      </c>
      <c r="H2322" s="6" t="s">
        <v>5758</v>
      </c>
      <c r="I2322" s="6" t="s">
        <v>20</v>
      </c>
      <c r="J2322" s="6">
        <v>1995.0</v>
      </c>
      <c r="L2322" s="6">
        <v>3.0</v>
      </c>
      <c r="M2322" s="8">
        <f t="shared" si="5"/>
        <v>0.24</v>
      </c>
      <c r="P2322" s="9"/>
    </row>
    <row r="2323">
      <c r="A2323" s="6" t="s">
        <v>5785</v>
      </c>
      <c r="B2323" s="6" t="s">
        <v>2014</v>
      </c>
      <c r="C2323" s="6" t="s">
        <v>295</v>
      </c>
      <c r="D2323" s="6" t="s">
        <v>5786</v>
      </c>
      <c r="E2323" s="6" t="s">
        <v>2967</v>
      </c>
      <c r="F2323" s="6" t="s">
        <v>277</v>
      </c>
      <c r="G2323" s="7">
        <v>0.15</v>
      </c>
      <c r="H2323" s="6" t="s">
        <v>5754</v>
      </c>
      <c r="I2323" s="6" t="s">
        <v>20</v>
      </c>
      <c r="J2323" s="6">
        <v>1995.0</v>
      </c>
      <c r="L2323" s="6">
        <v>2.0</v>
      </c>
      <c r="M2323" s="8">
        <f t="shared" si="5"/>
        <v>0.3</v>
      </c>
      <c r="P2323" s="9"/>
    </row>
    <row r="2324">
      <c r="A2324" s="6" t="s">
        <v>5787</v>
      </c>
      <c r="B2324" s="6" t="s">
        <v>3022</v>
      </c>
      <c r="C2324" s="6" t="s">
        <v>1949</v>
      </c>
      <c r="D2324" s="6" t="s">
        <v>5788</v>
      </c>
      <c r="E2324" s="6" t="s">
        <v>5789</v>
      </c>
      <c r="F2324" s="6" t="s">
        <v>277</v>
      </c>
      <c r="G2324" s="7">
        <v>0.19</v>
      </c>
      <c r="H2324" s="6" t="s">
        <v>5765</v>
      </c>
      <c r="I2324" s="6" t="s">
        <v>20</v>
      </c>
      <c r="J2324" s="6">
        <v>1995.0</v>
      </c>
      <c r="K2324" s="10">
        <v>46083.0</v>
      </c>
      <c r="L2324" s="6">
        <v>2.0</v>
      </c>
      <c r="M2324" s="8">
        <f t="shared" si="5"/>
        <v>0.38</v>
      </c>
      <c r="P2324" s="9"/>
    </row>
    <row r="2325">
      <c r="A2325" s="6" t="s">
        <v>5790</v>
      </c>
      <c r="B2325" s="6" t="s">
        <v>5791</v>
      </c>
      <c r="C2325" s="6" t="s">
        <v>295</v>
      </c>
      <c r="D2325" s="6" t="s">
        <v>5792</v>
      </c>
      <c r="E2325" s="6" t="s">
        <v>1856</v>
      </c>
      <c r="F2325" s="6" t="s">
        <v>277</v>
      </c>
      <c r="G2325" s="7">
        <v>0.17</v>
      </c>
      <c r="H2325" s="6" t="s">
        <v>5757</v>
      </c>
      <c r="I2325" s="6" t="s">
        <v>20</v>
      </c>
      <c r="J2325" s="6">
        <v>1995.0</v>
      </c>
      <c r="K2325" s="6" t="s">
        <v>750</v>
      </c>
      <c r="L2325" s="6">
        <v>2.0</v>
      </c>
      <c r="M2325" s="8">
        <f t="shared" si="5"/>
        <v>0.34</v>
      </c>
      <c r="P2325" s="9"/>
    </row>
    <row r="2326">
      <c r="A2326" s="6" t="s">
        <v>5790</v>
      </c>
      <c r="B2326" s="6" t="s">
        <v>5791</v>
      </c>
      <c r="C2326" s="6" t="s">
        <v>295</v>
      </c>
      <c r="D2326" s="6" t="s">
        <v>5792</v>
      </c>
      <c r="E2326" s="6" t="s">
        <v>1856</v>
      </c>
      <c r="F2326" s="6" t="s">
        <v>277</v>
      </c>
      <c r="G2326" s="7">
        <v>0.08</v>
      </c>
      <c r="H2326" s="6" t="s">
        <v>5758</v>
      </c>
      <c r="I2326" s="6" t="s">
        <v>20</v>
      </c>
      <c r="J2326" s="6">
        <v>1995.0</v>
      </c>
      <c r="K2326" s="6" t="s">
        <v>750</v>
      </c>
      <c r="L2326" s="6">
        <v>1.0</v>
      </c>
      <c r="M2326" s="8">
        <f t="shared" si="5"/>
        <v>0.08</v>
      </c>
      <c r="P2326" s="9"/>
    </row>
    <row r="2327">
      <c r="A2327" s="6" t="s">
        <v>5790</v>
      </c>
      <c r="B2327" s="6" t="s">
        <v>5791</v>
      </c>
      <c r="C2327" s="6" t="s">
        <v>295</v>
      </c>
      <c r="D2327" s="6" t="s">
        <v>5792</v>
      </c>
      <c r="E2327" s="6" t="s">
        <v>1856</v>
      </c>
      <c r="F2327" s="6" t="s">
        <v>277</v>
      </c>
      <c r="G2327" s="7">
        <v>0.21</v>
      </c>
      <c r="H2327" s="6" t="s">
        <v>5754</v>
      </c>
      <c r="I2327" s="6" t="s">
        <v>20</v>
      </c>
      <c r="J2327" s="6">
        <v>1994.0</v>
      </c>
      <c r="K2327" s="6" t="s">
        <v>750</v>
      </c>
      <c r="L2327" s="6">
        <v>3.0</v>
      </c>
      <c r="M2327" s="8">
        <f t="shared" si="5"/>
        <v>0.63</v>
      </c>
      <c r="P2327" s="9"/>
    </row>
    <row r="2328">
      <c r="A2328" s="6" t="s">
        <v>5793</v>
      </c>
      <c r="B2328" s="6" t="s">
        <v>3996</v>
      </c>
      <c r="C2328" s="6" t="s">
        <v>295</v>
      </c>
      <c r="D2328" s="6" t="s">
        <v>5794</v>
      </c>
      <c r="E2328" s="6" t="s">
        <v>2280</v>
      </c>
      <c r="F2328" s="6" t="s">
        <v>277</v>
      </c>
      <c r="G2328" s="7">
        <v>0.06</v>
      </c>
      <c r="H2328" s="6" t="s">
        <v>5757</v>
      </c>
      <c r="I2328" s="6" t="s">
        <v>20</v>
      </c>
      <c r="J2328" s="6">
        <v>1997.0</v>
      </c>
      <c r="K2328" s="10">
        <v>46023.0</v>
      </c>
      <c r="L2328" s="6">
        <v>2.0</v>
      </c>
      <c r="M2328" s="8">
        <f t="shared" si="5"/>
        <v>0.12</v>
      </c>
      <c r="P2328" s="9"/>
    </row>
    <row r="2329">
      <c r="A2329" s="6" t="s">
        <v>5793</v>
      </c>
      <c r="B2329" s="6" t="s">
        <v>3996</v>
      </c>
      <c r="C2329" s="6" t="s">
        <v>295</v>
      </c>
      <c r="D2329" s="6" t="s">
        <v>5794</v>
      </c>
      <c r="E2329" s="6" t="s">
        <v>2280</v>
      </c>
      <c r="F2329" s="6" t="s">
        <v>277</v>
      </c>
      <c r="G2329" s="7">
        <v>0.06</v>
      </c>
      <c r="H2329" s="6" t="s">
        <v>5758</v>
      </c>
      <c r="I2329" s="6" t="s">
        <v>20</v>
      </c>
      <c r="J2329" s="6">
        <v>1997.0</v>
      </c>
      <c r="K2329" s="10">
        <v>46023.0</v>
      </c>
      <c r="L2329" s="6">
        <v>1.0</v>
      </c>
      <c r="M2329" s="8">
        <f t="shared" si="5"/>
        <v>0.06</v>
      </c>
      <c r="P2329" s="9"/>
    </row>
    <row r="2330">
      <c r="A2330" s="6" t="s">
        <v>5795</v>
      </c>
      <c r="B2330" s="6" t="s">
        <v>5796</v>
      </c>
      <c r="C2330" s="6" t="s">
        <v>295</v>
      </c>
      <c r="D2330" s="6" t="s">
        <v>5797</v>
      </c>
      <c r="E2330" s="6" t="s">
        <v>2839</v>
      </c>
      <c r="F2330" s="6" t="s">
        <v>277</v>
      </c>
      <c r="G2330" s="7">
        <v>0.06</v>
      </c>
      <c r="H2330" s="6" t="s">
        <v>5757</v>
      </c>
      <c r="I2330" s="6" t="s">
        <v>20</v>
      </c>
      <c r="J2330" s="6">
        <v>1995.0</v>
      </c>
      <c r="K2330" s="10">
        <v>46024.0</v>
      </c>
      <c r="L2330" s="6">
        <v>2.0</v>
      </c>
      <c r="M2330" s="8">
        <f t="shared" si="5"/>
        <v>0.12</v>
      </c>
      <c r="P2330" s="9"/>
    </row>
    <row r="2331">
      <c r="A2331" s="6" t="s">
        <v>5795</v>
      </c>
      <c r="B2331" s="6" t="s">
        <v>5796</v>
      </c>
      <c r="C2331" s="6" t="s">
        <v>295</v>
      </c>
      <c r="D2331" s="6" t="s">
        <v>5797</v>
      </c>
      <c r="E2331" s="6" t="s">
        <v>2839</v>
      </c>
      <c r="F2331" s="6" t="s">
        <v>277</v>
      </c>
      <c r="G2331" s="7">
        <v>0.05</v>
      </c>
      <c r="H2331" s="6" t="s">
        <v>5758</v>
      </c>
      <c r="I2331" s="6" t="s">
        <v>20</v>
      </c>
      <c r="J2331" s="6">
        <v>1995.0</v>
      </c>
      <c r="K2331" s="10">
        <v>46024.0</v>
      </c>
      <c r="L2331" s="6">
        <v>2.0</v>
      </c>
      <c r="M2331" s="8">
        <f t="shared" si="5"/>
        <v>0.1</v>
      </c>
      <c r="P2331" s="9"/>
    </row>
    <row r="2332">
      <c r="A2332" s="6" t="s">
        <v>5798</v>
      </c>
      <c r="B2332" s="6" t="s">
        <v>393</v>
      </c>
      <c r="C2332" s="6" t="s">
        <v>295</v>
      </c>
      <c r="D2332" s="6" t="s">
        <v>5799</v>
      </c>
      <c r="E2332" s="6" t="s">
        <v>629</v>
      </c>
      <c r="F2332" s="6" t="s">
        <v>277</v>
      </c>
      <c r="G2332" s="7">
        <v>0.08</v>
      </c>
      <c r="H2332" s="6" t="s">
        <v>2024</v>
      </c>
      <c r="I2332" s="6" t="s">
        <v>20</v>
      </c>
      <c r="J2332" s="6">
        <v>1996.0</v>
      </c>
      <c r="K2332" s="10">
        <v>46023.0</v>
      </c>
      <c r="L2332" s="6">
        <v>3.0</v>
      </c>
      <c r="M2332" s="8">
        <f t="shared" si="5"/>
        <v>0.24</v>
      </c>
      <c r="P2332" s="9"/>
    </row>
    <row r="2333">
      <c r="A2333" s="6" t="s">
        <v>5800</v>
      </c>
      <c r="B2333" s="6" t="s">
        <v>2822</v>
      </c>
      <c r="C2333" s="6" t="s">
        <v>1949</v>
      </c>
      <c r="D2333" s="6" t="s">
        <v>5801</v>
      </c>
      <c r="E2333" s="6" t="s">
        <v>1856</v>
      </c>
      <c r="F2333" s="6" t="s">
        <v>277</v>
      </c>
      <c r="G2333" s="7">
        <v>0.12</v>
      </c>
      <c r="H2333" s="6" t="s">
        <v>2024</v>
      </c>
      <c r="I2333" s="6" t="s">
        <v>20</v>
      </c>
      <c r="J2333" s="6">
        <v>1996.0</v>
      </c>
      <c r="L2333" s="6">
        <v>1.0</v>
      </c>
      <c r="M2333" s="8">
        <f t="shared" si="5"/>
        <v>0.12</v>
      </c>
      <c r="P2333" s="9"/>
    </row>
    <row r="2334">
      <c r="A2334" s="6" t="s">
        <v>5802</v>
      </c>
      <c r="B2334" s="6" t="s">
        <v>2822</v>
      </c>
      <c r="C2334" s="6" t="s">
        <v>295</v>
      </c>
      <c r="D2334" s="6" t="s">
        <v>5803</v>
      </c>
      <c r="E2334" s="6" t="s">
        <v>1856</v>
      </c>
      <c r="F2334" s="6" t="s">
        <v>277</v>
      </c>
      <c r="G2334" s="7">
        <v>0.1</v>
      </c>
      <c r="H2334" s="6" t="s">
        <v>2024</v>
      </c>
      <c r="I2334" s="6" t="s">
        <v>20</v>
      </c>
      <c r="J2334" s="6">
        <v>1996.0</v>
      </c>
      <c r="L2334" s="6">
        <v>1.0</v>
      </c>
      <c r="M2334" s="8">
        <f t="shared" si="5"/>
        <v>0.1</v>
      </c>
      <c r="P2334" s="9"/>
    </row>
    <row r="2335">
      <c r="A2335" s="6" t="s">
        <v>5804</v>
      </c>
      <c r="B2335" s="6" t="s">
        <v>5791</v>
      </c>
      <c r="C2335" s="6" t="s">
        <v>295</v>
      </c>
      <c r="D2335" s="6" t="s">
        <v>5792</v>
      </c>
      <c r="E2335" s="6" t="s">
        <v>1853</v>
      </c>
      <c r="F2335" s="6" t="s">
        <v>277</v>
      </c>
      <c r="G2335" s="7">
        <v>0.07</v>
      </c>
      <c r="H2335" s="6" t="s">
        <v>1774</v>
      </c>
      <c r="I2335" s="6" t="s">
        <v>20</v>
      </c>
      <c r="J2335" s="6">
        <v>1995.0</v>
      </c>
      <c r="K2335" s="10">
        <v>46054.0</v>
      </c>
      <c r="L2335" s="6">
        <v>2.0</v>
      </c>
      <c r="M2335" s="8">
        <f t="shared" si="5"/>
        <v>0.14</v>
      </c>
      <c r="P2335" s="9"/>
    </row>
    <row r="2336">
      <c r="A2336" s="6" t="s">
        <v>5805</v>
      </c>
      <c r="B2336" s="6" t="s">
        <v>1753</v>
      </c>
      <c r="C2336" s="6" t="s">
        <v>1949</v>
      </c>
      <c r="D2336" s="6" t="s">
        <v>5806</v>
      </c>
      <c r="E2336" s="6" t="s">
        <v>2839</v>
      </c>
      <c r="F2336" s="6" t="s">
        <v>277</v>
      </c>
      <c r="G2336" s="7">
        <v>0.3</v>
      </c>
      <c r="H2336" s="6" t="s">
        <v>1780</v>
      </c>
      <c r="I2336" s="6" t="s">
        <v>20</v>
      </c>
      <c r="J2336" s="6">
        <v>1994.0</v>
      </c>
      <c r="L2336" s="6">
        <v>1.0</v>
      </c>
      <c r="M2336" s="8">
        <f t="shared" si="5"/>
        <v>0.3</v>
      </c>
      <c r="P2336" s="9"/>
    </row>
    <row r="2337">
      <c r="A2337" s="6" t="s">
        <v>5807</v>
      </c>
      <c r="B2337" s="6" t="s">
        <v>2822</v>
      </c>
      <c r="C2337" s="6" t="s">
        <v>295</v>
      </c>
      <c r="D2337" s="6" t="s">
        <v>5808</v>
      </c>
      <c r="E2337" s="6" t="s">
        <v>1853</v>
      </c>
      <c r="F2337" s="6" t="s">
        <v>277</v>
      </c>
      <c r="G2337" s="7">
        <v>0.09</v>
      </c>
      <c r="H2337" s="6" t="s">
        <v>2089</v>
      </c>
      <c r="I2337" s="6" t="s">
        <v>20</v>
      </c>
      <c r="J2337" s="6">
        <v>1995.0</v>
      </c>
      <c r="L2337" s="6">
        <v>1.0</v>
      </c>
      <c r="M2337" s="8">
        <f t="shared" si="5"/>
        <v>0.09</v>
      </c>
      <c r="P2337" s="9"/>
    </row>
    <row r="2338">
      <c r="A2338" s="6" t="s">
        <v>5809</v>
      </c>
      <c r="B2338" s="6" t="s">
        <v>1753</v>
      </c>
      <c r="C2338" s="6" t="s">
        <v>1897</v>
      </c>
      <c r="D2338" s="6" t="s">
        <v>5810</v>
      </c>
      <c r="E2338" s="6" t="s">
        <v>1853</v>
      </c>
      <c r="F2338" s="6" t="s">
        <v>277</v>
      </c>
      <c r="G2338" s="7">
        <v>0.95</v>
      </c>
      <c r="H2338" s="6" t="s">
        <v>1774</v>
      </c>
      <c r="I2338" s="6" t="s">
        <v>20</v>
      </c>
      <c r="J2338" s="6">
        <v>1995.0</v>
      </c>
      <c r="L2338" s="6">
        <v>1.0</v>
      </c>
      <c r="M2338" s="8">
        <f t="shared" si="5"/>
        <v>0.95</v>
      </c>
      <c r="P2338" s="9"/>
    </row>
    <row r="2339">
      <c r="A2339" s="6" t="s">
        <v>5766</v>
      </c>
      <c r="B2339" s="6" t="s">
        <v>2014</v>
      </c>
      <c r="C2339" s="6" t="s">
        <v>295</v>
      </c>
      <c r="D2339" s="6" t="s">
        <v>5767</v>
      </c>
      <c r="E2339" s="6" t="s">
        <v>629</v>
      </c>
      <c r="F2339" s="6" t="s">
        <v>277</v>
      </c>
      <c r="G2339" s="7">
        <v>0.09</v>
      </c>
      <c r="H2339" s="6" t="s">
        <v>2089</v>
      </c>
      <c r="I2339" s="6" t="s">
        <v>20</v>
      </c>
      <c r="J2339" s="6">
        <v>1995.0</v>
      </c>
      <c r="L2339" s="6">
        <v>1.0</v>
      </c>
      <c r="M2339" s="8">
        <f t="shared" si="5"/>
        <v>0.09</v>
      </c>
      <c r="P2339" s="9"/>
    </row>
    <row r="2340">
      <c r="A2340" s="6" t="s">
        <v>5811</v>
      </c>
      <c r="B2340" s="6" t="s">
        <v>5812</v>
      </c>
      <c r="C2340" s="6" t="s">
        <v>1897</v>
      </c>
      <c r="D2340" s="6" t="s">
        <v>5813</v>
      </c>
      <c r="E2340" s="6" t="s">
        <v>5814</v>
      </c>
      <c r="F2340" s="6" t="s">
        <v>277</v>
      </c>
      <c r="G2340" s="7">
        <v>5.0</v>
      </c>
      <c r="H2340" s="6" t="s">
        <v>5757</v>
      </c>
      <c r="I2340" s="6" t="s">
        <v>20</v>
      </c>
      <c r="J2340" s="6">
        <v>1995.0</v>
      </c>
      <c r="K2340" s="10">
        <v>46210.0</v>
      </c>
      <c r="L2340" s="6">
        <v>1.0</v>
      </c>
      <c r="M2340" s="8">
        <f t="shared" si="5"/>
        <v>5</v>
      </c>
      <c r="P2340" s="9"/>
    </row>
    <row r="2341">
      <c r="A2341" s="6" t="s">
        <v>5815</v>
      </c>
      <c r="B2341" s="6" t="s">
        <v>5816</v>
      </c>
      <c r="C2341" s="6" t="s">
        <v>1897</v>
      </c>
      <c r="D2341" s="6" t="s">
        <v>5817</v>
      </c>
      <c r="E2341" s="6" t="s">
        <v>3548</v>
      </c>
      <c r="F2341" s="6" t="s">
        <v>277</v>
      </c>
      <c r="G2341" s="7">
        <v>1.0</v>
      </c>
      <c r="H2341" s="6" t="s">
        <v>1771</v>
      </c>
      <c r="I2341" s="6" t="s">
        <v>20</v>
      </c>
      <c r="J2341" s="6">
        <v>1995.0</v>
      </c>
      <c r="K2341" s="6" t="s">
        <v>345</v>
      </c>
      <c r="L2341" s="6">
        <v>1.0</v>
      </c>
      <c r="M2341" s="8">
        <f t="shared" si="5"/>
        <v>1</v>
      </c>
      <c r="P2341" s="9"/>
    </row>
    <row r="2342">
      <c r="A2342" s="6" t="s">
        <v>5818</v>
      </c>
      <c r="B2342" s="6" t="s">
        <v>3293</v>
      </c>
      <c r="C2342" s="6" t="s">
        <v>1949</v>
      </c>
      <c r="D2342" s="6" t="s">
        <v>5819</v>
      </c>
      <c r="E2342" s="6" t="s">
        <v>2380</v>
      </c>
      <c r="F2342" s="6" t="s">
        <v>277</v>
      </c>
      <c r="G2342" s="7">
        <v>0.5</v>
      </c>
      <c r="H2342" s="6" t="s">
        <v>5758</v>
      </c>
      <c r="I2342" s="6" t="s">
        <v>20</v>
      </c>
      <c r="J2342" s="6">
        <v>1995.0</v>
      </c>
      <c r="K2342" s="10">
        <v>46116.0</v>
      </c>
      <c r="L2342" s="6">
        <v>1.0</v>
      </c>
      <c r="M2342" s="8">
        <f t="shared" si="5"/>
        <v>0.5</v>
      </c>
      <c r="P2342" s="9"/>
    </row>
    <row r="2343">
      <c r="A2343" s="6" t="s">
        <v>5820</v>
      </c>
      <c r="B2343" s="6" t="s">
        <v>5812</v>
      </c>
      <c r="C2343" s="6" t="s">
        <v>1949</v>
      </c>
      <c r="D2343" s="6" t="s">
        <v>5821</v>
      </c>
      <c r="E2343" s="6" t="s">
        <v>2380</v>
      </c>
      <c r="F2343" s="6" t="s">
        <v>277</v>
      </c>
      <c r="G2343" s="7">
        <v>0.2</v>
      </c>
      <c r="H2343" s="6" t="s">
        <v>5758</v>
      </c>
      <c r="I2343" s="6" t="s">
        <v>20</v>
      </c>
      <c r="J2343" s="6">
        <v>1995.0</v>
      </c>
      <c r="K2343" s="10">
        <v>46175.0</v>
      </c>
      <c r="L2343" s="6">
        <v>1.0</v>
      </c>
      <c r="M2343" s="8">
        <f t="shared" si="5"/>
        <v>0.2</v>
      </c>
      <c r="P2343" s="9"/>
    </row>
    <row r="2344">
      <c r="A2344" s="6" t="s">
        <v>5822</v>
      </c>
      <c r="B2344" s="6" t="s">
        <v>3022</v>
      </c>
      <c r="C2344" s="6" t="s">
        <v>1949</v>
      </c>
      <c r="D2344" s="6" t="s">
        <v>5823</v>
      </c>
      <c r="E2344" s="6" t="s">
        <v>1853</v>
      </c>
      <c r="F2344" s="6" t="s">
        <v>277</v>
      </c>
      <c r="G2344" s="7">
        <v>0.49</v>
      </c>
      <c r="H2344" s="6" t="s">
        <v>5757</v>
      </c>
      <c r="I2344" s="6" t="s">
        <v>20</v>
      </c>
      <c r="J2344" s="6">
        <v>1995.0</v>
      </c>
      <c r="K2344" s="10">
        <v>46055.0</v>
      </c>
      <c r="L2344" s="6">
        <v>3.0</v>
      </c>
      <c r="M2344" s="8">
        <f t="shared" si="5"/>
        <v>1.47</v>
      </c>
      <c r="P2344" s="9"/>
    </row>
    <row r="2345">
      <c r="A2345" s="6" t="s">
        <v>5822</v>
      </c>
      <c r="B2345" s="6" t="s">
        <v>3022</v>
      </c>
      <c r="C2345" s="6" t="s">
        <v>1949</v>
      </c>
      <c r="D2345" s="6" t="s">
        <v>5823</v>
      </c>
      <c r="E2345" s="6" t="s">
        <v>1853</v>
      </c>
      <c r="F2345" s="6" t="s">
        <v>277</v>
      </c>
      <c r="G2345" s="7">
        <v>0.06</v>
      </c>
      <c r="H2345" s="6" t="s">
        <v>5758</v>
      </c>
      <c r="I2345" s="6" t="s">
        <v>20</v>
      </c>
      <c r="J2345" s="6">
        <v>1995.0</v>
      </c>
      <c r="K2345" s="10">
        <v>46055.0</v>
      </c>
      <c r="L2345" s="6">
        <v>2.0</v>
      </c>
      <c r="M2345" s="8">
        <f t="shared" si="5"/>
        <v>0.12</v>
      </c>
      <c r="P2345" s="9"/>
    </row>
    <row r="2346">
      <c r="A2346" s="6" t="s">
        <v>5824</v>
      </c>
      <c r="B2346" s="6" t="s">
        <v>5825</v>
      </c>
      <c r="C2346" s="6" t="s">
        <v>295</v>
      </c>
      <c r="D2346" s="6" t="s">
        <v>5826</v>
      </c>
      <c r="E2346" s="6" t="s">
        <v>2839</v>
      </c>
      <c r="F2346" s="6" t="s">
        <v>277</v>
      </c>
      <c r="G2346" s="7">
        <v>0.08</v>
      </c>
      <c r="H2346" s="6" t="s">
        <v>2089</v>
      </c>
      <c r="I2346" s="6" t="s">
        <v>20</v>
      </c>
      <c r="J2346" s="6">
        <v>1995.0</v>
      </c>
      <c r="K2346" s="10">
        <v>46054.0</v>
      </c>
      <c r="L2346" s="6">
        <v>2.0</v>
      </c>
      <c r="M2346" s="8">
        <f t="shared" si="5"/>
        <v>0.16</v>
      </c>
      <c r="P2346" s="9"/>
    </row>
    <row r="2347">
      <c r="A2347" s="6" t="s">
        <v>5827</v>
      </c>
      <c r="B2347" s="6" t="s">
        <v>2621</v>
      </c>
      <c r="C2347" s="6" t="s">
        <v>1949</v>
      </c>
      <c r="D2347" s="6" t="s">
        <v>5828</v>
      </c>
      <c r="E2347" s="6" t="s">
        <v>2287</v>
      </c>
      <c r="F2347" s="6" t="s">
        <v>277</v>
      </c>
      <c r="G2347" s="7">
        <v>0.05</v>
      </c>
      <c r="H2347" s="6" t="s">
        <v>1774</v>
      </c>
      <c r="I2347" s="6" t="s">
        <v>20</v>
      </c>
      <c r="J2347" s="6">
        <v>1995.0</v>
      </c>
      <c r="K2347" s="10">
        <v>46085.0</v>
      </c>
      <c r="L2347" s="6">
        <v>1.0</v>
      </c>
      <c r="M2347" s="8">
        <f t="shared" si="5"/>
        <v>0.05</v>
      </c>
      <c r="P2347" s="9"/>
    </row>
    <row r="2348">
      <c r="A2348" s="6" t="s">
        <v>5829</v>
      </c>
      <c r="B2348" s="6" t="s">
        <v>4250</v>
      </c>
      <c r="C2348" s="6" t="s">
        <v>1897</v>
      </c>
      <c r="D2348" s="6" t="s">
        <v>5830</v>
      </c>
      <c r="E2348" s="6" t="s">
        <v>5831</v>
      </c>
      <c r="F2348" s="6" t="s">
        <v>277</v>
      </c>
      <c r="G2348" s="7">
        <v>2.49</v>
      </c>
      <c r="H2348" s="6" t="s">
        <v>5758</v>
      </c>
      <c r="I2348" s="6" t="s">
        <v>20</v>
      </c>
      <c r="J2348" s="6">
        <v>1995.0</v>
      </c>
      <c r="K2348" s="10">
        <v>46210.0</v>
      </c>
      <c r="L2348" s="6">
        <v>1.0</v>
      </c>
      <c r="M2348" s="8">
        <f t="shared" si="5"/>
        <v>2.49</v>
      </c>
      <c r="P2348" s="9"/>
    </row>
    <row r="2349">
      <c r="A2349" s="6" t="s">
        <v>5832</v>
      </c>
      <c r="B2349" s="6" t="s">
        <v>3262</v>
      </c>
      <c r="C2349" s="6" t="s">
        <v>295</v>
      </c>
      <c r="D2349" s="6" t="s">
        <v>5833</v>
      </c>
      <c r="E2349" s="6" t="s">
        <v>629</v>
      </c>
      <c r="F2349" s="6" t="s">
        <v>277</v>
      </c>
      <c r="G2349" s="7">
        <v>0.2</v>
      </c>
      <c r="H2349" s="6" t="s">
        <v>5757</v>
      </c>
      <c r="I2349" s="6" t="s">
        <v>20</v>
      </c>
      <c r="J2349" s="6">
        <v>1995.0</v>
      </c>
      <c r="K2349" s="6" t="s">
        <v>750</v>
      </c>
      <c r="L2349" s="6">
        <v>5.0</v>
      </c>
      <c r="M2349" s="8">
        <f t="shared" si="5"/>
        <v>1</v>
      </c>
      <c r="P2349" s="9"/>
    </row>
    <row r="2350">
      <c r="A2350" s="6" t="s">
        <v>5832</v>
      </c>
      <c r="B2350" s="6" t="s">
        <v>3262</v>
      </c>
      <c r="C2350" s="6" t="s">
        <v>295</v>
      </c>
      <c r="D2350" s="6" t="s">
        <v>5833</v>
      </c>
      <c r="E2350" s="6" t="s">
        <v>629</v>
      </c>
      <c r="F2350" s="6" t="s">
        <v>277</v>
      </c>
      <c r="G2350" s="7">
        <v>0.05</v>
      </c>
      <c r="H2350" s="6" t="s">
        <v>5758</v>
      </c>
      <c r="I2350" s="6" t="s">
        <v>20</v>
      </c>
      <c r="J2350" s="6">
        <v>1995.0</v>
      </c>
      <c r="K2350" s="6" t="s">
        <v>750</v>
      </c>
      <c r="L2350" s="6">
        <v>3.0</v>
      </c>
      <c r="M2350" s="8">
        <f t="shared" si="5"/>
        <v>0.15</v>
      </c>
      <c r="P2350" s="9"/>
    </row>
    <row r="2351">
      <c r="A2351" s="6" t="s">
        <v>5834</v>
      </c>
      <c r="B2351" s="6" t="s">
        <v>5835</v>
      </c>
      <c r="C2351" s="6" t="s">
        <v>1897</v>
      </c>
      <c r="D2351" s="6" t="s">
        <v>5836</v>
      </c>
      <c r="E2351" s="6" t="s">
        <v>5831</v>
      </c>
      <c r="F2351" s="6" t="s">
        <v>277</v>
      </c>
      <c r="G2351" s="7">
        <v>3.5</v>
      </c>
      <c r="H2351" s="6" t="s">
        <v>1774</v>
      </c>
      <c r="I2351" s="6" t="s">
        <v>20</v>
      </c>
      <c r="J2351" s="6">
        <v>1995.0</v>
      </c>
      <c r="K2351" s="10">
        <v>46116.0</v>
      </c>
      <c r="L2351" s="6">
        <v>1.0</v>
      </c>
      <c r="M2351" s="8">
        <f t="shared" si="5"/>
        <v>3.5</v>
      </c>
      <c r="P2351" s="9"/>
    </row>
    <row r="2352">
      <c r="A2352" s="6" t="s">
        <v>5837</v>
      </c>
      <c r="B2352" s="6" t="s">
        <v>5838</v>
      </c>
      <c r="C2352" s="6" t="s">
        <v>295</v>
      </c>
      <c r="D2352" s="6" t="s">
        <v>5839</v>
      </c>
      <c r="E2352" s="6" t="s">
        <v>1856</v>
      </c>
      <c r="F2352" s="6" t="s">
        <v>277</v>
      </c>
      <c r="G2352" s="7">
        <v>0.1</v>
      </c>
      <c r="H2352" s="6" t="s">
        <v>2089</v>
      </c>
      <c r="I2352" s="6" t="s">
        <v>20</v>
      </c>
      <c r="J2352" s="6">
        <v>1995.0</v>
      </c>
      <c r="K2352" s="6" t="s">
        <v>3153</v>
      </c>
      <c r="L2352" s="6">
        <v>1.0</v>
      </c>
      <c r="M2352" s="8">
        <f t="shared" si="5"/>
        <v>0.1</v>
      </c>
      <c r="P2352" s="9"/>
    </row>
    <row r="2353">
      <c r="A2353" s="6" t="s">
        <v>5840</v>
      </c>
      <c r="B2353" s="6" t="s">
        <v>610</v>
      </c>
      <c r="C2353" s="6" t="s">
        <v>1949</v>
      </c>
      <c r="D2353" s="6" t="s">
        <v>5841</v>
      </c>
      <c r="E2353" s="6" t="s">
        <v>2280</v>
      </c>
      <c r="F2353" s="6" t="s">
        <v>277</v>
      </c>
      <c r="G2353" s="7">
        <v>0.15</v>
      </c>
      <c r="H2353" s="6" t="s">
        <v>5757</v>
      </c>
      <c r="I2353" s="6" t="s">
        <v>20</v>
      </c>
      <c r="J2353" s="6">
        <v>1995.0</v>
      </c>
      <c r="L2353" s="6">
        <v>1.0</v>
      </c>
      <c r="M2353" s="8">
        <f t="shared" si="5"/>
        <v>0.15</v>
      </c>
      <c r="P2353" s="9"/>
    </row>
    <row r="2354">
      <c r="A2354" s="6" t="s">
        <v>5840</v>
      </c>
      <c r="B2354" s="6" t="s">
        <v>610</v>
      </c>
      <c r="C2354" s="6" t="s">
        <v>1949</v>
      </c>
      <c r="D2354" s="6" t="s">
        <v>5841</v>
      </c>
      <c r="E2354" s="6" t="s">
        <v>2280</v>
      </c>
      <c r="F2354" s="6" t="s">
        <v>277</v>
      </c>
      <c r="G2354" s="7">
        <v>0.4</v>
      </c>
      <c r="H2354" s="6" t="s">
        <v>5758</v>
      </c>
      <c r="I2354" s="6" t="s">
        <v>20</v>
      </c>
      <c r="J2354" s="6">
        <v>1995.0</v>
      </c>
      <c r="L2354" s="6">
        <v>1.0</v>
      </c>
      <c r="M2354" s="8">
        <f t="shared" si="5"/>
        <v>0.4</v>
      </c>
      <c r="P2354" s="9"/>
    </row>
    <row r="2355">
      <c r="A2355" s="6" t="s">
        <v>5842</v>
      </c>
      <c r="B2355" s="6" t="s">
        <v>3022</v>
      </c>
      <c r="C2355" s="6" t="s">
        <v>295</v>
      </c>
      <c r="D2355" s="6" t="s">
        <v>5843</v>
      </c>
      <c r="E2355" s="6" t="s">
        <v>1853</v>
      </c>
      <c r="F2355" s="6" t="s">
        <v>277</v>
      </c>
      <c r="G2355" s="7">
        <v>0.08</v>
      </c>
      <c r="H2355" s="6" t="s">
        <v>5757</v>
      </c>
      <c r="I2355" s="6" t="s">
        <v>20</v>
      </c>
      <c r="J2355" s="6">
        <v>1995.0</v>
      </c>
      <c r="K2355" s="10">
        <v>46055.0</v>
      </c>
      <c r="L2355" s="6">
        <v>3.0</v>
      </c>
      <c r="M2355" s="8">
        <f t="shared" si="5"/>
        <v>0.24</v>
      </c>
      <c r="P2355" s="9"/>
    </row>
    <row r="2356">
      <c r="A2356" s="6" t="s">
        <v>5842</v>
      </c>
      <c r="B2356" s="6" t="s">
        <v>3022</v>
      </c>
      <c r="C2356" s="6" t="s">
        <v>295</v>
      </c>
      <c r="D2356" s="6" t="s">
        <v>5843</v>
      </c>
      <c r="E2356" s="6" t="s">
        <v>1853</v>
      </c>
      <c r="F2356" s="6" t="s">
        <v>277</v>
      </c>
      <c r="G2356" s="7">
        <v>0.08</v>
      </c>
      <c r="H2356" s="6" t="s">
        <v>5758</v>
      </c>
      <c r="I2356" s="6" t="s">
        <v>20</v>
      </c>
      <c r="J2356" s="6">
        <v>1995.0</v>
      </c>
      <c r="K2356" s="10">
        <v>46055.0</v>
      </c>
      <c r="L2356" s="6">
        <v>2.0</v>
      </c>
      <c r="M2356" s="8">
        <f t="shared" si="5"/>
        <v>0.16</v>
      </c>
      <c r="P2356" s="9"/>
    </row>
    <row r="2357">
      <c r="A2357" s="6" t="s">
        <v>5844</v>
      </c>
      <c r="B2357" s="6" t="s">
        <v>5845</v>
      </c>
      <c r="C2357" s="6" t="s">
        <v>1897</v>
      </c>
      <c r="D2357" s="6" t="s">
        <v>5846</v>
      </c>
      <c r="E2357" s="6" t="s">
        <v>5847</v>
      </c>
      <c r="F2357" s="6" t="s">
        <v>277</v>
      </c>
      <c r="G2357" s="7">
        <v>1.95</v>
      </c>
      <c r="H2357" s="6" t="s">
        <v>1774</v>
      </c>
      <c r="I2357" s="6" t="s">
        <v>20</v>
      </c>
      <c r="J2357" s="6">
        <v>1995.0</v>
      </c>
      <c r="K2357" s="10">
        <v>46208.0</v>
      </c>
      <c r="L2357" s="6">
        <v>1.0</v>
      </c>
      <c r="M2357" s="8">
        <f t="shared" si="5"/>
        <v>1.95</v>
      </c>
      <c r="P2357" s="9"/>
    </row>
    <row r="2358">
      <c r="A2358" s="6" t="s">
        <v>5848</v>
      </c>
      <c r="B2358" s="6" t="s">
        <v>5849</v>
      </c>
      <c r="C2358" s="6" t="s">
        <v>295</v>
      </c>
      <c r="D2358" s="6" t="s">
        <v>5850</v>
      </c>
      <c r="E2358" s="6" t="s">
        <v>1856</v>
      </c>
      <c r="F2358" s="6" t="s">
        <v>277</v>
      </c>
      <c r="G2358" s="7">
        <v>0.08</v>
      </c>
      <c r="H2358" s="6" t="s">
        <v>5757</v>
      </c>
      <c r="I2358" s="6" t="s">
        <v>20</v>
      </c>
      <c r="J2358" s="6">
        <v>1995.0</v>
      </c>
      <c r="K2358" s="10">
        <v>46023.0</v>
      </c>
      <c r="L2358" s="6">
        <v>1.0</v>
      </c>
      <c r="M2358" s="8">
        <f t="shared" si="5"/>
        <v>0.08</v>
      </c>
      <c r="P2358" s="9"/>
    </row>
    <row r="2359">
      <c r="A2359" s="6" t="s">
        <v>5848</v>
      </c>
      <c r="B2359" s="6" t="s">
        <v>5849</v>
      </c>
      <c r="C2359" s="6" t="s">
        <v>295</v>
      </c>
      <c r="D2359" s="6" t="s">
        <v>5850</v>
      </c>
      <c r="E2359" s="6" t="s">
        <v>1856</v>
      </c>
      <c r="F2359" s="6" t="s">
        <v>277</v>
      </c>
      <c r="G2359" s="7">
        <v>0.05</v>
      </c>
      <c r="H2359" s="6" t="s">
        <v>5758</v>
      </c>
      <c r="I2359" s="6" t="s">
        <v>20</v>
      </c>
      <c r="J2359" s="6">
        <v>1995.0</v>
      </c>
      <c r="K2359" s="10">
        <v>46023.0</v>
      </c>
      <c r="L2359" s="6">
        <v>4.0</v>
      </c>
      <c r="M2359" s="8">
        <f t="shared" si="5"/>
        <v>0.2</v>
      </c>
      <c r="P2359" s="9"/>
    </row>
    <row r="2360">
      <c r="A2360" s="6" t="s">
        <v>5851</v>
      </c>
      <c r="B2360" s="6" t="s">
        <v>5852</v>
      </c>
      <c r="C2360" s="6" t="s">
        <v>1949</v>
      </c>
      <c r="D2360" s="6" t="s">
        <v>5853</v>
      </c>
      <c r="E2360" s="6" t="s">
        <v>1758</v>
      </c>
      <c r="F2360" s="6" t="s">
        <v>277</v>
      </c>
      <c r="G2360" s="7">
        <v>0.15</v>
      </c>
      <c r="H2360" s="6" t="s">
        <v>1901</v>
      </c>
      <c r="I2360" s="6" t="s">
        <v>20</v>
      </c>
      <c r="J2360" s="6">
        <v>1996.0</v>
      </c>
      <c r="K2360" s="10">
        <v>46083.0</v>
      </c>
      <c r="L2360" s="6">
        <v>1.0</v>
      </c>
      <c r="M2360" s="8">
        <f t="shared" si="5"/>
        <v>0.15</v>
      </c>
      <c r="P2360" s="9"/>
    </row>
    <row r="2361">
      <c r="A2361" s="6" t="s">
        <v>5854</v>
      </c>
      <c r="B2361" s="6" t="s">
        <v>5855</v>
      </c>
      <c r="C2361" s="6" t="s">
        <v>295</v>
      </c>
      <c r="D2361" s="6" t="s">
        <v>1731</v>
      </c>
      <c r="E2361" s="6" t="s">
        <v>1856</v>
      </c>
      <c r="F2361" s="6" t="s">
        <v>277</v>
      </c>
      <c r="G2361" s="7">
        <v>0.05</v>
      </c>
      <c r="H2361" s="6" t="s">
        <v>1805</v>
      </c>
      <c r="I2361" s="6" t="s">
        <v>20</v>
      </c>
      <c r="J2361" s="6">
        <v>1996.0</v>
      </c>
      <c r="K2361" s="10">
        <v>46024.0</v>
      </c>
      <c r="L2361" s="6">
        <v>1.0</v>
      </c>
      <c r="M2361" s="8">
        <f t="shared" si="5"/>
        <v>0.05</v>
      </c>
      <c r="P2361" s="9"/>
    </row>
    <row r="2362">
      <c r="A2362" s="6" t="s">
        <v>5856</v>
      </c>
      <c r="B2362" s="6" t="s">
        <v>5855</v>
      </c>
      <c r="C2362" s="6" t="s">
        <v>295</v>
      </c>
      <c r="D2362" s="6" t="s">
        <v>5857</v>
      </c>
      <c r="E2362" s="6" t="s">
        <v>1856</v>
      </c>
      <c r="F2362" s="6" t="s">
        <v>277</v>
      </c>
      <c r="G2362" s="7">
        <v>0.05</v>
      </c>
      <c r="H2362" s="6" t="s">
        <v>1805</v>
      </c>
      <c r="I2362" s="6" t="s">
        <v>20</v>
      </c>
      <c r="J2362" s="6">
        <v>1996.0</v>
      </c>
      <c r="K2362" s="10">
        <v>46055.0</v>
      </c>
      <c r="L2362" s="6">
        <v>1.0</v>
      </c>
      <c r="M2362" s="8">
        <f t="shared" si="5"/>
        <v>0.05</v>
      </c>
      <c r="P2362" s="9"/>
    </row>
    <row r="2363">
      <c r="A2363" s="6" t="s">
        <v>5858</v>
      </c>
      <c r="B2363" s="6" t="s">
        <v>3022</v>
      </c>
      <c r="C2363" s="6" t="s">
        <v>1949</v>
      </c>
      <c r="D2363" s="6" t="s">
        <v>5859</v>
      </c>
      <c r="E2363" s="6" t="s">
        <v>1853</v>
      </c>
      <c r="F2363" s="6" t="s">
        <v>277</v>
      </c>
      <c r="G2363" s="7">
        <v>0.8</v>
      </c>
      <c r="H2363" s="6" t="s">
        <v>1774</v>
      </c>
      <c r="I2363" s="6" t="s">
        <v>20</v>
      </c>
      <c r="J2363" s="6">
        <v>1995.0</v>
      </c>
      <c r="K2363" s="10">
        <v>46025.0</v>
      </c>
      <c r="L2363" s="6">
        <v>1.0</v>
      </c>
      <c r="M2363" s="8">
        <f t="shared" si="5"/>
        <v>0.8</v>
      </c>
      <c r="P2363" s="9"/>
    </row>
    <row r="2364">
      <c r="A2364" s="6" t="s">
        <v>5860</v>
      </c>
      <c r="B2364" s="6" t="s">
        <v>5355</v>
      </c>
      <c r="C2364" s="6" t="s">
        <v>295</v>
      </c>
      <c r="D2364" s="6" t="s">
        <v>5861</v>
      </c>
      <c r="E2364" s="6" t="s">
        <v>629</v>
      </c>
      <c r="F2364" s="6" t="s">
        <v>277</v>
      </c>
      <c r="G2364" s="7">
        <v>0.08</v>
      </c>
      <c r="H2364" s="6" t="s">
        <v>5765</v>
      </c>
      <c r="I2364" s="6" t="s">
        <v>20</v>
      </c>
      <c r="J2364" s="6">
        <v>1995.0</v>
      </c>
      <c r="K2364" s="10">
        <v>46023.0</v>
      </c>
      <c r="L2364" s="6">
        <v>3.0</v>
      </c>
      <c r="M2364" s="8">
        <f t="shared" si="5"/>
        <v>0.24</v>
      </c>
      <c r="P2364" s="9"/>
    </row>
    <row r="2365">
      <c r="A2365" s="6" t="s">
        <v>5862</v>
      </c>
      <c r="B2365" s="6" t="s">
        <v>2822</v>
      </c>
      <c r="C2365" s="6" t="s">
        <v>1949</v>
      </c>
      <c r="D2365" s="6" t="s">
        <v>5863</v>
      </c>
      <c r="E2365" s="6" t="s">
        <v>629</v>
      </c>
      <c r="F2365" s="6" t="s">
        <v>277</v>
      </c>
      <c r="G2365" s="7">
        <v>0.4</v>
      </c>
      <c r="H2365" s="6" t="s">
        <v>1780</v>
      </c>
      <c r="I2365" s="6" t="s">
        <v>20</v>
      </c>
      <c r="J2365" s="6">
        <v>1994.0</v>
      </c>
      <c r="L2365" s="6">
        <v>1.0</v>
      </c>
      <c r="M2365" s="8">
        <f t="shared" si="5"/>
        <v>0.4</v>
      </c>
      <c r="P2365" s="9"/>
    </row>
    <row r="2366">
      <c r="A2366" s="6" t="s">
        <v>5864</v>
      </c>
      <c r="B2366" s="6" t="s">
        <v>2822</v>
      </c>
      <c r="C2366" s="6" t="s">
        <v>1949</v>
      </c>
      <c r="D2366" s="6" t="s">
        <v>5865</v>
      </c>
      <c r="E2366" s="6" t="s">
        <v>1758</v>
      </c>
      <c r="F2366" s="6" t="s">
        <v>277</v>
      </c>
      <c r="G2366" s="7">
        <v>0.36</v>
      </c>
      <c r="H2366" s="6" t="s">
        <v>5757</v>
      </c>
      <c r="I2366" s="6" t="s">
        <v>20</v>
      </c>
      <c r="J2366" s="6">
        <v>1995.0</v>
      </c>
      <c r="L2366" s="6">
        <v>2.0</v>
      </c>
      <c r="M2366" s="8">
        <f t="shared" si="5"/>
        <v>0.72</v>
      </c>
      <c r="P2366" s="9"/>
    </row>
    <row r="2367">
      <c r="A2367" s="6" t="s">
        <v>5866</v>
      </c>
      <c r="B2367" s="6" t="s">
        <v>378</v>
      </c>
      <c r="C2367" s="6" t="s">
        <v>295</v>
      </c>
      <c r="D2367" s="6" t="s">
        <v>5867</v>
      </c>
      <c r="E2367" s="6" t="s">
        <v>1856</v>
      </c>
      <c r="F2367" s="6" t="s">
        <v>277</v>
      </c>
      <c r="G2367" s="7">
        <v>0.05</v>
      </c>
      <c r="H2367" s="6" t="s">
        <v>1774</v>
      </c>
      <c r="I2367" s="6" t="s">
        <v>20</v>
      </c>
      <c r="J2367" s="6">
        <v>1995.0</v>
      </c>
      <c r="L2367" s="6">
        <v>3.0</v>
      </c>
      <c r="M2367" s="8">
        <f t="shared" si="5"/>
        <v>0.15</v>
      </c>
      <c r="P2367" s="9"/>
    </row>
    <row r="2368">
      <c r="A2368" s="6" t="s">
        <v>5868</v>
      </c>
      <c r="B2368" s="6" t="s">
        <v>5355</v>
      </c>
      <c r="C2368" s="6" t="s">
        <v>295</v>
      </c>
      <c r="D2368" s="6" t="s">
        <v>5869</v>
      </c>
      <c r="E2368" s="6" t="s">
        <v>1856</v>
      </c>
      <c r="F2368" s="6" t="s">
        <v>277</v>
      </c>
      <c r="G2368" s="7">
        <v>0.22</v>
      </c>
      <c r="H2368" s="6" t="s">
        <v>5757</v>
      </c>
      <c r="I2368" s="6" t="s">
        <v>20</v>
      </c>
      <c r="J2368" s="6">
        <v>1995.0</v>
      </c>
      <c r="K2368" s="6" t="s">
        <v>345</v>
      </c>
      <c r="L2368" s="6">
        <v>2.0</v>
      </c>
      <c r="M2368" s="8">
        <f t="shared" si="5"/>
        <v>0.44</v>
      </c>
      <c r="P2368" s="9"/>
    </row>
    <row r="2369">
      <c r="A2369" s="6" t="s">
        <v>5868</v>
      </c>
      <c r="B2369" s="6" t="s">
        <v>5355</v>
      </c>
      <c r="C2369" s="6" t="s">
        <v>295</v>
      </c>
      <c r="D2369" s="6" t="s">
        <v>5869</v>
      </c>
      <c r="E2369" s="6" t="s">
        <v>1856</v>
      </c>
      <c r="F2369" s="6" t="s">
        <v>277</v>
      </c>
      <c r="G2369" s="7">
        <v>0.08</v>
      </c>
      <c r="H2369" s="6" t="s">
        <v>5758</v>
      </c>
      <c r="I2369" s="6" t="s">
        <v>20</v>
      </c>
      <c r="J2369" s="6">
        <v>1995.0</v>
      </c>
      <c r="K2369" s="6" t="s">
        <v>345</v>
      </c>
      <c r="L2369" s="6">
        <v>1.0</v>
      </c>
      <c r="M2369" s="8">
        <f t="shared" si="5"/>
        <v>0.08</v>
      </c>
      <c r="P2369" s="9"/>
    </row>
    <row r="2370">
      <c r="A2370" s="6" t="s">
        <v>5870</v>
      </c>
      <c r="B2370" s="6" t="s">
        <v>5355</v>
      </c>
      <c r="C2370" s="6" t="s">
        <v>295</v>
      </c>
      <c r="D2370" s="6" t="s">
        <v>5871</v>
      </c>
      <c r="E2370" s="6" t="s">
        <v>1856</v>
      </c>
      <c r="F2370" s="6" t="s">
        <v>277</v>
      </c>
      <c r="G2370" s="7">
        <v>0.4</v>
      </c>
      <c r="H2370" s="6" t="s">
        <v>1774</v>
      </c>
      <c r="I2370" s="6" t="s">
        <v>20</v>
      </c>
      <c r="J2370" s="6">
        <v>1995.0</v>
      </c>
      <c r="K2370" s="6" t="s">
        <v>717</v>
      </c>
      <c r="L2370" s="6">
        <v>1.0</v>
      </c>
      <c r="M2370" s="8">
        <f t="shared" si="5"/>
        <v>0.4</v>
      </c>
      <c r="P2370" s="9"/>
    </row>
    <row r="2371">
      <c r="A2371" s="6" t="s">
        <v>5872</v>
      </c>
      <c r="B2371" s="6" t="s">
        <v>5873</v>
      </c>
      <c r="C2371" s="6" t="s">
        <v>1897</v>
      </c>
      <c r="D2371" s="6" t="s">
        <v>5874</v>
      </c>
      <c r="E2371" s="6" t="s">
        <v>1758</v>
      </c>
      <c r="F2371" s="6" t="s">
        <v>277</v>
      </c>
      <c r="G2371" s="7">
        <v>0.15</v>
      </c>
      <c r="H2371" s="6" t="s">
        <v>5757</v>
      </c>
      <c r="I2371" s="6" t="s">
        <v>20</v>
      </c>
      <c r="J2371" s="6">
        <v>1995.0</v>
      </c>
      <c r="K2371" s="6" t="s">
        <v>750</v>
      </c>
      <c r="L2371" s="6">
        <v>1.0</v>
      </c>
      <c r="M2371" s="8">
        <f t="shared" si="5"/>
        <v>0.15</v>
      </c>
      <c r="P2371" s="9"/>
    </row>
    <row r="2372">
      <c r="A2372" s="6" t="s">
        <v>5872</v>
      </c>
      <c r="B2372" s="6" t="s">
        <v>5873</v>
      </c>
      <c r="C2372" s="6" t="s">
        <v>1897</v>
      </c>
      <c r="D2372" s="6" t="s">
        <v>5874</v>
      </c>
      <c r="E2372" s="6" t="s">
        <v>1758</v>
      </c>
      <c r="F2372" s="6" t="s">
        <v>277</v>
      </c>
      <c r="G2372" s="7">
        <v>0.1</v>
      </c>
      <c r="H2372" s="6" t="s">
        <v>5758</v>
      </c>
      <c r="I2372" s="6" t="s">
        <v>20</v>
      </c>
      <c r="J2372" s="6">
        <v>1995.0</v>
      </c>
      <c r="K2372" s="6" t="s">
        <v>750</v>
      </c>
      <c r="L2372" s="6">
        <v>2.0</v>
      </c>
      <c r="M2372" s="8">
        <f t="shared" si="5"/>
        <v>0.2</v>
      </c>
      <c r="P2372" s="9"/>
    </row>
    <row r="2373">
      <c r="A2373" s="6" t="s">
        <v>5875</v>
      </c>
      <c r="B2373" s="6" t="s">
        <v>2822</v>
      </c>
      <c r="C2373" s="6" t="s">
        <v>295</v>
      </c>
      <c r="D2373" s="6" t="s">
        <v>5876</v>
      </c>
      <c r="E2373" s="6" t="s">
        <v>2967</v>
      </c>
      <c r="F2373" s="6" t="s">
        <v>277</v>
      </c>
      <c r="G2373" s="7">
        <v>0.21</v>
      </c>
      <c r="H2373" s="6" t="s">
        <v>5757</v>
      </c>
      <c r="I2373" s="6" t="s">
        <v>20</v>
      </c>
      <c r="J2373" s="6">
        <v>1995.0</v>
      </c>
      <c r="L2373" s="6">
        <v>3.0</v>
      </c>
      <c r="M2373" s="8">
        <f t="shared" si="5"/>
        <v>0.63</v>
      </c>
      <c r="P2373" s="9"/>
    </row>
    <row r="2374">
      <c r="A2374" s="6" t="s">
        <v>5875</v>
      </c>
      <c r="B2374" s="6" t="s">
        <v>2822</v>
      </c>
      <c r="C2374" s="6" t="s">
        <v>295</v>
      </c>
      <c r="D2374" s="6" t="s">
        <v>5876</v>
      </c>
      <c r="E2374" s="6" t="s">
        <v>2967</v>
      </c>
      <c r="F2374" s="6" t="s">
        <v>277</v>
      </c>
      <c r="G2374" s="7">
        <v>0.09</v>
      </c>
      <c r="H2374" s="6" t="s">
        <v>5758</v>
      </c>
      <c r="I2374" s="6" t="s">
        <v>20</v>
      </c>
      <c r="J2374" s="6">
        <v>1995.0</v>
      </c>
      <c r="L2374" s="6">
        <v>2.0</v>
      </c>
      <c r="M2374" s="8">
        <f t="shared" si="5"/>
        <v>0.18</v>
      </c>
      <c r="P2374" s="9"/>
    </row>
    <row r="2375">
      <c r="A2375" s="6" t="s">
        <v>5877</v>
      </c>
      <c r="B2375" s="6" t="s">
        <v>2502</v>
      </c>
      <c r="C2375" s="6" t="s">
        <v>295</v>
      </c>
      <c r="E2375" s="6" t="s">
        <v>1853</v>
      </c>
      <c r="F2375" s="6" t="s">
        <v>277</v>
      </c>
      <c r="G2375" s="7">
        <v>0.09</v>
      </c>
      <c r="H2375" s="6" t="s">
        <v>5878</v>
      </c>
      <c r="I2375" s="6" t="s">
        <v>20</v>
      </c>
      <c r="J2375" s="6">
        <v>2003.0</v>
      </c>
      <c r="K2375" s="10">
        <v>46057.0</v>
      </c>
      <c r="L2375" s="6">
        <v>1.0</v>
      </c>
      <c r="M2375" s="8">
        <f t="shared" si="5"/>
        <v>0.09</v>
      </c>
      <c r="P2375" s="9"/>
    </row>
    <row r="2376">
      <c r="A2376" s="6" t="s">
        <v>5879</v>
      </c>
      <c r="B2376" s="6" t="s">
        <v>378</v>
      </c>
      <c r="C2376" s="6" t="s">
        <v>295</v>
      </c>
      <c r="D2376" s="6" t="s">
        <v>5880</v>
      </c>
      <c r="E2376" s="6" t="s">
        <v>1327</v>
      </c>
      <c r="F2376" s="6" t="s">
        <v>277</v>
      </c>
      <c r="G2376" s="7">
        <v>0.09</v>
      </c>
      <c r="H2376" s="6" t="s">
        <v>1774</v>
      </c>
      <c r="I2376" s="6" t="s">
        <v>20</v>
      </c>
      <c r="J2376" s="6">
        <v>1995.0</v>
      </c>
      <c r="L2376" s="6">
        <v>1.0</v>
      </c>
      <c r="M2376" s="8">
        <f t="shared" si="5"/>
        <v>0.09</v>
      </c>
      <c r="P2376" s="9"/>
    </row>
    <row r="2377">
      <c r="A2377" s="6" t="s">
        <v>5881</v>
      </c>
      <c r="B2377" s="6" t="s">
        <v>5882</v>
      </c>
      <c r="C2377" s="6" t="s">
        <v>1897</v>
      </c>
      <c r="D2377" s="6" t="s">
        <v>5883</v>
      </c>
      <c r="E2377" s="6" t="s">
        <v>1758</v>
      </c>
      <c r="F2377" s="6" t="s">
        <v>277</v>
      </c>
      <c r="G2377" s="7">
        <v>0.8</v>
      </c>
      <c r="H2377" s="6" t="s">
        <v>1771</v>
      </c>
      <c r="I2377" s="6" t="s">
        <v>20</v>
      </c>
      <c r="J2377" s="6">
        <v>1995.0</v>
      </c>
      <c r="K2377" s="10">
        <v>46024.0</v>
      </c>
      <c r="L2377" s="6">
        <v>1.0</v>
      </c>
      <c r="M2377" s="8">
        <f t="shared" si="5"/>
        <v>0.8</v>
      </c>
      <c r="P2377" s="9"/>
    </row>
    <row r="2378">
      <c r="A2378" s="6" t="s">
        <v>5884</v>
      </c>
      <c r="B2378" s="6" t="s">
        <v>5885</v>
      </c>
      <c r="C2378" s="6" t="s">
        <v>1949</v>
      </c>
      <c r="D2378" s="6" t="s">
        <v>5886</v>
      </c>
      <c r="E2378" s="6" t="s">
        <v>5789</v>
      </c>
      <c r="F2378" s="6" t="s">
        <v>277</v>
      </c>
      <c r="G2378" s="7">
        <v>0.3</v>
      </c>
      <c r="H2378" s="6" t="s">
        <v>5758</v>
      </c>
      <c r="I2378" s="6" t="s">
        <v>20</v>
      </c>
      <c r="J2378" s="6">
        <v>1995.0</v>
      </c>
      <c r="K2378" s="10">
        <v>46082.0</v>
      </c>
      <c r="L2378" s="6">
        <v>1.0</v>
      </c>
      <c r="M2378" s="8">
        <f t="shared" si="5"/>
        <v>0.3</v>
      </c>
      <c r="P2378" s="9"/>
    </row>
    <row r="2379">
      <c r="A2379" s="6" t="s">
        <v>5887</v>
      </c>
      <c r="B2379" s="6" t="s">
        <v>5888</v>
      </c>
      <c r="C2379" s="6" t="s">
        <v>295</v>
      </c>
      <c r="D2379" s="6" t="s">
        <v>5889</v>
      </c>
      <c r="E2379" s="6" t="s">
        <v>2287</v>
      </c>
      <c r="F2379" s="6" t="s">
        <v>277</v>
      </c>
      <c r="G2379" s="7">
        <v>0.2</v>
      </c>
      <c r="H2379" s="6" t="s">
        <v>2089</v>
      </c>
      <c r="I2379" s="6" t="s">
        <v>20</v>
      </c>
      <c r="J2379" s="6">
        <v>1995.0</v>
      </c>
      <c r="K2379" s="10">
        <v>46114.0</v>
      </c>
      <c r="L2379" s="6">
        <v>1.0</v>
      </c>
      <c r="M2379" s="8">
        <f t="shared" si="5"/>
        <v>0.2</v>
      </c>
      <c r="P2379" s="9"/>
    </row>
    <row r="2380">
      <c r="A2380" s="6" t="s">
        <v>5890</v>
      </c>
      <c r="B2380" s="6" t="s">
        <v>2014</v>
      </c>
      <c r="C2380" s="6" t="s">
        <v>295</v>
      </c>
      <c r="D2380" s="6" t="s">
        <v>5891</v>
      </c>
      <c r="E2380" s="6" t="s">
        <v>629</v>
      </c>
      <c r="F2380" s="6" t="s">
        <v>277</v>
      </c>
      <c r="G2380" s="7">
        <v>0.06</v>
      </c>
      <c r="H2380" s="6" t="s">
        <v>5757</v>
      </c>
      <c r="I2380" s="6" t="s">
        <v>20</v>
      </c>
      <c r="J2380" s="6">
        <v>1995.0</v>
      </c>
      <c r="L2380" s="6">
        <v>3.0</v>
      </c>
      <c r="M2380" s="8">
        <f t="shared" si="5"/>
        <v>0.18</v>
      </c>
      <c r="P2380" s="9"/>
    </row>
    <row r="2381">
      <c r="A2381" s="6" t="s">
        <v>5890</v>
      </c>
      <c r="B2381" s="6" t="s">
        <v>2014</v>
      </c>
      <c r="C2381" s="6" t="s">
        <v>295</v>
      </c>
      <c r="D2381" s="6" t="s">
        <v>5891</v>
      </c>
      <c r="E2381" s="6" t="s">
        <v>629</v>
      </c>
      <c r="F2381" s="6" t="s">
        <v>277</v>
      </c>
      <c r="G2381" s="7">
        <v>0.04</v>
      </c>
      <c r="H2381" s="6" t="s">
        <v>5758</v>
      </c>
      <c r="I2381" s="6" t="s">
        <v>20</v>
      </c>
      <c r="J2381" s="6">
        <v>1995.0</v>
      </c>
      <c r="L2381" s="6">
        <v>4.0</v>
      </c>
      <c r="M2381" s="8">
        <f t="shared" si="5"/>
        <v>0.16</v>
      </c>
      <c r="P2381" s="9"/>
    </row>
    <row r="2382">
      <c r="A2382" s="6" t="s">
        <v>5890</v>
      </c>
      <c r="B2382" s="6" t="s">
        <v>2014</v>
      </c>
      <c r="C2382" s="6" t="s">
        <v>295</v>
      </c>
      <c r="D2382" s="6" t="s">
        <v>5891</v>
      </c>
      <c r="E2382" s="6" t="s">
        <v>629</v>
      </c>
      <c r="F2382" s="6" t="s">
        <v>277</v>
      </c>
      <c r="G2382" s="7">
        <v>0.09</v>
      </c>
      <c r="H2382" s="6" t="s">
        <v>5754</v>
      </c>
      <c r="I2382" s="6" t="s">
        <v>20</v>
      </c>
      <c r="J2382" s="6">
        <v>1994.0</v>
      </c>
      <c r="L2382" s="6">
        <v>1.0</v>
      </c>
      <c r="M2382" s="8">
        <f t="shared" si="5"/>
        <v>0.09</v>
      </c>
      <c r="P2382" s="9"/>
    </row>
    <row r="2383">
      <c r="A2383" s="6" t="s">
        <v>5892</v>
      </c>
      <c r="B2383" s="6" t="s">
        <v>3287</v>
      </c>
      <c r="C2383" s="6" t="s">
        <v>295</v>
      </c>
      <c r="D2383" s="6" t="s">
        <v>5893</v>
      </c>
      <c r="E2383" s="6" t="s">
        <v>2839</v>
      </c>
      <c r="F2383" s="6" t="s">
        <v>277</v>
      </c>
      <c r="G2383" s="7">
        <v>0.24</v>
      </c>
      <c r="H2383" s="6" t="s">
        <v>1780</v>
      </c>
      <c r="I2383" s="6" t="s">
        <v>20</v>
      </c>
      <c r="J2383" s="6">
        <v>1994.0</v>
      </c>
      <c r="K2383" s="10">
        <v>46055.0</v>
      </c>
      <c r="L2383" s="6">
        <v>1.0</v>
      </c>
      <c r="M2383" s="8">
        <f t="shared" si="5"/>
        <v>0.24</v>
      </c>
      <c r="P2383" s="9"/>
    </row>
    <row r="2384">
      <c r="A2384" s="6" t="s">
        <v>5894</v>
      </c>
      <c r="B2384" s="6" t="s">
        <v>5895</v>
      </c>
      <c r="C2384" s="6" t="s">
        <v>295</v>
      </c>
      <c r="D2384" s="6" t="s">
        <v>5896</v>
      </c>
      <c r="E2384" s="6" t="s">
        <v>1856</v>
      </c>
      <c r="F2384" s="6" t="s">
        <v>277</v>
      </c>
      <c r="G2384" s="7">
        <v>0.05</v>
      </c>
      <c r="H2384" s="6" t="s">
        <v>1901</v>
      </c>
      <c r="I2384" s="6" t="s">
        <v>20</v>
      </c>
      <c r="J2384" s="6">
        <v>1995.0</v>
      </c>
      <c r="K2384" s="10">
        <v>46025.0</v>
      </c>
      <c r="L2384" s="6">
        <v>1.0</v>
      </c>
      <c r="M2384" s="8">
        <f t="shared" si="5"/>
        <v>0.05</v>
      </c>
      <c r="P2384" s="9"/>
    </row>
    <row r="2385">
      <c r="A2385" s="6" t="s">
        <v>5897</v>
      </c>
      <c r="B2385" s="6" t="s">
        <v>3287</v>
      </c>
      <c r="C2385" s="6" t="s">
        <v>295</v>
      </c>
      <c r="D2385" s="6" t="s">
        <v>5898</v>
      </c>
      <c r="E2385" s="6" t="s">
        <v>2967</v>
      </c>
      <c r="F2385" s="6" t="s">
        <v>277</v>
      </c>
      <c r="G2385" s="7">
        <v>0.5</v>
      </c>
      <c r="H2385" s="6" t="s">
        <v>1780</v>
      </c>
      <c r="I2385" s="6" t="s">
        <v>20</v>
      </c>
      <c r="J2385" s="6">
        <v>1994.0</v>
      </c>
      <c r="K2385" s="10">
        <v>46054.0</v>
      </c>
      <c r="L2385" s="6">
        <v>1.0</v>
      </c>
      <c r="M2385" s="8">
        <f t="shared" si="5"/>
        <v>0.5</v>
      </c>
      <c r="P2385" s="9"/>
    </row>
    <row r="2386">
      <c r="A2386" s="6" t="s">
        <v>5897</v>
      </c>
      <c r="B2386" s="6" t="s">
        <v>3287</v>
      </c>
      <c r="C2386" s="6" t="s">
        <v>295</v>
      </c>
      <c r="D2386" s="6" t="s">
        <v>5898</v>
      </c>
      <c r="E2386" s="6" t="s">
        <v>2967</v>
      </c>
      <c r="F2386" s="6" t="s">
        <v>277</v>
      </c>
      <c r="G2386" s="7">
        <v>0.8</v>
      </c>
      <c r="H2386" s="6" t="s">
        <v>1780</v>
      </c>
      <c r="I2386" s="6" t="s">
        <v>20</v>
      </c>
      <c r="J2386" s="6">
        <v>1994.0</v>
      </c>
      <c r="K2386" s="10">
        <v>46054.0</v>
      </c>
      <c r="L2386" s="6">
        <v>1.0</v>
      </c>
      <c r="M2386" s="8">
        <f t="shared" si="5"/>
        <v>0.8</v>
      </c>
      <c r="P2386" s="9"/>
    </row>
    <row r="2387">
      <c r="A2387" s="6" t="s">
        <v>5899</v>
      </c>
      <c r="B2387" s="6" t="s">
        <v>610</v>
      </c>
      <c r="C2387" s="6" t="s">
        <v>295</v>
      </c>
      <c r="D2387" s="6" t="s">
        <v>5900</v>
      </c>
      <c r="E2387" s="6" t="s">
        <v>1856</v>
      </c>
      <c r="F2387" s="6" t="s">
        <v>277</v>
      </c>
      <c r="G2387" s="7">
        <v>0.09</v>
      </c>
      <c r="H2387" s="6" t="s">
        <v>1805</v>
      </c>
      <c r="I2387" s="6" t="s">
        <v>20</v>
      </c>
      <c r="J2387" s="6">
        <v>1996.0</v>
      </c>
      <c r="L2387" s="6">
        <v>1.0</v>
      </c>
      <c r="M2387" s="8">
        <f t="shared" si="5"/>
        <v>0.09</v>
      </c>
      <c r="P2387" s="9"/>
    </row>
    <row r="2388">
      <c r="A2388" s="6" t="s">
        <v>5901</v>
      </c>
      <c r="B2388" s="6" t="s">
        <v>5873</v>
      </c>
      <c r="C2388" s="6" t="s">
        <v>295</v>
      </c>
      <c r="D2388" s="6" t="s">
        <v>5902</v>
      </c>
      <c r="E2388" s="6" t="s">
        <v>629</v>
      </c>
      <c r="F2388" s="6" t="s">
        <v>277</v>
      </c>
      <c r="G2388" s="7">
        <v>0.1</v>
      </c>
      <c r="H2388" s="6" t="s">
        <v>5903</v>
      </c>
      <c r="I2388" s="6" t="s">
        <v>20</v>
      </c>
      <c r="J2388" s="6">
        <v>1998.0</v>
      </c>
      <c r="K2388" s="10">
        <v>46023.0</v>
      </c>
      <c r="L2388" s="6">
        <v>1.0</v>
      </c>
      <c r="M2388" s="8">
        <f t="shared" si="5"/>
        <v>0.1</v>
      </c>
      <c r="P2388" s="9"/>
    </row>
    <row r="2389">
      <c r="A2389" s="6" t="s">
        <v>5904</v>
      </c>
      <c r="B2389" s="6" t="s">
        <v>2058</v>
      </c>
      <c r="C2389" s="6" t="s">
        <v>1949</v>
      </c>
      <c r="D2389" s="6" t="s">
        <v>5905</v>
      </c>
      <c r="E2389" s="6" t="s">
        <v>1853</v>
      </c>
      <c r="F2389" s="6" t="s">
        <v>277</v>
      </c>
      <c r="G2389" s="7">
        <v>0.48</v>
      </c>
      <c r="H2389" s="6" t="s">
        <v>5906</v>
      </c>
      <c r="I2389" s="6" t="s">
        <v>31</v>
      </c>
      <c r="J2389" s="6">
        <v>2003.0</v>
      </c>
      <c r="L2389" s="6">
        <v>1.0</v>
      </c>
      <c r="M2389" s="8">
        <f t="shared" si="5"/>
        <v>0.48</v>
      </c>
      <c r="P2389" s="9"/>
    </row>
    <row r="2390">
      <c r="A2390" s="6" t="s">
        <v>5907</v>
      </c>
      <c r="B2390" s="6" t="s">
        <v>385</v>
      </c>
      <c r="C2390" s="6" t="s">
        <v>1949</v>
      </c>
      <c r="D2390" s="6" t="s">
        <v>5908</v>
      </c>
      <c r="E2390" s="6" t="s">
        <v>5909</v>
      </c>
      <c r="F2390" s="6" t="s">
        <v>277</v>
      </c>
      <c r="G2390" s="7">
        <v>0.2</v>
      </c>
      <c r="H2390" s="6" t="s">
        <v>1774</v>
      </c>
      <c r="I2390" s="6" t="s">
        <v>20</v>
      </c>
      <c r="J2390" s="6">
        <v>1995.0</v>
      </c>
      <c r="L2390" s="6">
        <v>1.0</v>
      </c>
      <c r="M2390" s="8">
        <f t="shared" si="5"/>
        <v>0.2</v>
      </c>
      <c r="P2390" s="9"/>
    </row>
    <row r="2391">
      <c r="A2391" s="6" t="s">
        <v>5910</v>
      </c>
      <c r="B2391" s="6" t="s">
        <v>5812</v>
      </c>
      <c r="C2391" s="6" t="s">
        <v>295</v>
      </c>
      <c r="D2391" s="6" t="s">
        <v>5797</v>
      </c>
      <c r="E2391" s="6" t="s">
        <v>1853</v>
      </c>
      <c r="F2391" s="6" t="s">
        <v>277</v>
      </c>
      <c r="G2391" s="7">
        <v>0.05</v>
      </c>
      <c r="H2391" s="6" t="s">
        <v>1774</v>
      </c>
      <c r="I2391" s="6" t="s">
        <v>20</v>
      </c>
      <c r="J2391" s="6">
        <v>1995.0</v>
      </c>
      <c r="K2391" s="10">
        <v>46084.0</v>
      </c>
      <c r="L2391" s="6">
        <v>1.0</v>
      </c>
      <c r="M2391" s="8">
        <f t="shared" si="5"/>
        <v>0.05</v>
      </c>
      <c r="P2391" s="9"/>
    </row>
    <row r="2392">
      <c r="A2392" s="6" t="s">
        <v>5911</v>
      </c>
      <c r="B2392" s="6" t="s">
        <v>610</v>
      </c>
      <c r="C2392" s="6" t="s">
        <v>1897</v>
      </c>
      <c r="D2392" s="6" t="s">
        <v>5912</v>
      </c>
      <c r="E2392" s="6" t="s">
        <v>629</v>
      </c>
      <c r="F2392" s="6" t="s">
        <v>277</v>
      </c>
      <c r="G2392" s="7">
        <v>2.66</v>
      </c>
      <c r="H2392" s="6" t="s">
        <v>1774</v>
      </c>
      <c r="I2392" s="6" t="s">
        <v>20</v>
      </c>
      <c r="J2392" s="6">
        <v>1995.0</v>
      </c>
      <c r="L2392" s="6">
        <v>1.0</v>
      </c>
      <c r="M2392" s="8">
        <f t="shared" si="5"/>
        <v>2.66</v>
      </c>
      <c r="P2392" s="9"/>
    </row>
    <row r="2393">
      <c r="A2393" s="6" t="s">
        <v>5913</v>
      </c>
      <c r="B2393" s="6" t="s">
        <v>610</v>
      </c>
      <c r="C2393" s="6" t="s">
        <v>1897</v>
      </c>
      <c r="D2393" s="6" t="s">
        <v>5914</v>
      </c>
      <c r="E2393" s="6" t="s">
        <v>629</v>
      </c>
      <c r="F2393" s="6" t="s">
        <v>277</v>
      </c>
      <c r="G2393" s="7">
        <v>0.5</v>
      </c>
      <c r="H2393" s="6" t="s">
        <v>1771</v>
      </c>
      <c r="I2393" s="6" t="s">
        <v>20</v>
      </c>
      <c r="J2393" s="6">
        <v>1995.0</v>
      </c>
      <c r="L2393" s="6">
        <v>1.0</v>
      </c>
      <c r="M2393" s="8">
        <f t="shared" si="5"/>
        <v>0.5</v>
      </c>
      <c r="P2393" s="9"/>
    </row>
    <row r="2394">
      <c r="A2394" s="6" t="s">
        <v>5915</v>
      </c>
      <c r="B2394" s="6" t="s">
        <v>610</v>
      </c>
      <c r="C2394" s="6" t="s">
        <v>295</v>
      </c>
      <c r="D2394" s="6" t="s">
        <v>5916</v>
      </c>
      <c r="E2394" s="6" t="s">
        <v>1856</v>
      </c>
      <c r="F2394" s="6" t="s">
        <v>277</v>
      </c>
      <c r="G2394" s="7">
        <v>0.05</v>
      </c>
      <c r="H2394" s="6" t="s">
        <v>2024</v>
      </c>
      <c r="I2394" s="6" t="s">
        <v>20</v>
      </c>
      <c r="J2394" s="6">
        <v>1996.0</v>
      </c>
      <c r="L2394" s="6">
        <v>1.0</v>
      </c>
      <c r="M2394" s="8">
        <f t="shared" si="5"/>
        <v>0.05</v>
      </c>
      <c r="P2394" s="9"/>
    </row>
    <row r="2395">
      <c r="A2395" s="6" t="s">
        <v>5917</v>
      </c>
      <c r="B2395" s="6" t="s">
        <v>610</v>
      </c>
      <c r="C2395" s="6" t="s">
        <v>1897</v>
      </c>
      <c r="D2395" s="6" t="s">
        <v>5918</v>
      </c>
      <c r="E2395" s="6" t="s">
        <v>2287</v>
      </c>
      <c r="F2395" s="6" t="s">
        <v>277</v>
      </c>
      <c r="G2395" s="7">
        <v>0.34</v>
      </c>
      <c r="H2395" s="6" t="s">
        <v>2089</v>
      </c>
      <c r="I2395" s="6" t="s">
        <v>20</v>
      </c>
      <c r="J2395" s="6">
        <v>1995.0</v>
      </c>
      <c r="L2395" s="6">
        <v>1.0</v>
      </c>
      <c r="M2395" s="8">
        <f t="shared" si="5"/>
        <v>0.34</v>
      </c>
      <c r="P2395" s="9"/>
    </row>
    <row r="2396">
      <c r="A2396" s="6" t="s">
        <v>5919</v>
      </c>
      <c r="B2396" s="6" t="s">
        <v>5920</v>
      </c>
      <c r="C2396" s="6" t="s">
        <v>295</v>
      </c>
      <c r="D2396" s="6" t="s">
        <v>5921</v>
      </c>
      <c r="E2396" s="6" t="s">
        <v>1853</v>
      </c>
      <c r="F2396" s="6" t="s">
        <v>277</v>
      </c>
      <c r="G2396" s="7">
        <v>0.05</v>
      </c>
      <c r="H2396" s="6" t="s">
        <v>1805</v>
      </c>
      <c r="I2396" s="6" t="s">
        <v>20</v>
      </c>
      <c r="J2396" s="6">
        <v>1996.0</v>
      </c>
      <c r="K2396" s="10">
        <v>46082.0</v>
      </c>
      <c r="L2396" s="6">
        <v>1.0</v>
      </c>
      <c r="M2396" s="8">
        <f t="shared" si="5"/>
        <v>0.05</v>
      </c>
      <c r="P2396" s="9"/>
    </row>
    <row r="2397">
      <c r="A2397" s="6" t="s">
        <v>5922</v>
      </c>
      <c r="B2397" s="6" t="s">
        <v>3010</v>
      </c>
      <c r="C2397" s="6" t="s">
        <v>295</v>
      </c>
      <c r="D2397" s="6" t="s">
        <v>5923</v>
      </c>
      <c r="E2397" s="6" t="s">
        <v>629</v>
      </c>
      <c r="F2397" s="6" t="s">
        <v>277</v>
      </c>
      <c r="G2397" s="7">
        <v>0.1</v>
      </c>
      <c r="H2397" s="6" t="s">
        <v>1774</v>
      </c>
      <c r="I2397" s="6" t="s">
        <v>20</v>
      </c>
      <c r="J2397" s="6">
        <v>1995.0</v>
      </c>
      <c r="K2397" s="10">
        <v>46025.0</v>
      </c>
      <c r="L2397" s="6">
        <v>1.0</v>
      </c>
      <c r="M2397" s="8">
        <f t="shared" si="5"/>
        <v>0.1</v>
      </c>
      <c r="P2397" s="9"/>
    </row>
    <row r="2398">
      <c r="A2398" s="6" t="s">
        <v>5924</v>
      </c>
      <c r="B2398" s="6" t="s">
        <v>2502</v>
      </c>
      <c r="C2398" s="6" t="s">
        <v>295</v>
      </c>
      <c r="D2398" s="6" t="s">
        <v>5925</v>
      </c>
      <c r="E2398" s="6" t="s">
        <v>629</v>
      </c>
      <c r="F2398" s="6" t="s">
        <v>277</v>
      </c>
      <c r="G2398" s="7">
        <v>0.09</v>
      </c>
      <c r="H2398" s="6" t="s">
        <v>5906</v>
      </c>
      <c r="I2398" s="6" t="s">
        <v>31</v>
      </c>
      <c r="J2398" s="6">
        <v>2003.0</v>
      </c>
      <c r="K2398" s="10">
        <v>46023.0</v>
      </c>
      <c r="L2398" s="6">
        <v>1.0</v>
      </c>
      <c r="M2398" s="8">
        <f t="shared" si="5"/>
        <v>0.09</v>
      </c>
      <c r="P2398" s="9"/>
    </row>
    <row r="2399">
      <c r="A2399" s="6" t="s">
        <v>5926</v>
      </c>
      <c r="B2399" s="6" t="s">
        <v>385</v>
      </c>
      <c r="C2399" s="6" t="s">
        <v>295</v>
      </c>
      <c r="D2399" s="6" t="s">
        <v>5927</v>
      </c>
      <c r="E2399" s="6" t="s">
        <v>629</v>
      </c>
      <c r="F2399" s="6" t="s">
        <v>277</v>
      </c>
      <c r="G2399" s="7">
        <v>0.74</v>
      </c>
      <c r="H2399" s="6" t="s">
        <v>5928</v>
      </c>
      <c r="I2399" s="6" t="s">
        <v>20</v>
      </c>
      <c r="J2399" s="6">
        <v>1998.0</v>
      </c>
      <c r="L2399" s="6">
        <v>1.0</v>
      </c>
      <c r="M2399" s="8">
        <f t="shared" si="5"/>
        <v>0.74</v>
      </c>
      <c r="P2399" s="9"/>
    </row>
    <row r="2400">
      <c r="A2400" s="6" t="s">
        <v>1756</v>
      </c>
      <c r="B2400" s="6" t="s">
        <v>1753</v>
      </c>
      <c r="C2400" s="6" t="s">
        <v>295</v>
      </c>
      <c r="D2400" s="6" t="s">
        <v>5752</v>
      </c>
      <c r="E2400" s="6" t="s">
        <v>1758</v>
      </c>
      <c r="F2400" s="6" t="s">
        <v>277</v>
      </c>
      <c r="G2400" s="7">
        <v>1.25</v>
      </c>
      <c r="H2400" s="6" t="s">
        <v>5903</v>
      </c>
      <c r="I2400" s="6" t="s">
        <v>20</v>
      </c>
      <c r="J2400" s="6">
        <v>1998.0</v>
      </c>
      <c r="L2400" s="6">
        <v>1.0</v>
      </c>
      <c r="M2400" s="8">
        <f t="shared" si="5"/>
        <v>1.25</v>
      </c>
      <c r="P2400" s="9"/>
    </row>
    <row r="2401">
      <c r="A2401" s="6" t="s">
        <v>5929</v>
      </c>
      <c r="B2401" s="6" t="s">
        <v>5855</v>
      </c>
      <c r="C2401" s="6" t="s">
        <v>1949</v>
      </c>
      <c r="D2401" s="6" t="s">
        <v>5930</v>
      </c>
      <c r="E2401" s="6" t="s">
        <v>2380</v>
      </c>
      <c r="F2401" s="6" t="s">
        <v>277</v>
      </c>
      <c r="G2401" s="7">
        <v>0.09</v>
      </c>
      <c r="H2401" s="6" t="s">
        <v>5931</v>
      </c>
      <c r="I2401" s="6" t="s">
        <v>20</v>
      </c>
      <c r="J2401" s="6">
        <v>1995.0</v>
      </c>
      <c r="K2401" s="10">
        <v>46116.0</v>
      </c>
      <c r="L2401" s="6">
        <v>3.0</v>
      </c>
      <c r="M2401" s="8">
        <f t="shared" si="5"/>
        <v>0.27</v>
      </c>
      <c r="P2401" s="9"/>
    </row>
    <row r="2402">
      <c r="A2402" s="6" t="s">
        <v>5932</v>
      </c>
      <c r="B2402" s="6" t="s">
        <v>610</v>
      </c>
      <c r="C2402" s="6" t="s">
        <v>295</v>
      </c>
      <c r="D2402" s="6" t="s">
        <v>5933</v>
      </c>
      <c r="E2402" s="6" t="s">
        <v>2280</v>
      </c>
      <c r="F2402" s="6" t="s">
        <v>277</v>
      </c>
      <c r="G2402" s="7">
        <v>0.13</v>
      </c>
      <c r="H2402" s="6" t="s">
        <v>1917</v>
      </c>
      <c r="I2402" s="6" t="s">
        <v>20</v>
      </c>
      <c r="J2402" s="6">
        <v>1995.0</v>
      </c>
      <c r="L2402" s="6">
        <v>2.0</v>
      </c>
      <c r="M2402" s="8">
        <f t="shared" si="5"/>
        <v>0.26</v>
      </c>
      <c r="P2402" s="9"/>
    </row>
    <row r="2403">
      <c r="A2403" s="6" t="s">
        <v>5934</v>
      </c>
      <c r="B2403" s="6" t="s">
        <v>1753</v>
      </c>
      <c r="C2403" s="6" t="s">
        <v>1949</v>
      </c>
      <c r="D2403" s="6" t="s">
        <v>5935</v>
      </c>
      <c r="E2403" s="6" t="s">
        <v>2967</v>
      </c>
      <c r="F2403" s="6" t="s">
        <v>277</v>
      </c>
      <c r="G2403" s="7">
        <v>0.1</v>
      </c>
      <c r="H2403" s="6" t="s">
        <v>2089</v>
      </c>
      <c r="I2403" s="6" t="s">
        <v>20</v>
      </c>
      <c r="J2403" s="6">
        <v>1995.0</v>
      </c>
      <c r="L2403" s="6">
        <v>2.0</v>
      </c>
      <c r="M2403" s="8">
        <f t="shared" si="5"/>
        <v>0.2</v>
      </c>
      <c r="P2403" s="9"/>
    </row>
    <row r="2404">
      <c r="A2404" s="6" t="s">
        <v>5936</v>
      </c>
      <c r="B2404" s="6" t="s">
        <v>5838</v>
      </c>
      <c r="C2404" s="6" t="s">
        <v>295</v>
      </c>
      <c r="D2404" s="6" t="s">
        <v>5937</v>
      </c>
      <c r="E2404" s="6" t="s">
        <v>2839</v>
      </c>
      <c r="F2404" s="6" t="s">
        <v>277</v>
      </c>
      <c r="G2404" s="7">
        <v>0.15</v>
      </c>
      <c r="H2404" s="6" t="s">
        <v>5938</v>
      </c>
      <c r="I2404" s="6" t="s">
        <v>20</v>
      </c>
      <c r="J2404" s="6">
        <v>1995.0</v>
      </c>
      <c r="K2404" s="6" t="s">
        <v>750</v>
      </c>
      <c r="L2404" s="6">
        <v>2.0</v>
      </c>
      <c r="M2404" s="8">
        <f t="shared" si="5"/>
        <v>0.3</v>
      </c>
      <c r="P2404" s="9"/>
    </row>
    <row r="2405">
      <c r="A2405" s="6" t="s">
        <v>5939</v>
      </c>
      <c r="B2405" s="6" t="s">
        <v>5940</v>
      </c>
      <c r="C2405" s="6" t="s">
        <v>295</v>
      </c>
      <c r="D2405" s="6" t="s">
        <v>5941</v>
      </c>
      <c r="E2405" s="6" t="s">
        <v>2967</v>
      </c>
      <c r="F2405" s="6" t="s">
        <v>277</v>
      </c>
      <c r="G2405" s="7">
        <v>0.05</v>
      </c>
      <c r="H2405" s="6" t="s">
        <v>5938</v>
      </c>
      <c r="I2405" s="6" t="s">
        <v>20</v>
      </c>
      <c r="J2405" s="6">
        <v>1995.0</v>
      </c>
      <c r="K2405" s="10">
        <v>46056.0</v>
      </c>
      <c r="L2405" s="6">
        <v>4.0</v>
      </c>
      <c r="M2405" s="8">
        <f t="shared" si="5"/>
        <v>0.2</v>
      </c>
      <c r="P2405" s="9"/>
    </row>
    <row r="2406">
      <c r="A2406" s="6" t="s">
        <v>5942</v>
      </c>
      <c r="B2406" s="6" t="s">
        <v>5777</v>
      </c>
      <c r="C2406" s="6" t="s">
        <v>1949</v>
      </c>
      <c r="D2406" s="6" t="s">
        <v>5943</v>
      </c>
      <c r="E2406" s="6" t="s">
        <v>1856</v>
      </c>
      <c r="F2406" s="6" t="s">
        <v>277</v>
      </c>
      <c r="G2406" s="7">
        <v>0.84</v>
      </c>
      <c r="H2406" s="6" t="s">
        <v>5754</v>
      </c>
      <c r="I2406" s="6" t="s">
        <v>20</v>
      </c>
      <c r="J2406" s="6">
        <v>1994.0</v>
      </c>
      <c r="K2406" s="10">
        <v>46023.0</v>
      </c>
      <c r="L2406" s="6">
        <v>1.0</v>
      </c>
      <c r="M2406" s="8">
        <f t="shared" si="5"/>
        <v>0.84</v>
      </c>
      <c r="P2406" s="9"/>
    </row>
    <row r="2407">
      <c r="A2407" s="6" t="s">
        <v>5944</v>
      </c>
      <c r="B2407" s="6" t="s">
        <v>5945</v>
      </c>
      <c r="C2407" s="6" t="s">
        <v>1949</v>
      </c>
      <c r="D2407" s="6" t="s">
        <v>5946</v>
      </c>
      <c r="E2407" s="6" t="s">
        <v>5814</v>
      </c>
      <c r="F2407" s="6" t="s">
        <v>277</v>
      </c>
      <c r="G2407" s="7">
        <v>0.45</v>
      </c>
      <c r="H2407" s="6" t="s">
        <v>2089</v>
      </c>
      <c r="I2407" s="6" t="s">
        <v>20</v>
      </c>
      <c r="J2407" s="6">
        <v>1995.0</v>
      </c>
      <c r="K2407" s="10">
        <v>46147.0</v>
      </c>
      <c r="L2407" s="6">
        <v>1.0</v>
      </c>
      <c r="M2407" s="8">
        <f t="shared" si="5"/>
        <v>0.45</v>
      </c>
      <c r="P2407" s="9"/>
    </row>
    <row r="2408">
      <c r="A2408" s="6" t="s">
        <v>5947</v>
      </c>
      <c r="B2408" s="6" t="s">
        <v>385</v>
      </c>
      <c r="C2408" s="6" t="s">
        <v>295</v>
      </c>
      <c r="D2408" s="6" t="s">
        <v>5948</v>
      </c>
      <c r="E2408" s="6" t="s">
        <v>1856</v>
      </c>
      <c r="F2408" s="6" t="s">
        <v>277</v>
      </c>
      <c r="G2408" s="7">
        <v>0.05</v>
      </c>
      <c r="H2408" s="6" t="s">
        <v>1774</v>
      </c>
      <c r="I2408" s="6" t="s">
        <v>20</v>
      </c>
      <c r="J2408" s="6">
        <v>1995.0</v>
      </c>
      <c r="L2408" s="6">
        <v>1.0</v>
      </c>
      <c r="M2408" s="8">
        <f t="shared" si="5"/>
        <v>0.05</v>
      </c>
      <c r="P2408" s="9"/>
    </row>
    <row r="2409">
      <c r="A2409" s="6" t="s">
        <v>5877</v>
      </c>
      <c r="B2409" s="6" t="s">
        <v>2502</v>
      </c>
      <c r="C2409" s="6" t="s">
        <v>295</v>
      </c>
      <c r="E2409" s="6" t="s">
        <v>1853</v>
      </c>
      <c r="F2409" s="6" t="s">
        <v>277</v>
      </c>
      <c r="G2409" s="7">
        <v>14.99</v>
      </c>
      <c r="H2409" s="6" t="s">
        <v>5949</v>
      </c>
      <c r="I2409" s="6" t="s">
        <v>31</v>
      </c>
      <c r="J2409" s="6">
        <v>1999.0</v>
      </c>
      <c r="K2409" s="10">
        <v>46057.0</v>
      </c>
      <c r="L2409" s="6">
        <v>1.0</v>
      </c>
      <c r="M2409" s="8">
        <f t="shared" si="5"/>
        <v>14.99</v>
      </c>
      <c r="P2409" s="9"/>
    </row>
    <row r="2410">
      <c r="A2410" s="6" t="s">
        <v>5950</v>
      </c>
      <c r="B2410" s="6" t="s">
        <v>2058</v>
      </c>
      <c r="C2410" s="6" t="s">
        <v>295</v>
      </c>
      <c r="D2410" s="6" t="s">
        <v>5951</v>
      </c>
      <c r="E2410" s="6" t="s">
        <v>629</v>
      </c>
      <c r="F2410" s="6" t="s">
        <v>277</v>
      </c>
      <c r="G2410" s="7">
        <v>0.14</v>
      </c>
      <c r="H2410" s="6" t="s">
        <v>5754</v>
      </c>
      <c r="I2410" s="6" t="s">
        <v>20</v>
      </c>
      <c r="J2410" s="6">
        <v>1994.0</v>
      </c>
      <c r="L2410" s="6">
        <v>2.0</v>
      </c>
      <c r="M2410" s="8">
        <f t="shared" si="5"/>
        <v>0.28</v>
      </c>
      <c r="P2410" s="9"/>
    </row>
    <row r="2411">
      <c r="A2411" s="6" t="s">
        <v>5950</v>
      </c>
      <c r="B2411" s="6" t="s">
        <v>2058</v>
      </c>
      <c r="C2411" s="6" t="s">
        <v>295</v>
      </c>
      <c r="D2411" s="6" t="s">
        <v>5951</v>
      </c>
      <c r="E2411" s="6" t="s">
        <v>629</v>
      </c>
      <c r="F2411" s="6" t="s">
        <v>277</v>
      </c>
      <c r="G2411" s="7">
        <v>0.35</v>
      </c>
      <c r="H2411" s="6" t="s">
        <v>5757</v>
      </c>
      <c r="I2411" s="6" t="s">
        <v>20</v>
      </c>
      <c r="J2411" s="6">
        <v>1994.0</v>
      </c>
      <c r="L2411" s="6">
        <v>4.0</v>
      </c>
      <c r="M2411" s="8">
        <f t="shared" si="5"/>
        <v>1.4</v>
      </c>
      <c r="P2411" s="9"/>
    </row>
    <row r="2412">
      <c r="A2412" s="6" t="s">
        <v>5950</v>
      </c>
      <c r="B2412" s="6" t="s">
        <v>2058</v>
      </c>
      <c r="C2412" s="6" t="s">
        <v>295</v>
      </c>
      <c r="D2412" s="6" t="s">
        <v>5951</v>
      </c>
      <c r="E2412" s="6" t="s">
        <v>629</v>
      </c>
      <c r="F2412" s="6" t="s">
        <v>277</v>
      </c>
      <c r="G2412" s="7">
        <v>0.09</v>
      </c>
      <c r="H2412" s="6" t="s">
        <v>5758</v>
      </c>
      <c r="I2412" s="6" t="s">
        <v>20</v>
      </c>
      <c r="J2412" s="6">
        <v>1994.0</v>
      </c>
      <c r="L2412" s="6">
        <v>5.0</v>
      </c>
      <c r="M2412" s="8">
        <f t="shared" si="5"/>
        <v>0.45</v>
      </c>
      <c r="P2412" s="9"/>
    </row>
    <row r="2413">
      <c r="A2413" s="6" t="s">
        <v>5952</v>
      </c>
      <c r="B2413" s="6" t="s">
        <v>2822</v>
      </c>
      <c r="C2413" s="6" t="s">
        <v>1897</v>
      </c>
      <c r="D2413" s="6" t="s">
        <v>5953</v>
      </c>
      <c r="E2413" s="6" t="s">
        <v>2967</v>
      </c>
      <c r="F2413" s="6" t="s">
        <v>277</v>
      </c>
      <c r="G2413" s="7">
        <v>0.48</v>
      </c>
      <c r="H2413" s="6" t="s">
        <v>1771</v>
      </c>
      <c r="I2413" s="6" t="s">
        <v>20</v>
      </c>
      <c r="J2413" s="6">
        <v>1995.0</v>
      </c>
      <c r="L2413" s="6">
        <v>4.0</v>
      </c>
      <c r="M2413" s="8">
        <f t="shared" si="5"/>
        <v>1.92</v>
      </c>
      <c r="P2413" s="9"/>
    </row>
    <row r="2414">
      <c r="A2414" s="6" t="s">
        <v>5954</v>
      </c>
      <c r="B2414" s="6" t="s">
        <v>610</v>
      </c>
      <c r="C2414" s="6" t="s">
        <v>295</v>
      </c>
      <c r="D2414" s="6" t="s">
        <v>5955</v>
      </c>
      <c r="E2414" s="6" t="s">
        <v>629</v>
      </c>
      <c r="F2414" s="6" t="s">
        <v>277</v>
      </c>
      <c r="G2414" s="7">
        <v>0.15</v>
      </c>
      <c r="H2414" s="6" t="s">
        <v>5757</v>
      </c>
      <c r="I2414" s="6" t="s">
        <v>20</v>
      </c>
      <c r="J2414" s="6">
        <v>1995.0</v>
      </c>
      <c r="L2414" s="6">
        <v>5.0</v>
      </c>
      <c r="M2414" s="8">
        <f t="shared" si="5"/>
        <v>0.75</v>
      </c>
      <c r="P2414" s="9"/>
    </row>
    <row r="2415">
      <c r="A2415" s="6" t="s">
        <v>5954</v>
      </c>
      <c r="B2415" s="6" t="s">
        <v>610</v>
      </c>
      <c r="C2415" s="6" t="s">
        <v>295</v>
      </c>
      <c r="D2415" s="6" t="s">
        <v>5955</v>
      </c>
      <c r="E2415" s="6" t="s">
        <v>629</v>
      </c>
      <c r="F2415" s="6" t="s">
        <v>277</v>
      </c>
      <c r="G2415" s="7">
        <v>0.08</v>
      </c>
      <c r="H2415" s="6" t="s">
        <v>5758</v>
      </c>
      <c r="I2415" s="6" t="s">
        <v>20</v>
      </c>
      <c r="J2415" s="6">
        <v>1995.0</v>
      </c>
      <c r="L2415" s="6">
        <v>4.0</v>
      </c>
      <c r="M2415" s="8">
        <f t="shared" si="5"/>
        <v>0.32</v>
      </c>
      <c r="P2415" s="9"/>
    </row>
    <row r="2416">
      <c r="A2416" s="6" t="s">
        <v>5956</v>
      </c>
      <c r="B2416" s="6" t="s">
        <v>5957</v>
      </c>
      <c r="C2416" s="6" t="s">
        <v>1949</v>
      </c>
      <c r="D2416" s="6" t="s">
        <v>5958</v>
      </c>
      <c r="E2416" s="6" t="s">
        <v>2967</v>
      </c>
      <c r="F2416" s="6" t="s">
        <v>277</v>
      </c>
      <c r="G2416" s="7">
        <v>0.03</v>
      </c>
      <c r="H2416" s="6" t="s">
        <v>1774</v>
      </c>
      <c r="I2416" s="6" t="s">
        <v>20</v>
      </c>
      <c r="J2416" s="6">
        <v>1995.0</v>
      </c>
      <c r="K2416" s="10">
        <v>46023.0</v>
      </c>
      <c r="L2416" s="6">
        <v>2.0</v>
      </c>
      <c r="M2416" s="8">
        <f t="shared" si="5"/>
        <v>0.06</v>
      </c>
      <c r="P2416" s="9"/>
    </row>
    <row r="2417">
      <c r="A2417" s="6" t="s">
        <v>5959</v>
      </c>
      <c r="B2417" s="6" t="s">
        <v>3022</v>
      </c>
      <c r="C2417" s="6" t="s">
        <v>295</v>
      </c>
      <c r="D2417" s="6" t="s">
        <v>5960</v>
      </c>
      <c r="E2417" s="6" t="s">
        <v>2839</v>
      </c>
      <c r="F2417" s="6" t="s">
        <v>277</v>
      </c>
      <c r="G2417" s="7">
        <v>0.1</v>
      </c>
      <c r="H2417" s="6" t="s">
        <v>1774</v>
      </c>
      <c r="I2417" s="6" t="s">
        <v>20</v>
      </c>
      <c r="J2417" s="6">
        <v>1995.0</v>
      </c>
      <c r="K2417" s="10">
        <v>46055.0</v>
      </c>
      <c r="L2417" s="6">
        <v>3.0</v>
      </c>
      <c r="M2417" s="8">
        <f t="shared" si="5"/>
        <v>0.3</v>
      </c>
      <c r="P2417" s="9"/>
    </row>
    <row r="2418">
      <c r="A2418" s="6" t="s">
        <v>5961</v>
      </c>
      <c r="B2418" s="6" t="s">
        <v>5962</v>
      </c>
      <c r="C2418" s="6" t="s">
        <v>295</v>
      </c>
      <c r="D2418" s="6" t="s">
        <v>5963</v>
      </c>
      <c r="E2418" s="6" t="s">
        <v>2280</v>
      </c>
      <c r="F2418" s="6" t="s">
        <v>277</v>
      </c>
      <c r="G2418" s="7">
        <v>0.14</v>
      </c>
      <c r="H2418" s="6" t="s">
        <v>1774</v>
      </c>
      <c r="I2418" s="6" t="s">
        <v>20</v>
      </c>
      <c r="J2418" s="6">
        <v>1995.0</v>
      </c>
      <c r="K2418" s="10">
        <v>46023.0</v>
      </c>
      <c r="L2418" s="6">
        <v>3.0</v>
      </c>
      <c r="M2418" s="8">
        <f t="shared" si="5"/>
        <v>0.42</v>
      </c>
      <c r="P2418" s="9"/>
    </row>
    <row r="2419">
      <c r="A2419" s="6" t="s">
        <v>5964</v>
      </c>
      <c r="B2419" s="6" t="s">
        <v>5965</v>
      </c>
      <c r="C2419" s="6" t="s">
        <v>1897</v>
      </c>
      <c r="D2419" s="6" t="s">
        <v>5966</v>
      </c>
      <c r="E2419" s="6" t="s">
        <v>2839</v>
      </c>
      <c r="F2419" s="6" t="s">
        <v>277</v>
      </c>
      <c r="G2419" s="7">
        <v>0.5</v>
      </c>
      <c r="H2419" s="6" t="s">
        <v>5757</v>
      </c>
      <c r="I2419" s="6" t="s">
        <v>20</v>
      </c>
      <c r="J2419" s="6">
        <v>1995.0</v>
      </c>
      <c r="K2419" s="10">
        <v>46084.0</v>
      </c>
      <c r="L2419" s="6">
        <v>1.0</v>
      </c>
      <c r="M2419" s="8">
        <f t="shared" si="5"/>
        <v>0.5</v>
      </c>
      <c r="P2419" s="9"/>
    </row>
    <row r="2420">
      <c r="A2420" s="6" t="s">
        <v>5964</v>
      </c>
      <c r="B2420" s="6" t="s">
        <v>5965</v>
      </c>
      <c r="C2420" s="6" t="s">
        <v>1897</v>
      </c>
      <c r="D2420" s="6" t="s">
        <v>5966</v>
      </c>
      <c r="E2420" s="6" t="s">
        <v>2839</v>
      </c>
      <c r="F2420" s="6" t="s">
        <v>277</v>
      </c>
      <c r="G2420" s="7">
        <v>0.2</v>
      </c>
      <c r="H2420" s="6" t="s">
        <v>5758</v>
      </c>
      <c r="I2420" s="6" t="s">
        <v>20</v>
      </c>
      <c r="J2420" s="6">
        <v>1995.0</v>
      </c>
      <c r="K2420" s="10">
        <v>46084.0</v>
      </c>
      <c r="L2420" s="6">
        <v>2.0</v>
      </c>
      <c r="M2420" s="8">
        <f t="shared" si="5"/>
        <v>0.4</v>
      </c>
      <c r="P2420" s="9"/>
    </row>
    <row r="2421">
      <c r="A2421" s="6" t="s">
        <v>5879</v>
      </c>
      <c r="B2421" s="6" t="s">
        <v>378</v>
      </c>
      <c r="C2421" s="6" t="s">
        <v>295</v>
      </c>
      <c r="D2421" s="6" t="s">
        <v>5880</v>
      </c>
      <c r="E2421" s="6" t="s">
        <v>1327</v>
      </c>
      <c r="F2421" s="6" t="s">
        <v>277</v>
      </c>
      <c r="G2421" s="7">
        <v>0.2</v>
      </c>
      <c r="H2421" s="6" t="s">
        <v>5757</v>
      </c>
      <c r="I2421" s="6" t="s">
        <v>20</v>
      </c>
      <c r="J2421" s="6">
        <v>1993.0</v>
      </c>
      <c r="L2421" s="6">
        <v>2.0</v>
      </c>
      <c r="M2421" s="8">
        <f t="shared" si="5"/>
        <v>0.4</v>
      </c>
      <c r="P2421" s="9"/>
    </row>
    <row r="2422">
      <c r="A2422" s="6" t="s">
        <v>5879</v>
      </c>
      <c r="B2422" s="6" t="s">
        <v>378</v>
      </c>
      <c r="C2422" s="6" t="s">
        <v>295</v>
      </c>
      <c r="D2422" s="6" t="s">
        <v>5880</v>
      </c>
      <c r="E2422" s="6" t="s">
        <v>1327</v>
      </c>
      <c r="F2422" s="6" t="s">
        <v>277</v>
      </c>
      <c r="G2422" s="7">
        <v>0.17</v>
      </c>
      <c r="H2422" s="6" t="s">
        <v>5754</v>
      </c>
      <c r="I2422" s="6" t="s">
        <v>20</v>
      </c>
      <c r="J2422" s="6">
        <v>1994.0</v>
      </c>
      <c r="L2422" s="6">
        <v>1.0</v>
      </c>
      <c r="M2422" s="8">
        <f t="shared" si="5"/>
        <v>0.17</v>
      </c>
      <c r="P2422" s="9"/>
    </row>
    <row r="2423">
      <c r="A2423" s="6" t="s">
        <v>5879</v>
      </c>
      <c r="B2423" s="6" t="s">
        <v>378</v>
      </c>
      <c r="C2423" s="6" t="s">
        <v>295</v>
      </c>
      <c r="D2423" s="6" t="s">
        <v>5880</v>
      </c>
      <c r="E2423" s="6" t="s">
        <v>1327</v>
      </c>
      <c r="F2423" s="6" t="s">
        <v>277</v>
      </c>
      <c r="G2423" s="7">
        <v>0.08</v>
      </c>
      <c r="H2423" s="6" t="s">
        <v>5758</v>
      </c>
      <c r="I2423" s="6" t="s">
        <v>20</v>
      </c>
      <c r="J2423" s="6">
        <v>1994.0</v>
      </c>
      <c r="L2423" s="6">
        <v>2.0</v>
      </c>
      <c r="M2423" s="8">
        <f t="shared" si="5"/>
        <v>0.16</v>
      </c>
      <c r="P2423" s="9"/>
    </row>
    <row r="2424">
      <c r="A2424" s="6" t="s">
        <v>5967</v>
      </c>
      <c r="B2424" s="6" t="s">
        <v>385</v>
      </c>
      <c r="C2424" s="6" t="s">
        <v>295</v>
      </c>
      <c r="D2424" s="6" t="s">
        <v>5968</v>
      </c>
      <c r="E2424" s="6" t="s">
        <v>2280</v>
      </c>
      <c r="F2424" s="6" t="s">
        <v>277</v>
      </c>
      <c r="G2424" s="7">
        <v>0.08</v>
      </c>
      <c r="H2424" s="6" t="s">
        <v>2089</v>
      </c>
      <c r="I2424" s="6" t="s">
        <v>20</v>
      </c>
      <c r="J2424" s="6">
        <v>1995.0</v>
      </c>
      <c r="L2424" s="6">
        <v>3.0</v>
      </c>
      <c r="M2424" s="8">
        <f t="shared" si="5"/>
        <v>0.24</v>
      </c>
      <c r="P2424" s="9"/>
    </row>
    <row r="2425">
      <c r="A2425" s="6" t="s">
        <v>4190</v>
      </c>
      <c r="B2425" s="6" t="s">
        <v>2061</v>
      </c>
      <c r="C2425" s="6" t="s">
        <v>295</v>
      </c>
      <c r="E2425" s="6" t="s">
        <v>1856</v>
      </c>
      <c r="F2425" s="6" t="s">
        <v>277</v>
      </c>
      <c r="G2425" s="7">
        <v>0.09</v>
      </c>
      <c r="H2425" s="6" t="s">
        <v>5758</v>
      </c>
      <c r="I2425" s="6" t="s">
        <v>20</v>
      </c>
      <c r="J2425" s="6">
        <v>1995.0</v>
      </c>
      <c r="K2425" s="10">
        <v>46055.0</v>
      </c>
      <c r="L2425" s="6">
        <v>6.0</v>
      </c>
      <c r="M2425" s="8">
        <f t="shared" si="5"/>
        <v>0.54</v>
      </c>
      <c r="P2425" s="9"/>
    </row>
    <row r="2426">
      <c r="A2426" s="6" t="s">
        <v>4190</v>
      </c>
      <c r="B2426" s="6" t="s">
        <v>2061</v>
      </c>
      <c r="C2426" s="6" t="s">
        <v>295</v>
      </c>
      <c r="E2426" s="6" t="s">
        <v>1856</v>
      </c>
      <c r="F2426" s="6" t="s">
        <v>277</v>
      </c>
      <c r="G2426" s="7">
        <v>0.22</v>
      </c>
      <c r="H2426" s="6" t="s">
        <v>5754</v>
      </c>
      <c r="I2426" s="6" t="s">
        <v>20</v>
      </c>
      <c r="J2426" s="6">
        <v>1995.0</v>
      </c>
      <c r="K2426" s="10">
        <v>46055.0</v>
      </c>
      <c r="L2426" s="6">
        <v>2.0</v>
      </c>
      <c r="M2426" s="8">
        <f t="shared" si="5"/>
        <v>0.44</v>
      </c>
      <c r="P2426" s="9"/>
    </row>
    <row r="2427">
      <c r="A2427" s="6" t="s">
        <v>5969</v>
      </c>
      <c r="B2427" s="6" t="s">
        <v>385</v>
      </c>
      <c r="C2427" s="6" t="s">
        <v>295</v>
      </c>
      <c r="D2427" s="6" t="s">
        <v>5970</v>
      </c>
      <c r="E2427" s="6" t="s">
        <v>5971</v>
      </c>
      <c r="F2427" s="6" t="s">
        <v>277</v>
      </c>
      <c r="G2427" s="7">
        <v>0.19</v>
      </c>
      <c r="H2427" s="6" t="s">
        <v>5757</v>
      </c>
      <c r="I2427" s="6" t="s">
        <v>20</v>
      </c>
      <c r="J2427" s="6">
        <v>1995.0</v>
      </c>
      <c r="L2427" s="6">
        <v>3.0</v>
      </c>
      <c r="M2427" s="8">
        <f t="shared" si="5"/>
        <v>0.57</v>
      </c>
      <c r="P2427" s="9"/>
    </row>
    <row r="2428">
      <c r="A2428" s="6" t="s">
        <v>5969</v>
      </c>
      <c r="B2428" s="6" t="s">
        <v>385</v>
      </c>
      <c r="C2428" s="6" t="s">
        <v>295</v>
      </c>
      <c r="D2428" s="6" t="s">
        <v>5970</v>
      </c>
      <c r="E2428" s="6" t="s">
        <v>5971</v>
      </c>
      <c r="F2428" s="6" t="s">
        <v>277</v>
      </c>
      <c r="G2428" s="7">
        <v>0.05</v>
      </c>
      <c r="H2428" s="6" t="s">
        <v>5758</v>
      </c>
      <c r="I2428" s="6" t="s">
        <v>20</v>
      </c>
      <c r="J2428" s="6">
        <v>1995.0</v>
      </c>
      <c r="L2428" s="6">
        <v>5.0</v>
      </c>
      <c r="M2428" s="8">
        <f t="shared" si="5"/>
        <v>0.25</v>
      </c>
      <c r="P2428" s="9"/>
    </row>
    <row r="2429">
      <c r="A2429" s="6" t="s">
        <v>5969</v>
      </c>
      <c r="B2429" s="6" t="s">
        <v>385</v>
      </c>
      <c r="C2429" s="6" t="s">
        <v>295</v>
      </c>
      <c r="D2429" s="6" t="s">
        <v>5970</v>
      </c>
      <c r="E2429" s="6" t="s">
        <v>5971</v>
      </c>
      <c r="F2429" s="6" t="s">
        <v>277</v>
      </c>
      <c r="G2429" s="7">
        <v>0.25</v>
      </c>
      <c r="H2429" s="6" t="s">
        <v>5754</v>
      </c>
      <c r="I2429" s="6" t="s">
        <v>20</v>
      </c>
      <c r="J2429" s="6">
        <v>1994.0</v>
      </c>
      <c r="L2429" s="6">
        <v>4.0</v>
      </c>
      <c r="M2429" s="8">
        <f t="shared" si="5"/>
        <v>1</v>
      </c>
      <c r="P2429" s="9"/>
    </row>
    <row r="2430">
      <c r="A2430" s="6" t="s">
        <v>5972</v>
      </c>
      <c r="B2430" s="6" t="s">
        <v>5973</v>
      </c>
      <c r="C2430" s="6" t="s">
        <v>295</v>
      </c>
      <c r="D2430" s="6" t="s">
        <v>5974</v>
      </c>
      <c r="E2430" s="6" t="s">
        <v>2280</v>
      </c>
      <c r="F2430" s="6" t="s">
        <v>277</v>
      </c>
      <c r="G2430" s="7">
        <v>0.15</v>
      </c>
      <c r="H2430" s="6" t="s">
        <v>5757</v>
      </c>
      <c r="I2430" s="6" t="s">
        <v>20</v>
      </c>
      <c r="J2430" s="6">
        <v>1995.0</v>
      </c>
      <c r="K2430" s="10">
        <v>46023.0</v>
      </c>
      <c r="L2430" s="6">
        <v>9.0</v>
      </c>
      <c r="M2430" s="8">
        <f t="shared" si="5"/>
        <v>1.35</v>
      </c>
      <c r="P2430" s="9"/>
    </row>
    <row r="2431">
      <c r="A2431" s="6" t="s">
        <v>5972</v>
      </c>
      <c r="B2431" s="6" t="s">
        <v>5973</v>
      </c>
      <c r="C2431" s="6" t="s">
        <v>295</v>
      </c>
      <c r="D2431" s="6" t="s">
        <v>5974</v>
      </c>
      <c r="E2431" s="6" t="s">
        <v>2280</v>
      </c>
      <c r="F2431" s="6" t="s">
        <v>277</v>
      </c>
      <c r="G2431" s="7">
        <v>0.04</v>
      </c>
      <c r="H2431" s="6" t="s">
        <v>5758</v>
      </c>
      <c r="I2431" s="6" t="s">
        <v>20</v>
      </c>
      <c r="J2431" s="6">
        <v>1995.0</v>
      </c>
      <c r="K2431" s="10">
        <v>46023.0</v>
      </c>
      <c r="L2431" s="6">
        <v>4.0</v>
      </c>
      <c r="M2431" s="8">
        <f t="shared" si="5"/>
        <v>0.16</v>
      </c>
      <c r="P2431" s="9"/>
    </row>
    <row r="2432">
      <c r="A2432" s="6" t="s">
        <v>5972</v>
      </c>
      <c r="B2432" s="6" t="s">
        <v>5973</v>
      </c>
      <c r="C2432" s="6" t="s">
        <v>295</v>
      </c>
      <c r="D2432" s="6" t="s">
        <v>5974</v>
      </c>
      <c r="E2432" s="6" t="s">
        <v>2280</v>
      </c>
      <c r="F2432" s="6" t="s">
        <v>277</v>
      </c>
      <c r="G2432" s="7">
        <v>0.15</v>
      </c>
      <c r="H2432" s="6" t="s">
        <v>5754</v>
      </c>
      <c r="I2432" s="6" t="s">
        <v>20</v>
      </c>
      <c r="J2432" s="6">
        <v>1994.0</v>
      </c>
      <c r="K2432" s="10">
        <v>46023.0</v>
      </c>
      <c r="L2432" s="6">
        <v>5.0</v>
      </c>
      <c r="M2432" s="8">
        <f t="shared" si="5"/>
        <v>0.75</v>
      </c>
      <c r="P2432" s="9"/>
    </row>
    <row r="2433">
      <c r="A2433" s="6" t="s">
        <v>3596</v>
      </c>
      <c r="B2433" s="6" t="s">
        <v>2014</v>
      </c>
      <c r="C2433" s="6" t="s">
        <v>1949</v>
      </c>
      <c r="D2433" s="6" t="s">
        <v>3597</v>
      </c>
      <c r="E2433" s="6" t="s">
        <v>629</v>
      </c>
      <c r="F2433" s="6" t="s">
        <v>277</v>
      </c>
      <c r="G2433" s="7">
        <v>0.2</v>
      </c>
      <c r="H2433" s="6" t="s">
        <v>1771</v>
      </c>
      <c r="I2433" s="6" t="s">
        <v>20</v>
      </c>
      <c r="J2433" s="6">
        <v>1995.0</v>
      </c>
      <c r="L2433" s="6">
        <v>2.0</v>
      </c>
      <c r="M2433" s="8">
        <f t="shared" si="5"/>
        <v>0.4</v>
      </c>
      <c r="P2433" s="9"/>
    </row>
    <row r="2434">
      <c r="A2434" s="6" t="s">
        <v>5975</v>
      </c>
      <c r="B2434" s="6" t="s">
        <v>385</v>
      </c>
      <c r="C2434" s="6" t="s">
        <v>1897</v>
      </c>
      <c r="D2434" s="6" t="s">
        <v>5976</v>
      </c>
      <c r="E2434" s="6" t="s">
        <v>1758</v>
      </c>
      <c r="F2434" s="6" t="s">
        <v>277</v>
      </c>
      <c r="G2434" s="7">
        <v>2.48</v>
      </c>
      <c r="H2434" s="6" t="s">
        <v>2024</v>
      </c>
      <c r="I2434" s="6" t="s">
        <v>20</v>
      </c>
      <c r="J2434" s="6">
        <v>1996.0</v>
      </c>
      <c r="L2434" s="6">
        <v>1.0</v>
      </c>
      <c r="M2434" s="8">
        <f t="shared" si="5"/>
        <v>2.48</v>
      </c>
      <c r="P2434" s="9"/>
    </row>
    <row r="2435">
      <c r="A2435" s="6" t="s">
        <v>5977</v>
      </c>
      <c r="B2435" s="6" t="s">
        <v>610</v>
      </c>
      <c r="C2435" s="6" t="s">
        <v>295</v>
      </c>
      <c r="D2435" s="6" t="s">
        <v>5978</v>
      </c>
      <c r="E2435" s="6" t="s">
        <v>629</v>
      </c>
      <c r="F2435" s="6" t="s">
        <v>277</v>
      </c>
      <c r="G2435" s="7">
        <v>0.2</v>
      </c>
      <c r="H2435" s="6" t="s">
        <v>1805</v>
      </c>
      <c r="I2435" s="6" t="s">
        <v>20</v>
      </c>
      <c r="J2435" s="6">
        <v>1996.0</v>
      </c>
      <c r="L2435" s="6">
        <v>1.0</v>
      </c>
      <c r="M2435" s="8">
        <f t="shared" si="5"/>
        <v>0.2</v>
      </c>
      <c r="P2435" s="9"/>
    </row>
    <row r="2436">
      <c r="A2436" s="6" t="s">
        <v>5979</v>
      </c>
      <c r="B2436" s="6" t="s">
        <v>3022</v>
      </c>
      <c r="C2436" s="6" t="s">
        <v>295</v>
      </c>
      <c r="D2436" s="6" t="s">
        <v>5980</v>
      </c>
      <c r="E2436" s="6" t="s">
        <v>2280</v>
      </c>
      <c r="F2436" s="6" t="s">
        <v>277</v>
      </c>
      <c r="G2436" s="7">
        <v>0.21</v>
      </c>
      <c r="H2436" s="6" t="s">
        <v>1819</v>
      </c>
      <c r="I2436" s="6" t="s">
        <v>20</v>
      </c>
      <c r="J2436" s="6">
        <v>1995.0</v>
      </c>
      <c r="K2436" s="10">
        <v>46024.0</v>
      </c>
      <c r="L2436" s="6">
        <v>3.0</v>
      </c>
      <c r="M2436" s="8">
        <f t="shared" si="5"/>
        <v>0.63</v>
      </c>
      <c r="P2436" s="9"/>
    </row>
    <row r="2437">
      <c r="A2437" s="6" t="s">
        <v>5979</v>
      </c>
      <c r="B2437" s="6" t="s">
        <v>3022</v>
      </c>
      <c r="C2437" s="6" t="s">
        <v>295</v>
      </c>
      <c r="D2437" s="6" t="s">
        <v>5980</v>
      </c>
      <c r="E2437" s="6" t="s">
        <v>2280</v>
      </c>
      <c r="F2437" s="6" t="s">
        <v>277</v>
      </c>
      <c r="G2437" s="7">
        <v>0.05</v>
      </c>
      <c r="H2437" s="6" t="s">
        <v>1818</v>
      </c>
      <c r="I2437" s="6" t="s">
        <v>20</v>
      </c>
      <c r="J2437" s="6">
        <v>1995.0</v>
      </c>
      <c r="K2437" s="10">
        <v>46024.0</v>
      </c>
      <c r="L2437" s="6">
        <v>2.0</v>
      </c>
      <c r="M2437" s="8">
        <f t="shared" si="5"/>
        <v>0.1</v>
      </c>
      <c r="P2437" s="9"/>
    </row>
    <row r="2438">
      <c r="A2438" s="6" t="s">
        <v>5981</v>
      </c>
      <c r="B2438" s="6" t="s">
        <v>385</v>
      </c>
      <c r="C2438" s="6" t="s">
        <v>1949</v>
      </c>
      <c r="D2438" s="6" t="s">
        <v>5982</v>
      </c>
      <c r="E2438" s="6" t="s">
        <v>1758</v>
      </c>
      <c r="F2438" s="6" t="s">
        <v>277</v>
      </c>
      <c r="G2438" s="7">
        <v>0.33</v>
      </c>
      <c r="H2438" s="6" t="s">
        <v>1774</v>
      </c>
      <c r="I2438" s="6" t="s">
        <v>20</v>
      </c>
      <c r="J2438" s="6">
        <v>1995.0</v>
      </c>
      <c r="L2438" s="6">
        <v>1.0</v>
      </c>
      <c r="M2438" s="8">
        <f t="shared" si="5"/>
        <v>0.33</v>
      </c>
      <c r="P2438" s="9"/>
    </row>
    <row r="2439">
      <c r="A2439" s="6" t="s">
        <v>5983</v>
      </c>
      <c r="B2439" s="6" t="s">
        <v>5984</v>
      </c>
      <c r="C2439" s="6" t="s">
        <v>295</v>
      </c>
      <c r="D2439" s="6" t="s">
        <v>5985</v>
      </c>
      <c r="E2439" s="6" t="s">
        <v>2280</v>
      </c>
      <c r="F2439" s="6" t="s">
        <v>277</v>
      </c>
      <c r="G2439" s="7">
        <v>0.14</v>
      </c>
      <c r="H2439" s="6" t="s">
        <v>1819</v>
      </c>
      <c r="I2439" s="6" t="s">
        <v>20</v>
      </c>
      <c r="J2439" s="6">
        <v>1995.0</v>
      </c>
      <c r="K2439" s="10">
        <v>46083.0</v>
      </c>
      <c r="L2439" s="6">
        <v>2.0</v>
      </c>
      <c r="M2439" s="8">
        <f t="shared" si="5"/>
        <v>0.28</v>
      </c>
      <c r="P2439" s="9"/>
    </row>
    <row r="2440">
      <c r="A2440" s="6" t="s">
        <v>5983</v>
      </c>
      <c r="B2440" s="6" t="s">
        <v>5984</v>
      </c>
      <c r="C2440" s="6" t="s">
        <v>295</v>
      </c>
      <c r="D2440" s="6" t="s">
        <v>5985</v>
      </c>
      <c r="E2440" s="6" t="s">
        <v>2280</v>
      </c>
      <c r="F2440" s="6" t="s">
        <v>277</v>
      </c>
      <c r="G2440" s="7">
        <v>0.09</v>
      </c>
      <c r="H2440" s="6" t="s">
        <v>1818</v>
      </c>
      <c r="I2440" s="6" t="s">
        <v>20</v>
      </c>
      <c r="J2440" s="6">
        <v>1995.0</v>
      </c>
      <c r="K2440" s="10">
        <v>46083.0</v>
      </c>
      <c r="L2440" s="6">
        <v>4.0</v>
      </c>
      <c r="M2440" s="8">
        <f t="shared" si="5"/>
        <v>0.36</v>
      </c>
      <c r="P2440" s="9"/>
    </row>
    <row r="2441">
      <c r="A2441" s="6" t="s">
        <v>5983</v>
      </c>
      <c r="B2441" s="6" t="s">
        <v>5984</v>
      </c>
      <c r="C2441" s="6" t="s">
        <v>295</v>
      </c>
      <c r="D2441" s="6" t="s">
        <v>5985</v>
      </c>
      <c r="E2441" s="6" t="s">
        <v>2280</v>
      </c>
      <c r="F2441" s="6" t="s">
        <v>277</v>
      </c>
      <c r="G2441" s="7">
        <v>0.2</v>
      </c>
      <c r="H2441" s="6" t="s">
        <v>5754</v>
      </c>
      <c r="I2441" s="6" t="s">
        <v>20</v>
      </c>
      <c r="J2441" s="6">
        <v>1994.0</v>
      </c>
      <c r="K2441" s="10">
        <v>46083.0</v>
      </c>
      <c r="L2441" s="6">
        <v>1.0</v>
      </c>
      <c r="M2441" s="8">
        <f t="shared" si="5"/>
        <v>0.2</v>
      </c>
      <c r="P2441" s="9"/>
    </row>
    <row r="2442">
      <c r="A2442" s="6" t="s">
        <v>5986</v>
      </c>
      <c r="B2442" s="6" t="s">
        <v>3022</v>
      </c>
      <c r="C2442" s="6" t="s">
        <v>295</v>
      </c>
      <c r="D2442" s="6" t="s">
        <v>5987</v>
      </c>
      <c r="E2442" s="6" t="s">
        <v>2839</v>
      </c>
      <c r="F2442" s="6" t="s">
        <v>277</v>
      </c>
      <c r="G2442" s="7">
        <v>0.05</v>
      </c>
      <c r="H2442" s="6" t="s">
        <v>1774</v>
      </c>
      <c r="I2442" s="6" t="s">
        <v>20</v>
      </c>
      <c r="J2442" s="6">
        <v>1995.0</v>
      </c>
      <c r="K2442" s="10">
        <v>46083.0</v>
      </c>
      <c r="L2442" s="6">
        <v>1.0</v>
      </c>
      <c r="M2442" s="8">
        <f t="shared" si="5"/>
        <v>0.05</v>
      </c>
      <c r="P2442" s="9"/>
    </row>
    <row r="2443">
      <c r="A2443" s="6" t="s">
        <v>5988</v>
      </c>
      <c r="B2443" s="6" t="s">
        <v>5989</v>
      </c>
      <c r="C2443" s="6" t="s">
        <v>295</v>
      </c>
      <c r="D2443" s="6" t="s">
        <v>5990</v>
      </c>
      <c r="E2443" s="6" t="s">
        <v>2280</v>
      </c>
      <c r="F2443" s="6" t="s">
        <v>277</v>
      </c>
      <c r="G2443" s="7">
        <v>0.5</v>
      </c>
      <c r="H2443" s="6" t="s">
        <v>1886</v>
      </c>
      <c r="I2443" s="6" t="s">
        <v>20</v>
      </c>
      <c r="J2443" s="6">
        <v>1994.0</v>
      </c>
      <c r="K2443" s="10">
        <v>46023.0</v>
      </c>
      <c r="L2443" s="6">
        <v>1.0</v>
      </c>
      <c r="M2443" s="8">
        <f t="shared" si="5"/>
        <v>0.5</v>
      </c>
      <c r="P2443" s="9"/>
    </row>
    <row r="2444">
      <c r="A2444" s="6" t="s">
        <v>5991</v>
      </c>
      <c r="B2444" s="6" t="s">
        <v>1753</v>
      </c>
      <c r="C2444" s="6" t="s">
        <v>1949</v>
      </c>
      <c r="D2444" s="6" t="s">
        <v>5992</v>
      </c>
      <c r="E2444" s="6" t="s">
        <v>2839</v>
      </c>
      <c r="F2444" s="6" t="s">
        <v>277</v>
      </c>
      <c r="G2444" s="7">
        <v>0.86</v>
      </c>
      <c r="H2444" s="6" t="s">
        <v>1774</v>
      </c>
      <c r="I2444" s="6" t="s">
        <v>20</v>
      </c>
      <c r="J2444" s="6">
        <v>1995.0</v>
      </c>
      <c r="L2444" s="6">
        <v>1.0</v>
      </c>
      <c r="M2444" s="8">
        <f t="shared" si="5"/>
        <v>0.86</v>
      </c>
      <c r="P2444" s="9"/>
    </row>
    <row r="2445">
      <c r="A2445" s="6" t="s">
        <v>5993</v>
      </c>
      <c r="B2445" s="6" t="s">
        <v>378</v>
      </c>
      <c r="C2445" s="6" t="s">
        <v>295</v>
      </c>
      <c r="D2445" s="6" t="s">
        <v>5994</v>
      </c>
      <c r="E2445" s="6" t="s">
        <v>2280</v>
      </c>
      <c r="F2445" s="6" t="s">
        <v>277</v>
      </c>
      <c r="G2445" s="7">
        <v>0.06</v>
      </c>
      <c r="H2445" s="6" t="s">
        <v>1818</v>
      </c>
      <c r="I2445" s="6" t="s">
        <v>20</v>
      </c>
      <c r="J2445" s="6">
        <v>1995.0</v>
      </c>
      <c r="L2445" s="6">
        <v>10.0</v>
      </c>
      <c r="M2445" s="8">
        <f t="shared" si="5"/>
        <v>0.6</v>
      </c>
      <c r="P2445" s="9"/>
    </row>
    <row r="2446">
      <c r="A2446" s="6" t="s">
        <v>5993</v>
      </c>
      <c r="B2446" s="6" t="s">
        <v>378</v>
      </c>
      <c r="C2446" s="6" t="s">
        <v>295</v>
      </c>
      <c r="D2446" s="6" t="s">
        <v>5994</v>
      </c>
      <c r="E2446" s="6" t="s">
        <v>2280</v>
      </c>
      <c r="F2446" s="6" t="s">
        <v>277</v>
      </c>
      <c r="G2446" s="7">
        <v>0.75</v>
      </c>
      <c r="H2446" s="6" t="s">
        <v>5754</v>
      </c>
      <c r="I2446" s="6" t="s">
        <v>20</v>
      </c>
      <c r="J2446" s="6">
        <v>1994.0</v>
      </c>
      <c r="L2446" s="6">
        <v>2.0</v>
      </c>
      <c r="M2446" s="8">
        <f t="shared" si="5"/>
        <v>1.5</v>
      </c>
      <c r="P2446" s="9"/>
    </row>
    <row r="2447">
      <c r="A2447" s="6" t="s">
        <v>5995</v>
      </c>
      <c r="B2447" s="6" t="s">
        <v>2822</v>
      </c>
      <c r="C2447" s="6" t="s">
        <v>295</v>
      </c>
      <c r="D2447" s="6" t="s">
        <v>5996</v>
      </c>
      <c r="E2447" s="6" t="s">
        <v>2280</v>
      </c>
      <c r="F2447" s="6" t="s">
        <v>277</v>
      </c>
      <c r="G2447" s="7">
        <v>0.05</v>
      </c>
      <c r="H2447" s="6" t="s">
        <v>1774</v>
      </c>
      <c r="I2447" s="6" t="s">
        <v>20</v>
      </c>
      <c r="J2447" s="6">
        <v>1995.0</v>
      </c>
      <c r="L2447" s="6">
        <v>3.0</v>
      </c>
      <c r="M2447" s="8">
        <f t="shared" si="5"/>
        <v>0.15</v>
      </c>
      <c r="P2447" s="9"/>
    </row>
    <row r="2448">
      <c r="A2448" s="6" t="s">
        <v>5997</v>
      </c>
      <c r="B2448" s="6" t="s">
        <v>385</v>
      </c>
      <c r="C2448" s="6" t="s">
        <v>1897</v>
      </c>
      <c r="D2448" s="6" t="s">
        <v>5998</v>
      </c>
      <c r="E2448" s="6" t="s">
        <v>5999</v>
      </c>
      <c r="F2448" s="6" t="s">
        <v>3177</v>
      </c>
      <c r="G2448" s="7">
        <v>0.99</v>
      </c>
      <c r="H2448" s="6" t="s">
        <v>5757</v>
      </c>
      <c r="I2448" s="6" t="s">
        <v>20</v>
      </c>
      <c r="J2448" s="6">
        <v>1995.0</v>
      </c>
      <c r="L2448" s="6">
        <v>1.0</v>
      </c>
      <c r="M2448" s="8">
        <f t="shared" si="5"/>
        <v>0.99</v>
      </c>
      <c r="P2448" s="9"/>
    </row>
    <row r="2449">
      <c r="A2449" s="6" t="s">
        <v>5997</v>
      </c>
      <c r="B2449" s="6" t="s">
        <v>385</v>
      </c>
      <c r="C2449" s="6" t="s">
        <v>1897</v>
      </c>
      <c r="D2449" s="6" t="s">
        <v>5998</v>
      </c>
      <c r="E2449" s="6" t="s">
        <v>5999</v>
      </c>
      <c r="F2449" s="6" t="s">
        <v>3177</v>
      </c>
      <c r="G2449" s="7">
        <v>0.5</v>
      </c>
      <c r="H2449" s="6" t="s">
        <v>5758</v>
      </c>
      <c r="I2449" s="6" t="s">
        <v>20</v>
      </c>
      <c r="J2449" s="6">
        <v>1995.0</v>
      </c>
      <c r="L2449" s="6">
        <v>3.0</v>
      </c>
      <c r="M2449" s="8">
        <f t="shared" si="5"/>
        <v>1.5</v>
      </c>
      <c r="P2449" s="9"/>
    </row>
    <row r="2450">
      <c r="A2450" s="6" t="s">
        <v>5579</v>
      </c>
      <c r="B2450" s="6" t="s">
        <v>5580</v>
      </c>
      <c r="C2450" s="6" t="s">
        <v>295</v>
      </c>
      <c r="D2450" s="6" t="s">
        <v>5581</v>
      </c>
      <c r="F2450" s="6" t="s">
        <v>152</v>
      </c>
      <c r="G2450" s="7">
        <v>0.45</v>
      </c>
      <c r="H2450" s="6" t="s">
        <v>6000</v>
      </c>
      <c r="I2450" s="6" t="s">
        <v>31</v>
      </c>
      <c r="J2450" s="6">
        <v>2020.0</v>
      </c>
      <c r="L2450" s="6">
        <v>1.0</v>
      </c>
      <c r="M2450" s="8">
        <f t="shared" si="5"/>
        <v>0.45</v>
      </c>
      <c r="N2450" s="6" t="s">
        <v>6001</v>
      </c>
      <c r="P2450" s="9"/>
    </row>
    <row r="2451">
      <c r="A2451" s="6" t="s">
        <v>6002</v>
      </c>
      <c r="B2451" s="6" t="s">
        <v>378</v>
      </c>
      <c r="C2451" s="6" t="s">
        <v>295</v>
      </c>
      <c r="D2451" s="6" t="s">
        <v>6003</v>
      </c>
      <c r="E2451" s="6" t="s">
        <v>380</v>
      </c>
      <c r="F2451" s="6" t="s">
        <v>88</v>
      </c>
      <c r="G2451" s="7">
        <v>0.43</v>
      </c>
      <c r="H2451" s="6" t="s">
        <v>2003</v>
      </c>
      <c r="I2451" s="6" t="s">
        <v>31</v>
      </c>
      <c r="J2451" s="6">
        <v>2020.0</v>
      </c>
      <c r="L2451" s="6">
        <v>1.0</v>
      </c>
      <c r="M2451" s="8">
        <f t="shared" si="5"/>
        <v>0.43</v>
      </c>
      <c r="N2451" s="6" t="s">
        <v>6001</v>
      </c>
      <c r="P2451" s="9"/>
    </row>
    <row r="2452">
      <c r="A2452" s="6" t="s">
        <v>3372</v>
      </c>
      <c r="B2452" s="6" t="s">
        <v>1944</v>
      </c>
      <c r="C2452" s="6" t="s">
        <v>1897</v>
      </c>
      <c r="D2452" s="6" t="s">
        <v>3373</v>
      </c>
      <c r="E2452" s="6" t="s">
        <v>3374</v>
      </c>
      <c r="F2452" s="6" t="s">
        <v>3114</v>
      </c>
      <c r="G2452" s="7">
        <v>0.25</v>
      </c>
      <c r="H2452" s="6" t="s">
        <v>6004</v>
      </c>
      <c r="I2452" s="6" t="s">
        <v>20</v>
      </c>
      <c r="J2452" s="6">
        <v>2021.0</v>
      </c>
      <c r="L2452" s="6">
        <v>1.0</v>
      </c>
      <c r="M2452" s="8">
        <f t="shared" si="5"/>
        <v>0.25</v>
      </c>
      <c r="N2452" s="6" t="s">
        <v>6001</v>
      </c>
      <c r="P2452" s="9"/>
    </row>
    <row r="2453">
      <c r="A2453" s="6" t="s">
        <v>6005</v>
      </c>
      <c r="B2453" s="6" t="s">
        <v>378</v>
      </c>
      <c r="C2453" s="6" t="s">
        <v>1949</v>
      </c>
      <c r="D2453" s="6" t="s">
        <v>6006</v>
      </c>
      <c r="E2453" s="6" t="s">
        <v>6007</v>
      </c>
      <c r="F2453" s="6" t="s">
        <v>3450</v>
      </c>
      <c r="G2453" s="7">
        <v>0.09</v>
      </c>
      <c r="H2453" s="6" t="s">
        <v>2202</v>
      </c>
      <c r="I2453" s="6" t="s">
        <v>20</v>
      </c>
      <c r="J2453" s="6">
        <v>2014.0</v>
      </c>
      <c r="L2453" s="6">
        <v>1.0</v>
      </c>
      <c r="M2453" s="8">
        <f t="shared" si="5"/>
        <v>0.09</v>
      </c>
      <c r="N2453" s="6" t="s">
        <v>6001</v>
      </c>
      <c r="P2453" s="9"/>
    </row>
    <row r="2454">
      <c r="A2454" s="6" t="s">
        <v>6008</v>
      </c>
      <c r="B2454" s="6" t="s">
        <v>2491</v>
      </c>
      <c r="C2454" s="6" t="s">
        <v>295</v>
      </c>
      <c r="D2454" s="6" t="s">
        <v>6009</v>
      </c>
      <c r="E2454" s="6" t="s">
        <v>1838</v>
      </c>
      <c r="F2454" s="6" t="s">
        <v>152</v>
      </c>
      <c r="G2454" s="7">
        <v>0.03</v>
      </c>
      <c r="H2454" s="6" t="s">
        <v>1644</v>
      </c>
      <c r="I2454" s="6" t="s">
        <v>20</v>
      </c>
      <c r="J2454" s="6">
        <v>2018.0</v>
      </c>
      <c r="K2454" s="10">
        <v>46084.0</v>
      </c>
      <c r="L2454" s="6">
        <v>1.0</v>
      </c>
      <c r="M2454" s="8">
        <f t="shared" si="5"/>
        <v>0.03</v>
      </c>
      <c r="N2454" s="6" t="s">
        <v>6001</v>
      </c>
      <c r="P2454" s="9"/>
    </row>
    <row r="2455">
      <c r="A2455" s="6" t="s">
        <v>6010</v>
      </c>
      <c r="B2455" s="6" t="s">
        <v>2014</v>
      </c>
      <c r="C2455" s="6" t="s">
        <v>295</v>
      </c>
      <c r="D2455" s="6" t="s">
        <v>6011</v>
      </c>
      <c r="E2455" s="6" t="s">
        <v>1954</v>
      </c>
      <c r="F2455" s="6" t="s">
        <v>18</v>
      </c>
      <c r="G2455" s="7">
        <v>0.03</v>
      </c>
      <c r="H2455" s="6" t="s">
        <v>1644</v>
      </c>
      <c r="I2455" s="6" t="s">
        <v>20</v>
      </c>
      <c r="J2455" s="6">
        <v>2018.0</v>
      </c>
      <c r="L2455" s="6">
        <v>1.0</v>
      </c>
      <c r="M2455" s="8">
        <f t="shared" si="5"/>
        <v>0.03</v>
      </c>
      <c r="N2455" s="6" t="s">
        <v>6001</v>
      </c>
      <c r="P2455" s="9"/>
    </row>
    <row r="2456">
      <c r="A2456" s="6" t="s">
        <v>3410</v>
      </c>
      <c r="B2456" s="6" t="s">
        <v>3411</v>
      </c>
      <c r="C2456" s="6" t="s">
        <v>1949</v>
      </c>
      <c r="D2456" s="6" t="s">
        <v>3412</v>
      </c>
      <c r="E2456" s="6" t="s">
        <v>3413</v>
      </c>
      <c r="F2456" s="6" t="s">
        <v>3114</v>
      </c>
      <c r="G2456" s="7">
        <v>0.09</v>
      </c>
      <c r="H2456" s="6" t="s">
        <v>1641</v>
      </c>
      <c r="I2456" s="6" t="s">
        <v>20</v>
      </c>
      <c r="J2456" s="6">
        <v>2019.0</v>
      </c>
      <c r="L2456" s="6">
        <v>1.0</v>
      </c>
      <c r="M2456" s="8">
        <f t="shared" si="5"/>
        <v>0.09</v>
      </c>
      <c r="N2456" s="6" t="s">
        <v>6001</v>
      </c>
      <c r="P2456" s="9"/>
    </row>
    <row r="2457">
      <c r="A2457" s="6" t="s">
        <v>6012</v>
      </c>
      <c r="B2457" s="6" t="s">
        <v>6013</v>
      </c>
      <c r="C2457" s="6" t="s">
        <v>295</v>
      </c>
      <c r="D2457" s="6" t="s">
        <v>6014</v>
      </c>
      <c r="E2457" s="6" t="s">
        <v>1743</v>
      </c>
      <c r="F2457" s="6" t="s">
        <v>152</v>
      </c>
      <c r="G2457" s="7">
        <v>0.06</v>
      </c>
      <c r="H2457" s="6" t="s">
        <v>3779</v>
      </c>
      <c r="I2457" s="6" t="s">
        <v>20</v>
      </c>
      <c r="J2457" s="6">
        <v>2021.0</v>
      </c>
      <c r="K2457" s="10">
        <v>46023.0</v>
      </c>
      <c r="L2457" s="6">
        <v>1.0</v>
      </c>
      <c r="M2457" s="8">
        <f t="shared" si="5"/>
        <v>0.06</v>
      </c>
      <c r="N2457" s="6" t="s">
        <v>6001</v>
      </c>
      <c r="P2457" s="9"/>
    </row>
    <row r="2458">
      <c r="A2458" s="6" t="s">
        <v>6015</v>
      </c>
      <c r="B2458" s="6" t="s">
        <v>3465</v>
      </c>
      <c r="C2458" s="6" t="s">
        <v>295</v>
      </c>
      <c r="D2458" s="6" t="s">
        <v>6016</v>
      </c>
      <c r="E2458" s="6" t="s">
        <v>1743</v>
      </c>
      <c r="F2458" s="6" t="s">
        <v>152</v>
      </c>
      <c r="G2458" s="7">
        <v>0.09</v>
      </c>
      <c r="H2458" s="6" t="s">
        <v>3779</v>
      </c>
      <c r="I2458" s="6" t="s">
        <v>20</v>
      </c>
      <c r="J2458" s="6">
        <v>2021.0</v>
      </c>
      <c r="K2458" s="10">
        <v>46055.0</v>
      </c>
      <c r="L2458" s="6">
        <v>1.0</v>
      </c>
      <c r="M2458" s="8">
        <f t="shared" si="5"/>
        <v>0.09</v>
      </c>
      <c r="N2458" s="6" t="s">
        <v>6001</v>
      </c>
      <c r="P2458" s="9"/>
    </row>
    <row r="2459">
      <c r="A2459" s="6" t="s">
        <v>6017</v>
      </c>
      <c r="B2459" s="6" t="s">
        <v>2058</v>
      </c>
      <c r="C2459" s="6" t="s">
        <v>1949</v>
      </c>
      <c r="D2459" s="6" t="s">
        <v>6018</v>
      </c>
      <c r="E2459" s="6" t="s">
        <v>1856</v>
      </c>
      <c r="F2459" s="6" t="s">
        <v>277</v>
      </c>
      <c r="G2459" s="7">
        <v>0.08</v>
      </c>
      <c r="H2459" s="6" t="s">
        <v>3092</v>
      </c>
      <c r="I2459" s="6" t="s">
        <v>20</v>
      </c>
      <c r="J2459" s="6">
        <v>2015.0</v>
      </c>
      <c r="L2459" s="6">
        <v>1.0</v>
      </c>
      <c r="M2459" s="8">
        <f t="shared" si="5"/>
        <v>0.08</v>
      </c>
      <c r="N2459" s="6" t="s">
        <v>6001</v>
      </c>
      <c r="P2459" s="9"/>
    </row>
    <row r="2460">
      <c r="A2460" s="6" t="s">
        <v>6019</v>
      </c>
      <c r="B2460" s="6" t="s">
        <v>2014</v>
      </c>
      <c r="C2460" s="6" t="s">
        <v>295</v>
      </c>
      <c r="D2460" s="6" t="s">
        <v>6020</v>
      </c>
      <c r="E2460" s="6" t="s">
        <v>915</v>
      </c>
      <c r="F2460" s="6" t="s">
        <v>88</v>
      </c>
      <c r="G2460" s="7">
        <v>0.03</v>
      </c>
      <c r="H2460" s="6" t="s">
        <v>1708</v>
      </c>
      <c r="I2460" s="6" t="s">
        <v>20</v>
      </c>
      <c r="J2460" s="6">
        <v>2019.0</v>
      </c>
      <c r="L2460" s="6">
        <v>1.0</v>
      </c>
      <c r="M2460" s="8">
        <f t="shared" si="5"/>
        <v>0.03</v>
      </c>
      <c r="N2460" s="6" t="s">
        <v>6001</v>
      </c>
      <c r="P2460" s="9"/>
    </row>
    <row r="2461">
      <c r="A2461" s="6" t="s">
        <v>6021</v>
      </c>
      <c r="B2461" s="6" t="s">
        <v>378</v>
      </c>
      <c r="C2461" s="6" t="s">
        <v>1949</v>
      </c>
      <c r="D2461" s="6" t="s">
        <v>6022</v>
      </c>
      <c r="E2461" s="6" t="s">
        <v>380</v>
      </c>
      <c r="F2461" s="6" t="s">
        <v>88</v>
      </c>
      <c r="G2461" s="7">
        <v>0.06</v>
      </c>
      <c r="H2461" s="6" t="s">
        <v>2467</v>
      </c>
      <c r="I2461" s="6" t="s">
        <v>20</v>
      </c>
      <c r="J2461" s="6">
        <v>2017.0</v>
      </c>
      <c r="L2461" s="6">
        <v>1.0</v>
      </c>
      <c r="M2461" s="8">
        <f t="shared" si="5"/>
        <v>0.06</v>
      </c>
      <c r="N2461" s="6" t="s">
        <v>6001</v>
      </c>
      <c r="P2461" s="9"/>
    </row>
    <row r="2462">
      <c r="A2462" s="6" t="s">
        <v>6023</v>
      </c>
      <c r="B2462" s="6" t="s">
        <v>2143</v>
      </c>
      <c r="C2462" s="6" t="s">
        <v>295</v>
      </c>
      <c r="E2462" s="6" t="s">
        <v>1032</v>
      </c>
      <c r="F2462" s="6" t="s">
        <v>80</v>
      </c>
      <c r="G2462" s="7">
        <v>0.05</v>
      </c>
      <c r="H2462" s="6" t="s">
        <v>3827</v>
      </c>
      <c r="I2462" s="6" t="s">
        <v>20</v>
      </c>
      <c r="J2462" s="6">
        <v>2016.0</v>
      </c>
      <c r="K2462" s="10">
        <v>46025.0</v>
      </c>
      <c r="L2462" s="6">
        <v>1.0</v>
      </c>
      <c r="M2462" s="8">
        <f t="shared" si="5"/>
        <v>0.05</v>
      </c>
      <c r="N2462" s="6" t="s">
        <v>6001</v>
      </c>
      <c r="P2462" s="9"/>
    </row>
    <row r="2463">
      <c r="A2463" s="6" t="s">
        <v>1963</v>
      </c>
      <c r="B2463" s="6" t="s">
        <v>1896</v>
      </c>
      <c r="C2463" s="6" t="s">
        <v>295</v>
      </c>
      <c r="D2463" s="6" t="s">
        <v>6024</v>
      </c>
      <c r="E2463" s="6" t="s">
        <v>1269</v>
      </c>
      <c r="F2463" s="6" t="s">
        <v>80</v>
      </c>
      <c r="G2463" s="7">
        <v>0.03</v>
      </c>
      <c r="H2463" s="6" t="s">
        <v>2598</v>
      </c>
      <c r="I2463" s="6" t="s">
        <v>20</v>
      </c>
      <c r="J2463" s="6">
        <v>2017.0</v>
      </c>
      <c r="L2463" s="6">
        <v>1.0</v>
      </c>
      <c r="M2463" s="8">
        <f t="shared" si="5"/>
        <v>0.03</v>
      </c>
      <c r="N2463" s="6" t="s">
        <v>6001</v>
      </c>
      <c r="P2463" s="9"/>
    </row>
    <row r="2464">
      <c r="A2464" s="6" t="s">
        <v>6025</v>
      </c>
      <c r="B2464" s="6" t="s">
        <v>294</v>
      </c>
      <c r="C2464" s="6" t="s">
        <v>1949</v>
      </c>
      <c r="D2464" s="6" t="s">
        <v>6026</v>
      </c>
      <c r="F2464" s="6" t="s">
        <v>3114</v>
      </c>
      <c r="G2464" s="7">
        <v>0.19</v>
      </c>
      <c r="H2464" s="6" t="s">
        <v>1995</v>
      </c>
      <c r="I2464" s="6" t="s">
        <v>20</v>
      </c>
      <c r="J2464" s="6">
        <v>2016.0</v>
      </c>
      <c r="L2464" s="6">
        <v>1.0</v>
      </c>
      <c r="M2464" s="8">
        <f t="shared" si="5"/>
        <v>0.19</v>
      </c>
      <c r="N2464" s="6" t="s">
        <v>6001</v>
      </c>
      <c r="P2464" s="9"/>
    </row>
    <row r="2465">
      <c r="A2465" s="6" t="s">
        <v>6027</v>
      </c>
      <c r="B2465" s="6" t="s">
        <v>3332</v>
      </c>
      <c r="C2465" s="6" t="s">
        <v>295</v>
      </c>
      <c r="D2465" s="6" t="s">
        <v>6028</v>
      </c>
      <c r="E2465" s="6" t="s">
        <v>380</v>
      </c>
      <c r="F2465" s="6" t="s">
        <v>88</v>
      </c>
      <c r="G2465" s="7">
        <v>0.12</v>
      </c>
      <c r="H2465" s="6" t="s">
        <v>3779</v>
      </c>
      <c r="I2465" s="6" t="s">
        <v>20</v>
      </c>
      <c r="J2465" s="6">
        <v>2021.0</v>
      </c>
      <c r="K2465" s="10">
        <v>46024.0</v>
      </c>
      <c r="L2465" s="6">
        <v>1.0</v>
      </c>
      <c r="M2465" s="8">
        <f t="shared" si="5"/>
        <v>0.12</v>
      </c>
      <c r="N2465" s="6" t="s">
        <v>6001</v>
      </c>
      <c r="P2465" s="9"/>
    </row>
    <row r="2466">
      <c r="A2466" s="6" t="s">
        <v>6029</v>
      </c>
      <c r="B2466" s="6" t="s">
        <v>2476</v>
      </c>
      <c r="C2466" s="6" t="s">
        <v>295</v>
      </c>
      <c r="D2466" s="6" t="s">
        <v>6030</v>
      </c>
      <c r="E2466" s="6" t="s">
        <v>2754</v>
      </c>
      <c r="F2466" s="6" t="s">
        <v>170</v>
      </c>
      <c r="G2466" s="7">
        <v>0.08</v>
      </c>
      <c r="H2466" s="6" t="s">
        <v>3779</v>
      </c>
      <c r="I2466" s="6" t="s">
        <v>20</v>
      </c>
      <c r="J2466" s="6">
        <v>2021.0</v>
      </c>
      <c r="K2466" s="10">
        <v>46026.0</v>
      </c>
      <c r="L2466" s="6">
        <v>1.0</v>
      </c>
      <c r="M2466" s="8">
        <f t="shared" si="5"/>
        <v>0.08</v>
      </c>
      <c r="N2466" s="6" t="s">
        <v>6001</v>
      </c>
      <c r="P2466" s="9"/>
    </row>
    <row r="2467">
      <c r="A2467" s="6" t="s">
        <v>6031</v>
      </c>
      <c r="B2467" s="6" t="s">
        <v>2014</v>
      </c>
      <c r="C2467" s="6" t="s">
        <v>295</v>
      </c>
      <c r="D2467" s="6" t="s">
        <v>6032</v>
      </c>
      <c r="E2467" s="6" t="s">
        <v>1954</v>
      </c>
      <c r="F2467" s="6" t="s">
        <v>18</v>
      </c>
      <c r="G2467" s="7">
        <v>0.13</v>
      </c>
      <c r="H2467" s="6" t="s">
        <v>3779</v>
      </c>
      <c r="I2467" s="6" t="s">
        <v>20</v>
      </c>
      <c r="J2467" s="6">
        <v>2021.0</v>
      </c>
      <c r="L2467" s="6">
        <v>1.0</v>
      </c>
      <c r="M2467" s="8">
        <f t="shared" si="5"/>
        <v>0.13</v>
      </c>
      <c r="N2467" s="6" t="s">
        <v>6001</v>
      </c>
      <c r="P2467" s="9"/>
    </row>
    <row r="2468">
      <c r="A2468" s="6" t="s">
        <v>6033</v>
      </c>
      <c r="B2468" s="6" t="s">
        <v>378</v>
      </c>
      <c r="C2468" s="6" t="s">
        <v>1949</v>
      </c>
      <c r="D2468" s="6" t="s">
        <v>6034</v>
      </c>
      <c r="E2468" s="6" t="s">
        <v>2292</v>
      </c>
      <c r="F2468" s="6" t="s">
        <v>18</v>
      </c>
      <c r="G2468" s="7">
        <v>0.05</v>
      </c>
      <c r="H2468" s="6" t="s">
        <v>1641</v>
      </c>
      <c r="I2468" s="6" t="s">
        <v>20</v>
      </c>
      <c r="J2468" s="6">
        <v>2019.0</v>
      </c>
      <c r="L2468" s="6">
        <v>1.0</v>
      </c>
      <c r="M2468" s="8">
        <f t="shared" si="5"/>
        <v>0.05</v>
      </c>
      <c r="N2468" s="6" t="s">
        <v>6001</v>
      </c>
      <c r="P2468" s="9"/>
    </row>
    <row r="2469">
      <c r="A2469" s="6" t="s">
        <v>6035</v>
      </c>
      <c r="B2469" s="6" t="s">
        <v>2748</v>
      </c>
      <c r="C2469" s="6" t="s">
        <v>1949</v>
      </c>
      <c r="D2469" s="6" t="s">
        <v>6036</v>
      </c>
      <c r="E2469" s="6" t="s">
        <v>6037</v>
      </c>
      <c r="F2469" s="6" t="s">
        <v>3169</v>
      </c>
      <c r="G2469" s="7">
        <v>0.08</v>
      </c>
      <c r="H2469" s="6" t="s">
        <v>1995</v>
      </c>
      <c r="I2469" s="6" t="s">
        <v>20</v>
      </c>
      <c r="J2469" s="6">
        <v>2016.0</v>
      </c>
      <c r="K2469" s="10">
        <v>46055.0</v>
      </c>
      <c r="L2469" s="6">
        <v>1.0</v>
      </c>
      <c r="M2469" s="8">
        <f t="shared" si="5"/>
        <v>0.08</v>
      </c>
      <c r="N2469" s="6" t="s">
        <v>6001</v>
      </c>
      <c r="P2469" s="9"/>
    </row>
    <row r="2470">
      <c r="A2470" s="6" t="s">
        <v>6038</v>
      </c>
      <c r="B2470" s="6" t="s">
        <v>1896</v>
      </c>
      <c r="C2470" s="6" t="s">
        <v>295</v>
      </c>
      <c r="D2470" s="6" t="s">
        <v>6039</v>
      </c>
      <c r="E2470" s="6" t="s">
        <v>1032</v>
      </c>
      <c r="F2470" s="6" t="s">
        <v>80</v>
      </c>
      <c r="G2470" s="7">
        <v>0.03</v>
      </c>
      <c r="H2470" s="6" t="s">
        <v>2598</v>
      </c>
      <c r="I2470" s="6" t="s">
        <v>20</v>
      </c>
      <c r="J2470" s="6">
        <v>2017.0</v>
      </c>
      <c r="L2470" s="6">
        <v>1.0</v>
      </c>
      <c r="M2470" s="8">
        <f t="shared" si="5"/>
        <v>0.03</v>
      </c>
      <c r="N2470" s="6" t="s">
        <v>6001</v>
      </c>
      <c r="P2470" s="9"/>
    </row>
    <row r="2471">
      <c r="A2471" s="6" t="s">
        <v>6040</v>
      </c>
      <c r="B2471" s="6" t="s">
        <v>1896</v>
      </c>
      <c r="C2471" s="6" t="s">
        <v>295</v>
      </c>
      <c r="D2471" s="6" t="s">
        <v>6041</v>
      </c>
      <c r="E2471" s="6" t="s">
        <v>1032</v>
      </c>
      <c r="F2471" s="6" t="s">
        <v>80</v>
      </c>
      <c r="G2471" s="7">
        <v>0.5</v>
      </c>
      <c r="H2471" s="6" t="s">
        <v>6042</v>
      </c>
      <c r="I2471" s="6" t="s">
        <v>20</v>
      </c>
      <c r="J2471" s="6">
        <v>2019.0</v>
      </c>
      <c r="L2471" s="6">
        <v>1.0</v>
      </c>
      <c r="M2471" s="8">
        <f t="shared" si="5"/>
        <v>0.5</v>
      </c>
      <c r="N2471" s="6" t="s">
        <v>6001</v>
      </c>
      <c r="P2471" s="9"/>
    </row>
    <row r="2472">
      <c r="A2472" s="6" t="s">
        <v>6043</v>
      </c>
      <c r="B2472" s="6" t="s">
        <v>1896</v>
      </c>
      <c r="C2472" s="6" t="s">
        <v>295</v>
      </c>
      <c r="D2472" s="6" t="s">
        <v>6044</v>
      </c>
      <c r="E2472" s="6" t="s">
        <v>1269</v>
      </c>
      <c r="F2472" s="6" t="s">
        <v>80</v>
      </c>
      <c r="G2472" s="7">
        <v>0.06</v>
      </c>
      <c r="H2472" s="6" t="s">
        <v>1956</v>
      </c>
      <c r="I2472" s="6" t="s">
        <v>20</v>
      </c>
      <c r="J2472" s="6">
        <v>2021.0</v>
      </c>
      <c r="L2472" s="6">
        <v>1.0</v>
      </c>
      <c r="M2472" s="8">
        <f t="shared" si="5"/>
        <v>0.06</v>
      </c>
      <c r="N2472" s="6" t="s">
        <v>6001</v>
      </c>
      <c r="P2472" s="9"/>
    </row>
    <row r="2473">
      <c r="A2473" s="6" t="s">
        <v>6045</v>
      </c>
      <c r="B2473" s="6" t="s">
        <v>2014</v>
      </c>
      <c r="C2473" s="6" t="s">
        <v>1949</v>
      </c>
      <c r="D2473" s="6" t="s">
        <v>6046</v>
      </c>
      <c r="E2473" s="6" t="s">
        <v>713</v>
      </c>
      <c r="F2473" s="6" t="s">
        <v>152</v>
      </c>
      <c r="G2473" s="7">
        <v>0.03</v>
      </c>
      <c r="H2473" s="6" t="s">
        <v>1641</v>
      </c>
      <c r="I2473" s="6" t="s">
        <v>20</v>
      </c>
      <c r="J2473" s="6">
        <v>2019.0</v>
      </c>
      <c r="L2473" s="6">
        <v>1.0</v>
      </c>
      <c r="M2473" s="8">
        <f t="shared" si="5"/>
        <v>0.03</v>
      </c>
      <c r="N2473" s="6" t="s">
        <v>6001</v>
      </c>
      <c r="P2473" s="9"/>
    </row>
    <row r="2474">
      <c r="A2474" s="6" t="s">
        <v>6047</v>
      </c>
      <c r="B2474" s="6" t="s">
        <v>6048</v>
      </c>
      <c r="C2474" s="6" t="s">
        <v>295</v>
      </c>
      <c r="D2474" s="6" t="s">
        <v>6049</v>
      </c>
      <c r="E2474" s="6" t="s">
        <v>1856</v>
      </c>
      <c r="F2474" s="6" t="s">
        <v>277</v>
      </c>
      <c r="G2474" s="7">
        <v>0.06</v>
      </c>
      <c r="H2474" s="6" t="s">
        <v>3779</v>
      </c>
      <c r="I2474" s="6" t="s">
        <v>20</v>
      </c>
      <c r="J2474" s="6">
        <v>2021.0</v>
      </c>
      <c r="K2474" s="10">
        <v>46055.0</v>
      </c>
      <c r="L2474" s="6">
        <v>1.0</v>
      </c>
      <c r="M2474" s="8">
        <f t="shared" si="5"/>
        <v>0.06</v>
      </c>
      <c r="N2474" s="6" t="s">
        <v>6001</v>
      </c>
      <c r="P2474" s="9"/>
    </row>
    <row r="2475">
      <c r="A2475" s="6" t="s">
        <v>6050</v>
      </c>
      <c r="B2475" s="6" t="s">
        <v>4204</v>
      </c>
      <c r="C2475" s="6" t="s">
        <v>1949</v>
      </c>
      <c r="D2475" s="6" t="s">
        <v>6051</v>
      </c>
      <c r="E2475" s="6" t="s">
        <v>1853</v>
      </c>
      <c r="F2475" s="6" t="s">
        <v>277</v>
      </c>
      <c r="G2475" s="7">
        <v>0.05</v>
      </c>
      <c r="H2475" s="6" t="s">
        <v>2202</v>
      </c>
      <c r="I2475" s="6" t="s">
        <v>20</v>
      </c>
      <c r="J2475" s="6">
        <v>2014.0</v>
      </c>
      <c r="K2475" s="10">
        <v>46146.0</v>
      </c>
      <c r="L2475" s="6">
        <v>1.0</v>
      </c>
      <c r="M2475" s="8">
        <f t="shared" si="5"/>
        <v>0.05</v>
      </c>
      <c r="N2475" s="6" t="s">
        <v>6001</v>
      </c>
      <c r="P2475" s="9"/>
    </row>
    <row r="2476">
      <c r="A2476" s="6" t="s">
        <v>6052</v>
      </c>
      <c r="B2476" s="6" t="s">
        <v>1944</v>
      </c>
      <c r="C2476" s="6" t="s">
        <v>1949</v>
      </c>
      <c r="D2476" s="6" t="s">
        <v>6053</v>
      </c>
      <c r="E2476" s="6" t="s">
        <v>380</v>
      </c>
      <c r="F2476" s="6" t="s">
        <v>88</v>
      </c>
      <c r="G2476" s="7">
        <v>0.06</v>
      </c>
      <c r="H2476" s="6" t="s">
        <v>1644</v>
      </c>
      <c r="I2476" s="6" t="s">
        <v>20</v>
      </c>
      <c r="J2476" s="6">
        <v>2018.0</v>
      </c>
      <c r="L2476" s="6">
        <v>1.0</v>
      </c>
      <c r="M2476" s="8">
        <f t="shared" si="5"/>
        <v>0.06</v>
      </c>
      <c r="N2476" s="6" t="s">
        <v>6001</v>
      </c>
      <c r="P2476" s="9"/>
    </row>
    <row r="2477">
      <c r="A2477" s="6" t="s">
        <v>6054</v>
      </c>
      <c r="B2477" s="6" t="s">
        <v>2014</v>
      </c>
      <c r="C2477" s="6" t="s">
        <v>295</v>
      </c>
      <c r="D2477" s="6" t="s">
        <v>6055</v>
      </c>
      <c r="E2477" s="6" t="s">
        <v>915</v>
      </c>
      <c r="F2477" s="6" t="s">
        <v>88</v>
      </c>
      <c r="G2477" s="7">
        <v>0.04</v>
      </c>
      <c r="H2477" s="6" t="s">
        <v>1689</v>
      </c>
      <c r="I2477" s="6" t="s">
        <v>20</v>
      </c>
      <c r="J2477" s="6">
        <v>2020.0</v>
      </c>
      <c r="L2477" s="6">
        <v>1.0</v>
      </c>
      <c r="M2477" s="8">
        <f t="shared" si="5"/>
        <v>0.04</v>
      </c>
      <c r="N2477" s="6" t="s">
        <v>6001</v>
      </c>
      <c r="P2477" s="9"/>
    </row>
    <row r="2478">
      <c r="A2478" s="6" t="s">
        <v>4381</v>
      </c>
      <c r="B2478" s="6" t="s">
        <v>378</v>
      </c>
      <c r="C2478" s="6" t="s">
        <v>295</v>
      </c>
      <c r="D2478" s="6" t="s">
        <v>4382</v>
      </c>
      <c r="E2478" s="6" t="s">
        <v>380</v>
      </c>
      <c r="F2478" s="6" t="s">
        <v>88</v>
      </c>
      <c r="G2478" s="7">
        <v>0.04</v>
      </c>
      <c r="H2478" s="6" t="s">
        <v>1641</v>
      </c>
      <c r="I2478" s="6" t="s">
        <v>20</v>
      </c>
      <c r="J2478" s="6">
        <v>2019.0</v>
      </c>
      <c r="L2478" s="6">
        <v>1.0</v>
      </c>
      <c r="M2478" s="8">
        <f t="shared" si="5"/>
        <v>0.04</v>
      </c>
      <c r="N2478" s="6" t="s">
        <v>6001</v>
      </c>
      <c r="P2478" s="9"/>
    </row>
    <row r="2479">
      <c r="A2479" s="6" t="s">
        <v>6056</v>
      </c>
      <c r="B2479" s="6" t="s">
        <v>6057</v>
      </c>
      <c r="C2479" s="6" t="s">
        <v>1949</v>
      </c>
      <c r="D2479" s="6" t="s">
        <v>6058</v>
      </c>
      <c r="E2479" s="6" t="s">
        <v>2365</v>
      </c>
      <c r="F2479" s="6" t="s">
        <v>170</v>
      </c>
      <c r="G2479" s="7">
        <v>0.03</v>
      </c>
      <c r="H2479" s="6" t="s">
        <v>1641</v>
      </c>
      <c r="I2479" s="6" t="s">
        <v>20</v>
      </c>
      <c r="J2479" s="6">
        <v>2019.0</v>
      </c>
      <c r="K2479" s="10">
        <v>46083.0</v>
      </c>
      <c r="L2479" s="6">
        <v>1.0</v>
      </c>
      <c r="M2479" s="8">
        <f t="shared" si="5"/>
        <v>0.03</v>
      </c>
      <c r="N2479" s="6" t="s">
        <v>6001</v>
      </c>
      <c r="P2479" s="9"/>
    </row>
    <row r="2480">
      <c r="A2480" s="6" t="s">
        <v>6059</v>
      </c>
      <c r="B2480" s="6" t="s">
        <v>378</v>
      </c>
      <c r="C2480" s="6" t="s">
        <v>295</v>
      </c>
      <c r="D2480" s="6" t="s">
        <v>6060</v>
      </c>
      <c r="E2480" s="6" t="s">
        <v>1954</v>
      </c>
      <c r="F2480" s="6" t="s">
        <v>18</v>
      </c>
      <c r="G2480" s="7">
        <v>0.08</v>
      </c>
      <c r="H2480" s="6" t="s">
        <v>3779</v>
      </c>
      <c r="I2480" s="6" t="s">
        <v>20</v>
      </c>
      <c r="J2480" s="6">
        <v>2021.0</v>
      </c>
      <c r="L2480" s="6">
        <v>1.0</v>
      </c>
      <c r="M2480" s="8">
        <f t="shared" si="5"/>
        <v>0.08</v>
      </c>
      <c r="N2480" s="6" t="s">
        <v>6001</v>
      </c>
      <c r="P2480" s="9"/>
    </row>
    <row r="2481">
      <c r="A2481" s="6" t="s">
        <v>6061</v>
      </c>
      <c r="B2481" s="6" t="s">
        <v>378</v>
      </c>
      <c r="C2481" s="6" t="s">
        <v>295</v>
      </c>
      <c r="D2481" s="6" t="s">
        <v>6062</v>
      </c>
      <c r="E2481" s="6" t="s">
        <v>1954</v>
      </c>
      <c r="F2481" s="6" t="s">
        <v>18</v>
      </c>
      <c r="G2481" s="7">
        <v>0.06</v>
      </c>
      <c r="H2481" s="6" t="s">
        <v>1641</v>
      </c>
      <c r="I2481" s="6" t="s">
        <v>20</v>
      </c>
      <c r="J2481" s="6">
        <v>2019.0</v>
      </c>
      <c r="L2481" s="6">
        <v>1.0</v>
      </c>
      <c r="M2481" s="8">
        <f t="shared" si="5"/>
        <v>0.06</v>
      </c>
      <c r="N2481" s="6" t="s">
        <v>6001</v>
      </c>
      <c r="P2481" s="9"/>
    </row>
    <row r="2482">
      <c r="A2482" s="6" t="s">
        <v>4198</v>
      </c>
      <c r="B2482" s="6" t="s">
        <v>2736</v>
      </c>
      <c r="C2482" s="6" t="s">
        <v>295</v>
      </c>
      <c r="D2482" s="6" t="s">
        <v>4199</v>
      </c>
      <c r="F2482" s="6" t="s">
        <v>3177</v>
      </c>
      <c r="G2482" s="7">
        <v>0.09</v>
      </c>
      <c r="H2482" s="6" t="s">
        <v>3295</v>
      </c>
      <c r="I2482" s="6" t="s">
        <v>20</v>
      </c>
      <c r="J2482" s="6">
        <v>2013.0</v>
      </c>
      <c r="L2482" s="6">
        <v>1.0</v>
      </c>
      <c r="M2482" s="8">
        <f t="shared" si="5"/>
        <v>0.09</v>
      </c>
      <c r="N2482" s="6" t="s">
        <v>6001</v>
      </c>
      <c r="P2482" s="9"/>
    </row>
    <row r="2483">
      <c r="A2483" s="6" t="s">
        <v>6063</v>
      </c>
      <c r="B2483" s="6" t="s">
        <v>1952</v>
      </c>
      <c r="C2483" s="6" t="s">
        <v>295</v>
      </c>
      <c r="D2483" s="6" t="s">
        <v>6064</v>
      </c>
      <c r="E2483" s="6" t="s">
        <v>1269</v>
      </c>
      <c r="F2483" s="6" t="s">
        <v>80</v>
      </c>
      <c r="G2483" s="7">
        <v>0.05</v>
      </c>
      <c r="H2483" s="6" t="s">
        <v>3827</v>
      </c>
      <c r="I2483" s="6" t="s">
        <v>20</v>
      </c>
      <c r="J2483" s="6">
        <v>2016.0</v>
      </c>
      <c r="L2483" s="6">
        <v>1.0</v>
      </c>
      <c r="M2483" s="8">
        <f t="shared" si="5"/>
        <v>0.05</v>
      </c>
      <c r="N2483" s="6" t="s">
        <v>6001</v>
      </c>
      <c r="P2483" s="9"/>
    </row>
    <row r="2484">
      <c r="A2484" s="6" t="s">
        <v>6065</v>
      </c>
      <c r="B2484" s="6" t="s">
        <v>1896</v>
      </c>
      <c r="C2484" s="6" t="s">
        <v>1949</v>
      </c>
      <c r="D2484" s="6" t="s">
        <v>6066</v>
      </c>
      <c r="E2484" s="6" t="s">
        <v>1269</v>
      </c>
      <c r="F2484" s="6" t="s">
        <v>80</v>
      </c>
      <c r="G2484" s="7">
        <v>0.03</v>
      </c>
      <c r="H2484" s="6" t="s">
        <v>1644</v>
      </c>
      <c r="I2484" s="6" t="s">
        <v>20</v>
      </c>
      <c r="J2484" s="6">
        <v>2018.0</v>
      </c>
      <c r="L2484" s="6">
        <v>1.0</v>
      </c>
      <c r="M2484" s="8">
        <f t="shared" si="5"/>
        <v>0.03</v>
      </c>
      <c r="N2484" s="6" t="s">
        <v>6001</v>
      </c>
      <c r="P2484" s="9"/>
    </row>
    <row r="2485">
      <c r="A2485" s="6" t="s">
        <v>6067</v>
      </c>
      <c r="B2485" s="6" t="s">
        <v>2058</v>
      </c>
      <c r="C2485" s="6" t="s">
        <v>295</v>
      </c>
      <c r="D2485" s="6" t="s">
        <v>6068</v>
      </c>
      <c r="E2485" s="6" t="s">
        <v>1779</v>
      </c>
      <c r="F2485" s="6" t="s">
        <v>152</v>
      </c>
      <c r="G2485" s="7">
        <v>0.05</v>
      </c>
      <c r="H2485" s="6" t="s">
        <v>3827</v>
      </c>
      <c r="I2485" s="6" t="s">
        <v>20</v>
      </c>
      <c r="J2485" s="6">
        <v>2016.0</v>
      </c>
      <c r="L2485" s="6">
        <v>1.0</v>
      </c>
      <c r="M2485" s="8">
        <f t="shared" si="5"/>
        <v>0.05</v>
      </c>
      <c r="N2485" s="6" t="s">
        <v>6001</v>
      </c>
      <c r="P2485" s="9"/>
    </row>
    <row r="2486">
      <c r="A2486" s="6" t="s">
        <v>6069</v>
      </c>
      <c r="B2486" s="6" t="s">
        <v>2411</v>
      </c>
      <c r="C2486" s="6" t="s">
        <v>295</v>
      </c>
      <c r="D2486" s="6" t="s">
        <v>6070</v>
      </c>
      <c r="E2486" s="6" t="s">
        <v>1755</v>
      </c>
      <c r="F2486" s="6" t="s">
        <v>152</v>
      </c>
      <c r="G2486" s="7">
        <v>0.06</v>
      </c>
      <c r="H2486" s="6" t="s">
        <v>2769</v>
      </c>
      <c r="I2486" s="6" t="s">
        <v>20</v>
      </c>
      <c r="J2486" s="6">
        <v>2015.0</v>
      </c>
      <c r="K2486" s="10">
        <v>46084.0</v>
      </c>
      <c r="L2486" s="6">
        <v>1.0</v>
      </c>
      <c r="M2486" s="8">
        <f t="shared" si="5"/>
        <v>0.06</v>
      </c>
      <c r="N2486" s="6" t="s">
        <v>6001</v>
      </c>
      <c r="P2486" s="9"/>
    </row>
    <row r="2487">
      <c r="A2487" s="6" t="s">
        <v>6071</v>
      </c>
      <c r="B2487" s="6" t="s">
        <v>2058</v>
      </c>
      <c r="C2487" s="6" t="s">
        <v>1949</v>
      </c>
      <c r="D2487" s="6" t="s">
        <v>6072</v>
      </c>
      <c r="E2487" s="6" t="s">
        <v>2350</v>
      </c>
      <c r="F2487" s="6" t="s">
        <v>170</v>
      </c>
      <c r="G2487" s="7">
        <v>0.06</v>
      </c>
      <c r="H2487" s="6" t="s">
        <v>2500</v>
      </c>
      <c r="I2487" s="6" t="s">
        <v>20</v>
      </c>
      <c r="J2487" s="6">
        <v>2015.0</v>
      </c>
      <c r="L2487" s="6">
        <v>1.0</v>
      </c>
      <c r="M2487" s="8">
        <f t="shared" si="5"/>
        <v>0.06</v>
      </c>
      <c r="N2487" s="6" t="s">
        <v>6001</v>
      </c>
      <c r="P2487" s="9"/>
    </row>
    <row r="2488">
      <c r="A2488" s="6" t="s">
        <v>2498</v>
      </c>
      <c r="B2488" s="6" t="s">
        <v>2411</v>
      </c>
      <c r="C2488" s="6" t="s">
        <v>295</v>
      </c>
      <c r="D2488" s="6" t="s">
        <v>6073</v>
      </c>
      <c r="E2488" s="6" t="s">
        <v>780</v>
      </c>
      <c r="F2488" s="6" t="s">
        <v>18</v>
      </c>
      <c r="G2488" s="7">
        <v>0.08</v>
      </c>
      <c r="H2488" s="6" t="s">
        <v>2500</v>
      </c>
      <c r="I2488" s="6" t="s">
        <v>20</v>
      </c>
      <c r="J2488" s="6">
        <v>2015.0</v>
      </c>
      <c r="K2488" s="6" t="s">
        <v>1256</v>
      </c>
      <c r="L2488" s="6">
        <v>1.0</v>
      </c>
      <c r="M2488" s="8">
        <f t="shared" si="5"/>
        <v>0.08</v>
      </c>
      <c r="N2488" s="6" t="s">
        <v>6001</v>
      </c>
      <c r="P2488" s="9"/>
    </row>
    <row r="2489">
      <c r="A2489" s="6" t="s">
        <v>6074</v>
      </c>
      <c r="B2489" s="6" t="s">
        <v>4466</v>
      </c>
      <c r="C2489" s="6" t="s">
        <v>1949</v>
      </c>
      <c r="D2489" s="6" t="s">
        <v>6075</v>
      </c>
      <c r="E2489" s="6" t="s">
        <v>1838</v>
      </c>
      <c r="F2489" s="6" t="s">
        <v>152</v>
      </c>
      <c r="G2489" s="7">
        <v>0.06</v>
      </c>
      <c r="H2489" s="6" t="s">
        <v>2500</v>
      </c>
      <c r="I2489" s="6" t="s">
        <v>20</v>
      </c>
      <c r="J2489" s="6">
        <v>2015.0</v>
      </c>
      <c r="K2489" s="10">
        <v>46084.0</v>
      </c>
      <c r="L2489" s="6">
        <v>1.0</v>
      </c>
      <c r="M2489" s="8">
        <f t="shared" si="5"/>
        <v>0.06</v>
      </c>
      <c r="N2489" s="6" t="s">
        <v>6001</v>
      </c>
      <c r="P2489" s="9"/>
    </row>
    <row r="2490">
      <c r="A2490" s="6" t="s">
        <v>6076</v>
      </c>
      <c r="B2490" s="6" t="s">
        <v>2058</v>
      </c>
      <c r="C2490" s="6" t="s">
        <v>1949</v>
      </c>
      <c r="D2490" s="6" t="s">
        <v>6077</v>
      </c>
      <c r="E2490" s="6" t="s">
        <v>2299</v>
      </c>
      <c r="F2490" s="6" t="s">
        <v>18</v>
      </c>
      <c r="G2490" s="7">
        <v>0.05</v>
      </c>
      <c r="H2490" s="6" t="s">
        <v>2202</v>
      </c>
      <c r="I2490" s="6" t="s">
        <v>20</v>
      </c>
      <c r="J2490" s="6">
        <v>2014.0</v>
      </c>
      <c r="L2490" s="6">
        <v>1.0</v>
      </c>
      <c r="M2490" s="8">
        <f t="shared" si="5"/>
        <v>0.05</v>
      </c>
      <c r="N2490" s="6" t="s">
        <v>6001</v>
      </c>
      <c r="P2490" s="9"/>
    </row>
    <row r="2491">
      <c r="A2491" s="6" t="s">
        <v>6078</v>
      </c>
      <c r="B2491" s="6" t="s">
        <v>2058</v>
      </c>
      <c r="C2491" s="6" t="s">
        <v>295</v>
      </c>
      <c r="D2491" s="6" t="s">
        <v>6079</v>
      </c>
      <c r="E2491" s="6" t="s">
        <v>3548</v>
      </c>
      <c r="F2491" s="6" t="s">
        <v>277</v>
      </c>
      <c r="G2491" s="7">
        <v>0.09</v>
      </c>
      <c r="H2491" s="6" t="s">
        <v>3779</v>
      </c>
      <c r="I2491" s="6" t="s">
        <v>20</v>
      </c>
      <c r="J2491" s="6">
        <v>2021.0</v>
      </c>
      <c r="L2491" s="6">
        <v>1.0</v>
      </c>
      <c r="M2491" s="8">
        <f t="shared" si="5"/>
        <v>0.09</v>
      </c>
      <c r="N2491" s="6" t="s">
        <v>6001</v>
      </c>
      <c r="P2491" s="9"/>
    </row>
    <row r="2492">
      <c r="A2492" s="6" t="s">
        <v>6080</v>
      </c>
      <c r="B2492" s="6" t="s">
        <v>2502</v>
      </c>
      <c r="C2492" s="6" t="s">
        <v>1949</v>
      </c>
      <c r="D2492" s="6" t="s">
        <v>6081</v>
      </c>
      <c r="E2492" s="6" t="s">
        <v>1856</v>
      </c>
      <c r="F2492" s="6" t="s">
        <v>277</v>
      </c>
      <c r="G2492" s="7">
        <v>0.03</v>
      </c>
      <c r="H2492" s="6" t="s">
        <v>1641</v>
      </c>
      <c r="I2492" s="6" t="s">
        <v>20</v>
      </c>
      <c r="J2492" s="6">
        <v>2019.0</v>
      </c>
      <c r="K2492" s="10">
        <v>46024.0</v>
      </c>
      <c r="L2492" s="6">
        <v>1.0</v>
      </c>
      <c r="M2492" s="8">
        <f t="shared" si="5"/>
        <v>0.03</v>
      </c>
      <c r="N2492" s="6" t="s">
        <v>6001</v>
      </c>
      <c r="P2492" s="9"/>
    </row>
    <row r="2493">
      <c r="A2493" s="6" t="s">
        <v>6082</v>
      </c>
      <c r="B2493" s="6" t="s">
        <v>1952</v>
      </c>
      <c r="C2493" s="6" t="s">
        <v>295</v>
      </c>
      <c r="D2493" s="6" t="s">
        <v>6083</v>
      </c>
      <c r="E2493" s="6" t="s">
        <v>1035</v>
      </c>
      <c r="F2493" s="6" t="s">
        <v>80</v>
      </c>
      <c r="G2493" s="7">
        <v>0.03</v>
      </c>
      <c r="H2493" s="6" t="s">
        <v>2552</v>
      </c>
      <c r="I2493" s="6" t="s">
        <v>20</v>
      </c>
      <c r="J2493" s="6">
        <v>2018.0</v>
      </c>
      <c r="L2493" s="6">
        <v>1.0</v>
      </c>
      <c r="M2493" s="8">
        <f t="shared" si="5"/>
        <v>0.03</v>
      </c>
      <c r="N2493" s="6" t="s">
        <v>6001</v>
      </c>
      <c r="P2493" s="9"/>
    </row>
    <row r="2494">
      <c r="A2494" s="6" t="s">
        <v>6084</v>
      </c>
      <c r="B2494" s="6" t="s">
        <v>3996</v>
      </c>
      <c r="C2494" s="6" t="s">
        <v>1949</v>
      </c>
      <c r="D2494" s="6" t="s">
        <v>6085</v>
      </c>
      <c r="E2494" s="6" t="s">
        <v>629</v>
      </c>
      <c r="F2494" s="6" t="s">
        <v>277</v>
      </c>
      <c r="G2494" s="7">
        <v>0.06</v>
      </c>
      <c r="H2494" s="6" t="s">
        <v>1644</v>
      </c>
      <c r="I2494" s="6" t="s">
        <v>20</v>
      </c>
      <c r="J2494" s="6">
        <v>2018.0</v>
      </c>
      <c r="K2494" s="10">
        <v>46023.0</v>
      </c>
      <c r="L2494" s="6">
        <v>1.0</v>
      </c>
      <c r="M2494" s="8">
        <f t="shared" si="5"/>
        <v>0.06</v>
      </c>
      <c r="N2494" s="6" t="s">
        <v>6001</v>
      </c>
      <c r="P2494" s="9"/>
    </row>
    <row r="2495">
      <c r="A2495" s="6" t="s">
        <v>6086</v>
      </c>
      <c r="B2495" s="6" t="s">
        <v>6087</v>
      </c>
      <c r="C2495" s="6" t="s">
        <v>295</v>
      </c>
      <c r="D2495" s="6" t="s">
        <v>6088</v>
      </c>
      <c r="E2495" s="6" t="s">
        <v>2326</v>
      </c>
      <c r="F2495" s="6" t="s">
        <v>88</v>
      </c>
      <c r="G2495" s="7">
        <v>0.1</v>
      </c>
      <c r="H2495" s="6" t="s">
        <v>3779</v>
      </c>
      <c r="I2495" s="6" t="s">
        <v>20</v>
      </c>
      <c r="J2495" s="6">
        <v>2021.0</v>
      </c>
      <c r="K2495" s="10">
        <v>46082.0</v>
      </c>
      <c r="L2495" s="6">
        <v>1.0</v>
      </c>
      <c r="M2495" s="8">
        <f t="shared" si="5"/>
        <v>0.1</v>
      </c>
      <c r="N2495" s="6" t="s">
        <v>6001</v>
      </c>
      <c r="P2495" s="9"/>
    </row>
    <row r="2496">
      <c r="A2496" s="6" t="s">
        <v>6089</v>
      </c>
      <c r="B2496" s="6" t="s">
        <v>378</v>
      </c>
      <c r="C2496" s="6" t="s">
        <v>295</v>
      </c>
      <c r="D2496" s="6" t="s">
        <v>6090</v>
      </c>
      <c r="E2496" s="6" t="s">
        <v>2779</v>
      </c>
      <c r="F2496" s="6" t="s">
        <v>170</v>
      </c>
      <c r="G2496" s="7">
        <v>0.04</v>
      </c>
      <c r="H2496" s="6" t="s">
        <v>1694</v>
      </c>
      <c r="I2496" s="6" t="s">
        <v>20</v>
      </c>
      <c r="J2496" s="6">
        <v>2004.0</v>
      </c>
      <c r="L2496" s="6">
        <v>1.0</v>
      </c>
      <c r="M2496" s="8">
        <f t="shared" si="5"/>
        <v>0.04</v>
      </c>
      <c r="N2496" s="6" t="s">
        <v>6001</v>
      </c>
      <c r="P2496" s="9"/>
    </row>
    <row r="2497">
      <c r="A2497" s="6" t="s">
        <v>6091</v>
      </c>
      <c r="B2497" s="6" t="s">
        <v>1896</v>
      </c>
      <c r="C2497" s="6" t="s">
        <v>295</v>
      </c>
      <c r="D2497" s="6" t="s">
        <v>6092</v>
      </c>
      <c r="E2497" s="6" t="s">
        <v>1032</v>
      </c>
      <c r="F2497" s="6" t="s">
        <v>6093</v>
      </c>
      <c r="G2497" s="7">
        <v>0.08</v>
      </c>
      <c r="H2497" s="6" t="s">
        <v>2202</v>
      </c>
      <c r="I2497" s="6" t="s">
        <v>20</v>
      </c>
      <c r="J2497" s="6">
        <v>2014.0</v>
      </c>
      <c r="L2497" s="6">
        <v>1.0</v>
      </c>
      <c r="M2497" s="8">
        <f t="shared" si="5"/>
        <v>0.08</v>
      </c>
      <c r="N2497" s="6" t="s">
        <v>6001</v>
      </c>
      <c r="P2497" s="9"/>
    </row>
    <row r="2498">
      <c r="A2498" s="6" t="s">
        <v>6094</v>
      </c>
      <c r="B2498" s="6" t="s">
        <v>6095</v>
      </c>
      <c r="C2498" s="6" t="s">
        <v>1949</v>
      </c>
      <c r="D2498" s="6" t="s">
        <v>6096</v>
      </c>
      <c r="E2498" s="6" t="s">
        <v>2287</v>
      </c>
      <c r="F2498" s="6" t="s">
        <v>277</v>
      </c>
      <c r="G2498" s="7">
        <v>0.08</v>
      </c>
      <c r="H2498" s="6" t="s">
        <v>2500</v>
      </c>
      <c r="I2498" s="6" t="s">
        <v>20</v>
      </c>
      <c r="J2498" s="6">
        <v>2015.0</v>
      </c>
      <c r="K2498" s="10">
        <v>46176.0</v>
      </c>
      <c r="L2498" s="6">
        <v>1.0</v>
      </c>
      <c r="M2498" s="8">
        <f t="shared" si="5"/>
        <v>0.08</v>
      </c>
      <c r="N2498" s="6" t="s">
        <v>6001</v>
      </c>
      <c r="P2498" s="9"/>
    </row>
    <row r="2499">
      <c r="A2499" s="6" t="s">
        <v>3431</v>
      </c>
      <c r="B2499" s="6" t="s">
        <v>3411</v>
      </c>
      <c r="C2499" s="6" t="s">
        <v>1949</v>
      </c>
      <c r="D2499" s="6" t="s">
        <v>3432</v>
      </c>
      <c r="E2499" s="6" t="s">
        <v>3433</v>
      </c>
      <c r="F2499" s="6" t="s">
        <v>3177</v>
      </c>
      <c r="G2499" s="7">
        <v>0.1</v>
      </c>
      <c r="H2499" s="6" t="s">
        <v>1641</v>
      </c>
      <c r="I2499" s="6" t="s">
        <v>20</v>
      </c>
      <c r="J2499" s="6">
        <v>2019.0</v>
      </c>
      <c r="L2499" s="6">
        <v>1.0</v>
      </c>
      <c r="M2499" s="8">
        <f t="shared" si="5"/>
        <v>0.1</v>
      </c>
      <c r="N2499" s="6" t="s">
        <v>6001</v>
      </c>
      <c r="P2499" s="9"/>
    </row>
    <row r="2500">
      <c r="A2500" s="6" t="s">
        <v>6097</v>
      </c>
      <c r="B2500" s="6" t="s">
        <v>378</v>
      </c>
      <c r="C2500" s="6" t="s">
        <v>295</v>
      </c>
      <c r="D2500" s="6" t="s">
        <v>6098</v>
      </c>
      <c r="E2500" s="6" t="s">
        <v>930</v>
      </c>
      <c r="F2500" s="6" t="s">
        <v>170</v>
      </c>
      <c r="G2500" s="7">
        <v>0.06</v>
      </c>
      <c r="H2500" s="6" t="s">
        <v>2474</v>
      </c>
      <c r="I2500" s="6" t="s">
        <v>20</v>
      </c>
      <c r="J2500" s="6">
        <v>2017.0</v>
      </c>
      <c r="L2500" s="6">
        <v>1.0</v>
      </c>
      <c r="M2500" s="8">
        <f t="shared" si="5"/>
        <v>0.06</v>
      </c>
      <c r="N2500" s="6" t="s">
        <v>6001</v>
      </c>
      <c r="P2500" s="9"/>
    </row>
    <row r="2501">
      <c r="A2501" s="6" t="s">
        <v>6099</v>
      </c>
      <c r="B2501" s="6" t="s">
        <v>2014</v>
      </c>
      <c r="C2501" s="6" t="s">
        <v>1949</v>
      </c>
      <c r="D2501" s="6" t="s">
        <v>6100</v>
      </c>
      <c r="E2501" s="6" t="s">
        <v>2365</v>
      </c>
      <c r="F2501" s="6" t="s">
        <v>170</v>
      </c>
      <c r="G2501" s="7">
        <v>0.03</v>
      </c>
      <c r="H2501" s="6" t="s">
        <v>2598</v>
      </c>
      <c r="I2501" s="6" t="s">
        <v>20</v>
      </c>
      <c r="J2501" s="6">
        <v>2017.0</v>
      </c>
      <c r="L2501" s="6">
        <v>1.0</v>
      </c>
      <c r="M2501" s="8">
        <f t="shared" si="5"/>
        <v>0.03</v>
      </c>
      <c r="N2501" s="6" t="s">
        <v>6001</v>
      </c>
      <c r="P2501" s="9"/>
    </row>
    <row r="2502">
      <c r="A2502" s="6" t="s">
        <v>6101</v>
      </c>
      <c r="B2502" s="6" t="s">
        <v>2382</v>
      </c>
      <c r="C2502" s="6" t="s">
        <v>295</v>
      </c>
      <c r="D2502" s="6" t="s">
        <v>6102</v>
      </c>
      <c r="E2502" s="6" t="s">
        <v>2342</v>
      </c>
      <c r="F2502" s="6" t="s">
        <v>170</v>
      </c>
      <c r="G2502" s="7">
        <v>0.06</v>
      </c>
      <c r="H2502" s="6" t="s">
        <v>2175</v>
      </c>
      <c r="I2502" s="6" t="s">
        <v>20</v>
      </c>
      <c r="J2502" s="6">
        <v>2018.0</v>
      </c>
      <c r="K2502" s="10">
        <v>46084.0</v>
      </c>
      <c r="L2502" s="6">
        <v>1.0</v>
      </c>
      <c r="M2502" s="8">
        <f t="shared" si="5"/>
        <v>0.06</v>
      </c>
      <c r="N2502" s="6" t="s">
        <v>6001</v>
      </c>
      <c r="P2502" s="9"/>
    </row>
    <row r="2503">
      <c r="A2503" s="6" t="s">
        <v>6103</v>
      </c>
      <c r="B2503" s="6" t="s">
        <v>2822</v>
      </c>
      <c r="C2503" s="6" t="s">
        <v>1897</v>
      </c>
      <c r="D2503" s="6" t="s">
        <v>6104</v>
      </c>
      <c r="E2503" s="6" t="s">
        <v>2365</v>
      </c>
      <c r="F2503" s="6" t="s">
        <v>170</v>
      </c>
      <c r="G2503" s="7">
        <v>1.74</v>
      </c>
      <c r="H2503" s="6" t="s">
        <v>1774</v>
      </c>
      <c r="I2503" s="6" t="s">
        <v>20</v>
      </c>
      <c r="J2503" s="6">
        <v>1995.0</v>
      </c>
      <c r="L2503" s="6">
        <v>1.0</v>
      </c>
      <c r="M2503" s="8">
        <f t="shared" si="5"/>
        <v>1.74</v>
      </c>
      <c r="P2503" s="9"/>
    </row>
    <row r="2504">
      <c r="A2504" s="6" t="s">
        <v>6105</v>
      </c>
      <c r="B2504" s="6" t="s">
        <v>2822</v>
      </c>
      <c r="C2504" s="6" t="s">
        <v>1949</v>
      </c>
      <c r="D2504" s="6" t="s">
        <v>6106</v>
      </c>
      <c r="E2504" s="6" t="s">
        <v>2350</v>
      </c>
      <c r="F2504" s="6" t="s">
        <v>170</v>
      </c>
      <c r="G2504" s="7">
        <v>0.14</v>
      </c>
      <c r="H2504" s="6" t="s">
        <v>1774</v>
      </c>
      <c r="I2504" s="6" t="s">
        <v>20</v>
      </c>
      <c r="J2504" s="6">
        <v>1995.0</v>
      </c>
      <c r="L2504" s="6">
        <v>1.0</v>
      </c>
      <c r="M2504" s="8">
        <f t="shared" si="5"/>
        <v>0.14</v>
      </c>
      <c r="P2504" s="9"/>
    </row>
    <row r="2505">
      <c r="A2505" s="6" t="s">
        <v>6107</v>
      </c>
      <c r="B2505" s="6" t="s">
        <v>2822</v>
      </c>
      <c r="C2505" s="6" t="s">
        <v>295</v>
      </c>
      <c r="D2505" s="6" t="s">
        <v>6108</v>
      </c>
      <c r="E2505" s="6" t="s">
        <v>2342</v>
      </c>
      <c r="F2505" s="6" t="s">
        <v>170</v>
      </c>
      <c r="G2505" s="7">
        <v>0.05</v>
      </c>
      <c r="H2505" s="6" t="s">
        <v>1805</v>
      </c>
      <c r="I2505" s="6" t="s">
        <v>20</v>
      </c>
      <c r="J2505" s="6">
        <v>1996.0</v>
      </c>
      <c r="L2505" s="6">
        <v>1.0</v>
      </c>
      <c r="M2505" s="8">
        <f t="shared" si="5"/>
        <v>0.05</v>
      </c>
      <c r="P2505" s="9"/>
    </row>
    <row r="2506">
      <c r="A2506" s="6" t="s">
        <v>6109</v>
      </c>
      <c r="B2506" s="6" t="s">
        <v>2822</v>
      </c>
      <c r="C2506" s="6" t="s">
        <v>295</v>
      </c>
      <c r="D2506" s="6" t="s">
        <v>6110</v>
      </c>
      <c r="E2506" s="6" t="s">
        <v>930</v>
      </c>
      <c r="F2506" s="6" t="s">
        <v>170</v>
      </c>
      <c r="G2506" s="7">
        <v>0.05</v>
      </c>
      <c r="H2506" s="6" t="s">
        <v>1774</v>
      </c>
      <c r="I2506" s="6" t="s">
        <v>20</v>
      </c>
      <c r="J2506" s="6">
        <v>1995.0</v>
      </c>
      <c r="L2506" s="6">
        <v>1.0</v>
      </c>
      <c r="M2506" s="8">
        <f t="shared" si="5"/>
        <v>0.05</v>
      </c>
      <c r="P2506" s="9"/>
    </row>
    <row r="2507">
      <c r="A2507" s="6" t="s">
        <v>6111</v>
      </c>
      <c r="B2507" s="6" t="s">
        <v>2822</v>
      </c>
      <c r="C2507" s="6" t="s">
        <v>295</v>
      </c>
      <c r="D2507" s="6" t="s">
        <v>6112</v>
      </c>
      <c r="E2507" s="6" t="s">
        <v>2342</v>
      </c>
      <c r="F2507" s="6" t="s">
        <v>170</v>
      </c>
      <c r="G2507" s="7">
        <v>0.08</v>
      </c>
      <c r="H2507" s="6" t="s">
        <v>1774</v>
      </c>
      <c r="I2507" s="6" t="s">
        <v>20</v>
      </c>
      <c r="J2507" s="6">
        <v>1995.0</v>
      </c>
      <c r="L2507" s="6">
        <v>3.0</v>
      </c>
      <c r="M2507" s="8">
        <f t="shared" si="5"/>
        <v>0.24</v>
      </c>
      <c r="P2507" s="9"/>
    </row>
    <row r="2508">
      <c r="A2508" s="6" t="s">
        <v>6113</v>
      </c>
      <c r="B2508" s="6" t="s">
        <v>1753</v>
      </c>
      <c r="C2508" s="6" t="s">
        <v>1949</v>
      </c>
      <c r="D2508" s="6" t="s">
        <v>6114</v>
      </c>
      <c r="E2508" s="6" t="s">
        <v>3913</v>
      </c>
      <c r="F2508" s="6" t="s">
        <v>170</v>
      </c>
      <c r="G2508" s="7">
        <v>1.85</v>
      </c>
      <c r="H2508" s="6" t="s">
        <v>5757</v>
      </c>
      <c r="I2508" s="6" t="s">
        <v>20</v>
      </c>
      <c r="J2508" s="6">
        <v>1995.0</v>
      </c>
      <c r="L2508" s="6">
        <v>1.0</v>
      </c>
      <c r="M2508" s="8">
        <f t="shared" si="5"/>
        <v>1.85</v>
      </c>
      <c r="P2508" s="9"/>
    </row>
    <row r="2509">
      <c r="A2509" s="6" t="s">
        <v>6113</v>
      </c>
      <c r="B2509" s="6" t="s">
        <v>1753</v>
      </c>
      <c r="C2509" s="6" t="s">
        <v>1949</v>
      </c>
      <c r="D2509" s="6" t="s">
        <v>6114</v>
      </c>
      <c r="E2509" s="6" t="s">
        <v>3913</v>
      </c>
      <c r="F2509" s="6" t="s">
        <v>170</v>
      </c>
      <c r="G2509" s="7">
        <v>0.7</v>
      </c>
      <c r="H2509" s="6" t="s">
        <v>5758</v>
      </c>
      <c r="I2509" s="6" t="s">
        <v>20</v>
      </c>
      <c r="J2509" s="6">
        <v>1995.0</v>
      </c>
      <c r="L2509" s="6">
        <v>1.0</v>
      </c>
      <c r="M2509" s="8">
        <f t="shared" si="5"/>
        <v>0.7</v>
      </c>
      <c r="P2509" s="9"/>
    </row>
    <row r="2510">
      <c r="A2510" s="6" t="s">
        <v>6115</v>
      </c>
      <c r="B2510" s="6" t="s">
        <v>2822</v>
      </c>
      <c r="C2510" s="6" t="s">
        <v>295</v>
      </c>
      <c r="D2510" s="6" t="s">
        <v>6116</v>
      </c>
      <c r="E2510" s="6" t="s">
        <v>930</v>
      </c>
      <c r="F2510" s="6" t="s">
        <v>170</v>
      </c>
      <c r="G2510" s="7">
        <v>0.17</v>
      </c>
      <c r="H2510" s="6" t="s">
        <v>5757</v>
      </c>
      <c r="I2510" s="6" t="s">
        <v>20</v>
      </c>
      <c r="J2510" s="6">
        <v>1995.0</v>
      </c>
      <c r="L2510" s="6">
        <v>4.0</v>
      </c>
      <c r="M2510" s="8">
        <f t="shared" si="5"/>
        <v>0.68</v>
      </c>
      <c r="P2510" s="9"/>
    </row>
    <row r="2511">
      <c r="A2511" s="6" t="s">
        <v>6115</v>
      </c>
      <c r="B2511" s="6" t="s">
        <v>2822</v>
      </c>
      <c r="C2511" s="6" t="s">
        <v>295</v>
      </c>
      <c r="D2511" s="6" t="s">
        <v>6116</v>
      </c>
      <c r="E2511" s="6" t="s">
        <v>930</v>
      </c>
      <c r="F2511" s="6" t="s">
        <v>170</v>
      </c>
      <c r="G2511" s="7">
        <v>0.05</v>
      </c>
      <c r="H2511" s="6" t="s">
        <v>5758</v>
      </c>
      <c r="I2511" s="6" t="s">
        <v>20</v>
      </c>
      <c r="J2511" s="6">
        <v>1995.0</v>
      </c>
      <c r="L2511" s="6">
        <v>2.0</v>
      </c>
      <c r="M2511" s="8">
        <f t="shared" si="5"/>
        <v>0.1</v>
      </c>
      <c r="P2511" s="9"/>
    </row>
    <row r="2512">
      <c r="A2512" s="6" t="s">
        <v>6117</v>
      </c>
      <c r="B2512" s="6" t="s">
        <v>2822</v>
      </c>
      <c r="C2512" s="6" t="s">
        <v>295</v>
      </c>
      <c r="D2512" s="6" t="s">
        <v>6118</v>
      </c>
      <c r="E2512" s="6" t="s">
        <v>2350</v>
      </c>
      <c r="F2512" s="6" t="s">
        <v>170</v>
      </c>
      <c r="G2512" s="7">
        <v>0.05</v>
      </c>
      <c r="H2512" s="6" t="s">
        <v>1774</v>
      </c>
      <c r="I2512" s="6" t="s">
        <v>20</v>
      </c>
      <c r="J2512" s="6">
        <v>1995.0</v>
      </c>
      <c r="L2512" s="6">
        <v>2.0</v>
      </c>
      <c r="M2512" s="8">
        <f t="shared" si="5"/>
        <v>0.1</v>
      </c>
      <c r="P2512" s="9"/>
    </row>
    <row r="2513">
      <c r="A2513" s="6" t="s">
        <v>6119</v>
      </c>
      <c r="B2513" s="6" t="s">
        <v>2014</v>
      </c>
      <c r="C2513" s="6" t="s">
        <v>295</v>
      </c>
      <c r="D2513" s="6" t="s">
        <v>6120</v>
      </c>
      <c r="E2513" s="6" t="s">
        <v>930</v>
      </c>
      <c r="F2513" s="6" t="s">
        <v>170</v>
      </c>
      <c r="G2513" s="7">
        <v>0.05</v>
      </c>
      <c r="H2513" s="6" t="s">
        <v>5758</v>
      </c>
      <c r="I2513" s="6" t="s">
        <v>20</v>
      </c>
      <c r="J2513" s="6">
        <v>1995.0</v>
      </c>
      <c r="L2513" s="6">
        <v>6.0</v>
      </c>
      <c r="M2513" s="8">
        <f t="shared" si="5"/>
        <v>0.3</v>
      </c>
      <c r="P2513" s="9"/>
    </row>
    <row r="2514">
      <c r="A2514" s="6" t="s">
        <v>6119</v>
      </c>
      <c r="B2514" s="6" t="s">
        <v>2014</v>
      </c>
      <c r="C2514" s="6" t="s">
        <v>295</v>
      </c>
      <c r="D2514" s="6" t="s">
        <v>6120</v>
      </c>
      <c r="E2514" s="6" t="s">
        <v>930</v>
      </c>
      <c r="F2514" s="6" t="s">
        <v>170</v>
      </c>
      <c r="G2514" s="7">
        <v>0.17</v>
      </c>
      <c r="H2514" s="6" t="s">
        <v>5757</v>
      </c>
      <c r="I2514" s="6" t="s">
        <v>20</v>
      </c>
      <c r="J2514" s="6">
        <v>1995.0</v>
      </c>
      <c r="L2514" s="6">
        <v>1.0</v>
      </c>
      <c r="M2514" s="8">
        <f t="shared" si="5"/>
        <v>0.17</v>
      </c>
      <c r="P2514" s="9"/>
    </row>
    <row r="2515">
      <c r="A2515" s="6" t="s">
        <v>6121</v>
      </c>
      <c r="B2515" s="6" t="s">
        <v>2822</v>
      </c>
      <c r="C2515" s="6" t="s">
        <v>1949</v>
      </c>
      <c r="D2515" s="6" t="s">
        <v>6122</v>
      </c>
      <c r="E2515" s="6" t="s">
        <v>930</v>
      </c>
      <c r="F2515" s="6" t="s">
        <v>170</v>
      </c>
      <c r="G2515" s="7">
        <v>0.43</v>
      </c>
      <c r="H2515" s="6" t="s">
        <v>5757</v>
      </c>
      <c r="I2515" s="6" t="s">
        <v>20</v>
      </c>
      <c r="J2515" s="6">
        <v>1995.0</v>
      </c>
      <c r="L2515" s="6">
        <v>1.0</v>
      </c>
      <c r="M2515" s="8">
        <f t="shared" si="5"/>
        <v>0.43</v>
      </c>
      <c r="P2515" s="9"/>
    </row>
    <row r="2516">
      <c r="A2516" s="6" t="s">
        <v>6121</v>
      </c>
      <c r="B2516" s="6" t="s">
        <v>2822</v>
      </c>
      <c r="C2516" s="6" t="s">
        <v>1949</v>
      </c>
      <c r="D2516" s="6" t="s">
        <v>6122</v>
      </c>
      <c r="E2516" s="6" t="s">
        <v>930</v>
      </c>
      <c r="F2516" s="6" t="s">
        <v>170</v>
      </c>
      <c r="G2516" s="7">
        <v>0.18</v>
      </c>
      <c r="H2516" s="6" t="s">
        <v>5758</v>
      </c>
      <c r="I2516" s="6" t="s">
        <v>20</v>
      </c>
      <c r="J2516" s="6">
        <v>1995.0</v>
      </c>
      <c r="L2516" s="6">
        <v>1.0</v>
      </c>
      <c r="M2516" s="8">
        <f t="shared" si="5"/>
        <v>0.18</v>
      </c>
      <c r="P2516" s="9"/>
    </row>
    <row r="2517">
      <c r="A2517" s="6" t="s">
        <v>6123</v>
      </c>
      <c r="B2517" s="6" t="s">
        <v>1753</v>
      </c>
      <c r="C2517" s="6" t="s">
        <v>295</v>
      </c>
      <c r="D2517" s="6" t="s">
        <v>6124</v>
      </c>
      <c r="E2517" s="6" t="s">
        <v>930</v>
      </c>
      <c r="F2517" s="6" t="s">
        <v>170</v>
      </c>
      <c r="G2517" s="7">
        <v>0.05</v>
      </c>
      <c r="H2517" s="6" t="s">
        <v>1894</v>
      </c>
      <c r="I2517" s="6" t="s">
        <v>20</v>
      </c>
      <c r="J2517" s="6">
        <v>1998.0</v>
      </c>
      <c r="L2517" s="6">
        <v>2.0</v>
      </c>
      <c r="M2517" s="8">
        <f t="shared" si="5"/>
        <v>0.1</v>
      </c>
      <c r="P2517" s="9"/>
    </row>
    <row r="2518">
      <c r="A2518" s="6" t="s">
        <v>6125</v>
      </c>
      <c r="B2518" s="6" t="s">
        <v>1753</v>
      </c>
      <c r="C2518" s="6" t="s">
        <v>1897</v>
      </c>
      <c r="D2518" s="6" t="s">
        <v>6126</v>
      </c>
      <c r="E2518" s="6" t="s">
        <v>2779</v>
      </c>
      <c r="F2518" s="6" t="s">
        <v>170</v>
      </c>
      <c r="G2518" s="7">
        <v>0.95</v>
      </c>
      <c r="H2518" s="6" t="s">
        <v>1774</v>
      </c>
      <c r="I2518" s="6" t="s">
        <v>20</v>
      </c>
      <c r="J2518" s="6">
        <v>1995.0</v>
      </c>
      <c r="L2518" s="6">
        <v>2.0</v>
      </c>
      <c r="M2518" s="8">
        <f t="shared" si="5"/>
        <v>1.9</v>
      </c>
      <c r="P2518" s="9"/>
    </row>
    <row r="2519">
      <c r="A2519" s="6" t="s">
        <v>6127</v>
      </c>
      <c r="B2519" s="6" t="s">
        <v>2822</v>
      </c>
      <c r="C2519" s="6" t="s">
        <v>295</v>
      </c>
      <c r="D2519" s="6" t="s">
        <v>6128</v>
      </c>
      <c r="E2519" s="6" t="s">
        <v>6129</v>
      </c>
      <c r="F2519" s="6" t="s">
        <v>170</v>
      </c>
      <c r="G2519" s="7">
        <v>0.09</v>
      </c>
      <c r="H2519" s="6" t="s">
        <v>5757</v>
      </c>
      <c r="I2519" s="6" t="s">
        <v>20</v>
      </c>
      <c r="J2519" s="6">
        <v>1995.0</v>
      </c>
      <c r="L2519" s="6">
        <v>2.0</v>
      </c>
      <c r="M2519" s="8">
        <f t="shared" si="5"/>
        <v>0.18</v>
      </c>
      <c r="P2519" s="9"/>
    </row>
    <row r="2520">
      <c r="A2520" s="6" t="s">
        <v>6127</v>
      </c>
      <c r="B2520" s="6" t="s">
        <v>2822</v>
      </c>
      <c r="C2520" s="6" t="s">
        <v>295</v>
      </c>
      <c r="D2520" s="6" t="s">
        <v>6128</v>
      </c>
      <c r="E2520" s="6" t="s">
        <v>6129</v>
      </c>
      <c r="F2520" s="6" t="s">
        <v>170</v>
      </c>
      <c r="G2520" s="7">
        <v>0.08</v>
      </c>
      <c r="H2520" s="6" t="s">
        <v>5758</v>
      </c>
      <c r="I2520" s="6" t="s">
        <v>20</v>
      </c>
      <c r="J2520" s="6">
        <v>1995.0</v>
      </c>
      <c r="L2520" s="6">
        <v>4.0</v>
      </c>
      <c r="M2520" s="8">
        <f t="shared" si="5"/>
        <v>0.32</v>
      </c>
      <c r="P2520" s="9"/>
    </row>
    <row r="2521">
      <c r="A2521" s="6" t="s">
        <v>6130</v>
      </c>
      <c r="B2521" s="6" t="s">
        <v>2058</v>
      </c>
      <c r="C2521" s="6" t="s">
        <v>1949</v>
      </c>
      <c r="D2521" s="6" t="s">
        <v>6131</v>
      </c>
      <c r="E2521" s="6" t="s">
        <v>2365</v>
      </c>
      <c r="F2521" s="6" t="s">
        <v>170</v>
      </c>
      <c r="G2521" s="7">
        <v>0.75</v>
      </c>
      <c r="H2521" s="6" t="s">
        <v>5757</v>
      </c>
      <c r="I2521" s="6" t="s">
        <v>20</v>
      </c>
      <c r="J2521" s="6">
        <v>1995.0</v>
      </c>
      <c r="L2521" s="6">
        <v>1.0</v>
      </c>
      <c r="M2521" s="8">
        <f t="shared" si="5"/>
        <v>0.75</v>
      </c>
      <c r="P2521" s="9"/>
    </row>
    <row r="2522">
      <c r="A2522" s="6" t="s">
        <v>6130</v>
      </c>
      <c r="B2522" s="6" t="s">
        <v>2058</v>
      </c>
      <c r="C2522" s="6" t="s">
        <v>1949</v>
      </c>
      <c r="D2522" s="6" t="s">
        <v>6131</v>
      </c>
      <c r="E2522" s="6" t="s">
        <v>2365</v>
      </c>
      <c r="F2522" s="6" t="s">
        <v>170</v>
      </c>
      <c r="G2522" s="7">
        <v>0.19</v>
      </c>
      <c r="H2522" s="6" t="s">
        <v>5758</v>
      </c>
      <c r="I2522" s="6" t="s">
        <v>20</v>
      </c>
      <c r="J2522" s="6">
        <v>1995.0</v>
      </c>
      <c r="L2522" s="6">
        <v>1.0</v>
      </c>
      <c r="M2522" s="8">
        <f t="shared" si="5"/>
        <v>0.19</v>
      </c>
      <c r="P2522" s="9"/>
    </row>
    <row r="2523">
      <c r="A2523" s="6" t="s">
        <v>6132</v>
      </c>
      <c r="B2523" s="6" t="s">
        <v>2058</v>
      </c>
      <c r="C2523" s="6" t="s">
        <v>295</v>
      </c>
      <c r="D2523" s="6" t="s">
        <v>6133</v>
      </c>
      <c r="E2523" s="6" t="s">
        <v>3883</v>
      </c>
      <c r="F2523" s="6" t="s">
        <v>170</v>
      </c>
      <c r="G2523" s="7">
        <v>0.23</v>
      </c>
      <c r="H2523" s="6" t="s">
        <v>5757</v>
      </c>
      <c r="I2523" s="6" t="s">
        <v>20</v>
      </c>
      <c r="J2523" s="6">
        <v>1995.0</v>
      </c>
      <c r="L2523" s="6">
        <v>1.0</v>
      </c>
      <c r="M2523" s="8">
        <f t="shared" si="5"/>
        <v>0.23</v>
      </c>
      <c r="P2523" s="9"/>
    </row>
    <row r="2524">
      <c r="A2524" s="6" t="s">
        <v>6132</v>
      </c>
      <c r="B2524" s="6" t="s">
        <v>2058</v>
      </c>
      <c r="C2524" s="6" t="s">
        <v>295</v>
      </c>
      <c r="D2524" s="6" t="s">
        <v>6133</v>
      </c>
      <c r="E2524" s="6" t="s">
        <v>3883</v>
      </c>
      <c r="F2524" s="6" t="s">
        <v>170</v>
      </c>
      <c r="G2524" s="7">
        <v>0.06</v>
      </c>
      <c r="H2524" s="6" t="s">
        <v>5758</v>
      </c>
      <c r="I2524" s="6" t="s">
        <v>20</v>
      </c>
      <c r="J2524" s="6">
        <v>1995.0</v>
      </c>
      <c r="L2524" s="6">
        <v>5.0</v>
      </c>
      <c r="M2524" s="8">
        <f t="shared" si="5"/>
        <v>0.3</v>
      </c>
      <c r="P2524" s="9"/>
    </row>
    <row r="2525">
      <c r="A2525" s="6" t="s">
        <v>6134</v>
      </c>
      <c r="B2525" s="6" t="s">
        <v>2058</v>
      </c>
      <c r="C2525" s="6" t="s">
        <v>295</v>
      </c>
      <c r="D2525" s="6" t="s">
        <v>6135</v>
      </c>
      <c r="E2525" s="6" t="s">
        <v>2754</v>
      </c>
      <c r="F2525" s="6" t="s">
        <v>170</v>
      </c>
      <c r="G2525" s="7">
        <v>0.26</v>
      </c>
      <c r="H2525" s="6" t="s">
        <v>6136</v>
      </c>
      <c r="I2525" s="6" t="s">
        <v>20</v>
      </c>
      <c r="J2525" s="6">
        <v>1997.0</v>
      </c>
      <c r="L2525" s="6">
        <v>1.0</v>
      </c>
      <c r="M2525" s="8">
        <f t="shared" si="5"/>
        <v>0.26</v>
      </c>
      <c r="P2525" s="9"/>
    </row>
    <row r="2526">
      <c r="A2526" s="6" t="s">
        <v>6137</v>
      </c>
      <c r="B2526" s="6" t="s">
        <v>2058</v>
      </c>
      <c r="C2526" s="6" t="s">
        <v>295</v>
      </c>
      <c r="D2526" s="6" t="s">
        <v>6138</v>
      </c>
      <c r="E2526" s="6" t="s">
        <v>2754</v>
      </c>
      <c r="F2526" s="6" t="s">
        <v>170</v>
      </c>
      <c r="G2526" s="7">
        <v>0.1</v>
      </c>
      <c r="H2526" s="6" t="s">
        <v>5758</v>
      </c>
      <c r="I2526" s="6" t="s">
        <v>20</v>
      </c>
      <c r="J2526" s="6">
        <v>1995.0</v>
      </c>
      <c r="K2526" s="6">
        <v>0.1</v>
      </c>
      <c r="L2526" s="6">
        <v>1.0</v>
      </c>
      <c r="M2526" s="8">
        <f t="shared" si="5"/>
        <v>0.1</v>
      </c>
      <c r="P2526" s="9"/>
    </row>
    <row r="2527">
      <c r="A2527" s="6" t="s">
        <v>6130</v>
      </c>
      <c r="B2527" s="6" t="s">
        <v>2058</v>
      </c>
      <c r="C2527" s="6" t="s">
        <v>1949</v>
      </c>
      <c r="D2527" s="6" t="s">
        <v>6131</v>
      </c>
      <c r="E2527" s="6" t="s">
        <v>2365</v>
      </c>
      <c r="F2527" s="6" t="s">
        <v>170</v>
      </c>
      <c r="G2527" s="7">
        <v>0.41</v>
      </c>
      <c r="H2527" s="6" t="s">
        <v>5878</v>
      </c>
      <c r="I2527" s="6" t="s">
        <v>20</v>
      </c>
      <c r="J2527" s="6">
        <v>2003.0</v>
      </c>
      <c r="L2527" s="6">
        <v>1.0</v>
      </c>
      <c r="M2527" s="8">
        <f t="shared" si="5"/>
        <v>0.41</v>
      </c>
      <c r="P2527" s="9"/>
    </row>
    <row r="2528">
      <c r="A2528" s="6" t="s">
        <v>6139</v>
      </c>
      <c r="B2528" s="6" t="s">
        <v>385</v>
      </c>
      <c r="C2528" s="6" t="s">
        <v>295</v>
      </c>
      <c r="D2528" s="6" t="s">
        <v>6140</v>
      </c>
      <c r="E2528" s="6" t="s">
        <v>6141</v>
      </c>
      <c r="F2528" s="6" t="s">
        <v>170</v>
      </c>
      <c r="G2528" s="7">
        <v>0.05</v>
      </c>
      <c r="H2528" s="6" t="s">
        <v>1805</v>
      </c>
      <c r="I2528" s="6" t="s">
        <v>20</v>
      </c>
      <c r="J2528" s="6">
        <v>1996.0</v>
      </c>
      <c r="L2528" s="6">
        <v>1.0</v>
      </c>
      <c r="M2528" s="8">
        <f t="shared" si="5"/>
        <v>0.05</v>
      </c>
      <c r="P2528" s="9"/>
    </row>
    <row r="2529">
      <c r="A2529" s="6" t="s">
        <v>6142</v>
      </c>
      <c r="B2529" s="6" t="s">
        <v>2058</v>
      </c>
      <c r="C2529" s="6" t="s">
        <v>295</v>
      </c>
      <c r="D2529" s="6" t="s">
        <v>6143</v>
      </c>
      <c r="E2529" s="6" t="s">
        <v>2342</v>
      </c>
      <c r="F2529" s="6" t="s">
        <v>170</v>
      </c>
      <c r="G2529" s="7">
        <v>0.05</v>
      </c>
      <c r="H2529" s="6" t="s">
        <v>1805</v>
      </c>
      <c r="I2529" s="6" t="s">
        <v>20</v>
      </c>
      <c r="J2529" s="6">
        <v>1996.0</v>
      </c>
      <c r="L2529" s="6">
        <v>1.0</v>
      </c>
      <c r="M2529" s="8">
        <f t="shared" si="5"/>
        <v>0.05</v>
      </c>
      <c r="P2529" s="9"/>
    </row>
    <row r="2530">
      <c r="A2530" s="6" t="s">
        <v>6144</v>
      </c>
      <c r="B2530" s="6" t="s">
        <v>2058</v>
      </c>
      <c r="C2530" s="6" t="s">
        <v>1949</v>
      </c>
      <c r="D2530" s="6" t="s">
        <v>6145</v>
      </c>
      <c r="E2530" s="6" t="s">
        <v>3883</v>
      </c>
      <c r="F2530" s="6" t="s">
        <v>170</v>
      </c>
      <c r="G2530" s="7">
        <v>0.06</v>
      </c>
      <c r="H2530" s="6" t="s">
        <v>5758</v>
      </c>
      <c r="I2530" s="6" t="s">
        <v>20</v>
      </c>
      <c r="J2530" s="6">
        <v>1995.0</v>
      </c>
      <c r="L2530" s="6">
        <v>1.0</v>
      </c>
      <c r="M2530" s="8">
        <f t="shared" si="5"/>
        <v>0.06</v>
      </c>
      <c r="P2530" s="9"/>
    </row>
    <row r="2531">
      <c r="A2531" s="6" t="s">
        <v>6146</v>
      </c>
      <c r="B2531" s="6" t="s">
        <v>385</v>
      </c>
      <c r="C2531" s="6" t="s">
        <v>295</v>
      </c>
      <c r="D2531" s="6" t="s">
        <v>6147</v>
      </c>
      <c r="E2531" s="6" t="s">
        <v>3883</v>
      </c>
      <c r="F2531" s="6" t="s">
        <v>170</v>
      </c>
      <c r="G2531" s="7">
        <v>0.05</v>
      </c>
      <c r="H2531" s="6" t="s">
        <v>1774</v>
      </c>
      <c r="I2531" s="6" t="s">
        <v>20</v>
      </c>
      <c r="J2531" s="6">
        <v>1995.0</v>
      </c>
      <c r="L2531" s="6">
        <v>1.0</v>
      </c>
      <c r="M2531" s="8">
        <f t="shared" si="5"/>
        <v>0.05</v>
      </c>
      <c r="P2531" s="9"/>
    </row>
    <row r="2532">
      <c r="A2532" s="6" t="s">
        <v>6148</v>
      </c>
      <c r="B2532" s="6" t="s">
        <v>385</v>
      </c>
      <c r="C2532" s="6" t="s">
        <v>1949</v>
      </c>
      <c r="D2532" s="6" t="s">
        <v>6149</v>
      </c>
      <c r="E2532" s="6" t="s">
        <v>6150</v>
      </c>
      <c r="F2532" s="6" t="s">
        <v>170</v>
      </c>
      <c r="G2532" s="7">
        <v>0.2</v>
      </c>
      <c r="H2532" s="6" t="s">
        <v>1774</v>
      </c>
      <c r="I2532" s="6" t="s">
        <v>20</v>
      </c>
      <c r="J2532" s="6">
        <v>1995.0</v>
      </c>
      <c r="L2532" s="6">
        <v>1.0</v>
      </c>
      <c r="M2532" s="8">
        <f t="shared" si="5"/>
        <v>0.2</v>
      </c>
      <c r="P2532" s="9"/>
    </row>
    <row r="2533">
      <c r="A2533" s="6" t="s">
        <v>6151</v>
      </c>
      <c r="B2533" s="6" t="s">
        <v>2058</v>
      </c>
      <c r="C2533" s="6" t="s">
        <v>295</v>
      </c>
      <c r="D2533" s="6" t="s">
        <v>6152</v>
      </c>
      <c r="E2533" s="6" t="s">
        <v>2365</v>
      </c>
      <c r="F2533" s="6" t="s">
        <v>170</v>
      </c>
      <c r="G2533" s="7">
        <v>0.8</v>
      </c>
      <c r="H2533" s="6" t="s">
        <v>6153</v>
      </c>
      <c r="I2533" s="6" t="s">
        <v>20</v>
      </c>
      <c r="J2533" s="6">
        <v>2002.0</v>
      </c>
      <c r="L2533" s="6">
        <v>1.0</v>
      </c>
      <c r="M2533" s="8">
        <f t="shared" si="5"/>
        <v>0.8</v>
      </c>
      <c r="P2533" s="9"/>
    </row>
    <row r="2534">
      <c r="A2534" s="6" t="s">
        <v>6154</v>
      </c>
      <c r="B2534" s="6" t="s">
        <v>385</v>
      </c>
      <c r="C2534" s="6" t="s">
        <v>295</v>
      </c>
      <c r="D2534" s="6" t="s">
        <v>6155</v>
      </c>
      <c r="E2534" s="6" t="s">
        <v>3883</v>
      </c>
      <c r="F2534" s="6" t="s">
        <v>170</v>
      </c>
      <c r="G2534" s="7">
        <v>0.8</v>
      </c>
      <c r="H2534" s="6" t="s">
        <v>1805</v>
      </c>
      <c r="I2534" s="6" t="s">
        <v>20</v>
      </c>
      <c r="J2534" s="6">
        <v>1996.0</v>
      </c>
      <c r="L2534" s="6">
        <v>1.0</v>
      </c>
      <c r="M2534" s="8">
        <f t="shared" si="5"/>
        <v>0.8</v>
      </c>
      <c r="P2534" s="9"/>
    </row>
    <row r="2535">
      <c r="A2535" s="6" t="s">
        <v>6156</v>
      </c>
      <c r="B2535" s="6" t="s">
        <v>2058</v>
      </c>
      <c r="C2535" s="6" t="s">
        <v>295</v>
      </c>
      <c r="D2535" s="6" t="s">
        <v>3892</v>
      </c>
      <c r="E2535" s="6" t="s">
        <v>2350</v>
      </c>
      <c r="F2535" s="6" t="s">
        <v>170</v>
      </c>
      <c r="G2535" s="7">
        <v>0.1</v>
      </c>
      <c r="H2535" s="6" t="s">
        <v>5757</v>
      </c>
      <c r="I2535" s="6" t="s">
        <v>20</v>
      </c>
      <c r="J2535" s="6">
        <v>1995.0</v>
      </c>
      <c r="L2535" s="6">
        <v>4.0</v>
      </c>
      <c r="M2535" s="8">
        <f t="shared" si="5"/>
        <v>0.4</v>
      </c>
      <c r="P2535" s="9"/>
    </row>
    <row r="2536">
      <c r="A2536" s="6" t="s">
        <v>6156</v>
      </c>
      <c r="B2536" s="6" t="s">
        <v>2058</v>
      </c>
      <c r="C2536" s="6" t="s">
        <v>295</v>
      </c>
      <c r="D2536" s="6" t="s">
        <v>3892</v>
      </c>
      <c r="E2536" s="6" t="s">
        <v>2350</v>
      </c>
      <c r="F2536" s="6" t="s">
        <v>170</v>
      </c>
      <c r="G2536" s="7">
        <v>0.08</v>
      </c>
      <c r="H2536" s="6" t="s">
        <v>6157</v>
      </c>
      <c r="I2536" s="6" t="s">
        <v>20</v>
      </c>
      <c r="J2536" s="6">
        <v>1995.0</v>
      </c>
      <c r="L2536" s="6">
        <v>4.0</v>
      </c>
      <c r="M2536" s="8">
        <f t="shared" si="5"/>
        <v>0.32</v>
      </c>
      <c r="P2536" s="9"/>
    </row>
    <row r="2537">
      <c r="A2537" s="6" t="s">
        <v>6156</v>
      </c>
      <c r="B2537" s="6" t="s">
        <v>2058</v>
      </c>
      <c r="C2537" s="6" t="s">
        <v>295</v>
      </c>
      <c r="D2537" s="6" t="s">
        <v>3892</v>
      </c>
      <c r="E2537" s="6" t="s">
        <v>2350</v>
      </c>
      <c r="F2537" s="6" t="s">
        <v>170</v>
      </c>
      <c r="G2537" s="7">
        <v>0.25</v>
      </c>
      <c r="H2537" s="6" t="s">
        <v>5754</v>
      </c>
      <c r="I2537" s="6" t="s">
        <v>20</v>
      </c>
      <c r="J2537" s="6">
        <v>1995.0</v>
      </c>
      <c r="L2537" s="6">
        <v>2.0</v>
      </c>
      <c r="M2537" s="8">
        <f t="shared" si="5"/>
        <v>0.5</v>
      </c>
      <c r="P2537" s="9"/>
    </row>
    <row r="2538">
      <c r="A2538" s="6" t="s">
        <v>6158</v>
      </c>
      <c r="B2538" s="6" t="s">
        <v>2058</v>
      </c>
      <c r="C2538" s="6" t="s">
        <v>295</v>
      </c>
      <c r="D2538" s="6" t="s">
        <v>6159</v>
      </c>
      <c r="E2538" s="6" t="s">
        <v>3883</v>
      </c>
      <c r="F2538" s="6" t="s">
        <v>170</v>
      </c>
      <c r="G2538" s="7">
        <v>0.1</v>
      </c>
      <c r="H2538" s="6" t="s">
        <v>6157</v>
      </c>
      <c r="I2538" s="6" t="s">
        <v>20</v>
      </c>
      <c r="J2538" s="6">
        <v>1995.0</v>
      </c>
      <c r="L2538" s="6">
        <v>4.0</v>
      </c>
      <c r="M2538" s="8">
        <f t="shared" si="5"/>
        <v>0.4</v>
      </c>
      <c r="P2538" s="9"/>
    </row>
    <row r="2539">
      <c r="A2539" s="6" t="s">
        <v>6160</v>
      </c>
      <c r="B2539" s="6" t="s">
        <v>610</v>
      </c>
      <c r="C2539" s="6" t="s">
        <v>1949</v>
      </c>
      <c r="D2539" s="6" t="s">
        <v>6161</v>
      </c>
      <c r="E2539" s="6" t="s">
        <v>3424</v>
      </c>
      <c r="F2539" s="6" t="s">
        <v>170</v>
      </c>
      <c r="G2539" s="7">
        <v>0.23</v>
      </c>
      <c r="H2539" s="6" t="s">
        <v>1805</v>
      </c>
      <c r="I2539" s="6" t="s">
        <v>20</v>
      </c>
      <c r="J2539" s="6">
        <v>1996.0</v>
      </c>
      <c r="L2539" s="6">
        <v>1.0</v>
      </c>
      <c r="M2539" s="8">
        <f t="shared" si="5"/>
        <v>0.23</v>
      </c>
      <c r="P2539" s="9"/>
    </row>
    <row r="2540">
      <c r="A2540" s="6" t="s">
        <v>6162</v>
      </c>
      <c r="B2540" s="6" t="s">
        <v>5148</v>
      </c>
      <c r="C2540" s="6" t="s">
        <v>295</v>
      </c>
      <c r="D2540" s="6" t="s">
        <v>6163</v>
      </c>
      <c r="E2540" s="6" t="s">
        <v>2318</v>
      </c>
      <c r="F2540" s="6" t="s">
        <v>88</v>
      </c>
      <c r="G2540" s="7">
        <v>0.05</v>
      </c>
      <c r="H2540" s="6" t="s">
        <v>2024</v>
      </c>
      <c r="I2540" s="6" t="s">
        <v>20</v>
      </c>
      <c r="J2540" s="6">
        <v>1996.0</v>
      </c>
      <c r="K2540" s="10">
        <v>46055.0</v>
      </c>
      <c r="L2540" s="6">
        <v>1.0</v>
      </c>
      <c r="M2540" s="8">
        <f t="shared" si="5"/>
        <v>0.05</v>
      </c>
      <c r="P2540" s="9"/>
    </row>
    <row r="2541">
      <c r="A2541" s="6" t="s">
        <v>6164</v>
      </c>
      <c r="B2541" s="6" t="s">
        <v>610</v>
      </c>
      <c r="C2541" s="6" t="s">
        <v>295</v>
      </c>
      <c r="D2541" s="6" t="s">
        <v>6165</v>
      </c>
      <c r="E2541" s="6" t="s">
        <v>2342</v>
      </c>
      <c r="F2541" s="6" t="s">
        <v>170</v>
      </c>
      <c r="G2541" s="7">
        <v>0.08</v>
      </c>
      <c r="H2541" s="6" t="s">
        <v>2089</v>
      </c>
      <c r="I2541" s="6" t="s">
        <v>20</v>
      </c>
      <c r="J2541" s="6">
        <v>1995.0</v>
      </c>
      <c r="L2541" s="6">
        <v>1.0</v>
      </c>
      <c r="M2541" s="8">
        <f t="shared" si="5"/>
        <v>0.08</v>
      </c>
      <c r="P2541" s="9"/>
    </row>
    <row r="2542">
      <c r="A2542" s="6" t="s">
        <v>6164</v>
      </c>
      <c r="B2542" s="6" t="s">
        <v>610</v>
      </c>
      <c r="C2542" s="6" t="s">
        <v>295</v>
      </c>
      <c r="D2542" s="6" t="s">
        <v>6165</v>
      </c>
      <c r="E2542" s="6" t="s">
        <v>2342</v>
      </c>
      <c r="F2542" s="6" t="s">
        <v>170</v>
      </c>
      <c r="G2542" s="7">
        <v>0.06</v>
      </c>
      <c r="H2542" s="6" t="s">
        <v>2089</v>
      </c>
      <c r="I2542" s="6" t="s">
        <v>20</v>
      </c>
      <c r="J2542" s="6">
        <v>1995.0</v>
      </c>
      <c r="L2542" s="6">
        <v>1.0</v>
      </c>
      <c r="M2542" s="8">
        <f t="shared" si="5"/>
        <v>0.06</v>
      </c>
      <c r="P2542" s="9"/>
    </row>
    <row r="2543">
      <c r="A2543" s="6" t="s">
        <v>6166</v>
      </c>
      <c r="B2543" s="6" t="s">
        <v>610</v>
      </c>
      <c r="C2543" s="6" t="s">
        <v>1949</v>
      </c>
      <c r="D2543" s="6" t="s">
        <v>6167</v>
      </c>
      <c r="E2543" s="6" t="s">
        <v>2342</v>
      </c>
      <c r="F2543" s="6" t="s">
        <v>170</v>
      </c>
      <c r="G2543" s="7">
        <v>0.16</v>
      </c>
      <c r="H2543" s="6" t="s">
        <v>1774</v>
      </c>
      <c r="I2543" s="6" t="s">
        <v>20</v>
      </c>
      <c r="J2543" s="6">
        <v>1995.0</v>
      </c>
      <c r="L2543" s="6">
        <v>1.0</v>
      </c>
      <c r="M2543" s="8">
        <f t="shared" si="5"/>
        <v>0.16</v>
      </c>
      <c r="P2543" s="9"/>
    </row>
    <row r="2544">
      <c r="A2544" s="6" t="s">
        <v>6168</v>
      </c>
      <c r="B2544" s="6" t="s">
        <v>610</v>
      </c>
      <c r="C2544" s="6" t="s">
        <v>1949</v>
      </c>
      <c r="D2544" s="6" t="s">
        <v>6169</v>
      </c>
      <c r="E2544" s="6" t="s">
        <v>930</v>
      </c>
      <c r="F2544" s="6" t="s">
        <v>170</v>
      </c>
      <c r="G2544" s="7">
        <v>0.18</v>
      </c>
      <c r="H2544" s="6" t="s">
        <v>1774</v>
      </c>
      <c r="I2544" s="6" t="s">
        <v>20</v>
      </c>
      <c r="J2544" s="6">
        <v>1995.0</v>
      </c>
      <c r="L2544" s="6">
        <v>1.0</v>
      </c>
      <c r="M2544" s="8">
        <f t="shared" si="5"/>
        <v>0.18</v>
      </c>
      <c r="P2544" s="9"/>
    </row>
    <row r="2545">
      <c r="A2545" s="6" t="s">
        <v>6170</v>
      </c>
      <c r="B2545" s="6" t="s">
        <v>378</v>
      </c>
      <c r="C2545" s="6" t="s">
        <v>1897</v>
      </c>
      <c r="D2545" s="6" t="s">
        <v>6171</v>
      </c>
      <c r="E2545" s="6" t="s">
        <v>3216</v>
      </c>
      <c r="F2545" s="6" t="s">
        <v>170</v>
      </c>
      <c r="G2545" s="7">
        <v>1.0</v>
      </c>
      <c r="H2545" s="6" t="s">
        <v>6157</v>
      </c>
      <c r="I2545" s="6" t="s">
        <v>20</v>
      </c>
      <c r="J2545" s="6">
        <v>1995.0</v>
      </c>
      <c r="L2545" s="6">
        <v>1.0</v>
      </c>
      <c r="M2545" s="8">
        <f t="shared" si="5"/>
        <v>1</v>
      </c>
      <c r="P2545" s="9"/>
    </row>
    <row r="2546">
      <c r="A2546" s="6" t="s">
        <v>6172</v>
      </c>
      <c r="B2546" s="6" t="s">
        <v>378</v>
      </c>
      <c r="C2546" s="6" t="s">
        <v>295</v>
      </c>
      <c r="D2546" s="6" t="s">
        <v>6173</v>
      </c>
      <c r="E2546" s="6" t="s">
        <v>2342</v>
      </c>
      <c r="F2546" s="6" t="s">
        <v>170</v>
      </c>
      <c r="G2546" s="7">
        <v>18.0</v>
      </c>
      <c r="H2546" s="6" t="s">
        <v>1744</v>
      </c>
      <c r="I2546" s="6" t="s">
        <v>31</v>
      </c>
      <c r="J2546" s="6">
        <v>2000.0</v>
      </c>
      <c r="L2546" s="6">
        <v>1.0</v>
      </c>
      <c r="M2546" s="8">
        <f t="shared" si="5"/>
        <v>18</v>
      </c>
      <c r="P2546" s="9"/>
    </row>
    <row r="2547">
      <c r="A2547" s="6" t="s">
        <v>6174</v>
      </c>
      <c r="B2547" s="6" t="s">
        <v>610</v>
      </c>
      <c r="C2547" s="6" t="s">
        <v>295</v>
      </c>
      <c r="D2547" s="6" t="s">
        <v>6175</v>
      </c>
      <c r="E2547" s="6" t="s">
        <v>2779</v>
      </c>
      <c r="F2547" s="6" t="s">
        <v>170</v>
      </c>
      <c r="G2547" s="7">
        <v>0.09</v>
      </c>
      <c r="H2547" s="6" t="s">
        <v>5757</v>
      </c>
      <c r="I2547" s="6" t="s">
        <v>20</v>
      </c>
      <c r="J2547" s="6">
        <v>1995.0</v>
      </c>
      <c r="L2547" s="6">
        <v>1.0</v>
      </c>
      <c r="M2547" s="8">
        <f t="shared" si="5"/>
        <v>0.09</v>
      </c>
      <c r="P2547" s="9"/>
    </row>
    <row r="2548">
      <c r="A2548" s="6" t="s">
        <v>6174</v>
      </c>
      <c r="B2548" s="6" t="s">
        <v>610</v>
      </c>
      <c r="C2548" s="6" t="s">
        <v>295</v>
      </c>
      <c r="D2548" s="6" t="s">
        <v>6175</v>
      </c>
      <c r="E2548" s="6" t="s">
        <v>2779</v>
      </c>
      <c r="F2548" s="6" t="s">
        <v>170</v>
      </c>
      <c r="G2548" s="7">
        <v>0.09</v>
      </c>
      <c r="H2548" s="6" t="s">
        <v>6157</v>
      </c>
      <c r="I2548" s="6" t="s">
        <v>20</v>
      </c>
      <c r="J2548" s="6">
        <v>1995.0</v>
      </c>
      <c r="L2548" s="6">
        <v>1.0</v>
      </c>
      <c r="M2548" s="8">
        <f t="shared" si="5"/>
        <v>0.09</v>
      </c>
      <c r="P2548" s="9"/>
    </row>
    <row r="2549">
      <c r="A2549" s="6" t="s">
        <v>6176</v>
      </c>
      <c r="B2549" s="6" t="s">
        <v>610</v>
      </c>
      <c r="C2549" s="6" t="s">
        <v>295</v>
      </c>
      <c r="D2549" s="6" t="s">
        <v>6177</v>
      </c>
      <c r="E2549" s="6" t="s">
        <v>2350</v>
      </c>
      <c r="F2549" s="6" t="s">
        <v>170</v>
      </c>
      <c r="G2549" s="7">
        <v>0.05</v>
      </c>
      <c r="H2549" s="6" t="s">
        <v>1774</v>
      </c>
      <c r="I2549" s="6" t="s">
        <v>20</v>
      </c>
      <c r="J2549" s="6">
        <v>1995.0</v>
      </c>
      <c r="L2549" s="6">
        <v>2.0</v>
      </c>
      <c r="M2549" s="8">
        <f t="shared" si="5"/>
        <v>0.1</v>
      </c>
      <c r="P2549" s="9"/>
    </row>
    <row r="2550">
      <c r="A2550" s="6" t="s">
        <v>6178</v>
      </c>
      <c r="B2550" s="6" t="s">
        <v>610</v>
      </c>
      <c r="C2550" s="6" t="s">
        <v>1949</v>
      </c>
      <c r="D2550" s="6" t="s">
        <v>6179</v>
      </c>
      <c r="E2550" s="6" t="s">
        <v>2342</v>
      </c>
      <c r="F2550" s="6" t="s">
        <v>170</v>
      </c>
      <c r="G2550" s="7">
        <v>0.3</v>
      </c>
      <c r="H2550" s="6" t="s">
        <v>5757</v>
      </c>
      <c r="I2550" s="6" t="s">
        <v>20</v>
      </c>
      <c r="J2550" s="6">
        <v>1995.0</v>
      </c>
      <c r="L2550" s="6">
        <v>4.0</v>
      </c>
      <c r="M2550" s="8">
        <f t="shared" si="5"/>
        <v>1.2</v>
      </c>
      <c r="P2550" s="9"/>
    </row>
    <row r="2551">
      <c r="A2551" s="6" t="s">
        <v>6178</v>
      </c>
      <c r="B2551" s="6" t="s">
        <v>610</v>
      </c>
      <c r="C2551" s="6" t="s">
        <v>1949</v>
      </c>
      <c r="D2551" s="6" t="s">
        <v>6179</v>
      </c>
      <c r="E2551" s="6" t="s">
        <v>2342</v>
      </c>
      <c r="F2551" s="6" t="s">
        <v>170</v>
      </c>
      <c r="G2551" s="7">
        <v>0.05</v>
      </c>
      <c r="H2551" s="6" t="s">
        <v>6157</v>
      </c>
      <c r="I2551" s="6" t="s">
        <v>20</v>
      </c>
      <c r="J2551" s="6">
        <v>1995.0</v>
      </c>
      <c r="L2551" s="6">
        <v>2.0</v>
      </c>
      <c r="M2551" s="8">
        <f t="shared" si="5"/>
        <v>0.1</v>
      </c>
      <c r="P2551" s="9"/>
    </row>
    <row r="2552">
      <c r="A2552" s="6" t="s">
        <v>6180</v>
      </c>
      <c r="B2552" s="6" t="s">
        <v>610</v>
      </c>
      <c r="C2552" s="6" t="s">
        <v>295</v>
      </c>
      <c r="D2552" s="6" t="s">
        <v>6181</v>
      </c>
      <c r="E2552" s="6" t="s">
        <v>930</v>
      </c>
      <c r="F2552" s="6" t="s">
        <v>170</v>
      </c>
      <c r="G2552" s="7">
        <v>0.05</v>
      </c>
      <c r="H2552" s="6" t="s">
        <v>1774</v>
      </c>
      <c r="I2552" s="6" t="s">
        <v>20</v>
      </c>
      <c r="J2552" s="6">
        <v>1995.0</v>
      </c>
      <c r="L2552" s="6">
        <v>3.0</v>
      </c>
      <c r="M2552" s="8">
        <f t="shared" si="5"/>
        <v>0.15</v>
      </c>
      <c r="P2552" s="9"/>
    </row>
    <row r="2553">
      <c r="A2553" s="6" t="s">
        <v>6182</v>
      </c>
      <c r="B2553" s="6" t="s">
        <v>610</v>
      </c>
      <c r="C2553" s="6" t="s">
        <v>295</v>
      </c>
      <c r="D2553" s="6" t="s">
        <v>6183</v>
      </c>
      <c r="E2553" s="6" t="s">
        <v>930</v>
      </c>
      <c r="F2553" s="6" t="s">
        <v>170</v>
      </c>
      <c r="G2553" s="7">
        <v>1.43</v>
      </c>
      <c r="H2553" s="6" t="s">
        <v>5765</v>
      </c>
      <c r="I2553" s="6" t="s">
        <v>20</v>
      </c>
      <c r="J2553" s="6">
        <v>1995.0</v>
      </c>
      <c r="L2553" s="6">
        <v>2.0</v>
      </c>
      <c r="M2553" s="8">
        <f t="shared" si="5"/>
        <v>2.86</v>
      </c>
      <c r="P2553" s="9"/>
    </row>
    <row r="2554">
      <c r="A2554" s="6" t="s">
        <v>6184</v>
      </c>
      <c r="B2554" s="6" t="s">
        <v>378</v>
      </c>
      <c r="C2554" s="6" t="s">
        <v>1949</v>
      </c>
      <c r="D2554" s="6" t="s">
        <v>6185</v>
      </c>
      <c r="E2554" s="6" t="s">
        <v>930</v>
      </c>
      <c r="F2554" s="6" t="s">
        <v>170</v>
      </c>
      <c r="G2554" s="7">
        <v>0.44</v>
      </c>
      <c r="H2554" s="6" t="s">
        <v>1819</v>
      </c>
      <c r="I2554" s="6" t="s">
        <v>20</v>
      </c>
      <c r="J2554" s="6">
        <v>1995.0</v>
      </c>
      <c r="L2554" s="6">
        <v>1.0</v>
      </c>
      <c r="M2554" s="8">
        <f t="shared" si="5"/>
        <v>0.44</v>
      </c>
      <c r="P2554" s="9"/>
    </row>
    <row r="2555">
      <c r="A2555" s="6" t="s">
        <v>6184</v>
      </c>
      <c r="B2555" s="6" t="s">
        <v>378</v>
      </c>
      <c r="C2555" s="6" t="s">
        <v>1949</v>
      </c>
      <c r="D2555" s="6" t="s">
        <v>6185</v>
      </c>
      <c r="E2555" s="6" t="s">
        <v>930</v>
      </c>
      <c r="F2555" s="6" t="s">
        <v>170</v>
      </c>
      <c r="G2555" s="7">
        <v>0.14</v>
      </c>
      <c r="H2555" s="6" t="s">
        <v>1818</v>
      </c>
      <c r="I2555" s="6" t="s">
        <v>20</v>
      </c>
      <c r="J2555" s="6">
        <v>1995.0</v>
      </c>
      <c r="L2555" s="6">
        <v>1.0</v>
      </c>
      <c r="M2555" s="8">
        <f t="shared" si="5"/>
        <v>0.14</v>
      </c>
      <c r="P2555" s="9"/>
    </row>
    <row r="2556">
      <c r="A2556" s="6" t="s">
        <v>3840</v>
      </c>
      <c r="B2556" s="6" t="s">
        <v>378</v>
      </c>
      <c r="C2556" s="6" t="s">
        <v>295</v>
      </c>
      <c r="D2556" s="6" t="s">
        <v>6186</v>
      </c>
      <c r="E2556" s="6" t="s">
        <v>2342</v>
      </c>
      <c r="F2556" s="6" t="s">
        <v>170</v>
      </c>
      <c r="G2556" s="7">
        <v>0.25</v>
      </c>
      <c r="H2556" s="6" t="s">
        <v>1819</v>
      </c>
      <c r="I2556" s="6" t="s">
        <v>20</v>
      </c>
      <c r="J2556" s="6">
        <v>1995.0</v>
      </c>
      <c r="L2556" s="6">
        <v>2.0</v>
      </c>
      <c r="M2556" s="8">
        <f t="shared" si="5"/>
        <v>0.5</v>
      </c>
      <c r="P2556" s="9"/>
    </row>
    <row r="2557">
      <c r="A2557" s="6" t="s">
        <v>3840</v>
      </c>
      <c r="B2557" s="6" t="s">
        <v>378</v>
      </c>
      <c r="C2557" s="6" t="s">
        <v>295</v>
      </c>
      <c r="D2557" s="6" t="s">
        <v>6186</v>
      </c>
      <c r="E2557" s="6" t="s">
        <v>2342</v>
      </c>
      <c r="F2557" s="6" t="s">
        <v>170</v>
      </c>
      <c r="G2557" s="7">
        <v>0.06</v>
      </c>
      <c r="H2557" s="6" t="s">
        <v>5754</v>
      </c>
      <c r="I2557" s="6" t="s">
        <v>20</v>
      </c>
      <c r="J2557" s="6">
        <v>1994.0</v>
      </c>
      <c r="L2557" s="6">
        <v>3.0</v>
      </c>
      <c r="M2557" s="8">
        <f t="shared" si="5"/>
        <v>0.18</v>
      </c>
      <c r="P2557" s="9"/>
    </row>
    <row r="2558">
      <c r="A2558" s="6" t="s">
        <v>3840</v>
      </c>
      <c r="B2558" s="6" t="s">
        <v>378</v>
      </c>
      <c r="C2558" s="6" t="s">
        <v>295</v>
      </c>
      <c r="D2558" s="6" t="s">
        <v>6186</v>
      </c>
      <c r="E2558" s="6" t="s">
        <v>2342</v>
      </c>
      <c r="F2558" s="6" t="s">
        <v>170</v>
      </c>
      <c r="G2558" s="7">
        <v>0.05</v>
      </c>
      <c r="H2558" s="6" t="s">
        <v>1818</v>
      </c>
      <c r="I2558" s="6" t="s">
        <v>20</v>
      </c>
      <c r="J2558" s="6">
        <v>1995.0</v>
      </c>
      <c r="L2558" s="6">
        <v>3.0</v>
      </c>
      <c r="M2558" s="8">
        <f t="shared" si="5"/>
        <v>0.15</v>
      </c>
      <c r="P2558" s="9"/>
    </row>
    <row r="2559">
      <c r="A2559" s="6" t="s">
        <v>6187</v>
      </c>
      <c r="B2559" s="6" t="s">
        <v>378</v>
      </c>
      <c r="C2559" s="6" t="s">
        <v>295</v>
      </c>
      <c r="D2559" s="6" t="s">
        <v>6188</v>
      </c>
      <c r="E2559" s="6" t="s">
        <v>2350</v>
      </c>
      <c r="F2559" s="6" t="s">
        <v>170</v>
      </c>
      <c r="G2559" s="7">
        <v>0.05</v>
      </c>
      <c r="H2559" s="6" t="s">
        <v>1774</v>
      </c>
      <c r="I2559" s="6" t="s">
        <v>20</v>
      </c>
      <c r="J2559" s="6">
        <v>1995.0</v>
      </c>
      <c r="L2559" s="6">
        <v>3.0</v>
      </c>
      <c r="M2559" s="8">
        <f t="shared" si="5"/>
        <v>0.15</v>
      </c>
      <c r="P2559" s="9"/>
    </row>
    <row r="2560">
      <c r="A2560" s="6" t="s">
        <v>6189</v>
      </c>
      <c r="B2560" s="6" t="s">
        <v>385</v>
      </c>
      <c r="C2560" s="6" t="s">
        <v>1949</v>
      </c>
      <c r="D2560" s="6" t="s">
        <v>6190</v>
      </c>
      <c r="E2560" s="6" t="s">
        <v>3424</v>
      </c>
      <c r="F2560" s="6" t="s">
        <v>170</v>
      </c>
      <c r="G2560" s="7">
        <v>0.12</v>
      </c>
      <c r="H2560" s="6" t="s">
        <v>2089</v>
      </c>
      <c r="I2560" s="6" t="s">
        <v>20</v>
      </c>
      <c r="J2560" s="6">
        <v>1995.0</v>
      </c>
      <c r="L2560" s="6">
        <v>1.0</v>
      </c>
      <c r="M2560" s="8">
        <f t="shared" si="5"/>
        <v>0.12</v>
      </c>
      <c r="P2560" s="9"/>
    </row>
    <row r="2561">
      <c r="A2561" s="6" t="s">
        <v>6156</v>
      </c>
      <c r="B2561" s="6" t="s">
        <v>2058</v>
      </c>
      <c r="C2561" s="6" t="s">
        <v>295</v>
      </c>
      <c r="D2561" s="6" t="s">
        <v>3892</v>
      </c>
      <c r="E2561" s="6" t="s">
        <v>2350</v>
      </c>
      <c r="F2561" s="6" t="s">
        <v>170</v>
      </c>
      <c r="G2561" s="7">
        <v>0.25</v>
      </c>
      <c r="H2561" s="6" t="s">
        <v>1774</v>
      </c>
      <c r="I2561" s="6" t="s">
        <v>20</v>
      </c>
      <c r="J2561" s="6">
        <v>1995.0</v>
      </c>
      <c r="L2561" s="6">
        <v>3.0</v>
      </c>
      <c r="M2561" s="8">
        <f t="shared" si="5"/>
        <v>0.75</v>
      </c>
      <c r="P2561" s="9"/>
    </row>
    <row r="2562">
      <c r="A2562" s="6" t="s">
        <v>6191</v>
      </c>
      <c r="B2562" s="6" t="s">
        <v>6192</v>
      </c>
      <c r="C2562" s="6" t="s">
        <v>295</v>
      </c>
      <c r="D2562" s="6" t="s">
        <v>6193</v>
      </c>
      <c r="E2562" s="6" t="s">
        <v>2342</v>
      </c>
      <c r="F2562" s="6" t="s">
        <v>170</v>
      </c>
      <c r="G2562" s="7">
        <v>0.17</v>
      </c>
      <c r="H2562" s="6" t="s">
        <v>1819</v>
      </c>
      <c r="I2562" s="6" t="s">
        <v>20</v>
      </c>
      <c r="J2562" s="6">
        <v>1995.0</v>
      </c>
      <c r="L2562" s="6">
        <v>6.0</v>
      </c>
      <c r="M2562" s="8">
        <f t="shared" si="5"/>
        <v>1.02</v>
      </c>
      <c r="P2562" s="9"/>
    </row>
    <row r="2563">
      <c r="A2563" s="6" t="s">
        <v>6191</v>
      </c>
      <c r="B2563" s="6" t="s">
        <v>6192</v>
      </c>
      <c r="C2563" s="6" t="s">
        <v>295</v>
      </c>
      <c r="D2563" s="6" t="s">
        <v>6193</v>
      </c>
      <c r="E2563" s="6" t="s">
        <v>2342</v>
      </c>
      <c r="F2563" s="6" t="s">
        <v>170</v>
      </c>
      <c r="G2563" s="7">
        <v>0.05</v>
      </c>
      <c r="H2563" s="6" t="s">
        <v>1818</v>
      </c>
      <c r="I2563" s="6" t="s">
        <v>20</v>
      </c>
      <c r="J2563" s="6">
        <v>1995.0</v>
      </c>
      <c r="L2563" s="6">
        <v>2.0</v>
      </c>
      <c r="M2563" s="8">
        <f t="shared" si="5"/>
        <v>0.1</v>
      </c>
      <c r="P2563" s="9"/>
    </row>
    <row r="2564">
      <c r="A2564" s="6" t="s">
        <v>6194</v>
      </c>
      <c r="B2564" s="6" t="s">
        <v>6192</v>
      </c>
      <c r="C2564" s="6" t="s">
        <v>295</v>
      </c>
      <c r="D2564" s="6" t="s">
        <v>6195</v>
      </c>
      <c r="E2564" s="6" t="s">
        <v>930</v>
      </c>
      <c r="F2564" s="6" t="s">
        <v>170</v>
      </c>
      <c r="G2564" s="7">
        <v>0.15</v>
      </c>
      <c r="H2564" s="6" t="s">
        <v>1771</v>
      </c>
      <c r="I2564" s="6" t="s">
        <v>20</v>
      </c>
      <c r="J2564" s="6">
        <v>1995.0</v>
      </c>
      <c r="L2564" s="6">
        <v>3.0</v>
      </c>
      <c r="M2564" s="8">
        <f t="shared" si="5"/>
        <v>0.45</v>
      </c>
      <c r="P2564" s="9"/>
    </row>
    <row r="2565">
      <c r="A2565" s="6" t="s">
        <v>6196</v>
      </c>
      <c r="B2565" s="6" t="s">
        <v>1753</v>
      </c>
      <c r="C2565" s="6" t="s">
        <v>1949</v>
      </c>
      <c r="D2565" s="6" t="s">
        <v>6197</v>
      </c>
      <c r="E2565" s="6" t="s">
        <v>2365</v>
      </c>
      <c r="F2565" s="6" t="s">
        <v>170</v>
      </c>
      <c r="G2565" s="7">
        <v>0.1</v>
      </c>
      <c r="H2565" s="6" t="s">
        <v>1774</v>
      </c>
      <c r="I2565" s="6" t="s">
        <v>20</v>
      </c>
      <c r="J2565" s="6">
        <v>1995.0</v>
      </c>
      <c r="L2565" s="6">
        <v>1.0</v>
      </c>
      <c r="M2565" s="8">
        <f t="shared" si="5"/>
        <v>0.1</v>
      </c>
      <c r="P2565" s="9"/>
    </row>
    <row r="2566">
      <c r="A2566" s="6" t="s">
        <v>6198</v>
      </c>
      <c r="B2566" s="6" t="s">
        <v>6199</v>
      </c>
      <c r="C2566" s="6" t="s">
        <v>295</v>
      </c>
      <c r="D2566" s="6" t="s">
        <v>6200</v>
      </c>
      <c r="E2566" s="6" t="s">
        <v>2350</v>
      </c>
      <c r="F2566" s="6" t="s">
        <v>170</v>
      </c>
      <c r="G2566" s="7">
        <v>0.05</v>
      </c>
      <c r="H2566" s="6" t="s">
        <v>1774</v>
      </c>
      <c r="I2566" s="6" t="s">
        <v>20</v>
      </c>
      <c r="J2566" s="6">
        <v>1995.0</v>
      </c>
      <c r="K2566" s="10">
        <v>46054.0</v>
      </c>
      <c r="L2566" s="6">
        <v>3.0</v>
      </c>
      <c r="M2566" s="8">
        <f t="shared" si="5"/>
        <v>0.15</v>
      </c>
      <c r="P2566" s="9"/>
    </row>
    <row r="2567">
      <c r="A2567" s="6" t="s">
        <v>6201</v>
      </c>
      <c r="B2567" s="6" t="s">
        <v>6202</v>
      </c>
      <c r="C2567" s="6" t="s">
        <v>295</v>
      </c>
      <c r="D2567" s="6" t="s">
        <v>1731</v>
      </c>
      <c r="E2567" s="6" t="s">
        <v>2350</v>
      </c>
      <c r="F2567" s="6" t="s">
        <v>170</v>
      </c>
      <c r="G2567" s="7">
        <v>0.06</v>
      </c>
      <c r="H2567" s="6" t="s">
        <v>1819</v>
      </c>
      <c r="I2567" s="6" t="s">
        <v>20</v>
      </c>
      <c r="J2567" s="6">
        <v>1995.0</v>
      </c>
      <c r="K2567" s="10">
        <v>46054.0</v>
      </c>
      <c r="L2567" s="6">
        <v>4.0</v>
      </c>
      <c r="M2567" s="8">
        <f t="shared" si="5"/>
        <v>0.24</v>
      </c>
      <c r="P2567" s="9"/>
    </row>
    <row r="2568">
      <c r="A2568" s="6" t="s">
        <v>6201</v>
      </c>
      <c r="B2568" s="6" t="s">
        <v>6202</v>
      </c>
      <c r="C2568" s="6" t="s">
        <v>295</v>
      </c>
      <c r="D2568" s="6" t="s">
        <v>1731</v>
      </c>
      <c r="E2568" s="6" t="s">
        <v>2350</v>
      </c>
      <c r="F2568" s="6" t="s">
        <v>170</v>
      </c>
      <c r="G2568" s="7">
        <v>0.03</v>
      </c>
      <c r="H2568" s="6" t="s">
        <v>1818</v>
      </c>
      <c r="I2568" s="6" t="s">
        <v>20</v>
      </c>
      <c r="J2568" s="6">
        <v>1995.0</v>
      </c>
      <c r="K2568" s="10">
        <v>46054.0</v>
      </c>
      <c r="L2568" s="6">
        <v>4.0</v>
      </c>
      <c r="M2568" s="8">
        <f t="shared" si="5"/>
        <v>0.12</v>
      </c>
      <c r="P2568" s="9"/>
    </row>
    <row r="2569">
      <c r="A2569" s="6" t="s">
        <v>6203</v>
      </c>
      <c r="B2569" s="6" t="s">
        <v>5513</v>
      </c>
      <c r="C2569" s="6" t="s">
        <v>1949</v>
      </c>
      <c r="D2569" s="6" t="s">
        <v>6204</v>
      </c>
      <c r="E2569" s="6" t="s">
        <v>930</v>
      </c>
      <c r="F2569" s="6" t="s">
        <v>170</v>
      </c>
      <c r="G2569" s="7">
        <v>0.23</v>
      </c>
      <c r="H2569" s="6" t="s">
        <v>1818</v>
      </c>
      <c r="I2569" s="6" t="s">
        <v>20</v>
      </c>
      <c r="J2569" s="6">
        <v>1995.0</v>
      </c>
      <c r="K2569" s="10">
        <v>46023.0</v>
      </c>
      <c r="L2569" s="6">
        <v>2.0</v>
      </c>
      <c r="M2569" s="8">
        <f t="shared" si="5"/>
        <v>0.46</v>
      </c>
      <c r="P2569" s="9"/>
    </row>
    <row r="2570">
      <c r="A2570" s="6" t="s">
        <v>6205</v>
      </c>
      <c r="B2570" s="6" t="s">
        <v>6206</v>
      </c>
      <c r="C2570" s="6" t="s">
        <v>295</v>
      </c>
      <c r="D2570" s="6" t="s">
        <v>6207</v>
      </c>
      <c r="E2570" s="6" t="s">
        <v>2350</v>
      </c>
      <c r="F2570" s="6" t="s">
        <v>170</v>
      </c>
      <c r="G2570" s="7">
        <v>0.2</v>
      </c>
      <c r="H2570" s="6" t="s">
        <v>1780</v>
      </c>
      <c r="I2570" s="6" t="s">
        <v>20</v>
      </c>
      <c r="J2570" s="6">
        <v>1994.0</v>
      </c>
      <c r="K2570" s="10">
        <v>46055.0</v>
      </c>
      <c r="L2570" s="6">
        <v>2.0</v>
      </c>
      <c r="M2570" s="8">
        <f t="shared" si="5"/>
        <v>0.4</v>
      </c>
      <c r="P2570" s="9"/>
    </row>
    <row r="2571">
      <c r="A2571" s="6" t="s">
        <v>6205</v>
      </c>
      <c r="B2571" s="6" t="s">
        <v>6206</v>
      </c>
      <c r="C2571" s="6" t="s">
        <v>295</v>
      </c>
      <c r="D2571" s="6" t="s">
        <v>6207</v>
      </c>
      <c r="E2571" s="6" t="s">
        <v>2350</v>
      </c>
      <c r="F2571" s="6" t="s">
        <v>170</v>
      </c>
      <c r="G2571" s="7">
        <v>0.24</v>
      </c>
      <c r="H2571" s="6" t="s">
        <v>1780</v>
      </c>
      <c r="I2571" s="6" t="s">
        <v>20</v>
      </c>
      <c r="J2571" s="6">
        <v>1994.0</v>
      </c>
      <c r="K2571" s="10">
        <v>46055.0</v>
      </c>
      <c r="L2571" s="6">
        <v>1.0</v>
      </c>
      <c r="M2571" s="8">
        <f t="shared" si="5"/>
        <v>0.24</v>
      </c>
      <c r="P2571" s="9"/>
    </row>
    <row r="2572">
      <c r="A2572" s="6" t="s">
        <v>6205</v>
      </c>
      <c r="B2572" s="6" t="s">
        <v>6206</v>
      </c>
      <c r="C2572" s="6" t="s">
        <v>295</v>
      </c>
      <c r="D2572" s="6" t="s">
        <v>6207</v>
      </c>
      <c r="E2572" s="6" t="s">
        <v>2350</v>
      </c>
      <c r="F2572" s="6" t="s">
        <v>170</v>
      </c>
      <c r="G2572" s="7">
        <v>0.2</v>
      </c>
      <c r="H2572" s="6" t="s">
        <v>1780</v>
      </c>
      <c r="I2572" s="6" t="s">
        <v>20</v>
      </c>
      <c r="J2572" s="6">
        <v>1994.0</v>
      </c>
      <c r="K2572" s="10">
        <v>46055.0</v>
      </c>
      <c r="L2572" s="6">
        <v>1.0</v>
      </c>
      <c r="M2572" s="8">
        <f t="shared" si="5"/>
        <v>0.2</v>
      </c>
      <c r="P2572" s="9"/>
    </row>
    <row r="2573">
      <c r="A2573" s="6" t="s">
        <v>6208</v>
      </c>
      <c r="B2573" s="6" t="s">
        <v>2589</v>
      </c>
      <c r="C2573" s="6" t="s">
        <v>1949</v>
      </c>
      <c r="D2573" s="6" t="s">
        <v>6209</v>
      </c>
      <c r="E2573" s="6" t="s">
        <v>2350</v>
      </c>
      <c r="F2573" s="6" t="s">
        <v>170</v>
      </c>
      <c r="G2573" s="7">
        <v>0.48</v>
      </c>
      <c r="H2573" s="6" t="s">
        <v>1819</v>
      </c>
      <c r="I2573" s="6" t="s">
        <v>20</v>
      </c>
      <c r="J2573" s="6">
        <v>1995.0</v>
      </c>
      <c r="K2573" s="10">
        <v>46055.0</v>
      </c>
      <c r="L2573" s="6">
        <v>1.0</v>
      </c>
      <c r="M2573" s="8">
        <f t="shared" si="5"/>
        <v>0.48</v>
      </c>
      <c r="P2573" s="9"/>
    </row>
    <row r="2574">
      <c r="A2574" s="6" t="s">
        <v>6208</v>
      </c>
      <c r="B2574" s="6" t="s">
        <v>2589</v>
      </c>
      <c r="C2574" s="6" t="s">
        <v>1949</v>
      </c>
      <c r="D2574" s="6" t="s">
        <v>6209</v>
      </c>
      <c r="E2574" s="6" t="s">
        <v>2350</v>
      </c>
      <c r="F2574" s="6" t="s">
        <v>170</v>
      </c>
      <c r="G2574" s="7">
        <v>0.2</v>
      </c>
      <c r="H2574" s="6" t="s">
        <v>6210</v>
      </c>
      <c r="I2574" s="6" t="s">
        <v>20</v>
      </c>
      <c r="J2574" s="6">
        <v>1995.0</v>
      </c>
      <c r="K2574" s="10">
        <v>46055.0</v>
      </c>
      <c r="L2574" s="6">
        <v>2.0</v>
      </c>
      <c r="M2574" s="8">
        <f t="shared" si="5"/>
        <v>0.4</v>
      </c>
      <c r="P2574" s="9"/>
    </row>
    <row r="2575">
      <c r="A2575" s="6" t="s">
        <v>6211</v>
      </c>
      <c r="B2575" s="6" t="s">
        <v>6212</v>
      </c>
      <c r="C2575" s="6" t="s">
        <v>295</v>
      </c>
      <c r="E2575" s="6" t="s">
        <v>2365</v>
      </c>
      <c r="F2575" s="6" t="s">
        <v>170</v>
      </c>
      <c r="G2575" s="7">
        <v>0.04</v>
      </c>
      <c r="H2575" s="6" t="s">
        <v>1774</v>
      </c>
      <c r="I2575" s="6" t="s">
        <v>20</v>
      </c>
      <c r="J2575" s="6">
        <v>1995.0</v>
      </c>
      <c r="K2575" s="10">
        <v>46084.0</v>
      </c>
      <c r="L2575" s="6">
        <v>2.0</v>
      </c>
      <c r="M2575" s="8">
        <f t="shared" si="5"/>
        <v>0.08</v>
      </c>
      <c r="P2575" s="9"/>
    </row>
    <row r="2576">
      <c r="A2576" s="6" t="s">
        <v>6213</v>
      </c>
      <c r="B2576" s="6" t="s">
        <v>6212</v>
      </c>
      <c r="C2576" s="6" t="s">
        <v>1949</v>
      </c>
      <c r="D2576" s="6" t="s">
        <v>6214</v>
      </c>
      <c r="E2576" s="6" t="s">
        <v>6215</v>
      </c>
      <c r="F2576" s="6" t="s">
        <v>170</v>
      </c>
      <c r="G2576" s="7">
        <v>0.1</v>
      </c>
      <c r="H2576" s="6" t="s">
        <v>1774</v>
      </c>
      <c r="I2576" s="6" t="s">
        <v>20</v>
      </c>
      <c r="J2576" s="6">
        <v>1995.0</v>
      </c>
      <c r="K2576" s="10">
        <v>46084.0</v>
      </c>
      <c r="L2576" s="6">
        <v>1.0</v>
      </c>
      <c r="M2576" s="8">
        <f t="shared" si="5"/>
        <v>0.1</v>
      </c>
      <c r="P2576" s="9"/>
    </row>
    <row r="2577">
      <c r="A2577" s="6" t="s">
        <v>6216</v>
      </c>
      <c r="B2577" s="6" t="s">
        <v>2662</v>
      </c>
      <c r="C2577" s="6" t="s">
        <v>295</v>
      </c>
      <c r="E2577" s="6" t="s">
        <v>2365</v>
      </c>
      <c r="F2577" s="6" t="s">
        <v>170</v>
      </c>
      <c r="G2577" s="7">
        <v>0.08</v>
      </c>
      <c r="H2577" s="6" t="s">
        <v>1819</v>
      </c>
      <c r="I2577" s="6" t="s">
        <v>20</v>
      </c>
      <c r="J2577" s="6">
        <v>1995.0</v>
      </c>
      <c r="K2577" s="10">
        <v>46055.0</v>
      </c>
      <c r="L2577" s="6">
        <v>3.0</v>
      </c>
      <c r="M2577" s="8">
        <f t="shared" si="5"/>
        <v>0.24</v>
      </c>
      <c r="P2577" s="9"/>
    </row>
    <row r="2578">
      <c r="A2578" s="6" t="s">
        <v>6216</v>
      </c>
      <c r="B2578" s="6" t="s">
        <v>2662</v>
      </c>
      <c r="C2578" s="6" t="s">
        <v>295</v>
      </c>
      <c r="E2578" s="6" t="s">
        <v>2365</v>
      </c>
      <c r="F2578" s="6" t="s">
        <v>170</v>
      </c>
      <c r="G2578" s="7">
        <v>0.05</v>
      </c>
      <c r="H2578" s="6" t="s">
        <v>1818</v>
      </c>
      <c r="I2578" s="6" t="s">
        <v>20</v>
      </c>
      <c r="J2578" s="6">
        <v>1995.0</v>
      </c>
      <c r="K2578" s="10">
        <v>46055.0</v>
      </c>
      <c r="L2578" s="6">
        <v>2.0</v>
      </c>
      <c r="M2578" s="8">
        <f t="shared" si="5"/>
        <v>0.1</v>
      </c>
      <c r="P2578" s="9"/>
    </row>
    <row r="2579">
      <c r="A2579" s="6" t="s">
        <v>6216</v>
      </c>
      <c r="B2579" s="6" t="s">
        <v>2662</v>
      </c>
      <c r="C2579" s="6" t="s">
        <v>295</v>
      </c>
      <c r="E2579" s="6" t="s">
        <v>2365</v>
      </c>
      <c r="F2579" s="6" t="s">
        <v>170</v>
      </c>
      <c r="G2579" s="7">
        <v>0.09</v>
      </c>
      <c r="H2579" s="6" t="s">
        <v>5754</v>
      </c>
      <c r="I2579" s="6" t="s">
        <v>20</v>
      </c>
      <c r="J2579" s="6">
        <v>1995.0</v>
      </c>
      <c r="K2579" s="10">
        <v>46055.0</v>
      </c>
      <c r="L2579" s="6">
        <v>2.0</v>
      </c>
      <c r="M2579" s="8">
        <f t="shared" si="5"/>
        <v>0.18</v>
      </c>
      <c r="P2579" s="9"/>
    </row>
    <row r="2580">
      <c r="A2580" s="6" t="s">
        <v>6217</v>
      </c>
      <c r="B2580" s="6" t="s">
        <v>6218</v>
      </c>
      <c r="C2580" s="6" t="s">
        <v>295</v>
      </c>
      <c r="E2580" s="6" t="s">
        <v>930</v>
      </c>
      <c r="F2580" s="6" t="s">
        <v>170</v>
      </c>
      <c r="G2580" s="7">
        <v>0.09</v>
      </c>
      <c r="H2580" s="6" t="s">
        <v>2089</v>
      </c>
      <c r="I2580" s="6" t="s">
        <v>20</v>
      </c>
      <c r="J2580" s="6">
        <v>1995.0</v>
      </c>
      <c r="K2580" s="10">
        <v>46023.0</v>
      </c>
      <c r="L2580" s="6">
        <v>3.0</v>
      </c>
      <c r="M2580" s="8">
        <f t="shared" si="5"/>
        <v>0.27</v>
      </c>
      <c r="P2580" s="9"/>
    </row>
    <row r="2581">
      <c r="A2581" s="6" t="s">
        <v>6219</v>
      </c>
      <c r="B2581" s="6" t="s">
        <v>6220</v>
      </c>
      <c r="C2581" s="6" t="s">
        <v>1949</v>
      </c>
      <c r="D2581" s="6" t="s">
        <v>6221</v>
      </c>
      <c r="E2581" s="6" t="s">
        <v>3913</v>
      </c>
      <c r="F2581" s="6" t="s">
        <v>170</v>
      </c>
      <c r="G2581" s="7">
        <v>0.2</v>
      </c>
      <c r="H2581" s="6" t="s">
        <v>1819</v>
      </c>
      <c r="I2581" s="6" t="s">
        <v>20</v>
      </c>
      <c r="J2581" s="6">
        <v>1995.0</v>
      </c>
      <c r="K2581" s="10">
        <v>46113.0</v>
      </c>
      <c r="L2581" s="6">
        <v>2.0</v>
      </c>
      <c r="M2581" s="8">
        <f t="shared" si="5"/>
        <v>0.4</v>
      </c>
      <c r="P2581" s="9"/>
    </row>
    <row r="2582">
      <c r="A2582" s="6" t="s">
        <v>6219</v>
      </c>
      <c r="B2582" s="6" t="s">
        <v>6220</v>
      </c>
      <c r="C2582" s="6" t="s">
        <v>1949</v>
      </c>
      <c r="D2582" s="6" t="s">
        <v>6221</v>
      </c>
      <c r="E2582" s="6" t="s">
        <v>3913</v>
      </c>
      <c r="F2582" s="6" t="s">
        <v>170</v>
      </c>
      <c r="G2582" s="7">
        <v>0.1</v>
      </c>
      <c r="H2582" s="6" t="s">
        <v>1818</v>
      </c>
      <c r="I2582" s="6" t="s">
        <v>20</v>
      </c>
      <c r="J2582" s="6">
        <v>1995.0</v>
      </c>
      <c r="K2582" s="10">
        <v>46113.0</v>
      </c>
      <c r="L2582" s="6">
        <v>1.0</v>
      </c>
      <c r="M2582" s="8">
        <f t="shared" si="5"/>
        <v>0.1</v>
      </c>
      <c r="P2582" s="9"/>
    </row>
    <row r="2583">
      <c r="A2583" s="6" t="s">
        <v>6222</v>
      </c>
      <c r="B2583" s="6" t="s">
        <v>2873</v>
      </c>
      <c r="C2583" s="6" t="s">
        <v>295</v>
      </c>
      <c r="D2583" s="6" t="s">
        <v>6223</v>
      </c>
      <c r="E2583" s="6" t="s">
        <v>2342</v>
      </c>
      <c r="F2583" s="6" t="s">
        <v>170</v>
      </c>
      <c r="G2583" s="7">
        <v>0.17</v>
      </c>
      <c r="H2583" s="6" t="s">
        <v>1819</v>
      </c>
      <c r="I2583" s="6" t="s">
        <v>20</v>
      </c>
      <c r="J2583" s="6">
        <v>1995.0</v>
      </c>
      <c r="K2583" s="10">
        <v>46025.0</v>
      </c>
      <c r="L2583" s="6">
        <v>6.0</v>
      </c>
      <c r="M2583" s="8">
        <f t="shared" si="5"/>
        <v>1.02</v>
      </c>
      <c r="P2583" s="9"/>
    </row>
    <row r="2584">
      <c r="A2584" s="6" t="s">
        <v>6222</v>
      </c>
      <c r="B2584" s="6" t="s">
        <v>2873</v>
      </c>
      <c r="C2584" s="6" t="s">
        <v>295</v>
      </c>
      <c r="D2584" s="6" t="s">
        <v>6223</v>
      </c>
      <c r="E2584" s="6" t="s">
        <v>2342</v>
      </c>
      <c r="F2584" s="6" t="s">
        <v>170</v>
      </c>
      <c r="G2584" s="7">
        <v>0.08</v>
      </c>
      <c r="H2584" s="6" t="s">
        <v>1818</v>
      </c>
      <c r="I2584" s="6" t="s">
        <v>20</v>
      </c>
      <c r="J2584" s="6">
        <v>1995.0</v>
      </c>
      <c r="K2584" s="10">
        <v>46025.0</v>
      </c>
      <c r="L2584" s="6">
        <v>3.0</v>
      </c>
      <c r="M2584" s="8">
        <f t="shared" si="5"/>
        <v>0.24</v>
      </c>
      <c r="P2584" s="9"/>
    </row>
    <row r="2585">
      <c r="A2585" s="6" t="s">
        <v>6224</v>
      </c>
      <c r="B2585" s="6" t="s">
        <v>6225</v>
      </c>
      <c r="C2585" s="6" t="s">
        <v>295</v>
      </c>
      <c r="E2585" s="6" t="s">
        <v>3913</v>
      </c>
      <c r="F2585" s="6" t="s">
        <v>170</v>
      </c>
      <c r="G2585" s="7">
        <v>0.08</v>
      </c>
      <c r="H2585" s="6" t="s">
        <v>1819</v>
      </c>
      <c r="I2585" s="6" t="s">
        <v>20</v>
      </c>
      <c r="J2585" s="6">
        <v>1995.0</v>
      </c>
      <c r="K2585" s="10">
        <v>46083.0</v>
      </c>
      <c r="L2585" s="6">
        <v>4.0</v>
      </c>
      <c r="M2585" s="8">
        <f t="shared" si="5"/>
        <v>0.32</v>
      </c>
      <c r="P2585" s="9"/>
    </row>
    <row r="2586">
      <c r="A2586" s="6" t="s">
        <v>6224</v>
      </c>
      <c r="B2586" s="6" t="s">
        <v>6225</v>
      </c>
      <c r="C2586" s="6" t="s">
        <v>295</v>
      </c>
      <c r="E2586" s="6" t="s">
        <v>3913</v>
      </c>
      <c r="F2586" s="6" t="s">
        <v>170</v>
      </c>
      <c r="G2586" s="7">
        <v>0.05</v>
      </c>
      <c r="H2586" s="6" t="s">
        <v>1818</v>
      </c>
      <c r="I2586" s="6" t="s">
        <v>20</v>
      </c>
      <c r="J2586" s="6">
        <v>1995.0</v>
      </c>
      <c r="K2586" s="10">
        <v>46083.0</v>
      </c>
      <c r="L2586" s="6">
        <v>3.0</v>
      </c>
      <c r="M2586" s="8">
        <f t="shared" si="5"/>
        <v>0.15</v>
      </c>
      <c r="P2586" s="9"/>
    </row>
    <row r="2587">
      <c r="A2587" s="6" t="s">
        <v>6224</v>
      </c>
      <c r="B2587" s="6" t="s">
        <v>6225</v>
      </c>
      <c r="C2587" s="6" t="s">
        <v>295</v>
      </c>
      <c r="E2587" s="6" t="s">
        <v>3913</v>
      </c>
      <c r="F2587" s="6" t="s">
        <v>170</v>
      </c>
      <c r="G2587" s="7">
        <v>0.1</v>
      </c>
      <c r="H2587" s="6" t="s">
        <v>5754</v>
      </c>
      <c r="I2587" s="6" t="s">
        <v>20</v>
      </c>
      <c r="J2587" s="6">
        <v>1994.0</v>
      </c>
      <c r="K2587" s="10">
        <v>46083.0</v>
      </c>
      <c r="L2587" s="6">
        <v>1.0</v>
      </c>
      <c r="M2587" s="8">
        <f t="shared" si="5"/>
        <v>0.1</v>
      </c>
      <c r="P2587" s="9"/>
    </row>
    <row r="2588">
      <c r="A2588" s="6" t="s">
        <v>6226</v>
      </c>
      <c r="B2588" s="6" t="s">
        <v>2873</v>
      </c>
      <c r="C2588" s="6" t="s">
        <v>295</v>
      </c>
      <c r="D2588" s="6" t="s">
        <v>6227</v>
      </c>
      <c r="E2588" s="6" t="s">
        <v>930</v>
      </c>
      <c r="F2588" s="6" t="s">
        <v>170</v>
      </c>
      <c r="G2588" s="7">
        <v>0.09</v>
      </c>
      <c r="H2588" s="6" t="s">
        <v>6228</v>
      </c>
      <c r="I2588" s="6" t="s">
        <v>20</v>
      </c>
      <c r="J2588" s="6">
        <v>1995.0</v>
      </c>
      <c r="K2588" s="10">
        <v>46023.0</v>
      </c>
      <c r="L2588" s="6">
        <v>2.0</v>
      </c>
      <c r="M2588" s="8">
        <f t="shared" si="5"/>
        <v>0.18</v>
      </c>
      <c r="P2588" s="9"/>
    </row>
    <row r="2589">
      <c r="A2589" s="6" t="s">
        <v>6229</v>
      </c>
      <c r="B2589" s="6" t="s">
        <v>6206</v>
      </c>
      <c r="C2589" s="6" t="s">
        <v>295</v>
      </c>
      <c r="D2589" s="6" t="s">
        <v>6230</v>
      </c>
      <c r="E2589" s="6" t="s">
        <v>2342</v>
      </c>
      <c r="F2589" s="6" t="s">
        <v>170</v>
      </c>
      <c r="G2589" s="7">
        <v>0.18</v>
      </c>
      <c r="H2589" s="6" t="s">
        <v>1819</v>
      </c>
      <c r="I2589" s="6" t="s">
        <v>20</v>
      </c>
      <c r="J2589" s="6">
        <v>1995.0</v>
      </c>
      <c r="K2589" s="10">
        <v>46055.0</v>
      </c>
      <c r="L2589" s="6">
        <v>6.0</v>
      </c>
      <c r="M2589" s="8">
        <f t="shared" si="5"/>
        <v>1.08</v>
      </c>
      <c r="P2589" s="9"/>
    </row>
    <row r="2590">
      <c r="A2590" s="6" t="s">
        <v>6229</v>
      </c>
      <c r="B2590" s="6" t="s">
        <v>6206</v>
      </c>
      <c r="C2590" s="6" t="s">
        <v>295</v>
      </c>
      <c r="D2590" s="6" t="s">
        <v>6230</v>
      </c>
      <c r="E2590" s="6" t="s">
        <v>2342</v>
      </c>
      <c r="F2590" s="6" t="s">
        <v>170</v>
      </c>
      <c r="G2590" s="7">
        <v>0.05</v>
      </c>
      <c r="H2590" s="6" t="s">
        <v>1818</v>
      </c>
      <c r="I2590" s="6" t="s">
        <v>20</v>
      </c>
      <c r="J2590" s="6">
        <v>1995.0</v>
      </c>
      <c r="K2590" s="10">
        <v>46055.0</v>
      </c>
      <c r="L2590" s="6">
        <v>5.0</v>
      </c>
      <c r="M2590" s="8">
        <f t="shared" si="5"/>
        <v>0.25</v>
      </c>
      <c r="P2590" s="9"/>
    </row>
    <row r="2591">
      <c r="A2591" s="6" t="s">
        <v>6231</v>
      </c>
      <c r="B2591" s="6" t="s">
        <v>6232</v>
      </c>
      <c r="C2591" s="6" t="s">
        <v>295</v>
      </c>
      <c r="D2591" s="6" t="s">
        <v>6233</v>
      </c>
      <c r="E2591" s="6" t="s">
        <v>2350</v>
      </c>
      <c r="F2591" s="6" t="s">
        <v>170</v>
      </c>
      <c r="G2591" s="7">
        <v>0.05</v>
      </c>
      <c r="H2591" s="6" t="s">
        <v>1774</v>
      </c>
      <c r="I2591" s="6" t="s">
        <v>20</v>
      </c>
      <c r="J2591" s="6">
        <v>1995.0</v>
      </c>
      <c r="K2591" s="10">
        <v>46024.0</v>
      </c>
      <c r="L2591" s="6">
        <v>3.0</v>
      </c>
      <c r="M2591" s="8">
        <f t="shared" si="5"/>
        <v>0.15</v>
      </c>
      <c r="P2591" s="9"/>
    </row>
    <row r="2592">
      <c r="A2592" s="6" t="s">
        <v>6234</v>
      </c>
      <c r="B2592" s="6" t="s">
        <v>2873</v>
      </c>
      <c r="C2592" s="6" t="s">
        <v>295</v>
      </c>
      <c r="E2592" s="6" t="s">
        <v>930</v>
      </c>
      <c r="F2592" s="6" t="s">
        <v>170</v>
      </c>
      <c r="G2592" s="7">
        <v>0.18</v>
      </c>
      <c r="H2592" s="6" t="s">
        <v>1819</v>
      </c>
      <c r="I2592" s="6" t="s">
        <v>20</v>
      </c>
      <c r="J2592" s="6">
        <v>1995.0</v>
      </c>
      <c r="K2592" s="10">
        <v>46023.0</v>
      </c>
      <c r="L2592" s="6">
        <v>4.0</v>
      </c>
      <c r="M2592" s="8">
        <f t="shared" si="5"/>
        <v>0.72</v>
      </c>
      <c r="P2592" s="9"/>
    </row>
    <row r="2593">
      <c r="A2593" s="6" t="s">
        <v>6234</v>
      </c>
      <c r="B2593" s="6" t="s">
        <v>2873</v>
      </c>
      <c r="C2593" s="6" t="s">
        <v>295</v>
      </c>
      <c r="E2593" s="6" t="s">
        <v>930</v>
      </c>
      <c r="F2593" s="6" t="s">
        <v>170</v>
      </c>
      <c r="G2593" s="7">
        <v>0.04</v>
      </c>
      <c r="H2593" s="6" t="s">
        <v>1818</v>
      </c>
      <c r="I2593" s="6" t="s">
        <v>20</v>
      </c>
      <c r="J2593" s="6">
        <v>1995.0</v>
      </c>
      <c r="K2593" s="10">
        <v>46023.0</v>
      </c>
      <c r="L2593" s="6">
        <v>2.0</v>
      </c>
      <c r="M2593" s="8">
        <f t="shared" si="5"/>
        <v>0.08</v>
      </c>
      <c r="P2593" s="9"/>
    </row>
    <row r="2594">
      <c r="A2594" s="6" t="s">
        <v>6234</v>
      </c>
      <c r="B2594" s="6" t="s">
        <v>2873</v>
      </c>
      <c r="C2594" s="6" t="s">
        <v>295</v>
      </c>
      <c r="E2594" s="6" t="s">
        <v>930</v>
      </c>
      <c r="F2594" s="6" t="s">
        <v>170</v>
      </c>
      <c r="G2594" s="7">
        <v>0.15</v>
      </c>
      <c r="H2594" s="6" t="s">
        <v>5754</v>
      </c>
      <c r="I2594" s="6" t="s">
        <v>20</v>
      </c>
      <c r="J2594" s="6">
        <v>1994.0</v>
      </c>
      <c r="K2594" s="10">
        <v>46023.0</v>
      </c>
      <c r="L2594" s="6">
        <v>1.0</v>
      </c>
      <c r="M2594" s="8">
        <f t="shared" si="5"/>
        <v>0.15</v>
      </c>
      <c r="P2594" s="9"/>
    </row>
    <row r="2595">
      <c r="A2595" s="6" t="s">
        <v>6235</v>
      </c>
      <c r="B2595" s="6" t="s">
        <v>5940</v>
      </c>
      <c r="C2595" s="6" t="s">
        <v>295</v>
      </c>
      <c r="E2595" s="6" t="s">
        <v>2350</v>
      </c>
      <c r="F2595" s="6" t="s">
        <v>170</v>
      </c>
      <c r="G2595" s="7">
        <v>0.06</v>
      </c>
      <c r="H2595" s="6" t="s">
        <v>1819</v>
      </c>
      <c r="I2595" s="6" t="s">
        <v>20</v>
      </c>
      <c r="J2595" s="6">
        <v>1995.0</v>
      </c>
      <c r="K2595" s="10">
        <v>46055.0</v>
      </c>
      <c r="L2595" s="6">
        <v>5.0</v>
      </c>
      <c r="M2595" s="8">
        <f t="shared" si="5"/>
        <v>0.3</v>
      </c>
      <c r="P2595" s="9"/>
    </row>
    <row r="2596">
      <c r="A2596" s="6" t="s">
        <v>6235</v>
      </c>
      <c r="B2596" s="6" t="s">
        <v>5940</v>
      </c>
      <c r="C2596" s="6" t="s">
        <v>295</v>
      </c>
      <c r="E2596" s="6" t="s">
        <v>2350</v>
      </c>
      <c r="F2596" s="6" t="s">
        <v>170</v>
      </c>
      <c r="G2596" s="7">
        <v>0.04</v>
      </c>
      <c r="H2596" s="6" t="s">
        <v>1818</v>
      </c>
      <c r="I2596" s="6" t="s">
        <v>20</v>
      </c>
      <c r="J2596" s="6">
        <v>1995.0</v>
      </c>
      <c r="K2596" s="10">
        <v>46055.0</v>
      </c>
      <c r="L2596" s="6">
        <v>3.0</v>
      </c>
      <c r="M2596" s="8">
        <f t="shared" si="5"/>
        <v>0.12</v>
      </c>
      <c r="P2596" s="9"/>
    </row>
    <row r="2597">
      <c r="A2597" s="6" t="s">
        <v>6236</v>
      </c>
      <c r="B2597" s="6" t="s">
        <v>6237</v>
      </c>
      <c r="C2597" s="6" t="s">
        <v>1949</v>
      </c>
      <c r="D2597" s="6" t="s">
        <v>6238</v>
      </c>
      <c r="E2597" s="6" t="s">
        <v>3913</v>
      </c>
      <c r="F2597" s="6" t="s">
        <v>170</v>
      </c>
      <c r="G2597" s="7">
        <v>0.16</v>
      </c>
      <c r="H2597" s="6" t="s">
        <v>1819</v>
      </c>
      <c r="I2597" s="6" t="s">
        <v>20</v>
      </c>
      <c r="J2597" s="6">
        <v>1995.0</v>
      </c>
      <c r="K2597" s="10">
        <v>46055.0</v>
      </c>
      <c r="L2597" s="6">
        <v>3.0</v>
      </c>
      <c r="M2597" s="8">
        <f t="shared" si="5"/>
        <v>0.48</v>
      </c>
      <c r="P2597" s="9"/>
    </row>
    <row r="2598">
      <c r="A2598" s="6" t="s">
        <v>6236</v>
      </c>
      <c r="B2598" s="6" t="s">
        <v>6237</v>
      </c>
      <c r="C2598" s="6" t="s">
        <v>1949</v>
      </c>
      <c r="D2598" s="6" t="s">
        <v>6238</v>
      </c>
      <c r="E2598" s="6" t="s">
        <v>3913</v>
      </c>
      <c r="F2598" s="6" t="s">
        <v>170</v>
      </c>
      <c r="G2598" s="7">
        <v>0.05</v>
      </c>
      <c r="H2598" s="6" t="s">
        <v>1818</v>
      </c>
      <c r="I2598" s="6" t="s">
        <v>20</v>
      </c>
      <c r="J2598" s="6">
        <v>1995.0</v>
      </c>
      <c r="K2598" s="10">
        <v>46055.0</v>
      </c>
      <c r="L2598" s="6">
        <v>2.0</v>
      </c>
      <c r="M2598" s="8">
        <f t="shared" si="5"/>
        <v>0.1</v>
      </c>
      <c r="P2598" s="9"/>
    </row>
    <row r="2599">
      <c r="A2599" s="6" t="s">
        <v>6239</v>
      </c>
      <c r="B2599" s="6" t="s">
        <v>4204</v>
      </c>
      <c r="C2599" s="6" t="s">
        <v>1949</v>
      </c>
      <c r="D2599" s="6" t="s">
        <v>6240</v>
      </c>
      <c r="E2599" s="6" t="s">
        <v>3913</v>
      </c>
      <c r="F2599" s="6" t="s">
        <v>170</v>
      </c>
      <c r="G2599" s="7">
        <v>0.25</v>
      </c>
      <c r="H2599" s="6" t="s">
        <v>1819</v>
      </c>
      <c r="I2599" s="6" t="s">
        <v>20</v>
      </c>
      <c r="J2599" s="6">
        <v>1995.0</v>
      </c>
      <c r="K2599" s="10">
        <v>46082.0</v>
      </c>
      <c r="L2599" s="6">
        <v>2.0</v>
      </c>
      <c r="M2599" s="8">
        <f t="shared" si="5"/>
        <v>0.5</v>
      </c>
      <c r="P2599" s="9"/>
    </row>
    <row r="2600">
      <c r="A2600" s="6" t="s">
        <v>3767</v>
      </c>
      <c r="B2600" s="6" t="s">
        <v>2669</v>
      </c>
      <c r="C2600" s="6" t="s">
        <v>1949</v>
      </c>
      <c r="E2600" s="6" t="s">
        <v>2779</v>
      </c>
      <c r="F2600" s="6" t="s">
        <v>170</v>
      </c>
      <c r="G2600" s="7">
        <v>0.2</v>
      </c>
      <c r="H2600" s="6" t="s">
        <v>1819</v>
      </c>
      <c r="I2600" s="6" t="s">
        <v>20</v>
      </c>
      <c r="J2600" s="6">
        <v>1995.0</v>
      </c>
      <c r="K2600" s="10">
        <v>46117.0</v>
      </c>
      <c r="L2600" s="6">
        <v>1.0</v>
      </c>
      <c r="M2600" s="8">
        <f t="shared" si="5"/>
        <v>0.2</v>
      </c>
      <c r="P2600" s="9"/>
    </row>
    <row r="2601">
      <c r="A2601" s="6" t="s">
        <v>3767</v>
      </c>
      <c r="B2601" s="6" t="s">
        <v>2669</v>
      </c>
      <c r="C2601" s="6" t="s">
        <v>1949</v>
      </c>
      <c r="E2601" s="6" t="s">
        <v>2779</v>
      </c>
      <c r="F2601" s="6" t="s">
        <v>170</v>
      </c>
      <c r="G2601" s="7">
        <v>0.1</v>
      </c>
      <c r="H2601" s="6" t="s">
        <v>1818</v>
      </c>
      <c r="I2601" s="6" t="s">
        <v>20</v>
      </c>
      <c r="J2601" s="6">
        <v>1995.0</v>
      </c>
      <c r="K2601" s="10">
        <v>46117.0</v>
      </c>
      <c r="L2601" s="6">
        <v>1.0</v>
      </c>
      <c r="M2601" s="8">
        <f t="shared" si="5"/>
        <v>0.1</v>
      </c>
      <c r="P2601" s="9"/>
    </row>
    <row r="2602">
      <c r="A2602" s="6" t="s">
        <v>6241</v>
      </c>
      <c r="B2602" s="6" t="s">
        <v>6242</v>
      </c>
      <c r="C2602" s="6" t="s">
        <v>1949</v>
      </c>
      <c r="D2602" s="6" t="s">
        <v>6243</v>
      </c>
      <c r="E2602" s="6" t="s">
        <v>2754</v>
      </c>
      <c r="F2602" s="6" t="s">
        <v>170</v>
      </c>
      <c r="G2602" s="7">
        <v>0.05</v>
      </c>
      <c r="H2602" s="6" t="s">
        <v>1774</v>
      </c>
      <c r="I2602" s="6" t="s">
        <v>20</v>
      </c>
      <c r="J2602" s="6">
        <v>1995.0</v>
      </c>
      <c r="K2602" s="10">
        <v>46083.0</v>
      </c>
      <c r="L2602" s="6">
        <v>1.0</v>
      </c>
      <c r="M2602" s="8">
        <f t="shared" si="5"/>
        <v>0.05</v>
      </c>
      <c r="P2602" s="9"/>
    </row>
    <row r="2603">
      <c r="A2603" s="6" t="s">
        <v>6244</v>
      </c>
      <c r="B2603" s="6" t="s">
        <v>5513</v>
      </c>
      <c r="C2603" s="6" t="s">
        <v>295</v>
      </c>
      <c r="D2603" s="6" t="s">
        <v>6245</v>
      </c>
      <c r="E2603" s="6" t="s">
        <v>2754</v>
      </c>
      <c r="F2603" s="6" t="s">
        <v>170</v>
      </c>
      <c r="G2603" s="7">
        <v>0.06</v>
      </c>
      <c r="H2603" s="6" t="s">
        <v>2089</v>
      </c>
      <c r="I2603" s="6" t="s">
        <v>20</v>
      </c>
      <c r="J2603" s="6">
        <v>1995.0</v>
      </c>
      <c r="K2603" s="10">
        <v>46025.0</v>
      </c>
      <c r="L2603" s="6">
        <v>1.0</v>
      </c>
      <c r="M2603" s="8">
        <f t="shared" si="5"/>
        <v>0.06</v>
      </c>
      <c r="P2603" s="9"/>
    </row>
    <row r="2604">
      <c r="A2604" s="6" t="s">
        <v>6246</v>
      </c>
      <c r="B2604" s="6" t="s">
        <v>6199</v>
      </c>
      <c r="C2604" s="6" t="s">
        <v>1949</v>
      </c>
      <c r="D2604" s="6" t="s">
        <v>6247</v>
      </c>
      <c r="E2604" s="6" t="s">
        <v>3424</v>
      </c>
      <c r="F2604" s="6" t="s">
        <v>170</v>
      </c>
      <c r="G2604" s="7">
        <v>0.15</v>
      </c>
      <c r="H2604" s="6" t="s">
        <v>1818</v>
      </c>
      <c r="I2604" s="6" t="s">
        <v>20</v>
      </c>
      <c r="J2604" s="6">
        <v>1995.0</v>
      </c>
      <c r="K2604" s="6" t="s">
        <v>345</v>
      </c>
      <c r="L2604" s="6">
        <v>1.0</v>
      </c>
      <c r="M2604" s="8">
        <f t="shared" si="5"/>
        <v>0.15</v>
      </c>
      <c r="P2604" s="9"/>
    </row>
    <row r="2605">
      <c r="A2605" s="6" t="s">
        <v>6248</v>
      </c>
      <c r="B2605" s="6" t="s">
        <v>6249</v>
      </c>
      <c r="C2605" s="6" t="s">
        <v>1897</v>
      </c>
      <c r="D2605" s="6" t="s">
        <v>6250</v>
      </c>
      <c r="E2605" s="6" t="s">
        <v>3424</v>
      </c>
      <c r="F2605" s="6" t="s">
        <v>170</v>
      </c>
      <c r="G2605" s="7">
        <v>0.18</v>
      </c>
      <c r="H2605" s="6" t="s">
        <v>1818</v>
      </c>
      <c r="I2605" s="6" t="s">
        <v>20</v>
      </c>
      <c r="J2605" s="6">
        <v>1995.0</v>
      </c>
      <c r="K2605" s="10">
        <v>46055.0</v>
      </c>
      <c r="L2605" s="6">
        <v>1.0</v>
      </c>
      <c r="M2605" s="8">
        <f t="shared" si="5"/>
        <v>0.18</v>
      </c>
      <c r="P2605" s="9"/>
    </row>
    <row r="2606">
      <c r="A2606" s="6" t="s">
        <v>6251</v>
      </c>
      <c r="B2606" s="6" t="s">
        <v>6199</v>
      </c>
      <c r="C2606" s="6" t="s">
        <v>1897</v>
      </c>
      <c r="D2606" s="6" t="s">
        <v>6252</v>
      </c>
      <c r="E2606" s="6" t="s">
        <v>3424</v>
      </c>
      <c r="F2606" s="6" t="s">
        <v>170</v>
      </c>
      <c r="G2606" s="7">
        <v>3.0</v>
      </c>
      <c r="H2606" s="6" t="s">
        <v>2024</v>
      </c>
      <c r="I2606" s="6" t="s">
        <v>20</v>
      </c>
      <c r="J2606" s="6">
        <v>1996.0</v>
      </c>
      <c r="K2606" s="10">
        <v>46147.0</v>
      </c>
      <c r="L2606" s="6">
        <v>1.0</v>
      </c>
      <c r="M2606" s="8">
        <f t="shared" si="5"/>
        <v>3</v>
      </c>
      <c r="P2606" s="9"/>
    </row>
    <row r="2607">
      <c r="A2607" s="6" t="s">
        <v>6253</v>
      </c>
      <c r="B2607" s="6" t="s">
        <v>6254</v>
      </c>
      <c r="C2607" s="6" t="s">
        <v>1897</v>
      </c>
      <c r="D2607" s="6" t="s">
        <v>6255</v>
      </c>
      <c r="E2607" s="6" t="s">
        <v>2754</v>
      </c>
      <c r="F2607" s="6" t="s">
        <v>170</v>
      </c>
      <c r="G2607" s="7">
        <v>2.5</v>
      </c>
      <c r="H2607" s="6" t="s">
        <v>1805</v>
      </c>
      <c r="I2607" s="6" t="s">
        <v>20</v>
      </c>
      <c r="J2607" s="6">
        <v>1996.0</v>
      </c>
      <c r="K2607" s="10">
        <v>46055.0</v>
      </c>
      <c r="L2607" s="6">
        <v>1.0</v>
      </c>
      <c r="M2607" s="8">
        <f t="shared" si="5"/>
        <v>2.5</v>
      </c>
      <c r="P2607" s="9"/>
    </row>
    <row r="2608">
      <c r="A2608" s="6" t="s">
        <v>6256</v>
      </c>
      <c r="B2608" s="6" t="s">
        <v>5838</v>
      </c>
      <c r="C2608" s="6" t="s">
        <v>1897</v>
      </c>
      <c r="D2608" s="6" t="s">
        <v>6257</v>
      </c>
      <c r="E2608" s="6" t="s">
        <v>2779</v>
      </c>
      <c r="F2608" s="6" t="s">
        <v>170</v>
      </c>
      <c r="G2608" s="7">
        <v>0.21</v>
      </c>
      <c r="H2608" s="6" t="s">
        <v>5765</v>
      </c>
      <c r="I2608" s="6" t="s">
        <v>20</v>
      </c>
      <c r="J2608" s="6">
        <v>1995.0</v>
      </c>
      <c r="K2608" s="6" t="s">
        <v>1775</v>
      </c>
      <c r="L2608" s="6">
        <v>1.0</v>
      </c>
      <c r="M2608" s="8">
        <f t="shared" si="5"/>
        <v>0.21</v>
      </c>
      <c r="P2608" s="9"/>
    </row>
    <row r="2609">
      <c r="A2609" s="6" t="s">
        <v>6258</v>
      </c>
      <c r="B2609" s="6" t="s">
        <v>6259</v>
      </c>
      <c r="C2609" s="6" t="s">
        <v>1897</v>
      </c>
      <c r="D2609" s="6" t="s">
        <v>6260</v>
      </c>
      <c r="E2609" s="6" t="s">
        <v>6261</v>
      </c>
      <c r="F2609" s="6" t="s">
        <v>170</v>
      </c>
      <c r="G2609" s="7">
        <v>1.72</v>
      </c>
      <c r="H2609" s="6" t="s">
        <v>1805</v>
      </c>
      <c r="I2609" s="6" t="s">
        <v>20</v>
      </c>
      <c r="J2609" s="6">
        <v>1996.0</v>
      </c>
      <c r="K2609" s="10">
        <v>46179.0</v>
      </c>
      <c r="L2609" s="6">
        <v>1.0</v>
      </c>
      <c r="M2609" s="8">
        <f t="shared" si="5"/>
        <v>1.72</v>
      </c>
      <c r="P2609" s="9"/>
    </row>
    <row r="2610">
      <c r="A2610" s="6" t="s">
        <v>6262</v>
      </c>
      <c r="B2610" s="6" t="s">
        <v>3427</v>
      </c>
      <c r="C2610" s="6" t="s">
        <v>295</v>
      </c>
      <c r="D2610" s="6" t="s">
        <v>6263</v>
      </c>
      <c r="E2610" s="6" t="s">
        <v>2342</v>
      </c>
      <c r="F2610" s="6" t="s">
        <v>170</v>
      </c>
      <c r="G2610" s="7">
        <v>0.08</v>
      </c>
      <c r="H2610" s="6" t="s">
        <v>4521</v>
      </c>
      <c r="I2610" s="6" t="s">
        <v>20</v>
      </c>
      <c r="J2610" s="6">
        <v>2003.0</v>
      </c>
      <c r="K2610" s="10">
        <v>46055.0</v>
      </c>
      <c r="L2610" s="6">
        <v>1.0</v>
      </c>
      <c r="M2610" s="8">
        <f t="shared" si="5"/>
        <v>0.08</v>
      </c>
      <c r="P2610" s="9"/>
    </row>
    <row r="2611">
      <c r="A2611" s="6" t="s">
        <v>6264</v>
      </c>
      <c r="B2611" s="6" t="s">
        <v>2382</v>
      </c>
      <c r="C2611" s="6" t="s">
        <v>1949</v>
      </c>
      <c r="D2611" s="6" t="s">
        <v>6265</v>
      </c>
      <c r="E2611" s="6" t="s">
        <v>2342</v>
      </c>
      <c r="F2611" s="6" t="s">
        <v>170</v>
      </c>
      <c r="G2611" s="7">
        <v>0.18</v>
      </c>
      <c r="H2611" s="6" t="s">
        <v>2950</v>
      </c>
      <c r="I2611" s="6" t="s">
        <v>20</v>
      </c>
      <c r="J2611" s="6">
        <v>2002.0</v>
      </c>
      <c r="K2611" s="10">
        <v>46023.0</v>
      </c>
      <c r="L2611" s="6">
        <v>1.0</v>
      </c>
      <c r="M2611" s="8">
        <f t="shared" si="5"/>
        <v>0.18</v>
      </c>
      <c r="P2611" s="9"/>
    </row>
    <row r="2612">
      <c r="A2612" s="6" t="s">
        <v>6266</v>
      </c>
      <c r="B2612" s="6" t="s">
        <v>2382</v>
      </c>
      <c r="C2612" s="6" t="s">
        <v>1897</v>
      </c>
      <c r="D2612" s="6" t="s">
        <v>6267</v>
      </c>
      <c r="E2612" s="6" t="s">
        <v>2342</v>
      </c>
      <c r="F2612" s="6" t="s">
        <v>170</v>
      </c>
      <c r="G2612" s="7">
        <v>0.06</v>
      </c>
      <c r="H2612" s="6" t="s">
        <v>6268</v>
      </c>
      <c r="I2612" s="6" t="s">
        <v>31</v>
      </c>
      <c r="J2612" s="6">
        <v>2003.0</v>
      </c>
      <c r="K2612" s="10">
        <v>46024.0</v>
      </c>
      <c r="L2612" s="6">
        <v>1.0</v>
      </c>
      <c r="M2612" s="8">
        <f t="shared" si="5"/>
        <v>0.06</v>
      </c>
      <c r="P2612" s="9"/>
    </row>
    <row r="2613">
      <c r="A2613" s="6" t="s">
        <v>6269</v>
      </c>
      <c r="B2613" s="6" t="s">
        <v>2382</v>
      </c>
      <c r="C2613" s="6" t="s">
        <v>295</v>
      </c>
      <c r="D2613" s="6" t="s">
        <v>6270</v>
      </c>
      <c r="E2613" s="6" t="s">
        <v>930</v>
      </c>
      <c r="F2613" s="6" t="s">
        <v>170</v>
      </c>
      <c r="G2613" s="7">
        <v>0.08</v>
      </c>
      <c r="H2613" s="6" t="s">
        <v>2950</v>
      </c>
      <c r="I2613" s="6" t="s">
        <v>20</v>
      </c>
      <c r="J2613" s="6">
        <v>2002.0</v>
      </c>
      <c r="K2613" s="10">
        <v>46023.0</v>
      </c>
      <c r="L2613" s="6">
        <v>1.0</v>
      </c>
      <c r="M2613" s="8">
        <f t="shared" si="5"/>
        <v>0.08</v>
      </c>
      <c r="P2613" s="9"/>
    </row>
    <row r="2614">
      <c r="A2614" s="6" t="s">
        <v>6271</v>
      </c>
      <c r="B2614" s="6" t="s">
        <v>2382</v>
      </c>
      <c r="C2614" s="6" t="s">
        <v>295</v>
      </c>
      <c r="D2614" s="6" t="s">
        <v>6272</v>
      </c>
      <c r="E2614" s="6" t="s">
        <v>930</v>
      </c>
      <c r="F2614" s="6" t="s">
        <v>170</v>
      </c>
      <c r="G2614" s="7">
        <v>0.12</v>
      </c>
      <c r="H2614" s="6" t="s">
        <v>6273</v>
      </c>
      <c r="I2614" s="6" t="s">
        <v>20</v>
      </c>
      <c r="J2614" s="6">
        <v>2003.0</v>
      </c>
      <c r="K2614" s="10">
        <v>46023.0</v>
      </c>
      <c r="L2614" s="6">
        <v>1.0</v>
      </c>
      <c r="M2614" s="8">
        <f t="shared" si="5"/>
        <v>0.12</v>
      </c>
      <c r="P2614" s="9"/>
    </row>
    <row r="2615">
      <c r="A2615" s="6" t="s">
        <v>6274</v>
      </c>
      <c r="B2615" s="6" t="s">
        <v>2382</v>
      </c>
      <c r="C2615" s="6" t="s">
        <v>1949</v>
      </c>
      <c r="D2615" s="6" t="s">
        <v>6275</v>
      </c>
      <c r="E2615" s="6" t="s">
        <v>930</v>
      </c>
      <c r="F2615" s="6" t="s">
        <v>170</v>
      </c>
      <c r="G2615" s="7">
        <v>0.18</v>
      </c>
      <c r="H2615" s="6" t="s">
        <v>6273</v>
      </c>
      <c r="I2615" s="6" t="s">
        <v>20</v>
      </c>
      <c r="J2615" s="6">
        <v>2003.0</v>
      </c>
      <c r="K2615" s="10">
        <v>46023.0</v>
      </c>
      <c r="L2615" s="6">
        <v>1.0</v>
      </c>
      <c r="M2615" s="8">
        <f t="shared" si="5"/>
        <v>0.18</v>
      </c>
      <c r="P2615" s="9"/>
    </row>
    <row r="2616">
      <c r="A2616" s="6" t="s">
        <v>6276</v>
      </c>
      <c r="B2616" s="6" t="s">
        <v>4003</v>
      </c>
      <c r="C2616" s="6" t="s">
        <v>1949</v>
      </c>
      <c r="D2616" s="6" t="s">
        <v>6277</v>
      </c>
      <c r="E2616" s="6" t="s">
        <v>3216</v>
      </c>
      <c r="F2616" s="6" t="s">
        <v>170</v>
      </c>
      <c r="G2616" s="7">
        <v>0.45</v>
      </c>
      <c r="H2616" s="6" t="s">
        <v>6273</v>
      </c>
      <c r="I2616" s="6" t="s">
        <v>20</v>
      </c>
      <c r="J2616" s="6">
        <v>2003.0</v>
      </c>
      <c r="K2616" s="10">
        <v>46116.0</v>
      </c>
      <c r="L2616" s="6">
        <v>1.0</v>
      </c>
      <c r="M2616" s="8">
        <f t="shared" si="5"/>
        <v>0.45</v>
      </c>
      <c r="P2616" s="9"/>
    </row>
    <row r="2617">
      <c r="A2617" s="6" t="s">
        <v>6278</v>
      </c>
      <c r="B2617" s="6" t="s">
        <v>2382</v>
      </c>
      <c r="C2617" s="6" t="s">
        <v>1949</v>
      </c>
      <c r="D2617" s="6" t="s">
        <v>6279</v>
      </c>
      <c r="E2617" s="6" t="s">
        <v>2754</v>
      </c>
      <c r="F2617" s="6" t="s">
        <v>170</v>
      </c>
      <c r="G2617" s="7">
        <v>0.08</v>
      </c>
      <c r="H2617" s="6" t="s">
        <v>2950</v>
      </c>
      <c r="I2617" s="6" t="s">
        <v>20</v>
      </c>
      <c r="J2617" s="6">
        <v>2002.0</v>
      </c>
      <c r="K2617" s="6" t="s">
        <v>3153</v>
      </c>
      <c r="L2617" s="6">
        <v>1.0</v>
      </c>
      <c r="M2617" s="8">
        <f t="shared" si="5"/>
        <v>0.08</v>
      </c>
      <c r="P2617" s="9"/>
    </row>
    <row r="2618">
      <c r="A2618" s="6" t="s">
        <v>6280</v>
      </c>
      <c r="B2618" s="6" t="s">
        <v>2382</v>
      </c>
      <c r="C2618" s="6" t="s">
        <v>1949</v>
      </c>
      <c r="D2618" s="6" t="s">
        <v>6281</v>
      </c>
      <c r="E2618" s="6" t="s">
        <v>2365</v>
      </c>
      <c r="F2618" s="6" t="s">
        <v>170</v>
      </c>
      <c r="G2618" s="7">
        <v>0.27</v>
      </c>
      <c r="H2618" s="6" t="s">
        <v>6273</v>
      </c>
      <c r="I2618" s="6" t="s">
        <v>20</v>
      </c>
      <c r="J2618" s="6">
        <v>2003.0</v>
      </c>
      <c r="K2618" s="10">
        <v>46084.0</v>
      </c>
      <c r="L2618" s="6">
        <v>1.0</v>
      </c>
      <c r="M2618" s="8">
        <f t="shared" si="5"/>
        <v>0.27</v>
      </c>
      <c r="P2618" s="9"/>
    </row>
    <row r="2619">
      <c r="A2619" s="6" t="s">
        <v>6282</v>
      </c>
      <c r="B2619" s="6" t="s">
        <v>2382</v>
      </c>
      <c r="C2619" s="6" t="s">
        <v>295</v>
      </c>
      <c r="D2619" s="6" t="s">
        <v>6283</v>
      </c>
      <c r="E2619" s="6" t="s">
        <v>2365</v>
      </c>
      <c r="F2619" s="6" t="s">
        <v>170</v>
      </c>
      <c r="G2619" s="7">
        <v>0.08</v>
      </c>
      <c r="H2619" s="6" t="s">
        <v>6273</v>
      </c>
      <c r="I2619" s="6" t="s">
        <v>20</v>
      </c>
      <c r="J2619" s="6">
        <v>2003.0</v>
      </c>
      <c r="K2619" s="10">
        <v>46055.0</v>
      </c>
      <c r="L2619" s="6">
        <v>1.0</v>
      </c>
      <c r="M2619" s="8">
        <f t="shared" si="5"/>
        <v>0.08</v>
      </c>
      <c r="P2619" s="9"/>
    </row>
    <row r="2620">
      <c r="A2620" s="6" t="s">
        <v>6284</v>
      </c>
      <c r="B2620" s="6" t="s">
        <v>2382</v>
      </c>
      <c r="C2620" s="6" t="s">
        <v>1949</v>
      </c>
      <c r="D2620" s="6" t="s">
        <v>6285</v>
      </c>
      <c r="E2620" s="6" t="s">
        <v>2365</v>
      </c>
      <c r="F2620" s="6" t="s">
        <v>170</v>
      </c>
      <c r="G2620" s="7">
        <v>0.08</v>
      </c>
      <c r="H2620" s="6" t="s">
        <v>4521</v>
      </c>
      <c r="I2620" s="6" t="s">
        <v>20</v>
      </c>
      <c r="J2620" s="6">
        <v>2003.0</v>
      </c>
      <c r="K2620" s="10">
        <v>46025.0</v>
      </c>
      <c r="L2620" s="6">
        <v>1.0</v>
      </c>
      <c r="M2620" s="8">
        <f t="shared" si="5"/>
        <v>0.08</v>
      </c>
      <c r="P2620" s="9"/>
    </row>
    <row r="2621">
      <c r="A2621" s="6" t="s">
        <v>6286</v>
      </c>
      <c r="B2621" s="6" t="s">
        <v>6287</v>
      </c>
      <c r="C2621" s="6" t="s">
        <v>1949</v>
      </c>
      <c r="D2621" s="6" t="s">
        <v>6288</v>
      </c>
      <c r="E2621" s="6" t="s">
        <v>2365</v>
      </c>
      <c r="F2621" s="6" t="s">
        <v>170</v>
      </c>
      <c r="G2621" s="7">
        <v>0.18</v>
      </c>
      <c r="H2621" s="6" t="s">
        <v>2950</v>
      </c>
      <c r="I2621" s="6" t="s">
        <v>20</v>
      </c>
      <c r="J2621" s="6">
        <v>2002.0</v>
      </c>
      <c r="K2621" s="10">
        <v>46023.0</v>
      </c>
      <c r="L2621" s="6">
        <v>1.0</v>
      </c>
      <c r="M2621" s="8">
        <f t="shared" si="5"/>
        <v>0.18</v>
      </c>
      <c r="P2621" s="9"/>
    </row>
    <row r="2622">
      <c r="A2622" s="6" t="s">
        <v>6289</v>
      </c>
      <c r="B2622" s="6" t="s">
        <v>2382</v>
      </c>
      <c r="C2622" s="6" t="s">
        <v>295</v>
      </c>
      <c r="D2622" s="6" t="s">
        <v>6290</v>
      </c>
      <c r="E2622" s="6" t="s">
        <v>2342</v>
      </c>
      <c r="F2622" s="6" t="s">
        <v>170</v>
      </c>
      <c r="G2622" s="7">
        <v>0.08</v>
      </c>
      <c r="H2622" s="6" t="s">
        <v>6273</v>
      </c>
      <c r="I2622" s="6" t="s">
        <v>20</v>
      </c>
      <c r="J2622" s="6">
        <v>2003.0</v>
      </c>
      <c r="K2622" s="10">
        <v>46055.0</v>
      </c>
      <c r="L2622" s="6">
        <v>1.0</v>
      </c>
      <c r="M2622" s="8">
        <f t="shared" si="5"/>
        <v>0.08</v>
      </c>
      <c r="P2622" s="9"/>
    </row>
    <row r="2623">
      <c r="A2623" s="6" t="s">
        <v>6291</v>
      </c>
      <c r="B2623" s="6" t="s">
        <v>6292</v>
      </c>
      <c r="C2623" s="6" t="s">
        <v>295</v>
      </c>
      <c r="D2623" s="6" t="s">
        <v>6293</v>
      </c>
      <c r="E2623" s="6" t="s">
        <v>2365</v>
      </c>
      <c r="F2623" s="6" t="s">
        <v>170</v>
      </c>
      <c r="G2623" s="7">
        <v>0.05</v>
      </c>
      <c r="H2623" s="6" t="s">
        <v>2089</v>
      </c>
      <c r="I2623" s="6" t="s">
        <v>20</v>
      </c>
      <c r="J2623" s="6">
        <v>1995.0</v>
      </c>
      <c r="K2623" s="10">
        <v>46083.0</v>
      </c>
      <c r="L2623" s="6">
        <v>2.0</v>
      </c>
      <c r="M2623" s="8">
        <f t="shared" si="5"/>
        <v>0.1</v>
      </c>
      <c r="P2623" s="9"/>
    </row>
    <row r="2624">
      <c r="A2624" s="6" t="s">
        <v>6294</v>
      </c>
      <c r="B2624" s="6" t="s">
        <v>6295</v>
      </c>
      <c r="C2624" s="6" t="s">
        <v>295</v>
      </c>
      <c r="D2624" s="6" t="s">
        <v>6296</v>
      </c>
      <c r="E2624" s="6" t="s">
        <v>2365</v>
      </c>
      <c r="F2624" s="6" t="s">
        <v>170</v>
      </c>
      <c r="G2624" s="7">
        <v>0.06</v>
      </c>
      <c r="H2624" s="6" t="s">
        <v>2089</v>
      </c>
      <c r="I2624" s="6" t="s">
        <v>20</v>
      </c>
      <c r="J2624" s="6">
        <v>1995.0</v>
      </c>
      <c r="K2624" s="10">
        <v>46055.0</v>
      </c>
      <c r="L2624" s="6">
        <v>3.0</v>
      </c>
      <c r="M2624" s="8">
        <f t="shared" si="5"/>
        <v>0.18</v>
      </c>
      <c r="P2624" s="9"/>
    </row>
    <row r="2625">
      <c r="A2625" s="6" t="s">
        <v>6297</v>
      </c>
      <c r="B2625" s="6" t="s">
        <v>6298</v>
      </c>
      <c r="C2625" s="6" t="s">
        <v>1897</v>
      </c>
      <c r="D2625" s="6" t="s">
        <v>1731</v>
      </c>
      <c r="E2625" s="6" t="s">
        <v>2365</v>
      </c>
      <c r="F2625" s="6" t="s">
        <v>170</v>
      </c>
      <c r="G2625" s="7">
        <v>3.75</v>
      </c>
      <c r="H2625" s="6" t="s">
        <v>5754</v>
      </c>
      <c r="I2625" s="6" t="s">
        <v>20</v>
      </c>
      <c r="J2625" s="6">
        <v>1994.0</v>
      </c>
      <c r="K2625" s="10">
        <v>46084.0</v>
      </c>
      <c r="L2625" s="6">
        <v>1.0</v>
      </c>
      <c r="M2625" s="8">
        <f t="shared" si="5"/>
        <v>3.75</v>
      </c>
      <c r="P2625" s="9"/>
    </row>
    <row r="2626">
      <c r="A2626" s="6" t="s">
        <v>6299</v>
      </c>
      <c r="B2626" s="6" t="s">
        <v>6300</v>
      </c>
      <c r="C2626" s="6" t="s">
        <v>295</v>
      </c>
      <c r="D2626" s="6" t="s">
        <v>6301</v>
      </c>
      <c r="E2626" s="6" t="s">
        <v>2365</v>
      </c>
      <c r="F2626" s="6" t="s">
        <v>170</v>
      </c>
      <c r="G2626" s="7">
        <v>0.09</v>
      </c>
      <c r="H2626" s="6" t="s">
        <v>2024</v>
      </c>
      <c r="I2626" s="6" t="s">
        <v>20</v>
      </c>
      <c r="J2626" s="6">
        <v>1996.0</v>
      </c>
      <c r="K2626" s="10">
        <v>46056.0</v>
      </c>
      <c r="L2626" s="6">
        <v>1.0</v>
      </c>
      <c r="M2626" s="8">
        <f t="shared" si="5"/>
        <v>0.09</v>
      </c>
      <c r="P2626" s="9"/>
    </row>
    <row r="2627">
      <c r="A2627" s="6" t="s">
        <v>6302</v>
      </c>
      <c r="B2627" s="6" t="s">
        <v>2662</v>
      </c>
      <c r="C2627" s="6" t="s">
        <v>1949</v>
      </c>
      <c r="D2627" s="6" t="s">
        <v>6303</v>
      </c>
      <c r="E2627" s="6" t="s">
        <v>3424</v>
      </c>
      <c r="F2627" s="6" t="s">
        <v>170</v>
      </c>
      <c r="G2627" s="7">
        <v>0.2</v>
      </c>
      <c r="H2627" s="6" t="s">
        <v>1819</v>
      </c>
      <c r="I2627" s="6" t="s">
        <v>20</v>
      </c>
      <c r="J2627" s="6">
        <v>1995.0</v>
      </c>
      <c r="K2627" s="10">
        <v>46115.0</v>
      </c>
      <c r="L2627" s="6">
        <v>2.0</v>
      </c>
      <c r="M2627" s="8">
        <f t="shared" si="5"/>
        <v>0.4</v>
      </c>
      <c r="P2627" s="9"/>
    </row>
    <row r="2628">
      <c r="A2628" s="6" t="s">
        <v>6304</v>
      </c>
      <c r="B2628" s="6" t="s">
        <v>2786</v>
      </c>
      <c r="C2628" s="6" t="s">
        <v>1949</v>
      </c>
      <c r="D2628" s="6" t="s">
        <v>6305</v>
      </c>
      <c r="E2628" s="6" t="s">
        <v>3424</v>
      </c>
      <c r="F2628" s="6" t="s">
        <v>170</v>
      </c>
      <c r="G2628" s="7">
        <v>0.5</v>
      </c>
      <c r="H2628" s="6" t="s">
        <v>1819</v>
      </c>
      <c r="I2628" s="6" t="s">
        <v>20</v>
      </c>
      <c r="J2628" s="6">
        <v>1995.0</v>
      </c>
      <c r="K2628" s="10">
        <v>46083.0</v>
      </c>
      <c r="L2628" s="6">
        <v>1.0</v>
      </c>
      <c r="M2628" s="8">
        <f t="shared" si="5"/>
        <v>0.5</v>
      </c>
      <c r="P2628" s="9"/>
    </row>
    <row r="2629">
      <c r="A2629" s="6" t="s">
        <v>6304</v>
      </c>
      <c r="B2629" s="6" t="s">
        <v>2786</v>
      </c>
      <c r="C2629" s="6" t="s">
        <v>1949</v>
      </c>
      <c r="D2629" s="6" t="s">
        <v>6305</v>
      </c>
      <c r="E2629" s="6" t="s">
        <v>3424</v>
      </c>
      <c r="F2629" s="6" t="s">
        <v>170</v>
      </c>
      <c r="G2629" s="7">
        <v>0.1</v>
      </c>
      <c r="H2629" s="6" t="s">
        <v>1818</v>
      </c>
      <c r="I2629" s="6" t="s">
        <v>20</v>
      </c>
      <c r="J2629" s="6">
        <v>1995.0</v>
      </c>
      <c r="K2629" s="10">
        <v>46083.0</v>
      </c>
      <c r="L2629" s="6">
        <v>3.0</v>
      </c>
      <c r="M2629" s="8">
        <f t="shared" si="5"/>
        <v>0.3</v>
      </c>
      <c r="P2629" s="9"/>
    </row>
    <row r="2630">
      <c r="A2630" s="6" t="s">
        <v>6306</v>
      </c>
      <c r="B2630" s="6" t="s">
        <v>6307</v>
      </c>
      <c r="C2630" s="6" t="s">
        <v>295</v>
      </c>
      <c r="D2630" s="6" t="s">
        <v>6308</v>
      </c>
      <c r="E2630" s="6" t="s">
        <v>3424</v>
      </c>
      <c r="F2630" s="6" t="s">
        <v>170</v>
      </c>
      <c r="G2630" s="7">
        <v>0.05</v>
      </c>
      <c r="H2630" s="6" t="s">
        <v>1774</v>
      </c>
      <c r="I2630" s="6" t="s">
        <v>20</v>
      </c>
      <c r="J2630" s="6">
        <v>1995.0</v>
      </c>
      <c r="K2630" s="10">
        <v>46084.0</v>
      </c>
      <c r="L2630" s="6">
        <v>2.0</v>
      </c>
      <c r="M2630" s="8">
        <f t="shared" si="5"/>
        <v>0.1</v>
      </c>
      <c r="P2630" s="9"/>
    </row>
    <row r="2631">
      <c r="A2631" s="6" t="s">
        <v>6309</v>
      </c>
      <c r="B2631" s="6" t="s">
        <v>5012</v>
      </c>
      <c r="C2631" s="6" t="s">
        <v>295</v>
      </c>
      <c r="D2631" s="6" t="s">
        <v>6310</v>
      </c>
      <c r="E2631" s="6" t="s">
        <v>2754</v>
      </c>
      <c r="F2631" s="6" t="s">
        <v>170</v>
      </c>
      <c r="G2631" s="7">
        <v>0.1</v>
      </c>
      <c r="H2631" s="6" t="s">
        <v>2089</v>
      </c>
      <c r="I2631" s="6" t="s">
        <v>20</v>
      </c>
      <c r="J2631" s="6">
        <v>1995.0</v>
      </c>
      <c r="K2631" s="10">
        <v>46084.0</v>
      </c>
      <c r="L2631" s="6">
        <v>1.0</v>
      </c>
      <c r="M2631" s="8">
        <f t="shared" si="5"/>
        <v>0.1</v>
      </c>
      <c r="P2631" s="9"/>
    </row>
    <row r="2632">
      <c r="A2632" s="6" t="s">
        <v>6311</v>
      </c>
      <c r="B2632" s="6" t="s">
        <v>2382</v>
      </c>
      <c r="C2632" s="6" t="s">
        <v>1949</v>
      </c>
      <c r="D2632" s="6" t="s">
        <v>6312</v>
      </c>
      <c r="E2632" s="6" t="s">
        <v>2350</v>
      </c>
      <c r="F2632" s="6" t="s">
        <v>170</v>
      </c>
      <c r="G2632" s="7">
        <v>0.08</v>
      </c>
      <c r="H2632" s="6" t="s">
        <v>2950</v>
      </c>
      <c r="I2632" s="6" t="s">
        <v>20</v>
      </c>
      <c r="J2632" s="6">
        <v>2002.0</v>
      </c>
      <c r="K2632" s="10">
        <v>46024.0</v>
      </c>
      <c r="L2632" s="6">
        <v>1.0</v>
      </c>
      <c r="M2632" s="8">
        <f t="shared" si="5"/>
        <v>0.08</v>
      </c>
      <c r="P2632" s="9"/>
    </row>
    <row r="2633">
      <c r="A2633" s="6" t="s">
        <v>6313</v>
      </c>
      <c r="B2633" s="6" t="s">
        <v>2580</v>
      </c>
      <c r="C2633" s="6" t="s">
        <v>295</v>
      </c>
      <c r="D2633" s="6" t="s">
        <v>6314</v>
      </c>
      <c r="E2633" s="6" t="s">
        <v>2350</v>
      </c>
      <c r="F2633" s="6" t="s">
        <v>170</v>
      </c>
      <c r="G2633" s="7">
        <v>0.05</v>
      </c>
      <c r="H2633" s="6" t="s">
        <v>2950</v>
      </c>
      <c r="I2633" s="6" t="s">
        <v>20</v>
      </c>
      <c r="J2633" s="6">
        <v>2002.0</v>
      </c>
      <c r="K2633" s="10">
        <v>46054.0</v>
      </c>
      <c r="L2633" s="6">
        <v>1.0</v>
      </c>
      <c r="M2633" s="8">
        <f t="shared" si="5"/>
        <v>0.05</v>
      </c>
      <c r="P2633" s="9"/>
    </row>
    <row r="2634">
      <c r="A2634" s="6" t="s">
        <v>6315</v>
      </c>
      <c r="B2634" s="6" t="s">
        <v>2382</v>
      </c>
      <c r="C2634" s="6" t="s">
        <v>295</v>
      </c>
      <c r="D2634" s="6" t="s">
        <v>6316</v>
      </c>
      <c r="E2634" s="6" t="s">
        <v>2350</v>
      </c>
      <c r="F2634" s="6" t="s">
        <v>170</v>
      </c>
      <c r="G2634" s="7">
        <v>0.05</v>
      </c>
      <c r="H2634" s="6" t="s">
        <v>2950</v>
      </c>
      <c r="I2634" s="6" t="s">
        <v>20</v>
      </c>
      <c r="J2634" s="6">
        <v>2002.0</v>
      </c>
      <c r="K2634" s="10">
        <v>46024.0</v>
      </c>
      <c r="L2634" s="6">
        <v>1.0</v>
      </c>
      <c r="M2634" s="8">
        <f t="shared" si="5"/>
        <v>0.05</v>
      </c>
      <c r="P2634" s="9"/>
    </row>
    <row r="2635">
      <c r="A2635" s="6" t="s">
        <v>6317</v>
      </c>
      <c r="B2635" s="6" t="s">
        <v>2382</v>
      </c>
      <c r="C2635" s="6" t="s">
        <v>295</v>
      </c>
      <c r="D2635" s="6" t="s">
        <v>6318</v>
      </c>
      <c r="E2635" s="6" t="s">
        <v>2350</v>
      </c>
      <c r="F2635" s="6" t="s">
        <v>170</v>
      </c>
      <c r="G2635" s="7">
        <v>0.06</v>
      </c>
      <c r="H2635" s="6" t="s">
        <v>4521</v>
      </c>
      <c r="I2635" s="6" t="s">
        <v>20</v>
      </c>
      <c r="J2635" s="6">
        <v>2003.0</v>
      </c>
      <c r="K2635" s="10">
        <v>46084.0</v>
      </c>
      <c r="L2635" s="6">
        <v>1.0</v>
      </c>
      <c r="M2635" s="8">
        <f t="shared" si="5"/>
        <v>0.06</v>
      </c>
      <c r="P2635" s="9"/>
    </row>
    <row r="2636">
      <c r="A2636" s="6" t="s">
        <v>6319</v>
      </c>
      <c r="B2636" s="6" t="s">
        <v>2382</v>
      </c>
      <c r="C2636" s="6" t="s">
        <v>295</v>
      </c>
      <c r="D2636" s="6" t="s">
        <v>6320</v>
      </c>
      <c r="E2636" s="6" t="s">
        <v>3913</v>
      </c>
      <c r="F2636" s="6" t="s">
        <v>170</v>
      </c>
      <c r="G2636" s="7">
        <v>0.04</v>
      </c>
      <c r="H2636" s="6" t="s">
        <v>2950</v>
      </c>
      <c r="I2636" s="6" t="s">
        <v>20</v>
      </c>
      <c r="J2636" s="6">
        <v>2002.0</v>
      </c>
      <c r="K2636" s="10">
        <v>46024.0</v>
      </c>
      <c r="L2636" s="6">
        <v>1.0</v>
      </c>
      <c r="M2636" s="8">
        <f t="shared" si="5"/>
        <v>0.04</v>
      </c>
      <c r="P2636" s="9"/>
    </row>
    <row r="2637">
      <c r="A2637" s="6" t="s">
        <v>6321</v>
      </c>
      <c r="B2637" s="6" t="s">
        <v>3947</v>
      </c>
      <c r="C2637" s="6" t="s">
        <v>295</v>
      </c>
      <c r="D2637" s="6" t="s">
        <v>6322</v>
      </c>
      <c r="E2637" s="6" t="s">
        <v>930</v>
      </c>
      <c r="F2637" s="6" t="s">
        <v>170</v>
      </c>
      <c r="G2637" s="7">
        <v>39.21</v>
      </c>
      <c r="H2637" s="6" t="s">
        <v>1697</v>
      </c>
      <c r="I2637" s="6" t="s">
        <v>20</v>
      </c>
      <c r="J2637" s="6">
        <v>2003.0</v>
      </c>
      <c r="K2637" s="10">
        <v>46023.0</v>
      </c>
      <c r="L2637" s="6">
        <v>1.0</v>
      </c>
      <c r="M2637" s="8">
        <f t="shared" si="5"/>
        <v>39.21</v>
      </c>
      <c r="P2637" s="9"/>
    </row>
    <row r="2638">
      <c r="A2638" s="6" t="s">
        <v>6323</v>
      </c>
      <c r="B2638" s="6" t="s">
        <v>6324</v>
      </c>
      <c r="C2638" s="6" t="s">
        <v>295</v>
      </c>
      <c r="D2638" s="6" t="s">
        <v>6325</v>
      </c>
      <c r="E2638" s="6" t="s">
        <v>930</v>
      </c>
      <c r="F2638" s="6" t="s">
        <v>170</v>
      </c>
      <c r="G2638" s="7">
        <v>1.64</v>
      </c>
      <c r="H2638" s="6" t="s">
        <v>2024</v>
      </c>
      <c r="I2638" s="6" t="s">
        <v>20</v>
      </c>
      <c r="J2638" s="6">
        <v>1996.0</v>
      </c>
      <c r="K2638" s="10">
        <v>46023.0</v>
      </c>
      <c r="L2638" s="6">
        <v>2.0</v>
      </c>
      <c r="M2638" s="8">
        <f t="shared" si="5"/>
        <v>3.28</v>
      </c>
      <c r="P2638" s="9"/>
    </row>
    <row r="2639">
      <c r="A2639" s="6" t="s">
        <v>6323</v>
      </c>
      <c r="B2639" s="6" t="s">
        <v>6324</v>
      </c>
      <c r="C2639" s="6" t="s">
        <v>295</v>
      </c>
      <c r="D2639" s="6" t="s">
        <v>6325</v>
      </c>
      <c r="E2639" s="6" t="s">
        <v>930</v>
      </c>
      <c r="F2639" s="6" t="s">
        <v>170</v>
      </c>
      <c r="G2639" s="7">
        <v>1.49</v>
      </c>
      <c r="H2639" s="6" t="s">
        <v>2024</v>
      </c>
      <c r="I2639" s="6" t="s">
        <v>20</v>
      </c>
      <c r="J2639" s="6">
        <v>1996.0</v>
      </c>
      <c r="K2639" s="10">
        <v>46023.0</v>
      </c>
      <c r="L2639" s="6">
        <v>2.0</v>
      </c>
      <c r="M2639" s="8">
        <f t="shared" si="5"/>
        <v>2.98</v>
      </c>
      <c r="P2639" s="9"/>
    </row>
    <row r="2640">
      <c r="A2640" s="6" t="s">
        <v>6326</v>
      </c>
      <c r="B2640" s="6" t="s">
        <v>6327</v>
      </c>
      <c r="C2640" s="6" t="s">
        <v>1897</v>
      </c>
      <c r="D2640" s="6" t="s">
        <v>6328</v>
      </c>
      <c r="E2640" s="6" t="s">
        <v>2350</v>
      </c>
      <c r="F2640" s="6" t="s">
        <v>170</v>
      </c>
      <c r="G2640" s="7">
        <v>9.75</v>
      </c>
      <c r="H2640" s="6" t="s">
        <v>5754</v>
      </c>
      <c r="I2640" s="6" t="s">
        <v>20</v>
      </c>
      <c r="J2640" s="6">
        <v>1994.0</v>
      </c>
      <c r="K2640" s="10">
        <v>46055.0</v>
      </c>
      <c r="L2640" s="6">
        <v>1.0</v>
      </c>
      <c r="M2640" s="8">
        <f t="shared" si="5"/>
        <v>9.75</v>
      </c>
      <c r="P2640" s="9"/>
    </row>
    <row r="2641">
      <c r="A2641" s="6" t="s">
        <v>6329</v>
      </c>
      <c r="B2641" s="6" t="s">
        <v>6206</v>
      </c>
      <c r="C2641" s="6" t="s">
        <v>295</v>
      </c>
      <c r="D2641" s="6" t="s">
        <v>6330</v>
      </c>
      <c r="E2641" s="6" t="s">
        <v>3913</v>
      </c>
      <c r="F2641" s="6" t="s">
        <v>170</v>
      </c>
      <c r="G2641" s="7">
        <v>0.05</v>
      </c>
      <c r="H2641" s="6" t="s">
        <v>1774</v>
      </c>
      <c r="I2641" s="6" t="s">
        <v>20</v>
      </c>
      <c r="J2641" s="6">
        <v>1995.0</v>
      </c>
      <c r="K2641" s="10">
        <v>46055.0</v>
      </c>
      <c r="L2641" s="6">
        <v>1.0</v>
      </c>
      <c r="M2641" s="8">
        <f t="shared" si="5"/>
        <v>0.05</v>
      </c>
      <c r="P2641" s="9"/>
    </row>
    <row r="2642">
      <c r="A2642" s="6" t="s">
        <v>6331</v>
      </c>
      <c r="B2642" s="6" t="s">
        <v>3947</v>
      </c>
      <c r="C2642" s="6" t="s">
        <v>295</v>
      </c>
      <c r="D2642" s="6" t="s">
        <v>6332</v>
      </c>
      <c r="E2642" s="6" t="s">
        <v>2350</v>
      </c>
      <c r="F2642" s="6" t="s">
        <v>170</v>
      </c>
      <c r="G2642" s="7">
        <v>0.05</v>
      </c>
      <c r="H2642" s="6" t="s">
        <v>1697</v>
      </c>
      <c r="I2642" s="6" t="s">
        <v>20</v>
      </c>
      <c r="J2642" s="6">
        <v>2003.0</v>
      </c>
      <c r="K2642" s="10">
        <v>46054.0</v>
      </c>
      <c r="L2642" s="6">
        <v>1.0</v>
      </c>
      <c r="M2642" s="8">
        <f t="shared" si="5"/>
        <v>0.05</v>
      </c>
      <c r="P2642" s="9"/>
    </row>
    <row r="2643">
      <c r="A2643" s="6" t="s">
        <v>6333</v>
      </c>
      <c r="B2643" s="6" t="s">
        <v>6334</v>
      </c>
      <c r="C2643" s="6" t="s">
        <v>2855</v>
      </c>
      <c r="D2643" s="6" t="s">
        <v>6335</v>
      </c>
      <c r="E2643" s="6" t="s">
        <v>2342</v>
      </c>
      <c r="F2643" s="6" t="s">
        <v>170</v>
      </c>
      <c r="G2643" s="7">
        <v>26.9</v>
      </c>
      <c r="H2643" s="6" t="s">
        <v>2950</v>
      </c>
      <c r="I2643" s="6" t="s">
        <v>20</v>
      </c>
      <c r="J2643" s="6">
        <v>2002.0</v>
      </c>
      <c r="K2643" s="10">
        <v>46023.0</v>
      </c>
      <c r="L2643" s="6">
        <v>1.0</v>
      </c>
      <c r="M2643" s="8">
        <f t="shared" si="5"/>
        <v>26.9</v>
      </c>
      <c r="P2643" s="9"/>
    </row>
    <row r="2644">
      <c r="A2644" s="6" t="s">
        <v>3850</v>
      </c>
      <c r="B2644" s="6" t="s">
        <v>2669</v>
      </c>
      <c r="C2644" s="6" t="s">
        <v>1949</v>
      </c>
      <c r="E2644" s="6" t="s">
        <v>2779</v>
      </c>
      <c r="F2644" s="6" t="s">
        <v>170</v>
      </c>
      <c r="G2644" s="7">
        <v>0.05</v>
      </c>
      <c r="H2644" s="6" t="s">
        <v>1818</v>
      </c>
      <c r="I2644" s="6" t="s">
        <v>20</v>
      </c>
      <c r="J2644" s="6">
        <v>1995.0</v>
      </c>
      <c r="K2644" s="10">
        <v>46146.0</v>
      </c>
      <c r="L2644" s="6">
        <v>2.0</v>
      </c>
      <c r="M2644" s="8">
        <f t="shared" si="5"/>
        <v>0.1</v>
      </c>
      <c r="P2644" s="9"/>
    </row>
    <row r="2645">
      <c r="A2645" s="6" t="s">
        <v>6336</v>
      </c>
      <c r="B2645" s="6" t="s">
        <v>6337</v>
      </c>
      <c r="C2645" s="6" t="s">
        <v>1628</v>
      </c>
      <c r="D2645" s="6" t="s">
        <v>6338</v>
      </c>
      <c r="E2645" s="6" t="s">
        <v>2779</v>
      </c>
      <c r="F2645" s="6" t="s">
        <v>170</v>
      </c>
      <c r="G2645" s="7">
        <v>0.2</v>
      </c>
      <c r="H2645" s="6" t="s">
        <v>2089</v>
      </c>
      <c r="I2645" s="6" t="s">
        <v>20</v>
      </c>
      <c r="J2645" s="6">
        <v>1995.0</v>
      </c>
      <c r="K2645" s="10">
        <v>46084.0</v>
      </c>
      <c r="L2645" s="6">
        <v>1.0</v>
      </c>
      <c r="M2645" s="8">
        <f t="shared" si="5"/>
        <v>0.2</v>
      </c>
      <c r="P2645" s="9"/>
    </row>
    <row r="2646">
      <c r="A2646" s="6" t="s">
        <v>6339</v>
      </c>
      <c r="B2646" s="6" t="s">
        <v>6340</v>
      </c>
      <c r="C2646" s="6" t="s">
        <v>2138</v>
      </c>
      <c r="D2646" s="6" t="s">
        <v>6341</v>
      </c>
      <c r="E2646" s="6" t="s">
        <v>2350</v>
      </c>
      <c r="F2646" s="6" t="s">
        <v>170</v>
      </c>
      <c r="G2646" s="7">
        <v>0.16</v>
      </c>
      <c r="H2646" s="6" t="s">
        <v>1819</v>
      </c>
      <c r="I2646" s="6" t="s">
        <v>20</v>
      </c>
      <c r="J2646" s="6">
        <v>1995.0</v>
      </c>
      <c r="K2646" s="10">
        <v>46023.0</v>
      </c>
      <c r="L2646" s="6">
        <v>1.0</v>
      </c>
      <c r="M2646" s="8">
        <f t="shared" si="5"/>
        <v>0.16</v>
      </c>
      <c r="P2646" s="9"/>
    </row>
    <row r="2647">
      <c r="A2647" s="6" t="s">
        <v>6339</v>
      </c>
      <c r="B2647" s="6" t="s">
        <v>6340</v>
      </c>
      <c r="C2647" s="6" t="s">
        <v>2138</v>
      </c>
      <c r="D2647" s="6" t="s">
        <v>6341</v>
      </c>
      <c r="E2647" s="6" t="s">
        <v>2350</v>
      </c>
      <c r="F2647" s="6" t="s">
        <v>170</v>
      </c>
      <c r="G2647" s="7">
        <v>0.05</v>
      </c>
      <c r="H2647" s="6" t="s">
        <v>6210</v>
      </c>
      <c r="I2647" s="6" t="s">
        <v>20</v>
      </c>
      <c r="J2647" s="6">
        <v>1995.0</v>
      </c>
      <c r="K2647" s="10">
        <v>46023.0</v>
      </c>
      <c r="L2647" s="6">
        <v>5.0</v>
      </c>
      <c r="M2647" s="8">
        <f t="shared" si="5"/>
        <v>0.25</v>
      </c>
      <c r="P2647" s="9"/>
    </row>
    <row r="2648">
      <c r="A2648" s="6" t="s">
        <v>6339</v>
      </c>
      <c r="B2648" s="6" t="s">
        <v>6340</v>
      </c>
      <c r="C2648" s="6" t="s">
        <v>2138</v>
      </c>
      <c r="D2648" s="6" t="s">
        <v>6341</v>
      </c>
      <c r="E2648" s="6" t="s">
        <v>2350</v>
      </c>
      <c r="F2648" s="6" t="s">
        <v>170</v>
      </c>
      <c r="G2648" s="7">
        <v>0.12</v>
      </c>
      <c r="H2648" s="6" t="s">
        <v>5754</v>
      </c>
      <c r="I2648" s="6" t="s">
        <v>20</v>
      </c>
      <c r="J2648" s="6">
        <v>1994.0</v>
      </c>
      <c r="K2648" s="10">
        <v>46023.0</v>
      </c>
      <c r="L2648" s="6">
        <v>1.0</v>
      </c>
      <c r="M2648" s="8">
        <f t="shared" si="5"/>
        <v>0.12</v>
      </c>
      <c r="P2648" s="9"/>
    </row>
    <row r="2649">
      <c r="A2649" s="6" t="s">
        <v>6342</v>
      </c>
      <c r="B2649" s="6" t="s">
        <v>6237</v>
      </c>
      <c r="C2649" s="6" t="s">
        <v>1949</v>
      </c>
      <c r="D2649" s="6" t="s">
        <v>6343</v>
      </c>
      <c r="E2649" s="6" t="s">
        <v>3913</v>
      </c>
      <c r="F2649" s="6" t="s">
        <v>170</v>
      </c>
      <c r="G2649" s="7">
        <v>0.15</v>
      </c>
      <c r="H2649" s="6" t="s">
        <v>1819</v>
      </c>
      <c r="I2649" s="6" t="s">
        <v>20</v>
      </c>
      <c r="J2649" s="6">
        <v>1995.0</v>
      </c>
      <c r="K2649" s="10">
        <v>46055.0</v>
      </c>
      <c r="L2649" s="6">
        <v>6.0</v>
      </c>
      <c r="M2649" s="8">
        <f t="shared" si="5"/>
        <v>0.9</v>
      </c>
      <c r="P2649" s="9"/>
    </row>
    <row r="2650">
      <c r="A2650" s="6" t="s">
        <v>6342</v>
      </c>
      <c r="B2650" s="6" t="s">
        <v>6237</v>
      </c>
      <c r="C2650" s="6" t="s">
        <v>1949</v>
      </c>
      <c r="D2650" s="6" t="s">
        <v>6343</v>
      </c>
      <c r="E2650" s="6" t="s">
        <v>3913</v>
      </c>
      <c r="F2650" s="6" t="s">
        <v>170</v>
      </c>
      <c r="G2650" s="7">
        <v>0.05</v>
      </c>
      <c r="H2650" s="6" t="s">
        <v>6210</v>
      </c>
      <c r="I2650" s="6" t="s">
        <v>20</v>
      </c>
      <c r="J2650" s="6">
        <v>1995.0</v>
      </c>
      <c r="K2650" s="10">
        <v>46055.0</v>
      </c>
      <c r="L2650" s="6">
        <v>2.0</v>
      </c>
      <c r="M2650" s="8">
        <f t="shared" si="5"/>
        <v>0.1</v>
      </c>
      <c r="P2650" s="9"/>
    </row>
    <row r="2651">
      <c r="A2651" s="6" t="s">
        <v>6344</v>
      </c>
      <c r="B2651" s="6" t="s">
        <v>5838</v>
      </c>
      <c r="C2651" s="6" t="s">
        <v>295</v>
      </c>
      <c r="D2651" s="6" t="s">
        <v>6345</v>
      </c>
      <c r="E2651" s="6" t="s">
        <v>2350</v>
      </c>
      <c r="F2651" s="6" t="s">
        <v>170</v>
      </c>
      <c r="G2651" s="7">
        <v>0.09</v>
      </c>
      <c r="H2651" s="6" t="s">
        <v>5765</v>
      </c>
      <c r="I2651" s="6" t="s">
        <v>20</v>
      </c>
      <c r="J2651" s="6">
        <v>1995.0</v>
      </c>
      <c r="K2651" s="10">
        <v>46175.0</v>
      </c>
      <c r="L2651" s="6">
        <v>2.0</v>
      </c>
      <c r="M2651" s="8">
        <f t="shared" si="5"/>
        <v>0.18</v>
      </c>
      <c r="P2651" s="9"/>
    </row>
    <row r="2652">
      <c r="A2652" s="6" t="s">
        <v>6346</v>
      </c>
      <c r="B2652" s="6" t="s">
        <v>3792</v>
      </c>
      <c r="C2652" s="6" t="s">
        <v>1949</v>
      </c>
      <c r="D2652" s="6" t="s">
        <v>6347</v>
      </c>
      <c r="E2652" s="6" t="s">
        <v>3913</v>
      </c>
      <c r="F2652" s="6" t="s">
        <v>170</v>
      </c>
      <c r="G2652" s="7">
        <v>0.09</v>
      </c>
      <c r="H2652" s="6" t="s">
        <v>6210</v>
      </c>
      <c r="I2652" s="6" t="s">
        <v>20</v>
      </c>
      <c r="J2652" s="6">
        <v>1995.0</v>
      </c>
      <c r="K2652" s="6" t="s">
        <v>6348</v>
      </c>
      <c r="L2652" s="6">
        <v>1.0</v>
      </c>
      <c r="M2652" s="8">
        <f t="shared" si="5"/>
        <v>0.09</v>
      </c>
      <c r="P2652" s="9"/>
    </row>
    <row r="2653">
      <c r="A2653" s="6" t="s">
        <v>6349</v>
      </c>
      <c r="B2653" s="6" t="s">
        <v>3098</v>
      </c>
      <c r="C2653" s="6" t="s">
        <v>295</v>
      </c>
      <c r="D2653" s="6" t="s">
        <v>6350</v>
      </c>
      <c r="E2653" s="6" t="s">
        <v>2350</v>
      </c>
      <c r="F2653" s="6" t="s">
        <v>170</v>
      </c>
      <c r="G2653" s="7">
        <v>0.09</v>
      </c>
      <c r="H2653" s="6" t="s">
        <v>2024</v>
      </c>
      <c r="I2653" s="6" t="s">
        <v>20</v>
      </c>
      <c r="J2653" s="6">
        <v>1996.0</v>
      </c>
      <c r="K2653" s="10">
        <v>46055.0</v>
      </c>
      <c r="L2653" s="6">
        <v>1.0</v>
      </c>
      <c r="M2653" s="8">
        <f t="shared" si="5"/>
        <v>0.09</v>
      </c>
      <c r="P2653" s="9"/>
    </row>
    <row r="2654">
      <c r="A2654" s="6" t="s">
        <v>6351</v>
      </c>
      <c r="B2654" s="6" t="s">
        <v>3792</v>
      </c>
      <c r="C2654" s="6" t="s">
        <v>1949</v>
      </c>
      <c r="D2654" s="6" t="s">
        <v>6352</v>
      </c>
      <c r="E2654" s="6" t="s">
        <v>3913</v>
      </c>
      <c r="F2654" s="6" t="s">
        <v>170</v>
      </c>
      <c r="G2654" s="7">
        <v>0.1</v>
      </c>
      <c r="H2654" s="6" t="s">
        <v>6210</v>
      </c>
      <c r="I2654" s="6" t="s">
        <v>20</v>
      </c>
      <c r="J2654" s="6">
        <v>1995.0</v>
      </c>
      <c r="K2654" s="6" t="s">
        <v>3153</v>
      </c>
      <c r="L2654" s="6">
        <v>1.0</v>
      </c>
      <c r="M2654" s="8">
        <f t="shared" si="5"/>
        <v>0.1</v>
      </c>
      <c r="P2654" s="9"/>
    </row>
    <row r="2655">
      <c r="A2655" s="6" t="s">
        <v>6353</v>
      </c>
      <c r="B2655" s="6" t="s">
        <v>6206</v>
      </c>
      <c r="C2655" s="6" t="s">
        <v>295</v>
      </c>
      <c r="D2655" s="6" t="s">
        <v>6230</v>
      </c>
      <c r="E2655" s="6" t="s">
        <v>2350</v>
      </c>
      <c r="F2655" s="6" t="s">
        <v>170</v>
      </c>
      <c r="G2655" s="7">
        <v>0.2</v>
      </c>
      <c r="H2655" s="6" t="s">
        <v>1780</v>
      </c>
      <c r="I2655" s="6" t="s">
        <v>20</v>
      </c>
      <c r="J2655" s="6">
        <v>1994.0</v>
      </c>
      <c r="K2655" s="10">
        <v>46056.0</v>
      </c>
      <c r="L2655" s="6">
        <v>2.0</v>
      </c>
      <c r="M2655" s="8">
        <f t="shared" si="5"/>
        <v>0.4</v>
      </c>
      <c r="P2655" s="9"/>
    </row>
    <row r="2656">
      <c r="A2656" s="6" t="s">
        <v>6354</v>
      </c>
      <c r="B2656" s="6" t="s">
        <v>6355</v>
      </c>
      <c r="C2656" s="6" t="s">
        <v>295</v>
      </c>
      <c r="E2656" s="6" t="s">
        <v>3913</v>
      </c>
      <c r="F2656" s="6" t="s">
        <v>170</v>
      </c>
      <c r="G2656" s="7">
        <v>0.05</v>
      </c>
      <c r="H2656" s="6" t="s">
        <v>1774</v>
      </c>
      <c r="I2656" s="6" t="s">
        <v>20</v>
      </c>
      <c r="J2656" s="6">
        <v>1995.0</v>
      </c>
      <c r="K2656" s="10">
        <v>46056.0</v>
      </c>
      <c r="L2656" s="6">
        <v>1.0</v>
      </c>
      <c r="M2656" s="8">
        <f t="shared" si="5"/>
        <v>0.05</v>
      </c>
      <c r="P2656" s="9"/>
    </row>
    <row r="2657">
      <c r="A2657" s="6" t="s">
        <v>6356</v>
      </c>
      <c r="B2657" s="6" t="s">
        <v>850</v>
      </c>
      <c r="C2657" s="6" t="s">
        <v>1949</v>
      </c>
      <c r="D2657" s="6" t="s">
        <v>6357</v>
      </c>
      <c r="E2657" s="6" t="s">
        <v>3913</v>
      </c>
      <c r="F2657" s="6" t="s">
        <v>170</v>
      </c>
      <c r="G2657" s="7">
        <v>0.2</v>
      </c>
      <c r="H2657" s="6" t="s">
        <v>5765</v>
      </c>
      <c r="I2657" s="6" t="s">
        <v>20</v>
      </c>
      <c r="J2657" s="6">
        <v>1995.0</v>
      </c>
      <c r="K2657" s="10">
        <v>46054.0</v>
      </c>
      <c r="L2657" s="6">
        <v>1.0</v>
      </c>
      <c r="M2657" s="8">
        <f t="shared" si="5"/>
        <v>0.2</v>
      </c>
      <c r="P2657" s="9"/>
    </row>
    <row r="2658">
      <c r="A2658" s="6" t="s">
        <v>6358</v>
      </c>
      <c r="B2658" s="6" t="s">
        <v>5838</v>
      </c>
      <c r="C2658" s="6" t="s">
        <v>1949</v>
      </c>
      <c r="D2658" s="6" t="s">
        <v>6359</v>
      </c>
      <c r="E2658" s="6" t="s">
        <v>3913</v>
      </c>
      <c r="F2658" s="6" t="s">
        <v>170</v>
      </c>
      <c r="G2658" s="7">
        <v>0.18</v>
      </c>
      <c r="H2658" s="6" t="s">
        <v>1774</v>
      </c>
      <c r="I2658" s="6" t="s">
        <v>20</v>
      </c>
      <c r="J2658" s="6">
        <v>1995.0</v>
      </c>
      <c r="K2658" s="10">
        <v>46082.0</v>
      </c>
      <c r="L2658" s="6">
        <v>1.0</v>
      </c>
      <c r="M2658" s="8">
        <f t="shared" si="5"/>
        <v>0.18</v>
      </c>
      <c r="P2658" s="9"/>
    </row>
    <row r="2659">
      <c r="A2659" s="6" t="s">
        <v>6360</v>
      </c>
      <c r="B2659" s="6" t="s">
        <v>5838</v>
      </c>
      <c r="C2659" s="6" t="s">
        <v>1949</v>
      </c>
      <c r="D2659" s="6" t="s">
        <v>6361</v>
      </c>
      <c r="E2659" s="6" t="s">
        <v>2350</v>
      </c>
      <c r="F2659" s="6" t="s">
        <v>170</v>
      </c>
      <c r="G2659" s="7">
        <v>0.1</v>
      </c>
      <c r="H2659" s="6" t="s">
        <v>6210</v>
      </c>
      <c r="I2659" s="6" t="s">
        <v>20</v>
      </c>
      <c r="J2659" s="6">
        <v>1995.0</v>
      </c>
      <c r="K2659" s="10">
        <v>46113.0</v>
      </c>
      <c r="L2659" s="6">
        <v>1.0</v>
      </c>
      <c r="M2659" s="8">
        <f t="shared" si="5"/>
        <v>0.1</v>
      </c>
      <c r="P2659" s="9"/>
    </row>
    <row r="2660">
      <c r="A2660" s="6" t="s">
        <v>6362</v>
      </c>
      <c r="B2660" s="6" t="s">
        <v>6363</v>
      </c>
      <c r="C2660" s="6" t="s">
        <v>1667</v>
      </c>
      <c r="D2660" s="6" t="s">
        <v>6364</v>
      </c>
      <c r="E2660" s="6" t="s">
        <v>2350</v>
      </c>
      <c r="F2660" s="6" t="s">
        <v>170</v>
      </c>
      <c r="G2660" s="7">
        <v>0.05</v>
      </c>
      <c r="H2660" s="6" t="s">
        <v>6365</v>
      </c>
      <c r="I2660" s="6" t="s">
        <v>20</v>
      </c>
      <c r="J2660" s="6">
        <v>1996.0</v>
      </c>
      <c r="K2660" s="10">
        <v>46055.0</v>
      </c>
      <c r="L2660" s="6">
        <v>1.0</v>
      </c>
      <c r="M2660" s="8">
        <f t="shared" si="5"/>
        <v>0.05</v>
      </c>
      <c r="P2660" s="9"/>
    </row>
    <row r="2661">
      <c r="A2661" s="6" t="s">
        <v>6366</v>
      </c>
      <c r="B2661" s="6" t="s">
        <v>6367</v>
      </c>
      <c r="C2661" s="6" t="s">
        <v>295</v>
      </c>
      <c r="D2661" s="6" t="s">
        <v>6368</v>
      </c>
      <c r="E2661" s="6" t="s">
        <v>3913</v>
      </c>
      <c r="F2661" s="6" t="s">
        <v>170</v>
      </c>
      <c r="G2661" s="7">
        <v>0.05</v>
      </c>
      <c r="H2661" s="6" t="s">
        <v>1774</v>
      </c>
      <c r="I2661" s="6" t="s">
        <v>20</v>
      </c>
      <c r="J2661" s="6">
        <v>1995.0</v>
      </c>
      <c r="K2661" s="10">
        <v>46055.0</v>
      </c>
      <c r="L2661" s="6">
        <v>1.0</v>
      </c>
      <c r="M2661" s="8">
        <f t="shared" si="5"/>
        <v>0.05</v>
      </c>
      <c r="P2661" s="9"/>
    </row>
    <row r="2662">
      <c r="A2662" s="6" t="s">
        <v>6369</v>
      </c>
      <c r="B2662" s="6" t="s">
        <v>2580</v>
      </c>
      <c r="C2662" s="6" t="s">
        <v>1949</v>
      </c>
      <c r="D2662" s="6" t="s">
        <v>6370</v>
      </c>
      <c r="E2662" s="6" t="s">
        <v>930</v>
      </c>
      <c r="F2662" s="6" t="s">
        <v>170</v>
      </c>
      <c r="G2662" s="7">
        <v>0.25</v>
      </c>
      <c r="H2662" s="6" t="s">
        <v>6210</v>
      </c>
      <c r="I2662" s="6" t="s">
        <v>20</v>
      </c>
      <c r="J2662" s="6">
        <v>1995.0</v>
      </c>
      <c r="K2662" s="10">
        <v>46023.0</v>
      </c>
      <c r="L2662" s="6">
        <v>1.0</v>
      </c>
      <c r="M2662" s="8">
        <f t="shared" si="5"/>
        <v>0.25</v>
      </c>
      <c r="P2662" s="9"/>
    </row>
    <row r="2663">
      <c r="A2663" s="6" t="s">
        <v>6371</v>
      </c>
      <c r="B2663" s="6" t="s">
        <v>6206</v>
      </c>
      <c r="C2663" s="6" t="s">
        <v>295</v>
      </c>
      <c r="D2663" s="6" t="s">
        <v>6372</v>
      </c>
      <c r="E2663" s="6" t="s">
        <v>930</v>
      </c>
      <c r="F2663" s="6" t="s">
        <v>170</v>
      </c>
      <c r="G2663" s="7">
        <v>0.06</v>
      </c>
      <c r="H2663" s="6" t="s">
        <v>1774</v>
      </c>
      <c r="I2663" s="6" t="s">
        <v>20</v>
      </c>
      <c r="J2663" s="6">
        <v>1995.0</v>
      </c>
      <c r="K2663" s="10">
        <v>46055.0</v>
      </c>
      <c r="L2663" s="6">
        <v>1.0</v>
      </c>
      <c r="M2663" s="8">
        <f t="shared" si="5"/>
        <v>0.06</v>
      </c>
      <c r="P2663" s="9"/>
    </row>
    <row r="2664">
      <c r="A2664" s="6" t="s">
        <v>6373</v>
      </c>
      <c r="B2664" s="6" t="s">
        <v>6374</v>
      </c>
      <c r="C2664" s="6" t="s">
        <v>295</v>
      </c>
      <c r="D2664" s="6" t="s">
        <v>6375</v>
      </c>
      <c r="E2664" s="6" t="s">
        <v>930</v>
      </c>
      <c r="F2664" s="6" t="s">
        <v>170</v>
      </c>
      <c r="G2664" s="7">
        <v>0.11</v>
      </c>
      <c r="H2664" s="6" t="s">
        <v>1774</v>
      </c>
      <c r="I2664" s="6" t="s">
        <v>20</v>
      </c>
      <c r="J2664" s="6">
        <v>1995.0</v>
      </c>
      <c r="K2664" s="10">
        <v>46023.0</v>
      </c>
      <c r="L2664" s="6">
        <v>1.0</v>
      </c>
      <c r="M2664" s="8">
        <f t="shared" si="5"/>
        <v>0.11</v>
      </c>
      <c r="P2664" s="9"/>
    </row>
    <row r="2665">
      <c r="A2665" s="6" t="s">
        <v>6376</v>
      </c>
      <c r="B2665" s="6" t="s">
        <v>3090</v>
      </c>
      <c r="C2665" s="6" t="s">
        <v>295</v>
      </c>
      <c r="D2665" s="6" t="s">
        <v>6377</v>
      </c>
      <c r="E2665" s="6" t="s">
        <v>930</v>
      </c>
      <c r="F2665" s="6" t="s">
        <v>170</v>
      </c>
      <c r="G2665" s="7">
        <v>0.08</v>
      </c>
      <c r="H2665" s="6" t="s">
        <v>5878</v>
      </c>
      <c r="I2665" s="6" t="s">
        <v>20</v>
      </c>
      <c r="J2665" s="6">
        <v>2003.0</v>
      </c>
      <c r="K2665" s="10">
        <v>46023.0</v>
      </c>
      <c r="L2665" s="6">
        <v>1.0</v>
      </c>
      <c r="M2665" s="8">
        <f t="shared" si="5"/>
        <v>0.08</v>
      </c>
      <c r="P2665" s="9"/>
    </row>
    <row r="2666">
      <c r="A2666" s="6" t="s">
        <v>6378</v>
      </c>
      <c r="B2666" s="6" t="s">
        <v>2900</v>
      </c>
      <c r="C2666" s="6" t="s">
        <v>295</v>
      </c>
      <c r="D2666" s="6" t="s">
        <v>6379</v>
      </c>
      <c r="E2666" s="6" t="s">
        <v>930</v>
      </c>
      <c r="F2666" s="6" t="s">
        <v>170</v>
      </c>
      <c r="G2666" s="7">
        <v>0.08</v>
      </c>
      <c r="H2666" s="6" t="s">
        <v>5765</v>
      </c>
      <c r="I2666" s="6" t="s">
        <v>20</v>
      </c>
      <c r="J2666" s="6">
        <v>1995.0</v>
      </c>
      <c r="K2666" s="10">
        <v>46023.0</v>
      </c>
      <c r="L2666" s="6">
        <v>1.0</v>
      </c>
      <c r="M2666" s="8">
        <f t="shared" si="5"/>
        <v>0.08</v>
      </c>
      <c r="P2666" s="9"/>
    </row>
    <row r="2667">
      <c r="A2667" s="6" t="s">
        <v>6380</v>
      </c>
      <c r="B2667" s="6" t="s">
        <v>6381</v>
      </c>
      <c r="C2667" s="6" t="s">
        <v>1897</v>
      </c>
      <c r="D2667" s="6" t="s">
        <v>6382</v>
      </c>
      <c r="E2667" s="6" t="s">
        <v>2342</v>
      </c>
      <c r="F2667" s="6" t="s">
        <v>170</v>
      </c>
      <c r="G2667" s="7">
        <v>3.0</v>
      </c>
      <c r="H2667" s="6" t="s">
        <v>2089</v>
      </c>
      <c r="I2667" s="6" t="s">
        <v>20</v>
      </c>
      <c r="J2667" s="6">
        <v>1995.0</v>
      </c>
      <c r="K2667" s="10">
        <v>46023.0</v>
      </c>
      <c r="L2667" s="6">
        <v>1.0</v>
      </c>
      <c r="M2667" s="8">
        <f t="shared" si="5"/>
        <v>3</v>
      </c>
      <c r="P2667" s="9"/>
    </row>
    <row r="2668">
      <c r="A2668" s="6" t="s">
        <v>6383</v>
      </c>
      <c r="B2668" s="6" t="s">
        <v>6384</v>
      </c>
      <c r="C2668" s="6" t="s">
        <v>295</v>
      </c>
      <c r="D2668" s="6" t="s">
        <v>6385</v>
      </c>
      <c r="E2668" s="6" t="s">
        <v>2342</v>
      </c>
      <c r="F2668" s="6" t="s">
        <v>170</v>
      </c>
      <c r="G2668" s="7">
        <v>0.25</v>
      </c>
      <c r="H2668" s="6" t="s">
        <v>5754</v>
      </c>
      <c r="I2668" s="6" t="s">
        <v>20</v>
      </c>
      <c r="J2668" s="6">
        <v>1994.0</v>
      </c>
      <c r="K2668" s="10">
        <v>46054.0</v>
      </c>
      <c r="L2668" s="6">
        <v>1.0</v>
      </c>
      <c r="M2668" s="8">
        <f t="shared" si="5"/>
        <v>0.25</v>
      </c>
      <c r="P2668" s="9"/>
    </row>
    <row r="2669">
      <c r="A2669" s="6" t="s">
        <v>6386</v>
      </c>
      <c r="B2669" s="6" t="s">
        <v>689</v>
      </c>
      <c r="C2669" s="6" t="s">
        <v>295</v>
      </c>
      <c r="D2669" s="6" t="s">
        <v>6387</v>
      </c>
      <c r="E2669" s="6" t="s">
        <v>2342</v>
      </c>
      <c r="F2669" s="6" t="s">
        <v>170</v>
      </c>
      <c r="G2669" s="7">
        <v>0.2</v>
      </c>
      <c r="H2669" s="6" t="s">
        <v>1780</v>
      </c>
      <c r="I2669" s="6" t="s">
        <v>20</v>
      </c>
      <c r="J2669" s="6">
        <v>1994.0</v>
      </c>
      <c r="K2669" s="10">
        <v>46024.0</v>
      </c>
      <c r="L2669" s="6">
        <v>1.0</v>
      </c>
      <c r="M2669" s="8">
        <f t="shared" si="5"/>
        <v>0.2</v>
      </c>
      <c r="P2669" s="9"/>
    </row>
    <row r="2670">
      <c r="A2670" s="6" t="s">
        <v>6388</v>
      </c>
      <c r="B2670" s="6" t="s">
        <v>689</v>
      </c>
      <c r="C2670" s="6" t="s">
        <v>1949</v>
      </c>
      <c r="D2670" s="6" t="s">
        <v>6389</v>
      </c>
      <c r="E2670" s="6" t="s">
        <v>6129</v>
      </c>
      <c r="F2670" s="6" t="s">
        <v>170</v>
      </c>
      <c r="G2670" s="7">
        <v>0.45</v>
      </c>
      <c r="H2670" s="6" t="s">
        <v>1780</v>
      </c>
      <c r="I2670" s="6" t="s">
        <v>20</v>
      </c>
      <c r="J2670" s="6">
        <v>1994.0</v>
      </c>
      <c r="K2670" s="10">
        <v>46054.0</v>
      </c>
      <c r="L2670" s="6">
        <v>1.0</v>
      </c>
      <c r="M2670" s="8">
        <f t="shared" si="5"/>
        <v>0.45</v>
      </c>
      <c r="P2670" s="9"/>
    </row>
    <row r="2671">
      <c r="A2671" s="6" t="s">
        <v>6390</v>
      </c>
      <c r="B2671" s="6" t="s">
        <v>6391</v>
      </c>
      <c r="C2671" s="6" t="s">
        <v>1897</v>
      </c>
      <c r="D2671" s="6" t="s">
        <v>6392</v>
      </c>
      <c r="E2671" s="6" t="s">
        <v>2342</v>
      </c>
      <c r="F2671" s="6" t="s">
        <v>170</v>
      </c>
      <c r="G2671" s="7">
        <v>1.5</v>
      </c>
      <c r="H2671" s="6" t="s">
        <v>1774</v>
      </c>
      <c r="I2671" s="6" t="s">
        <v>20</v>
      </c>
      <c r="J2671" s="6">
        <v>1995.0</v>
      </c>
      <c r="K2671" s="10">
        <v>46023.0</v>
      </c>
      <c r="L2671" s="6">
        <v>1.0</v>
      </c>
      <c r="M2671" s="8">
        <f t="shared" si="5"/>
        <v>1.5</v>
      </c>
      <c r="P2671" s="9"/>
    </row>
    <row r="2672">
      <c r="A2672" s="6" t="s">
        <v>6393</v>
      </c>
      <c r="B2672" s="6" t="s">
        <v>6394</v>
      </c>
      <c r="C2672" s="6" t="s">
        <v>295</v>
      </c>
      <c r="D2672" s="6" t="s">
        <v>6395</v>
      </c>
      <c r="E2672" s="6" t="s">
        <v>2342</v>
      </c>
      <c r="F2672" s="6" t="s">
        <v>170</v>
      </c>
      <c r="G2672" s="7">
        <v>0.22</v>
      </c>
      <c r="H2672" s="6" t="s">
        <v>1805</v>
      </c>
      <c r="I2672" s="6" t="s">
        <v>20</v>
      </c>
      <c r="J2672" s="6">
        <v>1996.0</v>
      </c>
      <c r="K2672" s="10">
        <v>46054.0</v>
      </c>
      <c r="L2672" s="6">
        <v>1.0</v>
      </c>
      <c r="M2672" s="8">
        <f t="shared" si="5"/>
        <v>0.22</v>
      </c>
      <c r="P2672" s="9"/>
    </row>
    <row r="2673">
      <c r="A2673" s="6" t="s">
        <v>6396</v>
      </c>
      <c r="B2673" s="6" t="s">
        <v>6232</v>
      </c>
      <c r="C2673" s="6" t="s">
        <v>295</v>
      </c>
      <c r="D2673" s="6" t="s">
        <v>6397</v>
      </c>
      <c r="E2673" s="6" t="s">
        <v>2342</v>
      </c>
      <c r="F2673" s="6" t="s">
        <v>170</v>
      </c>
      <c r="G2673" s="7">
        <v>0.08</v>
      </c>
      <c r="H2673" s="6" t="s">
        <v>5906</v>
      </c>
      <c r="I2673" s="6" t="s">
        <v>20</v>
      </c>
      <c r="J2673" s="6">
        <v>2003.0</v>
      </c>
      <c r="K2673" s="10">
        <v>46024.0</v>
      </c>
      <c r="L2673" s="6">
        <v>1.0</v>
      </c>
      <c r="M2673" s="8">
        <f t="shared" si="5"/>
        <v>0.08</v>
      </c>
      <c r="P2673" s="9"/>
    </row>
    <row r="2674">
      <c r="A2674" s="6" t="s">
        <v>6398</v>
      </c>
      <c r="B2674" s="6" t="s">
        <v>6399</v>
      </c>
      <c r="C2674" s="6" t="s">
        <v>295</v>
      </c>
      <c r="D2674" s="6" t="s">
        <v>6400</v>
      </c>
      <c r="E2674" s="6" t="s">
        <v>1743</v>
      </c>
      <c r="F2674" s="6" t="s">
        <v>152</v>
      </c>
      <c r="G2674" s="7">
        <v>0.11</v>
      </c>
      <c r="H2674" s="6" t="s">
        <v>4845</v>
      </c>
      <c r="I2674" s="6" t="s">
        <v>20</v>
      </c>
      <c r="J2674" s="6">
        <v>2025.0</v>
      </c>
      <c r="K2674" s="10">
        <v>46055.0</v>
      </c>
      <c r="L2674" s="6">
        <v>1.0</v>
      </c>
      <c r="M2674" s="8">
        <f t="shared" si="5"/>
        <v>0.11</v>
      </c>
      <c r="P2674" s="9"/>
    </row>
    <row r="2675">
      <c r="A2675" s="6" t="s">
        <v>6401</v>
      </c>
      <c r="B2675" s="6" t="s">
        <v>385</v>
      </c>
      <c r="C2675" s="6" t="s">
        <v>295</v>
      </c>
      <c r="D2675" s="6" t="s">
        <v>6402</v>
      </c>
      <c r="E2675" s="6" t="s">
        <v>2365</v>
      </c>
      <c r="F2675" s="6" t="s">
        <v>170</v>
      </c>
      <c r="G2675" s="7">
        <v>0.17</v>
      </c>
      <c r="H2675" s="6" t="s">
        <v>4845</v>
      </c>
      <c r="I2675" s="6" t="s">
        <v>31</v>
      </c>
      <c r="J2675" s="6">
        <v>2025.0</v>
      </c>
      <c r="L2675" s="6">
        <v>1.0</v>
      </c>
      <c r="M2675" s="8">
        <f t="shared" si="5"/>
        <v>0.17</v>
      </c>
      <c r="P2675" s="9"/>
    </row>
    <row r="2676">
      <c r="A2676" s="6" t="s">
        <v>6403</v>
      </c>
      <c r="B2676" s="6" t="s">
        <v>5172</v>
      </c>
      <c r="C2676" s="6" t="s">
        <v>295</v>
      </c>
      <c r="D2676" s="6" t="s">
        <v>6404</v>
      </c>
      <c r="E2676" s="6" t="s">
        <v>3256</v>
      </c>
      <c r="F2676" s="6" t="s">
        <v>3177</v>
      </c>
      <c r="G2676" s="7">
        <v>0.25</v>
      </c>
      <c r="H2676" s="6" t="s">
        <v>4845</v>
      </c>
      <c r="I2676" s="6" t="s">
        <v>31</v>
      </c>
      <c r="J2676" s="6">
        <v>2025.0</v>
      </c>
      <c r="K2676" s="10">
        <v>46024.0</v>
      </c>
      <c r="L2676" s="6">
        <v>1.0</v>
      </c>
      <c r="M2676" s="8">
        <f t="shared" si="5"/>
        <v>0.25</v>
      </c>
      <c r="P2676" s="9"/>
    </row>
    <row r="2677">
      <c r="A2677" s="6" t="s">
        <v>6405</v>
      </c>
      <c r="B2677" s="6" t="s">
        <v>610</v>
      </c>
      <c r="C2677" s="6" t="s">
        <v>295</v>
      </c>
      <c r="D2677" s="6" t="s">
        <v>6406</v>
      </c>
      <c r="E2677" s="6" t="s">
        <v>2342</v>
      </c>
      <c r="F2677" s="6" t="s">
        <v>170</v>
      </c>
      <c r="G2677" s="7">
        <v>0.09</v>
      </c>
      <c r="H2677" s="6" t="s">
        <v>4845</v>
      </c>
      <c r="I2677" s="6" t="s">
        <v>20</v>
      </c>
      <c r="J2677" s="6">
        <v>2025.0</v>
      </c>
      <c r="L2677" s="6">
        <v>1.0</v>
      </c>
      <c r="M2677" s="8">
        <f t="shared" si="5"/>
        <v>0.09</v>
      </c>
      <c r="P2677" s="9"/>
    </row>
    <row r="2678">
      <c r="A2678" s="6" t="s">
        <v>6407</v>
      </c>
      <c r="B2678" s="6" t="s">
        <v>610</v>
      </c>
      <c r="C2678" s="6" t="s">
        <v>295</v>
      </c>
      <c r="D2678" s="6" t="s">
        <v>6408</v>
      </c>
      <c r="E2678" s="6" t="s">
        <v>1853</v>
      </c>
      <c r="F2678" s="6" t="s">
        <v>277</v>
      </c>
      <c r="G2678" s="7">
        <v>0.05</v>
      </c>
      <c r="H2678" s="6" t="s">
        <v>4845</v>
      </c>
      <c r="I2678" s="6" t="s">
        <v>20</v>
      </c>
      <c r="J2678" s="6">
        <v>2025.0</v>
      </c>
      <c r="L2678" s="6">
        <v>1.0</v>
      </c>
      <c r="M2678" s="8">
        <f t="shared" si="5"/>
        <v>0.05</v>
      </c>
      <c r="P2678" s="9"/>
    </row>
    <row r="2679">
      <c r="A2679" s="6" t="s">
        <v>6409</v>
      </c>
      <c r="B2679" s="6" t="s">
        <v>6410</v>
      </c>
      <c r="C2679" s="6" t="s">
        <v>2138</v>
      </c>
      <c r="D2679" s="6" t="s">
        <v>6411</v>
      </c>
      <c r="E2679" s="6" t="s">
        <v>6412</v>
      </c>
      <c r="F2679" s="6" t="s">
        <v>492</v>
      </c>
      <c r="G2679" s="7">
        <v>0.04</v>
      </c>
      <c r="H2679" s="6" t="s">
        <v>4845</v>
      </c>
      <c r="I2679" s="6" t="s">
        <v>20</v>
      </c>
      <c r="J2679" s="6">
        <v>2025.0</v>
      </c>
      <c r="K2679" s="10">
        <v>46115.0</v>
      </c>
      <c r="L2679" s="6">
        <v>1.0</v>
      </c>
      <c r="M2679" s="8">
        <f t="shared" si="5"/>
        <v>0.04</v>
      </c>
      <c r="P2679" s="9"/>
    </row>
    <row r="2680">
      <c r="A2680" s="6" t="s">
        <v>6413</v>
      </c>
      <c r="B2680" s="6" t="s">
        <v>4910</v>
      </c>
      <c r="C2680" s="6" t="s">
        <v>295</v>
      </c>
      <c r="D2680" s="6" t="s">
        <v>6414</v>
      </c>
      <c r="E2680" s="6" t="s">
        <v>2326</v>
      </c>
      <c r="F2680" s="6" t="s">
        <v>88</v>
      </c>
      <c r="G2680" s="7">
        <v>0.08</v>
      </c>
      <c r="H2680" s="6" t="s">
        <v>4845</v>
      </c>
      <c r="I2680" s="6" t="s">
        <v>20</v>
      </c>
      <c r="J2680" s="6">
        <v>2025.0</v>
      </c>
      <c r="K2680" s="10">
        <v>46144.0</v>
      </c>
      <c r="L2680" s="6">
        <v>1.0</v>
      </c>
      <c r="M2680" s="8">
        <f t="shared" si="5"/>
        <v>0.08</v>
      </c>
      <c r="P2680" s="9"/>
    </row>
    <row r="2681">
      <c r="A2681" s="6" t="s">
        <v>6415</v>
      </c>
      <c r="B2681" s="6" t="s">
        <v>2416</v>
      </c>
      <c r="C2681" s="6" t="s">
        <v>295</v>
      </c>
      <c r="D2681" s="6" t="s">
        <v>6416</v>
      </c>
      <c r="E2681" s="6" t="s">
        <v>2295</v>
      </c>
      <c r="F2681" s="6" t="s">
        <v>18</v>
      </c>
      <c r="G2681" s="7">
        <v>0.08</v>
      </c>
      <c r="H2681" s="6" t="s">
        <v>1444</v>
      </c>
      <c r="I2681" s="6" t="s">
        <v>20</v>
      </c>
      <c r="J2681" s="6">
        <v>2023.0</v>
      </c>
      <c r="K2681" s="10">
        <v>46023.0</v>
      </c>
      <c r="L2681" s="6">
        <v>1.0</v>
      </c>
      <c r="M2681" s="8">
        <f t="shared" si="5"/>
        <v>0.08</v>
      </c>
      <c r="P2681" s="9"/>
    </row>
    <row r="2682">
      <c r="A2682" s="6" t="s">
        <v>6417</v>
      </c>
      <c r="B2682" s="6" t="s">
        <v>2014</v>
      </c>
      <c r="C2682" s="6" t="s">
        <v>295</v>
      </c>
      <c r="D2682" s="6" t="s">
        <v>6418</v>
      </c>
      <c r="E2682" s="6" t="s">
        <v>1779</v>
      </c>
      <c r="F2682" s="6" t="s">
        <v>152</v>
      </c>
      <c r="G2682" s="7">
        <v>0.29</v>
      </c>
      <c r="H2682" s="6" t="s">
        <v>1444</v>
      </c>
      <c r="I2682" s="6" t="s">
        <v>31</v>
      </c>
      <c r="J2682" s="6">
        <v>2023.0</v>
      </c>
      <c r="L2682" s="6">
        <v>1.0</v>
      </c>
      <c r="M2682" s="8">
        <f t="shared" si="5"/>
        <v>0.29</v>
      </c>
      <c r="P2682" s="9"/>
    </row>
    <row r="2683">
      <c r="A2683" s="6" t="s">
        <v>6419</v>
      </c>
      <c r="B2683" s="6" t="s">
        <v>2058</v>
      </c>
      <c r="C2683" s="6" t="s">
        <v>1949</v>
      </c>
      <c r="D2683" s="6" t="s">
        <v>6420</v>
      </c>
      <c r="E2683" s="6" t="s">
        <v>930</v>
      </c>
      <c r="F2683" s="6" t="s">
        <v>170</v>
      </c>
      <c r="G2683" s="7">
        <v>0.2</v>
      </c>
      <c r="H2683" s="6" t="s">
        <v>1444</v>
      </c>
      <c r="I2683" s="6" t="s">
        <v>20</v>
      </c>
      <c r="J2683" s="6">
        <v>2023.0</v>
      </c>
      <c r="L2683" s="6">
        <v>1.0</v>
      </c>
      <c r="M2683" s="8">
        <f t="shared" si="5"/>
        <v>0.2</v>
      </c>
      <c r="P2683" s="9"/>
    </row>
    <row r="2684">
      <c r="A2684" s="6" t="s">
        <v>6421</v>
      </c>
      <c r="B2684" s="6" t="s">
        <v>378</v>
      </c>
      <c r="C2684" s="6" t="s">
        <v>1949</v>
      </c>
      <c r="D2684" s="6" t="s">
        <v>6422</v>
      </c>
      <c r="E2684" s="6" t="s">
        <v>6423</v>
      </c>
      <c r="F2684" s="6" t="s">
        <v>163</v>
      </c>
      <c r="G2684" s="7">
        <v>0.58</v>
      </c>
      <c r="H2684" s="6" t="s">
        <v>1685</v>
      </c>
      <c r="I2684" s="6" t="s">
        <v>31</v>
      </c>
      <c r="J2684" s="6">
        <v>2021.0</v>
      </c>
      <c r="L2684" s="6">
        <v>1.0</v>
      </c>
      <c r="M2684" s="8">
        <f t="shared" si="5"/>
        <v>0.58</v>
      </c>
      <c r="P2684" s="9"/>
    </row>
    <row r="2685">
      <c r="A2685" s="6" t="s">
        <v>6424</v>
      </c>
      <c r="B2685" s="6" t="s">
        <v>6425</v>
      </c>
      <c r="C2685" s="6" t="s">
        <v>1949</v>
      </c>
      <c r="D2685" s="6" t="s">
        <v>6426</v>
      </c>
      <c r="E2685" s="6" t="s">
        <v>3396</v>
      </c>
      <c r="F2685" s="6" t="s">
        <v>3196</v>
      </c>
      <c r="G2685" s="7">
        <v>0.14</v>
      </c>
      <c r="H2685" s="6" t="s">
        <v>2238</v>
      </c>
      <c r="I2685" s="6" t="s">
        <v>20</v>
      </c>
      <c r="J2685" s="6">
        <v>2024.0</v>
      </c>
      <c r="K2685" s="10">
        <v>46023.0</v>
      </c>
      <c r="L2685" s="6">
        <v>1.0</v>
      </c>
      <c r="M2685" s="8">
        <f t="shared" si="5"/>
        <v>0.14</v>
      </c>
      <c r="P2685" s="9"/>
    </row>
    <row r="2686">
      <c r="A2686" s="6" t="s">
        <v>6427</v>
      </c>
      <c r="B2686" s="6" t="s">
        <v>2058</v>
      </c>
      <c r="C2686" s="6" t="s">
        <v>1949</v>
      </c>
      <c r="D2686" s="6" t="s">
        <v>6428</v>
      </c>
      <c r="E2686" s="6" t="s">
        <v>1279</v>
      </c>
      <c r="F2686" s="6" t="s">
        <v>163</v>
      </c>
      <c r="G2686" s="7">
        <v>0.08</v>
      </c>
      <c r="H2686" s="6" t="s">
        <v>2202</v>
      </c>
      <c r="I2686" s="6" t="s">
        <v>20</v>
      </c>
      <c r="J2686" s="6">
        <v>2014.0</v>
      </c>
      <c r="L2686" s="6">
        <v>1.0</v>
      </c>
      <c r="M2686" s="8">
        <f t="shared" si="5"/>
        <v>0.08</v>
      </c>
      <c r="P2686" s="9"/>
    </row>
    <row r="2687">
      <c r="A2687" s="6" t="s">
        <v>6429</v>
      </c>
      <c r="B2687" s="6" t="s">
        <v>2058</v>
      </c>
      <c r="C2687" s="6" t="s">
        <v>1949</v>
      </c>
      <c r="D2687" s="6" t="s">
        <v>6430</v>
      </c>
      <c r="E2687" s="6" t="s">
        <v>2401</v>
      </c>
      <c r="F2687" s="6" t="s">
        <v>3192</v>
      </c>
      <c r="G2687" s="7">
        <v>0.18</v>
      </c>
      <c r="H2687" s="6" t="s">
        <v>1625</v>
      </c>
      <c r="I2687" s="6" t="s">
        <v>20</v>
      </c>
      <c r="J2687" s="6">
        <v>2021.0</v>
      </c>
      <c r="L2687" s="6">
        <v>1.0</v>
      </c>
      <c r="M2687" s="8">
        <f t="shared" si="5"/>
        <v>0.18</v>
      </c>
      <c r="P2687" s="9"/>
    </row>
    <row r="2688">
      <c r="A2688" s="6" t="s">
        <v>6431</v>
      </c>
      <c r="B2688" s="6" t="s">
        <v>6432</v>
      </c>
      <c r="C2688" s="6" t="s">
        <v>1949</v>
      </c>
      <c r="D2688" s="6" t="s">
        <v>6433</v>
      </c>
      <c r="E2688" s="6" t="s">
        <v>3330</v>
      </c>
      <c r="F2688" s="6" t="s">
        <v>3169</v>
      </c>
      <c r="G2688" s="7">
        <v>0.15</v>
      </c>
      <c r="H2688" s="6" t="s">
        <v>1619</v>
      </c>
      <c r="I2688" s="6" t="s">
        <v>20</v>
      </c>
      <c r="J2688" s="6">
        <v>2022.0</v>
      </c>
      <c r="K2688" s="10">
        <v>46054.0</v>
      </c>
      <c r="L2688" s="6">
        <v>1.0</v>
      </c>
      <c r="M2688" s="8">
        <f t="shared" si="5"/>
        <v>0.15</v>
      </c>
      <c r="P2688" s="9"/>
    </row>
    <row r="2689">
      <c r="A2689" s="6" t="s">
        <v>6434</v>
      </c>
      <c r="B2689" s="6" t="s">
        <v>6435</v>
      </c>
      <c r="C2689" s="6" t="s">
        <v>295</v>
      </c>
      <c r="D2689" s="6" t="s">
        <v>6436</v>
      </c>
      <c r="E2689" s="6" t="s">
        <v>1279</v>
      </c>
      <c r="F2689" s="6" t="s">
        <v>163</v>
      </c>
      <c r="G2689" s="7">
        <v>0.12</v>
      </c>
      <c r="H2689" s="6" t="s">
        <v>4574</v>
      </c>
      <c r="I2689" s="6" t="s">
        <v>20</v>
      </c>
      <c r="J2689" s="6">
        <v>2024.0</v>
      </c>
      <c r="K2689" s="10">
        <v>46025.0</v>
      </c>
      <c r="L2689" s="6">
        <v>1.0</v>
      </c>
      <c r="M2689" s="8">
        <f t="shared" si="5"/>
        <v>0.12</v>
      </c>
      <c r="P2689" s="9"/>
    </row>
    <row r="2690">
      <c r="A2690" s="6" t="s">
        <v>6437</v>
      </c>
      <c r="B2690" s="6" t="s">
        <v>6438</v>
      </c>
      <c r="C2690" s="6" t="s">
        <v>295</v>
      </c>
      <c r="D2690" s="6" t="s">
        <v>6439</v>
      </c>
      <c r="E2690" s="6" t="s">
        <v>2396</v>
      </c>
      <c r="F2690" s="6" t="s">
        <v>3196</v>
      </c>
      <c r="G2690" s="7">
        <v>0.06</v>
      </c>
      <c r="H2690" s="6" t="s">
        <v>2456</v>
      </c>
      <c r="I2690" s="6" t="s">
        <v>20</v>
      </c>
      <c r="J2690" s="6">
        <v>2024.0</v>
      </c>
      <c r="K2690" s="10">
        <v>46055.0</v>
      </c>
      <c r="L2690" s="6">
        <v>1.0</v>
      </c>
      <c r="M2690" s="8">
        <f t="shared" si="5"/>
        <v>0.06</v>
      </c>
      <c r="P2690" s="9"/>
    </row>
    <row r="2691">
      <c r="A2691" s="6" t="s">
        <v>6440</v>
      </c>
      <c r="B2691" s="6" t="s">
        <v>6441</v>
      </c>
      <c r="C2691" s="6" t="s">
        <v>1949</v>
      </c>
      <c r="D2691" s="6" t="s">
        <v>6442</v>
      </c>
      <c r="E2691" s="6" t="s">
        <v>6443</v>
      </c>
      <c r="F2691" s="6" t="s">
        <v>163</v>
      </c>
      <c r="G2691" s="7">
        <v>0.1</v>
      </c>
      <c r="H2691" s="6" t="s">
        <v>1619</v>
      </c>
      <c r="I2691" s="6" t="s">
        <v>20</v>
      </c>
      <c r="J2691" s="6">
        <v>2022.0</v>
      </c>
      <c r="K2691" s="10">
        <v>46116.0</v>
      </c>
      <c r="L2691" s="6">
        <v>1.0</v>
      </c>
      <c r="M2691" s="8">
        <f t="shared" si="5"/>
        <v>0.1</v>
      </c>
      <c r="P2691" s="9"/>
    </row>
    <row r="2692">
      <c r="A2692" s="6" t="s">
        <v>6444</v>
      </c>
      <c r="B2692" s="6" t="s">
        <v>378</v>
      </c>
      <c r="C2692" s="6" t="s">
        <v>295</v>
      </c>
      <c r="D2692" s="6" t="s">
        <v>6445</v>
      </c>
      <c r="E2692" s="6" t="s">
        <v>3396</v>
      </c>
      <c r="F2692" s="6" t="s">
        <v>3196</v>
      </c>
      <c r="G2692" s="7">
        <v>0.28</v>
      </c>
      <c r="H2692" s="6" t="s">
        <v>3679</v>
      </c>
      <c r="I2692" s="6" t="s">
        <v>20</v>
      </c>
      <c r="J2692" s="6">
        <v>2022.0</v>
      </c>
      <c r="L2692" s="6">
        <v>1.0</v>
      </c>
      <c r="M2692" s="8">
        <f t="shared" si="5"/>
        <v>0.28</v>
      </c>
      <c r="P2692" s="9"/>
    </row>
    <row r="2693">
      <c r="A2693" s="6" t="s">
        <v>6446</v>
      </c>
      <c r="B2693" s="6" t="s">
        <v>378</v>
      </c>
      <c r="C2693" s="6" t="s">
        <v>1949</v>
      </c>
      <c r="D2693" s="6" t="s">
        <v>6447</v>
      </c>
      <c r="E2693" s="6" t="s">
        <v>3653</v>
      </c>
      <c r="F2693" s="6" t="s">
        <v>3196</v>
      </c>
      <c r="G2693" s="7">
        <v>0.17</v>
      </c>
      <c r="H2693" s="6" t="s">
        <v>3679</v>
      </c>
      <c r="I2693" s="6" t="s">
        <v>20</v>
      </c>
      <c r="J2693" s="6">
        <v>2022.0</v>
      </c>
      <c r="L2693" s="6">
        <v>1.0</v>
      </c>
      <c r="M2693" s="8">
        <f t="shared" si="5"/>
        <v>0.17</v>
      </c>
      <c r="P2693" s="9"/>
    </row>
    <row r="2694">
      <c r="A2694" s="6" t="s">
        <v>6448</v>
      </c>
      <c r="B2694" s="6" t="s">
        <v>6449</v>
      </c>
      <c r="C2694" s="6" t="s">
        <v>1949</v>
      </c>
      <c r="D2694" s="6" t="s">
        <v>6450</v>
      </c>
      <c r="E2694" s="6" t="s">
        <v>6451</v>
      </c>
      <c r="F2694" s="6" t="s">
        <v>3183</v>
      </c>
      <c r="G2694" s="7">
        <v>0.09</v>
      </c>
      <c r="H2694" s="6" t="s">
        <v>2238</v>
      </c>
      <c r="I2694" s="6" t="s">
        <v>20</v>
      </c>
      <c r="J2694" s="6">
        <v>2024.0</v>
      </c>
      <c r="K2694" s="10">
        <v>46084.0</v>
      </c>
      <c r="L2694" s="6">
        <v>1.0</v>
      </c>
      <c r="M2694" s="8">
        <f t="shared" si="5"/>
        <v>0.09</v>
      </c>
      <c r="P2694" s="9"/>
    </row>
    <row r="2695">
      <c r="A2695" s="6" t="s">
        <v>6452</v>
      </c>
      <c r="B2695" s="6" t="s">
        <v>385</v>
      </c>
      <c r="C2695" s="6" t="s">
        <v>1949</v>
      </c>
      <c r="D2695" s="6" t="s">
        <v>6453</v>
      </c>
      <c r="E2695" s="6" t="s">
        <v>2401</v>
      </c>
      <c r="F2695" s="6" t="s">
        <v>3192</v>
      </c>
      <c r="G2695" s="7">
        <v>0.09</v>
      </c>
      <c r="H2695" s="6" t="s">
        <v>1959</v>
      </c>
      <c r="I2695" s="6" t="s">
        <v>20</v>
      </c>
      <c r="J2695" s="6">
        <v>2024.0</v>
      </c>
      <c r="L2695" s="6">
        <v>1.0</v>
      </c>
      <c r="M2695" s="8">
        <f t="shared" si="5"/>
        <v>0.09</v>
      </c>
      <c r="P2695" s="9"/>
    </row>
    <row r="2696">
      <c r="A2696" s="6" t="s">
        <v>6454</v>
      </c>
      <c r="B2696" s="6" t="s">
        <v>6455</v>
      </c>
      <c r="C2696" s="6" t="s">
        <v>1949</v>
      </c>
      <c r="D2696" s="6" t="s">
        <v>6456</v>
      </c>
      <c r="E2696" s="6" t="s">
        <v>5472</v>
      </c>
      <c r="F2696" s="6" t="s">
        <v>3196</v>
      </c>
      <c r="G2696" s="7">
        <v>0.25</v>
      </c>
      <c r="H2696" s="6" t="s">
        <v>2141</v>
      </c>
      <c r="I2696" s="6" t="s">
        <v>20</v>
      </c>
      <c r="J2696" s="6">
        <v>2023.0</v>
      </c>
      <c r="K2696" s="10">
        <v>46114.0</v>
      </c>
      <c r="L2696" s="6">
        <v>1.0</v>
      </c>
      <c r="M2696" s="8">
        <f t="shared" si="5"/>
        <v>0.25</v>
      </c>
      <c r="P2696" s="9"/>
    </row>
    <row r="2697">
      <c r="A2697" s="6" t="s">
        <v>6457</v>
      </c>
      <c r="B2697" s="6" t="s">
        <v>4787</v>
      </c>
      <c r="C2697" s="6" t="s">
        <v>1949</v>
      </c>
      <c r="D2697" s="6" t="s">
        <v>6458</v>
      </c>
      <c r="E2697" s="6" t="s">
        <v>3338</v>
      </c>
      <c r="F2697" s="6" t="s">
        <v>3192</v>
      </c>
      <c r="G2697" s="7">
        <v>0.25</v>
      </c>
      <c r="H2697" s="6" t="s">
        <v>2141</v>
      </c>
      <c r="I2697" s="6" t="s">
        <v>20</v>
      </c>
      <c r="J2697" s="6">
        <v>2023.0</v>
      </c>
      <c r="K2697" s="10">
        <v>46055.0</v>
      </c>
      <c r="L2697" s="6">
        <v>1.0</v>
      </c>
      <c r="M2697" s="8">
        <f t="shared" si="5"/>
        <v>0.25</v>
      </c>
      <c r="P2697" s="9"/>
    </row>
    <row r="2698">
      <c r="A2698" s="6" t="s">
        <v>6459</v>
      </c>
      <c r="B2698" s="6" t="s">
        <v>5895</v>
      </c>
      <c r="C2698" s="6" t="s">
        <v>1949</v>
      </c>
      <c r="D2698" s="6" t="s">
        <v>6460</v>
      </c>
      <c r="E2698" s="6" t="s">
        <v>3396</v>
      </c>
      <c r="F2698" s="6" t="s">
        <v>3196</v>
      </c>
      <c r="G2698" s="7">
        <v>0.05</v>
      </c>
      <c r="H2698" s="6" t="s">
        <v>1959</v>
      </c>
      <c r="I2698" s="6" t="s">
        <v>20</v>
      </c>
      <c r="J2698" s="6">
        <v>2024.0</v>
      </c>
      <c r="K2698" s="10">
        <v>46055.0</v>
      </c>
      <c r="L2698" s="6">
        <v>1.0</v>
      </c>
      <c r="M2698" s="8">
        <f t="shared" si="5"/>
        <v>0.05</v>
      </c>
      <c r="P2698" s="9"/>
    </row>
    <row r="2699">
      <c r="A2699" s="6" t="s">
        <v>6461</v>
      </c>
      <c r="B2699" s="6" t="s">
        <v>1944</v>
      </c>
      <c r="C2699" s="6" t="s">
        <v>1949</v>
      </c>
      <c r="D2699" s="6" t="s">
        <v>6462</v>
      </c>
      <c r="E2699" s="6" t="s">
        <v>4965</v>
      </c>
      <c r="F2699" s="6" t="s">
        <v>3188</v>
      </c>
      <c r="G2699" s="7">
        <v>0.06</v>
      </c>
      <c r="H2699" s="6" t="s">
        <v>2456</v>
      </c>
      <c r="I2699" s="6" t="s">
        <v>20</v>
      </c>
      <c r="J2699" s="6">
        <v>2024.0</v>
      </c>
      <c r="L2699" s="6">
        <v>1.0</v>
      </c>
      <c r="M2699" s="8">
        <f t="shared" si="5"/>
        <v>0.06</v>
      </c>
      <c r="P2699" s="9"/>
    </row>
    <row r="2700">
      <c r="A2700" s="6" t="s">
        <v>6463</v>
      </c>
      <c r="B2700" s="6" t="s">
        <v>3465</v>
      </c>
      <c r="C2700" s="6" t="s">
        <v>1949</v>
      </c>
      <c r="D2700" s="6" t="s">
        <v>6464</v>
      </c>
      <c r="E2700" s="6" t="s">
        <v>6465</v>
      </c>
      <c r="F2700" s="6" t="s">
        <v>3188</v>
      </c>
      <c r="G2700" s="7">
        <v>0.17</v>
      </c>
      <c r="H2700" s="6" t="s">
        <v>4574</v>
      </c>
      <c r="I2700" s="6" t="s">
        <v>20</v>
      </c>
      <c r="J2700" s="6">
        <v>2024.0</v>
      </c>
      <c r="K2700" s="10">
        <v>46085.0</v>
      </c>
      <c r="L2700" s="6">
        <v>1.0</v>
      </c>
      <c r="M2700" s="8">
        <f t="shared" si="5"/>
        <v>0.17</v>
      </c>
      <c r="P2700" s="9"/>
    </row>
    <row r="2701">
      <c r="A2701" s="6" t="s">
        <v>6466</v>
      </c>
      <c r="B2701" s="6" t="s">
        <v>4787</v>
      </c>
      <c r="C2701" s="6" t="s">
        <v>1949</v>
      </c>
      <c r="D2701" s="6" t="s">
        <v>6467</v>
      </c>
      <c r="E2701" s="6" t="s">
        <v>6468</v>
      </c>
      <c r="F2701" s="6" t="s">
        <v>3114</v>
      </c>
      <c r="G2701" s="7">
        <v>0.05</v>
      </c>
      <c r="H2701" s="6" t="s">
        <v>2179</v>
      </c>
      <c r="I2701" s="6" t="s">
        <v>20</v>
      </c>
      <c r="J2701" s="6">
        <v>2018.0</v>
      </c>
      <c r="K2701" s="10">
        <v>46084.0</v>
      </c>
      <c r="L2701" s="6">
        <v>1.0</v>
      </c>
      <c r="M2701" s="8">
        <f t="shared" si="5"/>
        <v>0.05</v>
      </c>
      <c r="P2701" s="9"/>
    </row>
    <row r="2702">
      <c r="A2702" s="6" t="s">
        <v>6469</v>
      </c>
      <c r="B2702" s="6" t="s">
        <v>3411</v>
      </c>
      <c r="C2702" s="6" t="s">
        <v>1897</v>
      </c>
      <c r="D2702" s="6" t="s">
        <v>6470</v>
      </c>
      <c r="E2702" s="6" t="s">
        <v>6471</v>
      </c>
      <c r="F2702" s="6" t="s">
        <v>3188</v>
      </c>
      <c r="G2702" s="7">
        <v>0.2</v>
      </c>
      <c r="H2702" s="6" t="s">
        <v>2467</v>
      </c>
      <c r="I2702" s="6" t="s">
        <v>20</v>
      </c>
      <c r="J2702" s="6">
        <v>2017.0</v>
      </c>
      <c r="L2702" s="6">
        <v>1.0</v>
      </c>
      <c r="M2702" s="8">
        <f t="shared" si="5"/>
        <v>0.2</v>
      </c>
      <c r="P2702" s="9"/>
    </row>
    <row r="2703">
      <c r="A2703" s="6" t="s">
        <v>6472</v>
      </c>
      <c r="B2703" s="6" t="s">
        <v>2061</v>
      </c>
      <c r="C2703" s="6" t="s">
        <v>1949</v>
      </c>
      <c r="D2703" s="6" t="s">
        <v>6473</v>
      </c>
      <c r="E2703" s="6" t="s">
        <v>3691</v>
      </c>
      <c r="F2703" s="6" t="s">
        <v>3177</v>
      </c>
      <c r="G2703" s="7">
        <v>0.09</v>
      </c>
      <c r="H2703" s="6" t="s">
        <v>2467</v>
      </c>
      <c r="I2703" s="6" t="s">
        <v>20</v>
      </c>
      <c r="J2703" s="6">
        <v>2017.0</v>
      </c>
      <c r="K2703" s="10">
        <v>46083.0</v>
      </c>
      <c r="L2703" s="6">
        <v>1.0</v>
      </c>
      <c r="M2703" s="8">
        <f t="shared" si="5"/>
        <v>0.09</v>
      </c>
      <c r="P2703" s="9"/>
    </row>
    <row r="2704">
      <c r="A2704" s="6" t="s">
        <v>6474</v>
      </c>
      <c r="B2704" s="6" t="s">
        <v>6475</v>
      </c>
      <c r="C2704" s="6" t="s">
        <v>1949</v>
      </c>
      <c r="D2704" s="6" t="s">
        <v>6476</v>
      </c>
      <c r="E2704" s="6" t="s">
        <v>6477</v>
      </c>
      <c r="F2704" s="6" t="s">
        <v>3192</v>
      </c>
      <c r="G2704" s="7">
        <v>0.13</v>
      </c>
      <c r="H2704" s="6" t="s">
        <v>4574</v>
      </c>
      <c r="I2704" s="6" t="s">
        <v>20</v>
      </c>
      <c r="J2704" s="6">
        <v>2024.0</v>
      </c>
      <c r="K2704" s="10">
        <v>46147.0</v>
      </c>
      <c r="L2704" s="6">
        <v>1.0</v>
      </c>
      <c r="M2704" s="8">
        <f t="shared" si="5"/>
        <v>0.13</v>
      </c>
      <c r="P2704" s="9"/>
    </row>
    <row r="2705">
      <c r="A2705" s="6" t="s">
        <v>6478</v>
      </c>
      <c r="B2705" s="6" t="s">
        <v>6479</v>
      </c>
      <c r="C2705" s="6" t="s">
        <v>1949</v>
      </c>
      <c r="D2705" s="6" t="s">
        <v>6480</v>
      </c>
      <c r="E2705" s="6" t="s">
        <v>6481</v>
      </c>
      <c r="F2705" s="6" t="s">
        <v>3169</v>
      </c>
      <c r="G2705" s="7">
        <v>0.1</v>
      </c>
      <c r="H2705" s="6" t="s">
        <v>1619</v>
      </c>
      <c r="I2705" s="6" t="s">
        <v>20</v>
      </c>
      <c r="J2705" s="6">
        <v>2022.0</v>
      </c>
      <c r="K2705" s="10">
        <v>46115.0</v>
      </c>
      <c r="L2705" s="6">
        <v>1.0</v>
      </c>
      <c r="M2705" s="8">
        <f t="shared" si="5"/>
        <v>0.1</v>
      </c>
      <c r="P2705" s="9"/>
    </row>
    <row r="2706">
      <c r="A2706" s="6" t="s">
        <v>6482</v>
      </c>
      <c r="B2706" s="6" t="s">
        <v>6483</v>
      </c>
      <c r="C2706" s="6" t="s">
        <v>1897</v>
      </c>
      <c r="D2706" s="6" t="s">
        <v>6484</v>
      </c>
      <c r="E2706" s="6" t="s">
        <v>4952</v>
      </c>
      <c r="F2706" s="6" t="s">
        <v>3192</v>
      </c>
      <c r="G2706" s="7">
        <v>0.33</v>
      </c>
      <c r="H2706" s="6" t="s">
        <v>2219</v>
      </c>
      <c r="I2706" s="6" t="s">
        <v>20</v>
      </c>
      <c r="J2706" s="6">
        <v>2024.0</v>
      </c>
      <c r="K2706" s="10">
        <v>46116.0</v>
      </c>
      <c r="L2706" s="6">
        <v>1.0</v>
      </c>
      <c r="M2706" s="8">
        <f t="shared" si="5"/>
        <v>0.33</v>
      </c>
      <c r="P2706" s="9"/>
    </row>
    <row r="2707">
      <c r="A2707" s="6" t="s">
        <v>6485</v>
      </c>
      <c r="B2707" s="6" t="s">
        <v>1944</v>
      </c>
      <c r="C2707" s="6" t="s">
        <v>1949</v>
      </c>
      <c r="D2707" s="6" t="s">
        <v>6486</v>
      </c>
      <c r="E2707" s="6" t="s">
        <v>5467</v>
      </c>
      <c r="F2707" s="6" t="s">
        <v>163</v>
      </c>
      <c r="G2707" s="7">
        <v>2.25</v>
      </c>
      <c r="H2707" s="6" t="s">
        <v>6487</v>
      </c>
      <c r="I2707" s="6" t="s">
        <v>20</v>
      </c>
      <c r="J2707" s="6">
        <v>2021.0</v>
      </c>
      <c r="L2707" s="6">
        <v>1.0</v>
      </c>
      <c r="M2707" s="8">
        <f t="shared" si="5"/>
        <v>2.25</v>
      </c>
      <c r="N2707" s="6" t="s">
        <v>6488</v>
      </c>
      <c r="P2707" s="9"/>
    </row>
    <row r="2708">
      <c r="A2708" s="6" t="s">
        <v>6489</v>
      </c>
      <c r="B2708" s="6" t="s">
        <v>2058</v>
      </c>
      <c r="C2708" s="6" t="s">
        <v>1949</v>
      </c>
      <c r="D2708" s="6" t="s">
        <v>6490</v>
      </c>
      <c r="E2708" s="6" t="s">
        <v>713</v>
      </c>
      <c r="F2708" s="6" t="s">
        <v>152</v>
      </c>
      <c r="G2708" s="7">
        <v>0.04</v>
      </c>
      <c r="H2708" s="6" t="s">
        <v>1619</v>
      </c>
      <c r="I2708" s="6" t="s">
        <v>20</v>
      </c>
      <c r="J2708" s="6">
        <v>2022.0</v>
      </c>
      <c r="L2708" s="6">
        <v>1.0</v>
      </c>
      <c r="M2708" s="8">
        <f t="shared" si="5"/>
        <v>0.04</v>
      </c>
      <c r="P2708" s="9"/>
    </row>
    <row r="2709">
      <c r="A2709" s="6" t="s">
        <v>6491</v>
      </c>
      <c r="B2709" s="6" t="s">
        <v>2301</v>
      </c>
      <c r="C2709" s="6" t="s">
        <v>1949</v>
      </c>
      <c r="D2709" s="6" t="s">
        <v>6492</v>
      </c>
      <c r="E2709" s="6" t="s">
        <v>629</v>
      </c>
      <c r="F2709" s="6" t="s">
        <v>277</v>
      </c>
      <c r="G2709" s="7">
        <v>2.98</v>
      </c>
      <c r="H2709" s="6" t="s">
        <v>2769</v>
      </c>
      <c r="I2709" s="6" t="s">
        <v>31</v>
      </c>
      <c r="J2709" s="6">
        <v>2015.0</v>
      </c>
      <c r="K2709" s="10">
        <v>46023.0</v>
      </c>
      <c r="L2709" s="6">
        <v>1.0</v>
      </c>
      <c r="M2709" s="8">
        <f t="shared" si="5"/>
        <v>2.98</v>
      </c>
      <c r="N2709" s="6" t="s">
        <v>6488</v>
      </c>
      <c r="P2709" s="9"/>
    </row>
    <row r="2710">
      <c r="A2710" s="6" t="s">
        <v>6493</v>
      </c>
      <c r="B2710" s="6" t="s">
        <v>2870</v>
      </c>
      <c r="C2710" s="6" t="s">
        <v>1949</v>
      </c>
      <c r="D2710" s="6" t="s">
        <v>6494</v>
      </c>
      <c r="E2710" s="6" t="s">
        <v>6495</v>
      </c>
      <c r="F2710" s="6" t="s">
        <v>3177</v>
      </c>
      <c r="G2710" s="7">
        <v>0.1</v>
      </c>
      <c r="H2710" s="6" t="s">
        <v>1959</v>
      </c>
      <c r="I2710" s="6" t="s">
        <v>20</v>
      </c>
      <c r="J2710" s="6">
        <v>2024.0</v>
      </c>
      <c r="K2710" s="10">
        <v>46147.0</v>
      </c>
      <c r="L2710" s="6">
        <v>1.0</v>
      </c>
      <c r="M2710" s="8">
        <f t="shared" si="5"/>
        <v>0.1</v>
      </c>
      <c r="P2710" s="9"/>
    </row>
    <row r="2711">
      <c r="A2711" s="6" t="s">
        <v>6496</v>
      </c>
      <c r="B2711" s="6" t="s">
        <v>1813</v>
      </c>
      <c r="C2711" s="6" t="s">
        <v>295</v>
      </c>
      <c r="D2711" s="6" t="s">
        <v>6497</v>
      </c>
      <c r="F2711" s="6" t="s">
        <v>80</v>
      </c>
      <c r="G2711" s="7">
        <v>0.15</v>
      </c>
      <c r="H2711" s="6" t="s">
        <v>6498</v>
      </c>
      <c r="I2711" s="6" t="s">
        <v>20</v>
      </c>
      <c r="J2711" s="6">
        <v>2025.0</v>
      </c>
      <c r="L2711" s="6">
        <v>1.0</v>
      </c>
      <c r="M2711" s="8">
        <f t="shared" si="5"/>
        <v>0.15</v>
      </c>
      <c r="P2711" s="9"/>
    </row>
    <row r="2712">
      <c r="A2712" s="6" t="s">
        <v>6499</v>
      </c>
      <c r="B2712" s="6" t="s">
        <v>4871</v>
      </c>
      <c r="C2712" s="6" t="s">
        <v>1949</v>
      </c>
      <c r="D2712" s="6" t="s">
        <v>6500</v>
      </c>
      <c r="E2712" s="6" t="s">
        <v>4965</v>
      </c>
      <c r="F2712" s="6" t="s">
        <v>3188</v>
      </c>
      <c r="G2712" s="7">
        <v>0.12</v>
      </c>
      <c r="H2712" s="6" t="s">
        <v>6498</v>
      </c>
      <c r="I2712" s="6" t="s">
        <v>20</v>
      </c>
      <c r="J2712" s="6">
        <v>2025.0</v>
      </c>
      <c r="K2712" s="10">
        <v>46083.0</v>
      </c>
      <c r="L2712" s="6">
        <v>1.0</v>
      </c>
      <c r="M2712" s="8">
        <f t="shared" si="5"/>
        <v>0.12</v>
      </c>
      <c r="P2712" s="9"/>
    </row>
    <row r="2713">
      <c r="A2713" s="6" t="s">
        <v>6501</v>
      </c>
      <c r="B2713" s="6" t="s">
        <v>554</v>
      </c>
      <c r="C2713" s="6" t="s">
        <v>1949</v>
      </c>
      <c r="D2713" s="6" t="s">
        <v>6502</v>
      </c>
      <c r="E2713" s="6" t="s">
        <v>1279</v>
      </c>
      <c r="F2713" s="6" t="s">
        <v>163</v>
      </c>
      <c r="G2713" s="7">
        <v>0.25</v>
      </c>
      <c r="H2713" s="6" t="s">
        <v>6498</v>
      </c>
      <c r="I2713" s="6" t="s">
        <v>20</v>
      </c>
      <c r="J2713" s="6">
        <v>2025.0</v>
      </c>
      <c r="L2713" s="6">
        <v>1.0</v>
      </c>
      <c r="M2713" s="8">
        <f t="shared" si="5"/>
        <v>0.25</v>
      </c>
      <c r="P2713" s="9"/>
    </row>
    <row r="2714">
      <c r="A2714" s="6" t="s">
        <v>6503</v>
      </c>
      <c r="B2714" s="6" t="s">
        <v>6504</v>
      </c>
      <c r="C2714" s="6" t="s">
        <v>295</v>
      </c>
      <c r="D2714" s="6" t="s">
        <v>6505</v>
      </c>
      <c r="E2714" s="6" t="s">
        <v>6506</v>
      </c>
      <c r="F2714" s="6" t="s">
        <v>3177</v>
      </c>
      <c r="G2714" s="7">
        <v>0.1</v>
      </c>
      <c r="H2714" s="6" t="s">
        <v>1631</v>
      </c>
      <c r="I2714" s="6" t="s">
        <v>20</v>
      </c>
      <c r="J2714" s="6">
        <v>2024.0</v>
      </c>
      <c r="K2714" s="10">
        <v>46083.0</v>
      </c>
      <c r="L2714" s="6">
        <v>1.0</v>
      </c>
      <c r="M2714" s="8">
        <f t="shared" si="5"/>
        <v>0.1</v>
      </c>
      <c r="P2714" s="9"/>
    </row>
    <row r="2715">
      <c r="A2715" s="6" t="s">
        <v>6507</v>
      </c>
      <c r="B2715" s="6" t="s">
        <v>2486</v>
      </c>
      <c r="C2715" s="6" t="s">
        <v>1949</v>
      </c>
      <c r="D2715" s="6" t="s">
        <v>6508</v>
      </c>
      <c r="E2715" s="6" t="s">
        <v>3653</v>
      </c>
      <c r="F2715" s="6" t="s">
        <v>3196</v>
      </c>
      <c r="G2715" s="7">
        <v>0.04</v>
      </c>
      <c r="H2715" s="6" t="s">
        <v>1739</v>
      </c>
      <c r="I2715" s="6" t="s">
        <v>20</v>
      </c>
      <c r="J2715" s="6">
        <v>2023.0</v>
      </c>
      <c r="K2715" s="10">
        <v>46083.0</v>
      </c>
      <c r="L2715" s="6">
        <v>1.0</v>
      </c>
      <c r="M2715" s="8">
        <f t="shared" si="5"/>
        <v>0.04</v>
      </c>
      <c r="P2715" s="9"/>
    </row>
    <row r="2716">
      <c r="A2716" s="6" t="s">
        <v>6509</v>
      </c>
      <c r="B2716" s="6" t="s">
        <v>6510</v>
      </c>
      <c r="C2716" s="6" t="s">
        <v>1949</v>
      </c>
      <c r="D2716" s="6" t="s">
        <v>6511</v>
      </c>
      <c r="E2716" s="6" t="s">
        <v>6451</v>
      </c>
      <c r="F2716" s="6" t="s">
        <v>3183</v>
      </c>
      <c r="G2716" s="7">
        <v>0.1</v>
      </c>
      <c r="H2716" s="6" t="s">
        <v>2219</v>
      </c>
      <c r="I2716" s="6" t="s">
        <v>20</v>
      </c>
      <c r="J2716" s="6">
        <v>2024.0</v>
      </c>
      <c r="K2716" s="10">
        <v>46083.0</v>
      </c>
      <c r="L2716" s="6">
        <v>2.0</v>
      </c>
      <c r="M2716" s="8">
        <f t="shared" si="5"/>
        <v>0.2</v>
      </c>
      <c r="P2716" s="9"/>
    </row>
    <row r="2717">
      <c r="A2717" s="6" t="s">
        <v>6512</v>
      </c>
      <c r="B2717" s="6" t="s">
        <v>6513</v>
      </c>
      <c r="C2717" s="6" t="s">
        <v>1949</v>
      </c>
      <c r="D2717" s="6" t="s">
        <v>6514</v>
      </c>
      <c r="E2717" s="6" t="s">
        <v>3338</v>
      </c>
      <c r="F2717" s="6" t="s">
        <v>3192</v>
      </c>
      <c r="G2717" s="7">
        <v>0.09</v>
      </c>
      <c r="H2717" s="6" t="s">
        <v>1638</v>
      </c>
      <c r="I2717" s="6" t="s">
        <v>20</v>
      </c>
      <c r="J2717" s="6">
        <v>2024.0</v>
      </c>
      <c r="K2717" s="10">
        <v>46057.0</v>
      </c>
      <c r="L2717" s="6">
        <v>1.0</v>
      </c>
      <c r="M2717" s="8">
        <f t="shared" si="5"/>
        <v>0.09</v>
      </c>
      <c r="P2717" s="9"/>
    </row>
    <row r="2718">
      <c r="A2718" s="6" t="s">
        <v>6515</v>
      </c>
      <c r="B2718" s="6" t="s">
        <v>6516</v>
      </c>
      <c r="C2718" s="6" t="s">
        <v>1949</v>
      </c>
      <c r="D2718" s="6" t="s">
        <v>6517</v>
      </c>
      <c r="E2718" s="6" t="s">
        <v>3107</v>
      </c>
      <c r="F2718" s="6" t="s">
        <v>3108</v>
      </c>
      <c r="G2718" s="7">
        <v>0.05</v>
      </c>
      <c r="H2718" s="6" t="s">
        <v>1959</v>
      </c>
      <c r="I2718" s="6" t="s">
        <v>20</v>
      </c>
      <c r="J2718" s="6">
        <v>2024.0</v>
      </c>
      <c r="K2718" s="10">
        <v>46084.0</v>
      </c>
      <c r="L2718" s="6">
        <v>1.0</v>
      </c>
      <c r="M2718" s="8">
        <f t="shared" si="5"/>
        <v>0.05</v>
      </c>
      <c r="P2718" s="9"/>
    </row>
    <row r="2719">
      <c r="A2719" s="6" t="s">
        <v>6518</v>
      </c>
      <c r="B2719" s="6" t="s">
        <v>3185</v>
      </c>
      <c r="C2719" s="6" t="s">
        <v>1949</v>
      </c>
      <c r="D2719" s="6" t="s">
        <v>6519</v>
      </c>
      <c r="E2719" s="6" t="s">
        <v>6520</v>
      </c>
      <c r="F2719" s="6" t="s">
        <v>3192</v>
      </c>
      <c r="G2719" s="7">
        <v>0.1</v>
      </c>
      <c r="H2719" s="6" t="s">
        <v>3679</v>
      </c>
      <c r="I2719" s="6" t="s">
        <v>20</v>
      </c>
      <c r="J2719" s="6">
        <v>2022.0</v>
      </c>
      <c r="K2719" s="10">
        <v>46146.0</v>
      </c>
      <c r="L2719" s="6">
        <v>1.0</v>
      </c>
      <c r="M2719" s="8">
        <f t="shared" si="5"/>
        <v>0.1</v>
      </c>
      <c r="P2719" s="9"/>
    </row>
    <row r="2720">
      <c r="A2720" s="6" t="s">
        <v>6521</v>
      </c>
      <c r="B2720" s="6" t="s">
        <v>6522</v>
      </c>
      <c r="C2720" s="6" t="s">
        <v>1949</v>
      </c>
      <c r="D2720" s="6" t="s">
        <v>6523</v>
      </c>
      <c r="E2720" s="6" t="s">
        <v>6524</v>
      </c>
      <c r="F2720" s="6" t="s">
        <v>3183</v>
      </c>
      <c r="G2720" s="7">
        <v>0.1</v>
      </c>
      <c r="H2720" s="6" t="s">
        <v>2205</v>
      </c>
      <c r="I2720" s="6" t="s">
        <v>20</v>
      </c>
      <c r="J2720" s="6">
        <v>2023.0</v>
      </c>
      <c r="L2720" s="6">
        <v>1.0</v>
      </c>
      <c r="M2720" s="8">
        <f t="shared" si="5"/>
        <v>0.1</v>
      </c>
      <c r="P2720" s="9"/>
    </row>
    <row r="2721">
      <c r="A2721" s="6" t="s">
        <v>6525</v>
      </c>
      <c r="B2721" s="6" t="s">
        <v>3465</v>
      </c>
      <c r="C2721" s="6" t="s">
        <v>1949</v>
      </c>
      <c r="D2721" s="6" t="s">
        <v>6526</v>
      </c>
      <c r="E2721" s="6" t="s">
        <v>1541</v>
      </c>
      <c r="F2721" s="6" t="s">
        <v>3183</v>
      </c>
      <c r="G2721" s="7">
        <v>0.15</v>
      </c>
      <c r="H2721" s="6" t="s">
        <v>1739</v>
      </c>
      <c r="I2721" s="6" t="s">
        <v>20</v>
      </c>
      <c r="J2721" s="6">
        <v>2023.0</v>
      </c>
      <c r="K2721" s="10">
        <v>46055.0</v>
      </c>
      <c r="L2721" s="6">
        <v>1.0</v>
      </c>
      <c r="M2721" s="8">
        <f t="shared" si="5"/>
        <v>0.15</v>
      </c>
      <c r="P2721" s="9"/>
    </row>
    <row r="2722">
      <c r="A2722" s="6" t="s">
        <v>6527</v>
      </c>
      <c r="B2722" s="6" t="s">
        <v>6528</v>
      </c>
      <c r="C2722" s="6" t="s">
        <v>1949</v>
      </c>
      <c r="D2722" s="6" t="s">
        <v>6529</v>
      </c>
      <c r="E2722" s="6" t="s">
        <v>987</v>
      </c>
      <c r="F2722" s="6" t="s">
        <v>3177</v>
      </c>
      <c r="G2722" s="7">
        <v>0.2</v>
      </c>
      <c r="H2722" s="6" t="s">
        <v>1685</v>
      </c>
      <c r="I2722" s="6" t="s">
        <v>20</v>
      </c>
      <c r="J2722" s="6">
        <v>2021.0</v>
      </c>
      <c r="K2722" s="10">
        <v>46055.0</v>
      </c>
      <c r="L2722" s="6">
        <v>1.0</v>
      </c>
      <c r="M2722" s="8">
        <f t="shared" si="5"/>
        <v>0.2</v>
      </c>
      <c r="P2722" s="9"/>
    </row>
    <row r="2723">
      <c r="A2723" s="6" t="s">
        <v>6530</v>
      </c>
      <c r="B2723" s="6" t="s">
        <v>6531</v>
      </c>
      <c r="C2723" s="6" t="s">
        <v>1949</v>
      </c>
      <c r="D2723" s="6" t="s">
        <v>6532</v>
      </c>
      <c r="E2723" s="6" t="s">
        <v>6533</v>
      </c>
      <c r="F2723" s="6" t="s">
        <v>3183</v>
      </c>
      <c r="G2723" s="7">
        <v>0.1</v>
      </c>
      <c r="H2723" s="6" t="s">
        <v>1708</v>
      </c>
      <c r="I2723" s="6" t="s">
        <v>20</v>
      </c>
      <c r="J2723" s="6">
        <v>2019.0</v>
      </c>
      <c r="K2723" s="10">
        <v>46084.0</v>
      </c>
      <c r="L2723" s="6">
        <v>1.0</v>
      </c>
      <c r="M2723" s="8">
        <f t="shared" si="5"/>
        <v>0.1</v>
      </c>
      <c r="P2723" s="9"/>
    </row>
    <row r="2724">
      <c r="A2724" s="6" t="s">
        <v>6534</v>
      </c>
      <c r="B2724" s="6" t="s">
        <v>6535</v>
      </c>
      <c r="C2724" s="6" t="s">
        <v>1949</v>
      </c>
      <c r="D2724" s="6" t="s">
        <v>6536</v>
      </c>
      <c r="E2724" s="6" t="s">
        <v>3107</v>
      </c>
      <c r="F2724" s="6" t="s">
        <v>3108</v>
      </c>
      <c r="G2724" s="7">
        <v>0.1</v>
      </c>
      <c r="H2724" s="6" t="s">
        <v>1638</v>
      </c>
      <c r="I2724" s="6" t="s">
        <v>20</v>
      </c>
      <c r="J2724" s="6">
        <v>2024.0</v>
      </c>
      <c r="K2724" s="10">
        <v>46113.0</v>
      </c>
      <c r="L2724" s="6">
        <v>1.0</v>
      </c>
      <c r="M2724" s="8">
        <f t="shared" si="5"/>
        <v>0.1</v>
      </c>
      <c r="P2724" s="9"/>
    </row>
    <row r="2725">
      <c r="A2725" s="6" t="s">
        <v>6534</v>
      </c>
      <c r="B2725" s="6" t="s">
        <v>6535</v>
      </c>
      <c r="C2725" s="6" t="s">
        <v>1949</v>
      </c>
      <c r="D2725" s="6" t="s">
        <v>6536</v>
      </c>
      <c r="E2725" s="6" t="s">
        <v>3107</v>
      </c>
      <c r="F2725" s="6" t="s">
        <v>3108</v>
      </c>
      <c r="G2725" s="7">
        <v>0.25</v>
      </c>
      <c r="H2725" s="6" t="s">
        <v>1638</v>
      </c>
      <c r="I2725" s="6" t="s">
        <v>31</v>
      </c>
      <c r="J2725" s="6">
        <v>2024.0</v>
      </c>
      <c r="K2725" s="10">
        <v>46113.0</v>
      </c>
      <c r="L2725" s="6">
        <v>1.0</v>
      </c>
      <c r="M2725" s="8">
        <f t="shared" si="5"/>
        <v>0.25</v>
      </c>
      <c r="P2725" s="9"/>
    </row>
    <row r="2726">
      <c r="A2726" s="6" t="s">
        <v>6537</v>
      </c>
      <c r="B2726" s="6" t="s">
        <v>6538</v>
      </c>
      <c r="C2726" s="6" t="s">
        <v>1949</v>
      </c>
      <c r="D2726" s="6" t="s">
        <v>6539</v>
      </c>
      <c r="E2726" s="6" t="s">
        <v>963</v>
      </c>
      <c r="F2726" s="6" t="s">
        <v>3108</v>
      </c>
      <c r="G2726" s="7">
        <v>0.08</v>
      </c>
      <c r="H2726" s="6" t="s">
        <v>1638</v>
      </c>
      <c r="I2726" s="6" t="s">
        <v>20</v>
      </c>
      <c r="J2726" s="6">
        <v>2024.0</v>
      </c>
      <c r="K2726" s="10">
        <v>46056.0</v>
      </c>
      <c r="L2726" s="6">
        <v>1.0</v>
      </c>
      <c r="M2726" s="8">
        <f t="shared" si="5"/>
        <v>0.08</v>
      </c>
      <c r="P2726" s="9"/>
    </row>
    <row r="2727">
      <c r="A2727" s="6" t="s">
        <v>6540</v>
      </c>
      <c r="B2727" s="6" t="s">
        <v>2786</v>
      </c>
      <c r="C2727" s="6" t="s">
        <v>1949</v>
      </c>
      <c r="D2727" s="6" t="s">
        <v>6541</v>
      </c>
      <c r="E2727" s="6" t="s">
        <v>6542</v>
      </c>
      <c r="F2727" s="6" t="s">
        <v>3183</v>
      </c>
      <c r="G2727" s="7">
        <v>0.05</v>
      </c>
      <c r="H2727" s="6" t="s">
        <v>2500</v>
      </c>
      <c r="I2727" s="6" t="s">
        <v>20</v>
      </c>
      <c r="J2727" s="6">
        <v>2015.0</v>
      </c>
      <c r="K2727" s="10">
        <v>46116.0</v>
      </c>
      <c r="L2727" s="6">
        <v>1.0</v>
      </c>
      <c r="M2727" s="8">
        <f t="shared" si="5"/>
        <v>0.05</v>
      </c>
      <c r="P2727" s="9"/>
    </row>
    <row r="2728">
      <c r="A2728" s="6" t="s">
        <v>6543</v>
      </c>
      <c r="B2728" s="6" t="s">
        <v>385</v>
      </c>
      <c r="C2728" s="6" t="s">
        <v>1949</v>
      </c>
      <c r="D2728" s="6" t="s">
        <v>6544</v>
      </c>
      <c r="E2728" s="6" t="s">
        <v>4965</v>
      </c>
      <c r="F2728" s="6" t="s">
        <v>3188</v>
      </c>
      <c r="G2728" s="7">
        <v>0.25</v>
      </c>
      <c r="H2728" s="6" t="s">
        <v>1959</v>
      </c>
      <c r="I2728" s="6" t="s">
        <v>31</v>
      </c>
      <c r="J2728" s="6">
        <v>2024.0</v>
      </c>
      <c r="L2728" s="6">
        <v>1.0</v>
      </c>
      <c r="M2728" s="8">
        <f t="shared" si="5"/>
        <v>0.25</v>
      </c>
      <c r="P2728" s="9"/>
    </row>
    <row r="2729">
      <c r="A2729" s="6" t="s">
        <v>6545</v>
      </c>
      <c r="B2729" s="6" t="s">
        <v>4104</v>
      </c>
      <c r="C2729" s="6" t="s">
        <v>1949</v>
      </c>
      <c r="D2729" s="6" t="s">
        <v>6546</v>
      </c>
      <c r="E2729" s="6" t="s">
        <v>2396</v>
      </c>
      <c r="F2729" s="6" t="s">
        <v>3196</v>
      </c>
      <c r="G2729" s="7">
        <v>0.1</v>
      </c>
      <c r="H2729" s="6" t="s">
        <v>2172</v>
      </c>
      <c r="I2729" s="6" t="s">
        <v>20</v>
      </c>
      <c r="J2729" s="6">
        <v>2021.0</v>
      </c>
      <c r="K2729" s="10">
        <v>46024.0</v>
      </c>
      <c r="L2729" s="6">
        <v>1.0</v>
      </c>
      <c r="M2729" s="8">
        <f t="shared" si="5"/>
        <v>0.1</v>
      </c>
      <c r="P2729" s="9"/>
    </row>
    <row r="2730">
      <c r="A2730" s="6" t="s">
        <v>6547</v>
      </c>
      <c r="B2730" s="6" t="s">
        <v>3628</v>
      </c>
      <c r="C2730" s="6" t="s">
        <v>1949</v>
      </c>
      <c r="D2730" s="6" t="s">
        <v>6548</v>
      </c>
      <c r="E2730" s="6" t="s">
        <v>1371</v>
      </c>
      <c r="F2730" s="6" t="s">
        <v>3150</v>
      </c>
      <c r="G2730" s="7">
        <v>0.09</v>
      </c>
      <c r="H2730" s="6" t="s">
        <v>2172</v>
      </c>
      <c r="I2730" s="6" t="s">
        <v>20</v>
      </c>
      <c r="J2730" s="6">
        <v>2021.0</v>
      </c>
      <c r="K2730" s="10">
        <v>46083.0</v>
      </c>
      <c r="L2730" s="6">
        <v>1.0</v>
      </c>
      <c r="M2730" s="8">
        <f t="shared" si="5"/>
        <v>0.09</v>
      </c>
      <c r="P2730" s="9"/>
    </row>
    <row r="2731">
      <c r="A2731" s="6" t="s">
        <v>6549</v>
      </c>
      <c r="B2731" s="6" t="s">
        <v>6550</v>
      </c>
      <c r="C2731" s="6" t="s">
        <v>1949</v>
      </c>
      <c r="D2731" s="6" t="s">
        <v>6551</v>
      </c>
      <c r="E2731" s="6" t="s">
        <v>1541</v>
      </c>
      <c r="F2731" s="6" t="s">
        <v>3183</v>
      </c>
      <c r="G2731" s="7">
        <v>0.1</v>
      </c>
      <c r="H2731" s="6" t="s">
        <v>1959</v>
      </c>
      <c r="I2731" s="6" t="s">
        <v>20</v>
      </c>
      <c r="J2731" s="6">
        <v>2024.0</v>
      </c>
      <c r="K2731" s="10">
        <v>46055.0</v>
      </c>
      <c r="L2731" s="6">
        <v>3.0</v>
      </c>
      <c r="M2731" s="8">
        <f t="shared" si="5"/>
        <v>0.3</v>
      </c>
      <c r="P2731" s="9"/>
    </row>
    <row r="2732">
      <c r="A2732" s="6" t="s">
        <v>6552</v>
      </c>
      <c r="B2732" s="6" t="s">
        <v>2316</v>
      </c>
      <c r="C2732" s="6" t="s">
        <v>1949</v>
      </c>
      <c r="D2732" s="6" t="s">
        <v>6553</v>
      </c>
      <c r="E2732" s="6" t="s">
        <v>3396</v>
      </c>
      <c r="F2732" s="6" t="s">
        <v>3196</v>
      </c>
      <c r="G2732" s="7">
        <v>0.04</v>
      </c>
      <c r="H2732" s="6" t="s">
        <v>1644</v>
      </c>
      <c r="I2732" s="6" t="s">
        <v>20</v>
      </c>
      <c r="J2732" s="6">
        <v>2018.0</v>
      </c>
      <c r="K2732" s="10">
        <v>46055.0</v>
      </c>
      <c r="L2732" s="6">
        <v>1.0</v>
      </c>
      <c r="M2732" s="8">
        <f t="shared" si="5"/>
        <v>0.04</v>
      </c>
      <c r="P2732" s="9"/>
    </row>
    <row r="2733">
      <c r="A2733" s="6" t="s">
        <v>6554</v>
      </c>
      <c r="B2733" s="6" t="s">
        <v>3792</v>
      </c>
      <c r="C2733" s="6" t="s">
        <v>1949</v>
      </c>
      <c r="D2733" s="6" t="s">
        <v>6555</v>
      </c>
      <c r="E2733" s="6" t="s">
        <v>6451</v>
      </c>
      <c r="F2733" s="6" t="s">
        <v>3183</v>
      </c>
      <c r="G2733" s="7">
        <v>0.59</v>
      </c>
      <c r="H2733" s="6" t="s">
        <v>2541</v>
      </c>
      <c r="I2733" s="6" t="s">
        <v>20</v>
      </c>
      <c r="J2733" s="6">
        <v>2017.0</v>
      </c>
      <c r="K2733" s="6" t="s">
        <v>6348</v>
      </c>
      <c r="L2733" s="6">
        <v>2.0</v>
      </c>
      <c r="M2733" s="8">
        <f t="shared" si="5"/>
        <v>1.18</v>
      </c>
      <c r="P2733" s="9"/>
    </row>
    <row r="2734">
      <c r="A2734" s="6" t="s">
        <v>6556</v>
      </c>
      <c r="B2734" s="6" t="s">
        <v>6557</v>
      </c>
      <c r="C2734" s="6" t="s">
        <v>1949</v>
      </c>
      <c r="D2734" s="6" t="s">
        <v>6558</v>
      </c>
      <c r="E2734" s="6" t="s">
        <v>6520</v>
      </c>
      <c r="F2734" s="6" t="s">
        <v>3192</v>
      </c>
      <c r="G2734" s="7">
        <v>0.04</v>
      </c>
      <c r="H2734" s="6" t="s">
        <v>3934</v>
      </c>
      <c r="I2734" s="6" t="s">
        <v>20</v>
      </c>
      <c r="J2734" s="6">
        <v>2023.0</v>
      </c>
      <c r="K2734" s="10">
        <v>46147.0</v>
      </c>
      <c r="L2734" s="6">
        <v>1.0</v>
      </c>
      <c r="M2734" s="8">
        <f t="shared" si="5"/>
        <v>0.04</v>
      </c>
      <c r="P2734" s="9"/>
    </row>
    <row r="2735">
      <c r="A2735" s="6" t="s">
        <v>6559</v>
      </c>
      <c r="B2735" s="6" t="s">
        <v>1952</v>
      </c>
      <c r="C2735" s="6" t="s">
        <v>1949</v>
      </c>
      <c r="D2735" s="6" t="s">
        <v>6560</v>
      </c>
      <c r="E2735" s="6" t="s">
        <v>6561</v>
      </c>
      <c r="F2735" s="6" t="s">
        <v>3188</v>
      </c>
      <c r="G2735" s="7">
        <v>0.07</v>
      </c>
      <c r="H2735" s="6" t="s">
        <v>3934</v>
      </c>
      <c r="I2735" s="6" t="s">
        <v>20</v>
      </c>
      <c r="J2735" s="6">
        <v>2023.0</v>
      </c>
      <c r="L2735" s="6">
        <v>1.0</v>
      </c>
      <c r="M2735" s="8">
        <f t="shared" si="5"/>
        <v>0.07</v>
      </c>
      <c r="P2735" s="9"/>
    </row>
    <row r="2736">
      <c r="A2736" s="6" t="s">
        <v>6562</v>
      </c>
      <c r="B2736" s="6" t="s">
        <v>2424</v>
      </c>
      <c r="C2736" s="6" t="s">
        <v>1949</v>
      </c>
      <c r="D2736" s="6" t="s">
        <v>6563</v>
      </c>
      <c r="E2736" s="6" t="s">
        <v>1371</v>
      </c>
      <c r="F2736" s="6" t="s">
        <v>3150</v>
      </c>
      <c r="G2736" s="7">
        <v>0.1</v>
      </c>
      <c r="H2736" s="6" t="s">
        <v>2650</v>
      </c>
      <c r="I2736" s="6" t="s">
        <v>20</v>
      </c>
      <c r="J2736" s="6">
        <v>2021.0</v>
      </c>
      <c r="L2736" s="6">
        <v>1.0</v>
      </c>
      <c r="M2736" s="8">
        <f t="shared" si="5"/>
        <v>0.1</v>
      </c>
      <c r="P2736" s="9"/>
    </row>
    <row r="2737">
      <c r="A2737" s="6" t="s">
        <v>6564</v>
      </c>
      <c r="B2737" s="6" t="s">
        <v>2605</v>
      </c>
      <c r="C2737" s="6" t="s">
        <v>1949</v>
      </c>
      <c r="D2737" s="6" t="s">
        <v>6565</v>
      </c>
      <c r="E2737" s="6" t="s">
        <v>6566</v>
      </c>
      <c r="F2737" s="6" t="s">
        <v>3108</v>
      </c>
      <c r="G2737" s="7">
        <v>0.12</v>
      </c>
      <c r="H2737" s="6" t="s">
        <v>2186</v>
      </c>
      <c r="I2737" s="6" t="s">
        <v>20</v>
      </c>
      <c r="J2737" s="6">
        <v>2022.0</v>
      </c>
      <c r="K2737" s="10">
        <v>46114.0</v>
      </c>
      <c r="L2737" s="6">
        <v>1.0</v>
      </c>
      <c r="M2737" s="8">
        <f t="shared" si="5"/>
        <v>0.12</v>
      </c>
      <c r="P2737" s="9"/>
    </row>
    <row r="2738">
      <c r="A2738" s="6" t="s">
        <v>6567</v>
      </c>
      <c r="B2738" s="6" t="s">
        <v>6568</v>
      </c>
      <c r="C2738" s="6" t="s">
        <v>1949</v>
      </c>
      <c r="D2738" s="6" t="s">
        <v>6569</v>
      </c>
      <c r="E2738" s="6" t="s">
        <v>2594</v>
      </c>
      <c r="F2738" s="6" t="s">
        <v>3108</v>
      </c>
      <c r="G2738" s="7">
        <v>0.1</v>
      </c>
      <c r="H2738" s="6" t="s">
        <v>3476</v>
      </c>
      <c r="I2738" s="6" t="s">
        <v>20</v>
      </c>
      <c r="J2738" s="6">
        <v>2023.0</v>
      </c>
      <c r="K2738" s="10">
        <v>46116.0</v>
      </c>
      <c r="L2738" s="6">
        <v>1.0</v>
      </c>
      <c r="M2738" s="8">
        <f t="shared" si="5"/>
        <v>0.1</v>
      </c>
      <c r="P2738" s="9"/>
    </row>
    <row r="2739">
      <c r="A2739" s="6" t="s">
        <v>6570</v>
      </c>
      <c r="B2739" s="6" t="s">
        <v>2589</v>
      </c>
      <c r="C2739" s="6" t="s">
        <v>1897</v>
      </c>
      <c r="D2739" s="6" t="s">
        <v>6571</v>
      </c>
      <c r="E2739" s="6" t="s">
        <v>6423</v>
      </c>
      <c r="F2739" s="6" t="s">
        <v>163</v>
      </c>
      <c r="G2739" s="7">
        <v>0.11</v>
      </c>
      <c r="H2739" s="6" t="s">
        <v>3476</v>
      </c>
      <c r="I2739" s="6" t="s">
        <v>20</v>
      </c>
      <c r="J2739" s="6">
        <v>2023.0</v>
      </c>
      <c r="K2739" s="10">
        <v>46116.0</v>
      </c>
      <c r="L2739" s="6">
        <v>2.0</v>
      </c>
      <c r="M2739" s="8">
        <f t="shared" si="5"/>
        <v>0.22</v>
      </c>
      <c r="P2739" s="9"/>
    </row>
    <row r="2740">
      <c r="A2740" s="6" t="s">
        <v>6572</v>
      </c>
      <c r="B2740" s="6" t="s">
        <v>6573</v>
      </c>
      <c r="C2740" s="6" t="s">
        <v>295</v>
      </c>
      <c r="D2740" s="6" t="s">
        <v>6574</v>
      </c>
      <c r="E2740" s="6" t="s">
        <v>4946</v>
      </c>
      <c r="F2740" s="6" t="s">
        <v>4942</v>
      </c>
      <c r="G2740" s="7">
        <v>0.04</v>
      </c>
      <c r="H2740" s="6" t="s">
        <v>2186</v>
      </c>
      <c r="I2740" s="6" t="s">
        <v>20</v>
      </c>
      <c r="J2740" s="6">
        <v>2022.0</v>
      </c>
      <c r="K2740" s="10">
        <v>46116.0</v>
      </c>
      <c r="L2740" s="6">
        <v>1.0</v>
      </c>
      <c r="M2740" s="8">
        <f t="shared" si="5"/>
        <v>0.04</v>
      </c>
      <c r="P2740" s="9"/>
    </row>
    <row r="2741">
      <c r="A2741" s="6" t="s">
        <v>6575</v>
      </c>
      <c r="B2741" s="6" t="s">
        <v>6568</v>
      </c>
      <c r="C2741" s="6" t="s">
        <v>1949</v>
      </c>
      <c r="D2741" s="6" t="s">
        <v>6576</v>
      </c>
      <c r="E2741" s="6" t="s">
        <v>6577</v>
      </c>
      <c r="F2741" s="6" t="s">
        <v>3188</v>
      </c>
      <c r="G2741" s="7">
        <v>0.15</v>
      </c>
      <c r="H2741" s="6" t="s">
        <v>1619</v>
      </c>
      <c r="I2741" s="6" t="s">
        <v>20</v>
      </c>
      <c r="J2741" s="6">
        <v>2022.0</v>
      </c>
      <c r="K2741" s="10">
        <v>46084.0</v>
      </c>
      <c r="L2741" s="6">
        <v>2.0</v>
      </c>
      <c r="M2741" s="8">
        <f t="shared" si="5"/>
        <v>0.3</v>
      </c>
      <c r="P2741" s="9"/>
    </row>
    <row r="2742">
      <c r="A2742" s="6" t="s">
        <v>6578</v>
      </c>
      <c r="B2742" s="6" t="s">
        <v>6579</v>
      </c>
      <c r="C2742" s="6" t="s">
        <v>1949</v>
      </c>
      <c r="D2742" s="6" t="s">
        <v>6580</v>
      </c>
      <c r="E2742" s="6" t="s">
        <v>4952</v>
      </c>
      <c r="F2742" s="6" t="s">
        <v>3192</v>
      </c>
      <c r="G2742" s="7">
        <v>0.1</v>
      </c>
      <c r="H2742" s="6" t="s">
        <v>5226</v>
      </c>
      <c r="I2742" s="6" t="s">
        <v>20</v>
      </c>
      <c r="J2742" s="6">
        <v>2023.0</v>
      </c>
      <c r="K2742" s="10">
        <v>46084.0</v>
      </c>
      <c r="L2742" s="6">
        <v>1.0</v>
      </c>
      <c r="M2742" s="8">
        <f t="shared" si="5"/>
        <v>0.1</v>
      </c>
      <c r="P2742" s="9"/>
    </row>
    <row r="2743">
      <c r="A2743" s="6" t="s">
        <v>6581</v>
      </c>
      <c r="B2743" s="6" t="s">
        <v>6582</v>
      </c>
      <c r="C2743" s="6" t="s">
        <v>1949</v>
      </c>
      <c r="D2743" s="6" t="s">
        <v>6583</v>
      </c>
      <c r="E2743" s="6" t="s">
        <v>6584</v>
      </c>
      <c r="F2743" s="6" t="s">
        <v>3177</v>
      </c>
      <c r="G2743" s="7">
        <v>0.15</v>
      </c>
      <c r="H2743" s="6" t="s">
        <v>5226</v>
      </c>
      <c r="I2743" s="6" t="s">
        <v>20</v>
      </c>
      <c r="J2743" s="6">
        <v>2023.0</v>
      </c>
      <c r="K2743" s="10">
        <v>46114.0</v>
      </c>
      <c r="L2743" s="6">
        <v>1.0</v>
      </c>
      <c r="M2743" s="8">
        <f t="shared" si="5"/>
        <v>0.15</v>
      </c>
      <c r="P2743" s="9"/>
    </row>
    <row r="2744">
      <c r="A2744" s="6" t="s">
        <v>6585</v>
      </c>
      <c r="B2744" s="6" t="s">
        <v>6568</v>
      </c>
      <c r="C2744" s="6" t="s">
        <v>1949</v>
      </c>
      <c r="D2744" s="6" t="s">
        <v>6586</v>
      </c>
      <c r="E2744" s="6" t="s">
        <v>3301</v>
      </c>
      <c r="F2744" s="6" t="s">
        <v>3177</v>
      </c>
      <c r="G2744" s="7">
        <v>0.39</v>
      </c>
      <c r="H2744" s="6" t="s">
        <v>2141</v>
      </c>
      <c r="I2744" s="6" t="s">
        <v>31</v>
      </c>
      <c r="J2744" s="6">
        <v>2023.0</v>
      </c>
      <c r="K2744" s="10">
        <v>46116.0</v>
      </c>
      <c r="L2744" s="6">
        <v>1.0</v>
      </c>
      <c r="M2744" s="8">
        <f t="shared" si="5"/>
        <v>0.39</v>
      </c>
      <c r="P2744" s="9"/>
    </row>
    <row r="2745">
      <c r="A2745" s="6" t="s">
        <v>6587</v>
      </c>
      <c r="B2745" s="6" t="s">
        <v>6588</v>
      </c>
      <c r="C2745" s="6" t="s">
        <v>1949</v>
      </c>
      <c r="D2745" s="6" t="s">
        <v>6589</v>
      </c>
      <c r="E2745" s="6" t="s">
        <v>3691</v>
      </c>
      <c r="F2745" s="6" t="s">
        <v>3177</v>
      </c>
      <c r="G2745" s="7">
        <v>0.23</v>
      </c>
      <c r="H2745" s="6" t="s">
        <v>3679</v>
      </c>
      <c r="I2745" s="6" t="s">
        <v>31</v>
      </c>
      <c r="J2745" s="6">
        <v>2022.0</v>
      </c>
      <c r="K2745" s="10">
        <v>46023.0</v>
      </c>
      <c r="L2745" s="6">
        <v>1.0</v>
      </c>
      <c r="M2745" s="8">
        <f t="shared" si="5"/>
        <v>0.23</v>
      </c>
      <c r="P2745" s="9"/>
    </row>
    <row r="2746">
      <c r="A2746" s="6" t="s">
        <v>6590</v>
      </c>
      <c r="B2746" s="6" t="s">
        <v>6591</v>
      </c>
      <c r="C2746" s="6" t="s">
        <v>1949</v>
      </c>
      <c r="D2746" s="6" t="s">
        <v>6592</v>
      </c>
      <c r="E2746" s="6" t="s">
        <v>4952</v>
      </c>
      <c r="F2746" s="6" t="s">
        <v>3192</v>
      </c>
      <c r="G2746" s="7">
        <v>0.58</v>
      </c>
      <c r="H2746" s="6" t="s">
        <v>1638</v>
      </c>
      <c r="I2746" s="6" t="s">
        <v>31</v>
      </c>
      <c r="J2746" s="6">
        <v>2024.0</v>
      </c>
      <c r="K2746" s="10">
        <v>46116.0</v>
      </c>
      <c r="L2746" s="6">
        <v>1.0</v>
      </c>
      <c r="M2746" s="8">
        <f t="shared" si="5"/>
        <v>0.58</v>
      </c>
      <c r="P2746" s="9"/>
    </row>
    <row r="2747">
      <c r="A2747" s="6" t="s">
        <v>6593</v>
      </c>
      <c r="B2747" s="6" t="s">
        <v>4871</v>
      </c>
      <c r="C2747" s="6" t="s">
        <v>1949</v>
      </c>
      <c r="D2747" s="6" t="s">
        <v>6594</v>
      </c>
      <c r="E2747" s="6" t="s">
        <v>6595</v>
      </c>
      <c r="F2747" s="6" t="s">
        <v>163</v>
      </c>
      <c r="G2747" s="7">
        <v>0.25</v>
      </c>
      <c r="H2747" s="6" t="s">
        <v>6498</v>
      </c>
      <c r="I2747" s="6" t="s">
        <v>31</v>
      </c>
      <c r="J2747" s="6">
        <v>2025.0</v>
      </c>
      <c r="K2747" s="10">
        <v>46148.0</v>
      </c>
      <c r="L2747" s="6">
        <v>1.0</v>
      </c>
      <c r="M2747" s="8">
        <f t="shared" si="5"/>
        <v>0.25</v>
      </c>
      <c r="P2747" s="9"/>
    </row>
    <row r="2748">
      <c r="A2748" s="6" t="s">
        <v>6596</v>
      </c>
      <c r="B2748" s="6" t="s">
        <v>6597</v>
      </c>
      <c r="C2748" s="6" t="s">
        <v>1949</v>
      </c>
      <c r="D2748" s="6" t="s">
        <v>6598</v>
      </c>
      <c r="E2748" s="6" t="s">
        <v>6599</v>
      </c>
      <c r="F2748" s="6" t="s">
        <v>18</v>
      </c>
      <c r="G2748" s="7">
        <v>0.44</v>
      </c>
      <c r="H2748" s="6" t="s">
        <v>3476</v>
      </c>
      <c r="I2748" s="6" t="s">
        <v>31</v>
      </c>
      <c r="J2748" s="6">
        <v>2023.0</v>
      </c>
      <c r="K2748" s="10">
        <v>46115.0</v>
      </c>
      <c r="L2748" s="6">
        <v>1.0</v>
      </c>
      <c r="M2748" s="8">
        <f t="shared" si="5"/>
        <v>0.44</v>
      </c>
      <c r="P2748" s="9"/>
    </row>
    <row r="2749">
      <c r="A2749" s="6" t="s">
        <v>6600</v>
      </c>
      <c r="B2749" s="6" t="s">
        <v>2058</v>
      </c>
      <c r="C2749" s="6" t="s">
        <v>295</v>
      </c>
      <c r="D2749" s="6" t="s">
        <v>6601</v>
      </c>
      <c r="E2749" s="6" t="s">
        <v>2326</v>
      </c>
      <c r="F2749" s="6" t="s">
        <v>88</v>
      </c>
      <c r="G2749" s="7">
        <v>0.25</v>
      </c>
      <c r="H2749" s="6" t="s">
        <v>2456</v>
      </c>
      <c r="I2749" s="6" t="s">
        <v>31</v>
      </c>
      <c r="J2749" s="6">
        <v>2024.0</v>
      </c>
      <c r="L2749" s="6">
        <v>1.0</v>
      </c>
      <c r="M2749" s="8">
        <f t="shared" si="5"/>
        <v>0.25</v>
      </c>
      <c r="P2749" s="9"/>
    </row>
    <row r="2750">
      <c r="A2750" s="6" t="s">
        <v>6602</v>
      </c>
      <c r="B2750" s="6" t="s">
        <v>2316</v>
      </c>
      <c r="C2750" s="6" t="s">
        <v>1949</v>
      </c>
      <c r="D2750" s="6" t="s">
        <v>6603</v>
      </c>
      <c r="E2750" s="6" t="s">
        <v>2326</v>
      </c>
      <c r="F2750" s="6" t="s">
        <v>88</v>
      </c>
      <c r="G2750" s="7">
        <v>0.4</v>
      </c>
      <c r="H2750" s="6" t="s">
        <v>2219</v>
      </c>
      <c r="I2750" s="6" t="s">
        <v>31</v>
      </c>
      <c r="J2750" s="6">
        <v>2024.0</v>
      </c>
      <c r="K2750" s="10">
        <v>46084.0</v>
      </c>
      <c r="L2750" s="6">
        <v>1.0</v>
      </c>
      <c r="M2750" s="8">
        <f t="shared" si="5"/>
        <v>0.4</v>
      </c>
      <c r="P2750" s="9"/>
    </row>
    <row r="2751">
      <c r="A2751" s="6" t="s">
        <v>6604</v>
      </c>
      <c r="B2751" s="6" t="s">
        <v>6605</v>
      </c>
      <c r="C2751" s="6" t="s">
        <v>1897</v>
      </c>
      <c r="D2751" s="6" t="s">
        <v>6606</v>
      </c>
      <c r="E2751" s="6" t="s">
        <v>4321</v>
      </c>
      <c r="F2751" s="6" t="s">
        <v>88</v>
      </c>
      <c r="G2751" s="7">
        <v>0.2</v>
      </c>
      <c r="H2751" s="6" t="s">
        <v>1664</v>
      </c>
      <c r="I2751" s="6" t="s">
        <v>31</v>
      </c>
      <c r="J2751" s="6">
        <v>2018.0</v>
      </c>
      <c r="K2751" s="10">
        <v>46178.0</v>
      </c>
      <c r="L2751" s="6">
        <v>3.0</v>
      </c>
      <c r="M2751" s="8">
        <f t="shared" si="5"/>
        <v>0.6</v>
      </c>
      <c r="P2751" s="9"/>
    </row>
    <row r="2752">
      <c r="A2752" s="6" t="s">
        <v>6607</v>
      </c>
      <c r="B2752" s="6" t="s">
        <v>6608</v>
      </c>
      <c r="C2752" s="6" t="s">
        <v>1897</v>
      </c>
      <c r="D2752" s="6" t="s">
        <v>6609</v>
      </c>
      <c r="E2752" s="6" t="s">
        <v>2809</v>
      </c>
      <c r="F2752" s="6" t="s">
        <v>88</v>
      </c>
      <c r="G2752" s="7">
        <v>1.13</v>
      </c>
      <c r="H2752" s="6" t="s">
        <v>1714</v>
      </c>
      <c r="I2752" s="6" t="s">
        <v>20</v>
      </c>
      <c r="J2752" s="6">
        <v>2020.0</v>
      </c>
      <c r="K2752" s="10">
        <v>46146.0</v>
      </c>
      <c r="L2752" s="6">
        <v>2.0</v>
      </c>
      <c r="M2752" s="8">
        <f t="shared" si="5"/>
        <v>2.26</v>
      </c>
      <c r="P2752" s="9"/>
    </row>
    <row r="2753">
      <c r="A2753" s="6" t="s">
        <v>6610</v>
      </c>
      <c r="B2753" s="6" t="s">
        <v>5895</v>
      </c>
      <c r="C2753" s="6" t="s">
        <v>1949</v>
      </c>
      <c r="D2753" s="6" t="s">
        <v>6611</v>
      </c>
      <c r="E2753" s="6" t="s">
        <v>2326</v>
      </c>
      <c r="F2753" s="6" t="s">
        <v>88</v>
      </c>
      <c r="G2753" s="7">
        <v>0.05</v>
      </c>
      <c r="H2753" s="6" t="s">
        <v>1959</v>
      </c>
      <c r="I2753" s="6" t="s">
        <v>20</v>
      </c>
      <c r="J2753" s="6">
        <v>2024.0</v>
      </c>
      <c r="K2753" s="10">
        <v>46084.0</v>
      </c>
      <c r="L2753" s="6">
        <v>1.0</v>
      </c>
      <c r="M2753" s="8">
        <f t="shared" si="5"/>
        <v>0.05</v>
      </c>
      <c r="P2753" s="9"/>
    </row>
    <row r="2754">
      <c r="A2754" s="6" t="s">
        <v>6612</v>
      </c>
      <c r="B2754" s="6" t="s">
        <v>6613</v>
      </c>
      <c r="C2754" s="6" t="s">
        <v>1949</v>
      </c>
      <c r="D2754" s="6" t="s">
        <v>6614</v>
      </c>
      <c r="E2754" s="6" t="s">
        <v>4324</v>
      </c>
      <c r="F2754" s="6" t="s">
        <v>88</v>
      </c>
      <c r="G2754" s="7">
        <v>0.19</v>
      </c>
      <c r="H2754" s="6" t="s">
        <v>1959</v>
      </c>
      <c r="I2754" s="6" t="s">
        <v>20</v>
      </c>
      <c r="J2754" s="6">
        <v>2024.0</v>
      </c>
      <c r="K2754" s="10">
        <v>46056.0</v>
      </c>
      <c r="L2754" s="6">
        <v>1.0</v>
      </c>
      <c r="M2754" s="8">
        <f t="shared" si="5"/>
        <v>0.19</v>
      </c>
      <c r="P2754" s="9"/>
    </row>
    <row r="2755">
      <c r="A2755" s="6" t="s">
        <v>4395</v>
      </c>
      <c r="B2755" s="6" t="s">
        <v>378</v>
      </c>
      <c r="C2755" s="6" t="s">
        <v>295</v>
      </c>
      <c r="D2755" s="6" t="s">
        <v>4396</v>
      </c>
      <c r="E2755" s="6" t="s">
        <v>380</v>
      </c>
      <c r="F2755" s="6" t="s">
        <v>88</v>
      </c>
      <c r="G2755" s="7">
        <v>0.05</v>
      </c>
      <c r="H2755" s="6" t="s">
        <v>2219</v>
      </c>
      <c r="I2755" s="6" t="s">
        <v>20</v>
      </c>
      <c r="J2755" s="6">
        <v>2024.0</v>
      </c>
      <c r="L2755" s="6">
        <v>1.0</v>
      </c>
      <c r="M2755" s="8">
        <f t="shared" si="5"/>
        <v>0.05</v>
      </c>
      <c r="P2755" s="9"/>
    </row>
    <row r="2756">
      <c r="A2756" s="6" t="s">
        <v>6615</v>
      </c>
      <c r="B2756" s="6" t="s">
        <v>4874</v>
      </c>
      <c r="C2756" s="6" t="s">
        <v>1949</v>
      </c>
      <c r="D2756" s="6" t="s">
        <v>6616</v>
      </c>
      <c r="E2756" s="6" t="s">
        <v>2318</v>
      </c>
      <c r="F2756" s="6" t="s">
        <v>88</v>
      </c>
      <c r="G2756" s="7">
        <v>0.05</v>
      </c>
      <c r="H2756" s="6" t="s">
        <v>2219</v>
      </c>
      <c r="I2756" s="6" t="s">
        <v>20</v>
      </c>
      <c r="J2756" s="6">
        <v>2026.0</v>
      </c>
      <c r="K2756" s="6" t="s">
        <v>1775</v>
      </c>
      <c r="L2756" s="6">
        <v>1.0</v>
      </c>
      <c r="M2756" s="8">
        <f t="shared" si="5"/>
        <v>0.05</v>
      </c>
      <c r="P2756" s="9"/>
    </row>
    <row r="2757">
      <c r="A2757" s="6" t="s">
        <v>6617</v>
      </c>
      <c r="B2757" s="6" t="s">
        <v>6618</v>
      </c>
      <c r="C2757" s="6" t="s">
        <v>295</v>
      </c>
      <c r="D2757" s="6" t="s">
        <v>6619</v>
      </c>
      <c r="E2757" s="6" t="s">
        <v>2326</v>
      </c>
      <c r="F2757" s="6" t="s">
        <v>88</v>
      </c>
      <c r="G2757" s="7">
        <v>0.06</v>
      </c>
      <c r="H2757" s="6" t="s">
        <v>1965</v>
      </c>
      <c r="I2757" s="6" t="s">
        <v>20</v>
      </c>
      <c r="J2757" s="6">
        <v>2022.0</v>
      </c>
      <c r="K2757" s="10">
        <v>46083.0</v>
      </c>
      <c r="L2757" s="6">
        <v>1.0</v>
      </c>
      <c r="M2757" s="8">
        <f t="shared" si="5"/>
        <v>0.06</v>
      </c>
      <c r="P2757" s="9"/>
    </row>
    <row r="2758">
      <c r="A2758" s="6" t="s">
        <v>6620</v>
      </c>
      <c r="B2758" s="6" t="s">
        <v>6621</v>
      </c>
      <c r="C2758" s="6" t="s">
        <v>295</v>
      </c>
      <c r="D2758" s="6" t="s">
        <v>6622</v>
      </c>
      <c r="E2758" s="6" t="s">
        <v>2318</v>
      </c>
      <c r="F2758" s="6" t="s">
        <v>88</v>
      </c>
      <c r="G2758" s="7">
        <v>0.05</v>
      </c>
      <c r="H2758" s="6" t="s">
        <v>1959</v>
      </c>
      <c r="I2758" s="6" t="s">
        <v>20</v>
      </c>
      <c r="J2758" s="6">
        <v>2024.0</v>
      </c>
      <c r="K2758" s="10">
        <v>46055.0</v>
      </c>
      <c r="L2758" s="6">
        <v>1.0</v>
      </c>
      <c r="M2758" s="8">
        <f t="shared" si="5"/>
        <v>0.05</v>
      </c>
      <c r="P2758" s="9"/>
    </row>
    <row r="2759">
      <c r="A2759" s="6" t="s">
        <v>6623</v>
      </c>
      <c r="B2759" s="6" t="s">
        <v>610</v>
      </c>
      <c r="C2759" s="6" t="s">
        <v>295</v>
      </c>
      <c r="D2759" s="6" t="s">
        <v>6624</v>
      </c>
      <c r="E2759" s="6" t="s">
        <v>2326</v>
      </c>
      <c r="F2759" s="6" t="s">
        <v>88</v>
      </c>
      <c r="G2759" s="7">
        <v>0.05</v>
      </c>
      <c r="H2759" s="6" t="s">
        <v>1959</v>
      </c>
      <c r="I2759" s="6" t="s">
        <v>20</v>
      </c>
      <c r="J2759" s="6">
        <v>2024.0</v>
      </c>
      <c r="L2759" s="6">
        <v>4.0</v>
      </c>
      <c r="M2759" s="8">
        <f t="shared" si="5"/>
        <v>0.2</v>
      </c>
      <c r="P2759" s="9"/>
    </row>
    <row r="2760">
      <c r="A2760" s="6" t="s">
        <v>6625</v>
      </c>
      <c r="B2760" s="6" t="s">
        <v>6626</v>
      </c>
      <c r="C2760" s="6" t="s">
        <v>295</v>
      </c>
      <c r="D2760" s="6" t="s">
        <v>6627</v>
      </c>
      <c r="E2760" s="6" t="s">
        <v>380</v>
      </c>
      <c r="F2760" s="6" t="s">
        <v>88</v>
      </c>
      <c r="G2760" s="7">
        <v>0.03</v>
      </c>
      <c r="H2760" s="6" t="s">
        <v>1959</v>
      </c>
      <c r="I2760" s="6" t="s">
        <v>20</v>
      </c>
      <c r="J2760" s="6">
        <v>2024.0</v>
      </c>
      <c r="K2760" s="10">
        <v>46024.0</v>
      </c>
      <c r="L2760" s="6">
        <v>1.0</v>
      </c>
      <c r="M2760" s="8">
        <f t="shared" si="5"/>
        <v>0.03</v>
      </c>
      <c r="P2760" s="9"/>
    </row>
    <row r="2761">
      <c r="A2761" s="6" t="s">
        <v>6628</v>
      </c>
      <c r="B2761" s="6" t="s">
        <v>6629</v>
      </c>
      <c r="C2761" s="6" t="s">
        <v>1949</v>
      </c>
      <c r="D2761" s="6" t="s">
        <v>6630</v>
      </c>
      <c r="E2761" s="6" t="s">
        <v>380</v>
      </c>
      <c r="F2761" s="6" t="s">
        <v>88</v>
      </c>
      <c r="G2761" s="7">
        <v>0.25</v>
      </c>
      <c r="H2761" s="6" t="s">
        <v>6498</v>
      </c>
      <c r="I2761" s="6" t="s">
        <v>20</v>
      </c>
      <c r="J2761" s="6">
        <v>2025.0</v>
      </c>
      <c r="K2761" s="10">
        <v>46054.0</v>
      </c>
      <c r="L2761" s="6">
        <v>1.0</v>
      </c>
      <c r="M2761" s="8">
        <f t="shared" si="5"/>
        <v>0.25</v>
      </c>
      <c r="P2761" s="9"/>
    </row>
    <row r="2762">
      <c r="A2762" s="6" t="s">
        <v>6631</v>
      </c>
      <c r="B2762" s="6" t="s">
        <v>4401</v>
      </c>
      <c r="C2762" s="6" t="s">
        <v>295</v>
      </c>
      <c r="D2762" s="6" t="s">
        <v>6632</v>
      </c>
      <c r="E2762" s="6" t="s">
        <v>4315</v>
      </c>
      <c r="F2762" s="6" t="s">
        <v>88</v>
      </c>
      <c r="G2762" s="7">
        <v>0.1</v>
      </c>
      <c r="H2762" s="6" t="s">
        <v>6498</v>
      </c>
      <c r="I2762" s="6" t="s">
        <v>20</v>
      </c>
      <c r="J2762" s="6">
        <v>2025.0</v>
      </c>
      <c r="K2762" s="10">
        <v>46178.0</v>
      </c>
      <c r="L2762" s="6">
        <v>2.0</v>
      </c>
      <c r="M2762" s="8">
        <f t="shared" si="5"/>
        <v>0.2</v>
      </c>
      <c r="P2762" s="9"/>
    </row>
    <row r="2763">
      <c r="A2763" s="6" t="s">
        <v>6633</v>
      </c>
      <c r="B2763" s="6" t="s">
        <v>378</v>
      </c>
      <c r="C2763" s="6" t="s">
        <v>1949</v>
      </c>
      <c r="D2763" s="6" t="s">
        <v>6634</v>
      </c>
      <c r="E2763" s="6" t="s">
        <v>915</v>
      </c>
      <c r="F2763" s="6" t="s">
        <v>88</v>
      </c>
      <c r="G2763" s="7">
        <v>0.09</v>
      </c>
      <c r="H2763" s="6" t="s">
        <v>1638</v>
      </c>
      <c r="I2763" s="6" t="s">
        <v>20</v>
      </c>
      <c r="J2763" s="6">
        <v>2024.0</v>
      </c>
      <c r="L2763" s="6">
        <v>1.0</v>
      </c>
      <c r="M2763" s="8">
        <f t="shared" si="5"/>
        <v>0.09</v>
      </c>
      <c r="P2763" s="9"/>
    </row>
    <row r="2764">
      <c r="A2764" s="6" t="s">
        <v>6635</v>
      </c>
      <c r="B2764" s="6" t="s">
        <v>6636</v>
      </c>
      <c r="C2764" s="6" t="s">
        <v>1949</v>
      </c>
      <c r="D2764" s="6" t="s">
        <v>6637</v>
      </c>
      <c r="E2764" s="6" t="s">
        <v>380</v>
      </c>
      <c r="F2764" s="6" t="s">
        <v>88</v>
      </c>
      <c r="G2764" s="7">
        <v>1.65</v>
      </c>
      <c r="H2764" s="6" t="s">
        <v>1959</v>
      </c>
      <c r="I2764" s="6" t="s">
        <v>20</v>
      </c>
      <c r="J2764" s="6">
        <v>2024.0</v>
      </c>
      <c r="K2764" s="10">
        <v>46024.0</v>
      </c>
      <c r="L2764" s="6">
        <v>2.0</v>
      </c>
      <c r="M2764" s="8">
        <f t="shared" si="5"/>
        <v>3.3</v>
      </c>
      <c r="N2764" s="6" t="s">
        <v>6488</v>
      </c>
      <c r="P2764" s="9"/>
    </row>
    <row r="2765">
      <c r="A2765" s="6" t="s">
        <v>6638</v>
      </c>
      <c r="B2765" s="6" t="s">
        <v>6639</v>
      </c>
      <c r="C2765" s="6" t="s">
        <v>1949</v>
      </c>
      <c r="D2765" s="6" t="s">
        <v>6640</v>
      </c>
      <c r="E2765" s="6" t="s">
        <v>6641</v>
      </c>
      <c r="F2765" s="6" t="s">
        <v>88</v>
      </c>
      <c r="G2765" s="7">
        <v>0.1</v>
      </c>
      <c r="H2765" s="6" t="s">
        <v>1959</v>
      </c>
      <c r="I2765" s="6" t="s">
        <v>20</v>
      </c>
      <c r="J2765" s="6">
        <v>2024.0</v>
      </c>
      <c r="L2765" s="6">
        <v>1.0</v>
      </c>
      <c r="M2765" s="8">
        <f t="shared" si="5"/>
        <v>0.1</v>
      </c>
      <c r="P2765" s="9"/>
    </row>
    <row r="2766">
      <c r="A2766" s="6" t="s">
        <v>6642</v>
      </c>
      <c r="B2766" s="6" t="s">
        <v>2411</v>
      </c>
      <c r="C2766" s="6" t="s">
        <v>1949</v>
      </c>
      <c r="D2766" s="6" t="s">
        <v>6643</v>
      </c>
      <c r="E2766" s="6" t="s">
        <v>2318</v>
      </c>
      <c r="F2766" s="6" t="s">
        <v>88</v>
      </c>
      <c r="G2766" s="7">
        <v>0.09</v>
      </c>
      <c r="H2766" s="6" t="s">
        <v>1638</v>
      </c>
      <c r="I2766" s="6" t="s">
        <v>20</v>
      </c>
      <c r="J2766" s="6">
        <v>2024.0</v>
      </c>
      <c r="K2766" s="10">
        <v>46056.0</v>
      </c>
      <c r="L2766" s="6">
        <v>2.0</v>
      </c>
      <c r="M2766" s="8">
        <f t="shared" si="5"/>
        <v>0.18</v>
      </c>
      <c r="P2766" s="9"/>
    </row>
    <row r="2767">
      <c r="A2767" s="6" t="s">
        <v>6644</v>
      </c>
      <c r="B2767" s="6" t="s">
        <v>2017</v>
      </c>
      <c r="C2767" s="6" t="s">
        <v>1949</v>
      </c>
      <c r="D2767" s="6" t="s">
        <v>6645</v>
      </c>
      <c r="E2767" s="6" t="s">
        <v>4288</v>
      </c>
      <c r="F2767" s="6" t="s">
        <v>88</v>
      </c>
      <c r="G2767" s="7">
        <v>0.14</v>
      </c>
      <c r="H2767" s="6" t="s">
        <v>3021</v>
      </c>
      <c r="I2767" s="6" t="s">
        <v>20</v>
      </c>
      <c r="J2767" s="6">
        <v>2023.0</v>
      </c>
      <c r="K2767" s="10">
        <v>46082.0</v>
      </c>
      <c r="L2767" s="6">
        <v>1.0</v>
      </c>
      <c r="M2767" s="8">
        <f t="shared" si="5"/>
        <v>0.14</v>
      </c>
      <c r="P2767" s="9"/>
    </row>
    <row r="2768">
      <c r="A2768" s="6" t="s">
        <v>6646</v>
      </c>
      <c r="B2768" s="6" t="s">
        <v>378</v>
      </c>
      <c r="C2768" s="6" t="s">
        <v>1949</v>
      </c>
      <c r="D2768" s="6" t="s">
        <v>6647</v>
      </c>
      <c r="E2768" s="6" t="s">
        <v>2326</v>
      </c>
      <c r="F2768" s="6" t="s">
        <v>88</v>
      </c>
      <c r="G2768" s="7">
        <v>0.04</v>
      </c>
      <c r="H2768" s="6" t="s">
        <v>1739</v>
      </c>
      <c r="I2768" s="6" t="s">
        <v>20</v>
      </c>
      <c r="J2768" s="6">
        <v>2023.0</v>
      </c>
      <c r="L2768" s="6">
        <v>1.0</v>
      </c>
      <c r="M2768" s="8">
        <f t="shared" si="5"/>
        <v>0.04</v>
      </c>
      <c r="P2768" s="9"/>
    </row>
    <row r="2769">
      <c r="A2769" s="6" t="s">
        <v>6648</v>
      </c>
      <c r="B2769" s="6" t="s">
        <v>1896</v>
      </c>
      <c r="C2769" s="6" t="s">
        <v>295</v>
      </c>
      <c r="D2769" s="6" t="s">
        <v>6649</v>
      </c>
      <c r="E2769" s="6" t="s">
        <v>915</v>
      </c>
      <c r="F2769" s="6" t="s">
        <v>88</v>
      </c>
      <c r="G2769" s="7">
        <v>0.05</v>
      </c>
      <c r="H2769" s="6" t="s">
        <v>1708</v>
      </c>
      <c r="I2769" s="6" t="s">
        <v>20</v>
      </c>
      <c r="J2769" s="6">
        <v>2019.0</v>
      </c>
      <c r="L2769" s="6">
        <v>1.0</v>
      </c>
      <c r="M2769" s="8">
        <f t="shared" si="5"/>
        <v>0.05</v>
      </c>
      <c r="P2769" s="9"/>
    </row>
    <row r="2770">
      <c r="A2770" s="6" t="s">
        <v>6650</v>
      </c>
      <c r="B2770" s="6" t="s">
        <v>6651</v>
      </c>
      <c r="C2770" s="6" t="s">
        <v>1949</v>
      </c>
      <c r="D2770" s="6" t="s">
        <v>6652</v>
      </c>
      <c r="E2770" s="6" t="s">
        <v>2318</v>
      </c>
      <c r="F2770" s="6" t="s">
        <v>88</v>
      </c>
      <c r="G2770" s="7">
        <v>0.09</v>
      </c>
      <c r="H2770" s="6" t="s">
        <v>2238</v>
      </c>
      <c r="I2770" s="6" t="s">
        <v>20</v>
      </c>
      <c r="J2770" s="6">
        <v>2024.0</v>
      </c>
      <c r="K2770" s="10">
        <v>46056.0</v>
      </c>
      <c r="L2770" s="6">
        <v>1.0</v>
      </c>
      <c r="M2770" s="8">
        <f t="shared" si="5"/>
        <v>0.09</v>
      </c>
      <c r="P2770" s="9"/>
    </row>
    <row r="2771">
      <c r="A2771" s="6" t="s">
        <v>6653</v>
      </c>
      <c r="B2771" s="6" t="s">
        <v>378</v>
      </c>
      <c r="C2771" s="6" t="s">
        <v>1949</v>
      </c>
      <c r="D2771" s="6" t="s">
        <v>6654</v>
      </c>
      <c r="E2771" s="6" t="s">
        <v>2326</v>
      </c>
      <c r="F2771" s="6" t="s">
        <v>88</v>
      </c>
      <c r="G2771" s="7">
        <v>0.14</v>
      </c>
      <c r="H2771" s="6" t="s">
        <v>1644</v>
      </c>
      <c r="I2771" s="6" t="s">
        <v>20</v>
      </c>
      <c r="J2771" s="6">
        <v>2018.0</v>
      </c>
      <c r="L2771" s="6">
        <v>1.0</v>
      </c>
      <c r="M2771" s="8">
        <f t="shared" si="5"/>
        <v>0.14</v>
      </c>
      <c r="P2771" s="9"/>
    </row>
    <row r="2772">
      <c r="A2772" s="6" t="s">
        <v>6655</v>
      </c>
      <c r="B2772" s="6" t="s">
        <v>4358</v>
      </c>
      <c r="C2772" s="6" t="s">
        <v>1949</v>
      </c>
      <c r="D2772" s="6" t="s">
        <v>6656</v>
      </c>
      <c r="E2772" s="6" t="s">
        <v>380</v>
      </c>
      <c r="F2772" s="6" t="s">
        <v>88</v>
      </c>
      <c r="G2772" s="7">
        <v>0.09</v>
      </c>
      <c r="H2772" s="6" t="s">
        <v>1638</v>
      </c>
      <c r="I2772" s="6" t="s">
        <v>20</v>
      </c>
      <c r="J2772" s="6">
        <v>2024.0</v>
      </c>
      <c r="K2772" s="6" t="s">
        <v>3153</v>
      </c>
      <c r="L2772" s="6">
        <v>1.0</v>
      </c>
      <c r="M2772" s="8">
        <f t="shared" si="5"/>
        <v>0.09</v>
      </c>
      <c r="P2772" s="9"/>
    </row>
    <row r="2773">
      <c r="A2773" s="6" t="s">
        <v>6657</v>
      </c>
      <c r="B2773" s="6" t="s">
        <v>6658</v>
      </c>
      <c r="C2773" s="6" t="s">
        <v>1949</v>
      </c>
      <c r="D2773" s="6" t="s">
        <v>6659</v>
      </c>
      <c r="E2773" s="6" t="s">
        <v>4321</v>
      </c>
      <c r="F2773" s="6" t="s">
        <v>88</v>
      </c>
      <c r="G2773" s="7">
        <v>0.1</v>
      </c>
      <c r="H2773" s="6" t="s">
        <v>4574</v>
      </c>
      <c r="I2773" s="6" t="s">
        <v>20</v>
      </c>
      <c r="J2773" s="6">
        <v>2024.0</v>
      </c>
      <c r="K2773" s="10">
        <v>46147.0</v>
      </c>
      <c r="L2773" s="6">
        <v>1.0</v>
      </c>
      <c r="M2773" s="8">
        <f t="shared" si="5"/>
        <v>0.1</v>
      </c>
      <c r="P2773" s="9"/>
    </row>
    <row r="2774">
      <c r="A2774" s="6" t="s">
        <v>6660</v>
      </c>
      <c r="B2774" s="6" t="s">
        <v>6661</v>
      </c>
      <c r="C2774" s="6" t="s">
        <v>295</v>
      </c>
      <c r="D2774" s="6" t="s">
        <v>6662</v>
      </c>
      <c r="E2774" s="6" t="s">
        <v>915</v>
      </c>
      <c r="F2774" s="6" t="s">
        <v>88</v>
      </c>
      <c r="G2774" s="7">
        <v>0.03</v>
      </c>
      <c r="H2774" s="6" t="s">
        <v>2557</v>
      </c>
      <c r="I2774" s="6" t="s">
        <v>20</v>
      </c>
      <c r="J2774" s="6">
        <v>2017.0</v>
      </c>
      <c r="K2774" s="6" t="s">
        <v>89</v>
      </c>
      <c r="L2774" s="6">
        <v>1.0</v>
      </c>
      <c r="M2774" s="8">
        <f t="shared" si="5"/>
        <v>0.03</v>
      </c>
      <c r="P2774" s="9"/>
    </row>
    <row r="2775">
      <c r="A2775" s="6" t="s">
        <v>6663</v>
      </c>
      <c r="B2775" s="6" t="s">
        <v>378</v>
      </c>
      <c r="C2775" s="6" t="s">
        <v>1949</v>
      </c>
      <c r="D2775" s="6" t="s">
        <v>6664</v>
      </c>
      <c r="E2775" s="6" t="s">
        <v>4324</v>
      </c>
      <c r="F2775" s="6" t="s">
        <v>88</v>
      </c>
      <c r="G2775" s="7">
        <v>0.1</v>
      </c>
      <c r="H2775" s="6" t="s">
        <v>1619</v>
      </c>
      <c r="I2775" s="6" t="s">
        <v>20</v>
      </c>
      <c r="J2775" s="6">
        <v>2022.0</v>
      </c>
      <c r="L2775" s="6">
        <v>1.0</v>
      </c>
      <c r="M2775" s="8">
        <f t="shared" si="5"/>
        <v>0.1</v>
      </c>
      <c r="P2775" s="9"/>
    </row>
    <row r="2776">
      <c r="A2776" s="6" t="s">
        <v>6665</v>
      </c>
      <c r="B2776" s="6" t="s">
        <v>6479</v>
      </c>
      <c r="C2776" s="6" t="s">
        <v>1949</v>
      </c>
      <c r="D2776" s="6" t="s">
        <v>6666</v>
      </c>
      <c r="E2776" s="6" t="s">
        <v>2326</v>
      </c>
      <c r="F2776" s="6" t="s">
        <v>88</v>
      </c>
      <c r="G2776" s="7">
        <v>0.1</v>
      </c>
      <c r="H2776" s="6" t="s">
        <v>2141</v>
      </c>
      <c r="I2776" s="6" t="s">
        <v>20</v>
      </c>
      <c r="J2776" s="6">
        <v>2023.0</v>
      </c>
      <c r="K2776" s="10">
        <v>46084.0</v>
      </c>
      <c r="L2776" s="6">
        <v>1.0</v>
      </c>
      <c r="M2776" s="8">
        <f t="shared" si="5"/>
        <v>0.1</v>
      </c>
      <c r="P2776" s="9"/>
    </row>
    <row r="2777">
      <c r="A2777" s="6" t="s">
        <v>6667</v>
      </c>
      <c r="B2777" s="6" t="s">
        <v>6668</v>
      </c>
      <c r="C2777" s="6" t="s">
        <v>1949</v>
      </c>
      <c r="D2777" s="6" t="s">
        <v>6669</v>
      </c>
      <c r="E2777" s="6" t="s">
        <v>4288</v>
      </c>
      <c r="F2777" s="6" t="s">
        <v>88</v>
      </c>
      <c r="G2777" s="7">
        <v>0.25</v>
      </c>
      <c r="H2777" s="6" t="s">
        <v>2141</v>
      </c>
      <c r="I2777" s="6" t="s">
        <v>20</v>
      </c>
      <c r="J2777" s="6">
        <v>2023.0</v>
      </c>
      <c r="K2777" s="10">
        <v>46055.0</v>
      </c>
      <c r="L2777" s="6">
        <v>1.0</v>
      </c>
      <c r="M2777" s="8">
        <f t="shared" si="5"/>
        <v>0.25</v>
      </c>
      <c r="P2777" s="9"/>
    </row>
    <row r="2778">
      <c r="A2778" s="6" t="s">
        <v>6670</v>
      </c>
      <c r="B2778" s="6" t="s">
        <v>2017</v>
      </c>
      <c r="C2778" s="6" t="s">
        <v>1949</v>
      </c>
      <c r="D2778" s="6" t="s">
        <v>6671</v>
      </c>
      <c r="E2778" s="6" t="s">
        <v>2809</v>
      </c>
      <c r="F2778" s="6" t="s">
        <v>88</v>
      </c>
      <c r="G2778" s="7">
        <v>0.1</v>
      </c>
      <c r="H2778" s="6" t="s">
        <v>2141</v>
      </c>
      <c r="I2778" s="6" t="s">
        <v>20</v>
      </c>
      <c r="J2778" s="6">
        <v>2023.0</v>
      </c>
      <c r="K2778" s="10">
        <v>46116.0</v>
      </c>
      <c r="L2778" s="6">
        <v>1.0</v>
      </c>
      <c r="M2778" s="8">
        <f t="shared" si="5"/>
        <v>0.1</v>
      </c>
      <c r="P2778" s="9"/>
    </row>
    <row r="2779">
      <c r="A2779" s="6" t="s">
        <v>6672</v>
      </c>
      <c r="B2779" s="6" t="s">
        <v>3390</v>
      </c>
      <c r="C2779" s="6" t="s">
        <v>295</v>
      </c>
      <c r="D2779" s="6" t="s">
        <v>3650</v>
      </c>
      <c r="E2779" s="6" t="s">
        <v>2318</v>
      </c>
      <c r="F2779" s="6" t="s">
        <v>88</v>
      </c>
      <c r="G2779" s="7">
        <v>0.04</v>
      </c>
      <c r="H2779" s="6" t="s">
        <v>1619</v>
      </c>
      <c r="I2779" s="6" t="s">
        <v>20</v>
      </c>
      <c r="J2779" s="6">
        <v>2022.0</v>
      </c>
      <c r="K2779" s="10">
        <v>46083.0</v>
      </c>
      <c r="L2779" s="6">
        <v>1.0</v>
      </c>
      <c r="M2779" s="8">
        <f t="shared" si="5"/>
        <v>0.04</v>
      </c>
      <c r="P2779" s="9"/>
    </row>
    <row r="2780">
      <c r="A2780" s="6" t="s">
        <v>6673</v>
      </c>
      <c r="B2780" s="6" t="s">
        <v>3332</v>
      </c>
      <c r="C2780" s="6" t="s">
        <v>295</v>
      </c>
      <c r="D2780" s="6" t="s">
        <v>6674</v>
      </c>
      <c r="E2780" s="6" t="s">
        <v>2318</v>
      </c>
      <c r="F2780" s="6" t="s">
        <v>88</v>
      </c>
      <c r="G2780" s="7">
        <v>0.04</v>
      </c>
      <c r="H2780" s="6" t="s">
        <v>1619</v>
      </c>
      <c r="I2780" s="6" t="s">
        <v>20</v>
      </c>
      <c r="J2780" s="6">
        <v>2022.0</v>
      </c>
      <c r="K2780" s="10">
        <v>46056.0</v>
      </c>
      <c r="L2780" s="6">
        <v>1.0</v>
      </c>
      <c r="M2780" s="8">
        <f t="shared" si="5"/>
        <v>0.04</v>
      </c>
      <c r="P2780" s="9"/>
    </row>
    <row r="2781">
      <c r="A2781" s="6" t="s">
        <v>6675</v>
      </c>
      <c r="B2781" s="6" t="s">
        <v>4871</v>
      </c>
      <c r="C2781" s="6" t="s">
        <v>1897</v>
      </c>
      <c r="D2781" s="6" t="s">
        <v>6676</v>
      </c>
      <c r="E2781" s="6" t="s">
        <v>6423</v>
      </c>
      <c r="F2781" s="6" t="s">
        <v>163</v>
      </c>
      <c r="G2781" s="7">
        <v>0.25</v>
      </c>
      <c r="H2781" s="6" t="s">
        <v>6498</v>
      </c>
      <c r="I2781" s="6" t="s">
        <v>20</v>
      </c>
      <c r="J2781" s="6">
        <v>2025.0</v>
      </c>
      <c r="K2781" s="10">
        <v>46179.0</v>
      </c>
      <c r="L2781" s="6">
        <v>1.0</v>
      </c>
      <c r="M2781" s="8">
        <f t="shared" si="5"/>
        <v>0.25</v>
      </c>
      <c r="P2781" s="9"/>
    </row>
    <row r="2782">
      <c r="A2782" s="6" t="s">
        <v>6677</v>
      </c>
      <c r="B2782" s="6" t="s">
        <v>3985</v>
      </c>
      <c r="C2782" s="6" t="s">
        <v>1949</v>
      </c>
      <c r="D2782" s="6" t="s">
        <v>6678</v>
      </c>
      <c r="E2782" s="6" t="s">
        <v>6679</v>
      </c>
      <c r="F2782" s="6" t="s">
        <v>3192</v>
      </c>
      <c r="G2782" s="7">
        <v>0.14</v>
      </c>
      <c r="H2782" s="6" t="s">
        <v>1619</v>
      </c>
      <c r="I2782" s="6" t="s">
        <v>20</v>
      </c>
      <c r="J2782" s="6">
        <v>2022.0</v>
      </c>
      <c r="K2782" s="10">
        <v>46084.0</v>
      </c>
      <c r="L2782" s="6">
        <v>1.0</v>
      </c>
      <c r="M2782" s="8">
        <f t="shared" si="5"/>
        <v>0.14</v>
      </c>
      <c r="P2782" s="9"/>
    </row>
    <row r="2783">
      <c r="A2783" s="6" t="s">
        <v>6680</v>
      </c>
      <c r="B2783" s="6" t="s">
        <v>6681</v>
      </c>
      <c r="C2783" s="6" t="s">
        <v>1897</v>
      </c>
      <c r="D2783" s="6" t="s">
        <v>6682</v>
      </c>
      <c r="E2783" s="6" t="s">
        <v>1032</v>
      </c>
      <c r="F2783" s="6" t="s">
        <v>80</v>
      </c>
      <c r="G2783" s="7">
        <v>1.7</v>
      </c>
      <c r="H2783" s="6" t="s">
        <v>1681</v>
      </c>
      <c r="I2783" s="6" t="s">
        <v>20</v>
      </c>
      <c r="J2783" s="6">
        <v>2015.0</v>
      </c>
      <c r="K2783" s="10">
        <v>46055.0</v>
      </c>
      <c r="L2783" s="6">
        <v>1.0</v>
      </c>
      <c r="M2783" s="8">
        <f t="shared" si="5"/>
        <v>1.7</v>
      </c>
      <c r="N2783" s="6" t="s">
        <v>6488</v>
      </c>
      <c r="P2783" s="9"/>
    </row>
    <row r="2784">
      <c r="A2784" s="6" t="s">
        <v>6683</v>
      </c>
      <c r="B2784" s="6" t="s">
        <v>2134</v>
      </c>
      <c r="C2784" s="6" t="s">
        <v>295</v>
      </c>
      <c r="D2784" s="6" t="s">
        <v>6684</v>
      </c>
      <c r="E2784" s="6" t="s">
        <v>1718</v>
      </c>
      <c r="F2784" s="6" t="s">
        <v>80</v>
      </c>
      <c r="G2784" s="7">
        <v>1.76</v>
      </c>
      <c r="H2784" s="6" t="s">
        <v>1619</v>
      </c>
      <c r="I2784" s="6" t="s">
        <v>31</v>
      </c>
      <c r="J2784" s="6">
        <v>2022.0</v>
      </c>
      <c r="K2784" s="10">
        <v>46082.0</v>
      </c>
      <c r="L2784" s="6">
        <v>1.0</v>
      </c>
      <c r="M2784" s="8">
        <f t="shared" si="5"/>
        <v>1.76</v>
      </c>
      <c r="N2784" s="6" t="s">
        <v>6488</v>
      </c>
      <c r="P2784" s="9"/>
    </row>
    <row r="2785">
      <c r="A2785" s="6" t="s">
        <v>6685</v>
      </c>
      <c r="B2785" s="6" t="s">
        <v>6686</v>
      </c>
      <c r="C2785" s="6" t="s">
        <v>1897</v>
      </c>
      <c r="D2785" s="6" t="s">
        <v>6687</v>
      </c>
      <c r="E2785" s="6" t="s">
        <v>1856</v>
      </c>
      <c r="F2785" s="6" t="s">
        <v>277</v>
      </c>
      <c r="G2785" s="7">
        <v>0.25</v>
      </c>
      <c r="H2785" s="6" t="s">
        <v>1739</v>
      </c>
      <c r="I2785" s="6" t="s">
        <v>20</v>
      </c>
      <c r="J2785" s="6">
        <v>2023.0</v>
      </c>
      <c r="K2785" s="10">
        <v>46056.0</v>
      </c>
      <c r="L2785" s="6">
        <v>1.0</v>
      </c>
      <c r="M2785" s="8">
        <f t="shared" si="5"/>
        <v>0.25</v>
      </c>
      <c r="P2785" s="9"/>
    </row>
    <row r="2786">
      <c r="A2786" s="6" t="s">
        <v>6688</v>
      </c>
      <c r="B2786" s="6" t="s">
        <v>4348</v>
      </c>
      <c r="C2786" s="6" t="s">
        <v>1897</v>
      </c>
      <c r="D2786" s="6" t="s">
        <v>6689</v>
      </c>
      <c r="E2786" s="6" t="s">
        <v>1856</v>
      </c>
      <c r="F2786" s="6" t="s">
        <v>277</v>
      </c>
      <c r="G2786" s="7">
        <v>0.15</v>
      </c>
      <c r="H2786" s="6" t="s">
        <v>1984</v>
      </c>
      <c r="I2786" s="6" t="s">
        <v>20</v>
      </c>
      <c r="J2786" s="6">
        <v>2015.0</v>
      </c>
      <c r="K2786" s="10">
        <v>46056.0</v>
      </c>
      <c r="L2786" s="6">
        <v>3.0</v>
      </c>
      <c r="M2786" s="8">
        <f t="shared" si="5"/>
        <v>0.45</v>
      </c>
      <c r="P2786" s="9"/>
    </row>
    <row r="2787">
      <c r="A2787" s="6" t="s">
        <v>6690</v>
      </c>
      <c r="B2787" s="6" t="s">
        <v>3303</v>
      </c>
      <c r="C2787" s="6" t="s">
        <v>1897</v>
      </c>
      <c r="D2787" s="6" t="s">
        <v>6691</v>
      </c>
      <c r="E2787" s="6" t="s">
        <v>2280</v>
      </c>
      <c r="F2787" s="6" t="s">
        <v>277</v>
      </c>
      <c r="G2787" s="7">
        <v>0.45</v>
      </c>
      <c r="H2787" s="6" t="s">
        <v>1619</v>
      </c>
      <c r="I2787" s="6" t="s">
        <v>20</v>
      </c>
      <c r="J2787" s="6">
        <v>2022.0</v>
      </c>
      <c r="K2787" s="10">
        <v>46055.0</v>
      </c>
      <c r="L2787" s="6">
        <v>1.0</v>
      </c>
      <c r="M2787" s="8">
        <f t="shared" si="5"/>
        <v>0.45</v>
      </c>
      <c r="P2787" s="9"/>
    </row>
    <row r="2788">
      <c r="A2788" s="6" t="s">
        <v>6692</v>
      </c>
      <c r="B2788" s="6" t="s">
        <v>6693</v>
      </c>
      <c r="C2788" s="6" t="s">
        <v>1897</v>
      </c>
      <c r="D2788" s="6" t="s">
        <v>6694</v>
      </c>
      <c r="E2788" s="6" t="s">
        <v>1680</v>
      </c>
      <c r="F2788" s="6" t="s">
        <v>80</v>
      </c>
      <c r="G2788" s="7">
        <v>0.5</v>
      </c>
      <c r="H2788" s="6" t="s">
        <v>2584</v>
      </c>
      <c r="I2788" s="6" t="s">
        <v>20</v>
      </c>
      <c r="J2788" s="6">
        <v>2014.0</v>
      </c>
      <c r="L2788" s="6">
        <v>1.0</v>
      </c>
      <c r="M2788" s="8">
        <f t="shared" si="5"/>
        <v>0.5</v>
      </c>
      <c r="P2788" s="9"/>
    </row>
    <row r="2789">
      <c r="A2789" s="6" t="s">
        <v>6695</v>
      </c>
      <c r="B2789" s="6" t="s">
        <v>378</v>
      </c>
      <c r="C2789" s="6" t="s">
        <v>1949</v>
      </c>
      <c r="D2789" s="6" t="s">
        <v>6696</v>
      </c>
      <c r="E2789" s="6" t="s">
        <v>1779</v>
      </c>
      <c r="F2789" s="6" t="s">
        <v>152</v>
      </c>
      <c r="G2789" s="7">
        <v>0.05</v>
      </c>
      <c r="H2789" s="6" t="s">
        <v>2384</v>
      </c>
      <c r="I2789" s="6" t="s">
        <v>20</v>
      </c>
      <c r="J2789" s="6">
        <v>2019.0</v>
      </c>
      <c r="L2789" s="6">
        <v>1.0</v>
      </c>
      <c r="M2789" s="8">
        <f t="shared" si="5"/>
        <v>0.05</v>
      </c>
      <c r="P2789" s="9"/>
    </row>
    <row r="2790">
      <c r="A2790" s="6" t="s">
        <v>6697</v>
      </c>
      <c r="B2790" s="6" t="s">
        <v>2331</v>
      </c>
      <c r="C2790" s="6" t="s">
        <v>295</v>
      </c>
      <c r="D2790" s="6" t="s">
        <v>6698</v>
      </c>
      <c r="E2790" s="6" t="s">
        <v>380</v>
      </c>
      <c r="F2790" s="6" t="s">
        <v>88</v>
      </c>
      <c r="G2790" s="7">
        <v>0.06</v>
      </c>
      <c r="H2790" s="6" t="s">
        <v>1619</v>
      </c>
      <c r="I2790" s="6" t="s">
        <v>20</v>
      </c>
      <c r="J2790" s="6">
        <v>2022.0</v>
      </c>
      <c r="K2790" s="10">
        <v>46082.0</v>
      </c>
      <c r="L2790" s="6">
        <v>1.0</v>
      </c>
      <c r="M2790" s="8">
        <f t="shared" si="5"/>
        <v>0.06</v>
      </c>
      <c r="P2790" s="9"/>
    </row>
    <row r="2791">
      <c r="A2791" s="6" t="s">
        <v>6699</v>
      </c>
      <c r="B2791" s="6" t="s">
        <v>6700</v>
      </c>
      <c r="C2791" s="6" t="s">
        <v>1949</v>
      </c>
      <c r="D2791" s="6" t="s">
        <v>6701</v>
      </c>
      <c r="E2791" s="6" t="s">
        <v>3374</v>
      </c>
      <c r="F2791" s="6" t="s">
        <v>3114</v>
      </c>
      <c r="G2791" s="7">
        <v>0.16</v>
      </c>
      <c r="H2791" s="6" t="s">
        <v>1619</v>
      </c>
      <c r="I2791" s="6" t="s">
        <v>20</v>
      </c>
      <c r="J2791" s="6">
        <v>2022.0</v>
      </c>
      <c r="K2791" s="10">
        <v>46082.0</v>
      </c>
      <c r="L2791" s="6">
        <v>1.0</v>
      </c>
      <c r="M2791" s="8">
        <f t="shared" si="5"/>
        <v>0.16</v>
      </c>
      <c r="P2791" s="9"/>
    </row>
    <row r="2792">
      <c r="A2792" s="6" t="s">
        <v>6702</v>
      </c>
      <c r="B2792" s="6" t="s">
        <v>6703</v>
      </c>
      <c r="C2792" s="6" t="s">
        <v>1949</v>
      </c>
      <c r="D2792" s="6" t="s">
        <v>6704</v>
      </c>
      <c r="E2792" s="6" t="s">
        <v>3330</v>
      </c>
      <c r="F2792" s="6" t="s">
        <v>497</v>
      </c>
      <c r="G2792" s="7">
        <v>0.19</v>
      </c>
      <c r="H2792" s="6" t="s">
        <v>1619</v>
      </c>
      <c r="I2792" s="6" t="s">
        <v>20</v>
      </c>
      <c r="J2792" s="6">
        <v>2022.0</v>
      </c>
      <c r="K2792" s="10">
        <v>46054.0</v>
      </c>
      <c r="L2792" s="6">
        <v>1.0</v>
      </c>
      <c r="M2792" s="8">
        <f t="shared" si="5"/>
        <v>0.19</v>
      </c>
      <c r="P2792" s="9"/>
    </row>
    <row r="2793">
      <c r="A2793" s="6" t="s">
        <v>6705</v>
      </c>
      <c r="B2793" s="6" t="s">
        <v>6706</v>
      </c>
      <c r="C2793" s="6" t="s">
        <v>1949</v>
      </c>
      <c r="D2793" s="6" t="s">
        <v>6707</v>
      </c>
      <c r="E2793" s="6" t="s">
        <v>6708</v>
      </c>
      <c r="F2793" s="6" t="s">
        <v>6709</v>
      </c>
      <c r="G2793" s="7">
        <v>0.1</v>
      </c>
      <c r="H2793" s="6" t="s">
        <v>2238</v>
      </c>
      <c r="I2793" s="6" t="s">
        <v>20</v>
      </c>
      <c r="J2793" s="6">
        <v>2024.0</v>
      </c>
      <c r="L2793" s="6">
        <v>1.0</v>
      </c>
      <c r="M2793" s="8">
        <f t="shared" si="5"/>
        <v>0.1</v>
      </c>
      <c r="P2793" s="9"/>
    </row>
    <row r="2794">
      <c r="A2794" s="6" t="s">
        <v>6710</v>
      </c>
      <c r="B2794" s="6" t="s">
        <v>6706</v>
      </c>
      <c r="C2794" s="6" t="s">
        <v>1897</v>
      </c>
      <c r="D2794" s="6" t="s">
        <v>6711</v>
      </c>
      <c r="E2794" s="6" t="s">
        <v>6712</v>
      </c>
      <c r="F2794" s="6" t="s">
        <v>3183</v>
      </c>
      <c r="G2794" s="7">
        <v>0.2</v>
      </c>
      <c r="H2794" s="6" t="s">
        <v>1641</v>
      </c>
      <c r="I2794" s="6" t="s">
        <v>20</v>
      </c>
      <c r="J2794" s="6">
        <v>2019.0</v>
      </c>
      <c r="L2794" s="6">
        <v>1.0</v>
      </c>
      <c r="M2794" s="8">
        <f t="shared" si="5"/>
        <v>0.2</v>
      </c>
      <c r="P2794" s="9"/>
    </row>
    <row r="2795">
      <c r="A2795" s="6" t="s">
        <v>6713</v>
      </c>
      <c r="B2795" s="6" t="s">
        <v>6714</v>
      </c>
      <c r="C2795" s="6" t="s">
        <v>1949</v>
      </c>
      <c r="D2795" s="6" t="s">
        <v>6715</v>
      </c>
      <c r="E2795" s="6" t="s">
        <v>3345</v>
      </c>
      <c r="F2795" s="6" t="s">
        <v>3183</v>
      </c>
      <c r="G2795" s="7">
        <v>0.04</v>
      </c>
      <c r="H2795" s="6" t="s">
        <v>1739</v>
      </c>
      <c r="I2795" s="6" t="s">
        <v>20</v>
      </c>
      <c r="J2795" s="6">
        <v>2023.0</v>
      </c>
      <c r="L2795" s="6">
        <v>1.0</v>
      </c>
      <c r="M2795" s="8">
        <f t="shared" si="5"/>
        <v>0.04</v>
      </c>
      <c r="P2795" s="9"/>
    </row>
    <row r="2796">
      <c r="A2796" s="6" t="s">
        <v>6716</v>
      </c>
      <c r="B2796" s="6" t="s">
        <v>6714</v>
      </c>
      <c r="C2796" s="6" t="s">
        <v>1949</v>
      </c>
      <c r="D2796" s="6" t="s">
        <v>6717</v>
      </c>
      <c r="E2796" s="6" t="s">
        <v>1371</v>
      </c>
      <c r="F2796" s="6" t="s">
        <v>3150</v>
      </c>
      <c r="G2796" s="7">
        <v>0.04</v>
      </c>
      <c r="H2796" s="6" t="s">
        <v>1739</v>
      </c>
      <c r="I2796" s="6" t="s">
        <v>20</v>
      </c>
      <c r="J2796" s="6">
        <v>2023.0</v>
      </c>
      <c r="L2796" s="6">
        <v>1.0</v>
      </c>
      <c r="M2796" s="8">
        <f t="shared" si="5"/>
        <v>0.04</v>
      </c>
      <c r="P2796" s="9"/>
    </row>
    <row r="2797">
      <c r="A2797" s="6" t="s">
        <v>6718</v>
      </c>
      <c r="B2797" s="6" t="s">
        <v>1896</v>
      </c>
      <c r="C2797" s="6" t="s">
        <v>295</v>
      </c>
      <c r="D2797" s="6" t="s">
        <v>6719</v>
      </c>
      <c r="E2797" s="6" t="s">
        <v>2295</v>
      </c>
      <c r="F2797" s="6" t="s">
        <v>18</v>
      </c>
      <c r="G2797" s="7">
        <v>0.06</v>
      </c>
      <c r="H2797" s="6" t="s">
        <v>2205</v>
      </c>
      <c r="I2797" s="6" t="s">
        <v>20</v>
      </c>
      <c r="J2797" s="6">
        <v>2023.0</v>
      </c>
      <c r="L2797" s="6">
        <v>1.0</v>
      </c>
      <c r="M2797" s="8">
        <f t="shared" si="5"/>
        <v>0.06</v>
      </c>
      <c r="P2797" s="9"/>
    </row>
    <row r="2798">
      <c r="A2798" s="6" t="s">
        <v>6720</v>
      </c>
      <c r="B2798" s="6" t="s">
        <v>1944</v>
      </c>
      <c r="C2798" s="6" t="s">
        <v>1949</v>
      </c>
      <c r="D2798" s="6" t="s">
        <v>6721</v>
      </c>
      <c r="E2798" s="6" t="s">
        <v>380</v>
      </c>
      <c r="F2798" s="6" t="s">
        <v>88</v>
      </c>
      <c r="G2798" s="7">
        <v>0.1</v>
      </c>
      <c r="H2798" s="6" t="s">
        <v>2162</v>
      </c>
      <c r="I2798" s="6" t="s">
        <v>20</v>
      </c>
      <c r="J2798" s="6">
        <v>2021.0</v>
      </c>
      <c r="L2798" s="6">
        <v>1.0</v>
      </c>
      <c r="M2798" s="8">
        <f t="shared" si="5"/>
        <v>0.1</v>
      </c>
      <c r="P2798" s="9"/>
    </row>
    <row r="2799">
      <c r="A2799" s="6" t="s">
        <v>6722</v>
      </c>
      <c r="B2799" s="6" t="s">
        <v>2845</v>
      </c>
      <c r="C2799" s="6" t="s">
        <v>2855</v>
      </c>
      <c r="D2799" s="6" t="s">
        <v>6723</v>
      </c>
      <c r="E2799" s="6" t="s">
        <v>380</v>
      </c>
      <c r="F2799" s="6" t="s">
        <v>88</v>
      </c>
      <c r="G2799" s="7">
        <v>2.9</v>
      </c>
      <c r="H2799" s="6" t="s">
        <v>2162</v>
      </c>
      <c r="I2799" s="6" t="s">
        <v>31</v>
      </c>
      <c r="J2799" s="6">
        <v>2021.0</v>
      </c>
      <c r="L2799" s="6">
        <v>1.0</v>
      </c>
      <c r="M2799" s="8">
        <f t="shared" si="5"/>
        <v>2.9</v>
      </c>
      <c r="N2799" s="6" t="s">
        <v>6488</v>
      </c>
      <c r="P2799" s="9"/>
    </row>
    <row r="2800">
      <c r="A2800" s="6" t="s">
        <v>6724</v>
      </c>
      <c r="B2800" s="6" t="s">
        <v>2969</v>
      </c>
      <c r="C2800" s="6" t="s">
        <v>1949</v>
      </c>
      <c r="D2800" s="6" t="s">
        <v>6725</v>
      </c>
      <c r="E2800" s="6" t="s">
        <v>4324</v>
      </c>
      <c r="F2800" s="6" t="s">
        <v>88</v>
      </c>
      <c r="G2800" s="7">
        <v>1.9</v>
      </c>
      <c r="H2800" s="6" t="s">
        <v>6726</v>
      </c>
      <c r="I2800" s="6" t="s">
        <v>31</v>
      </c>
      <c r="J2800" s="6">
        <v>2023.0</v>
      </c>
      <c r="L2800" s="6">
        <v>1.0</v>
      </c>
      <c r="M2800" s="8">
        <f t="shared" si="5"/>
        <v>1.9</v>
      </c>
      <c r="N2800" s="6" t="s">
        <v>6488</v>
      </c>
      <c r="P2800" s="9"/>
    </row>
    <row r="2801">
      <c r="A2801" s="6" t="s">
        <v>6727</v>
      </c>
      <c r="B2801" s="6" t="s">
        <v>2969</v>
      </c>
      <c r="C2801" s="6" t="s">
        <v>2841</v>
      </c>
      <c r="D2801" s="6" t="s">
        <v>6728</v>
      </c>
      <c r="E2801" s="6" t="s">
        <v>1371</v>
      </c>
      <c r="F2801" s="6" t="s">
        <v>474</v>
      </c>
      <c r="G2801" s="7">
        <v>0.75</v>
      </c>
      <c r="H2801" s="6" t="s">
        <v>2456</v>
      </c>
      <c r="I2801" s="6" t="s">
        <v>20</v>
      </c>
      <c r="J2801" s="6">
        <v>2024.0</v>
      </c>
      <c r="L2801" s="6">
        <v>1.0</v>
      </c>
      <c r="M2801" s="8">
        <f t="shared" si="5"/>
        <v>0.75</v>
      </c>
      <c r="P2801" s="9"/>
    </row>
    <row r="2802">
      <c r="A2802" s="6" t="s">
        <v>6729</v>
      </c>
      <c r="B2802" s="6" t="s">
        <v>6730</v>
      </c>
      <c r="C2802" s="6" t="s">
        <v>1949</v>
      </c>
      <c r="D2802" s="6" t="s">
        <v>6731</v>
      </c>
      <c r="E2802" s="6" t="s">
        <v>1541</v>
      </c>
      <c r="F2802" s="6" t="s">
        <v>3183</v>
      </c>
      <c r="G2802" s="7">
        <v>0.59</v>
      </c>
      <c r="H2802" s="6" t="s">
        <v>6726</v>
      </c>
      <c r="I2802" s="6" t="s">
        <v>31</v>
      </c>
      <c r="J2802" s="6">
        <v>2023.0</v>
      </c>
      <c r="K2802" s="10">
        <v>46082.0</v>
      </c>
      <c r="L2802" s="6">
        <v>1.0</v>
      </c>
      <c r="M2802" s="8">
        <f t="shared" si="5"/>
        <v>0.59</v>
      </c>
      <c r="P2802" s="9"/>
    </row>
    <row r="2803">
      <c r="A2803" s="6" t="s">
        <v>6732</v>
      </c>
      <c r="B2803" s="6" t="s">
        <v>4936</v>
      </c>
      <c r="C2803" s="6" t="s">
        <v>1949</v>
      </c>
      <c r="E2803" s="6" t="s">
        <v>6524</v>
      </c>
      <c r="F2803" s="6" t="s">
        <v>3183</v>
      </c>
      <c r="G2803" s="7">
        <v>0.21</v>
      </c>
      <c r="H2803" s="6" t="s">
        <v>5765</v>
      </c>
      <c r="I2803" s="6" t="s">
        <v>20</v>
      </c>
      <c r="J2803" s="6">
        <v>1995.0</v>
      </c>
      <c r="K2803" s="10">
        <v>46116.0</v>
      </c>
      <c r="L2803" s="6">
        <v>1.0</v>
      </c>
      <c r="M2803" s="8">
        <f t="shared" si="5"/>
        <v>0.21</v>
      </c>
      <c r="P2803" s="9"/>
    </row>
    <row r="2804">
      <c r="A2804" s="6" t="s">
        <v>6733</v>
      </c>
      <c r="B2804" s="6" t="s">
        <v>6242</v>
      </c>
      <c r="C2804" s="6" t="s">
        <v>1897</v>
      </c>
      <c r="D2804" s="6" t="s">
        <v>6734</v>
      </c>
      <c r="E2804" s="6" t="s">
        <v>6735</v>
      </c>
      <c r="F2804" s="6" t="s">
        <v>4942</v>
      </c>
      <c r="G2804" s="7">
        <v>3.68</v>
      </c>
      <c r="H2804" s="6" t="s">
        <v>1774</v>
      </c>
      <c r="I2804" s="6" t="s">
        <v>20</v>
      </c>
      <c r="J2804" s="6">
        <v>1995.0</v>
      </c>
      <c r="K2804" s="10">
        <v>46084.0</v>
      </c>
      <c r="L2804" s="6">
        <v>1.0</v>
      </c>
      <c r="M2804" s="8">
        <f t="shared" si="5"/>
        <v>3.68</v>
      </c>
      <c r="N2804" s="6" t="s">
        <v>6488</v>
      </c>
      <c r="P2804" s="9"/>
    </row>
    <row r="2805">
      <c r="A2805" s="6" t="s">
        <v>6736</v>
      </c>
      <c r="B2805" s="6" t="s">
        <v>6737</v>
      </c>
      <c r="C2805" s="6" t="s">
        <v>1949</v>
      </c>
      <c r="D2805" s="6" t="s">
        <v>6738</v>
      </c>
      <c r="E2805" s="6" t="s">
        <v>6739</v>
      </c>
      <c r="F2805" s="6" t="s">
        <v>3114</v>
      </c>
      <c r="G2805" s="7">
        <v>0.21</v>
      </c>
      <c r="H2805" s="6" t="s">
        <v>5765</v>
      </c>
      <c r="I2805" s="6" t="s">
        <v>20</v>
      </c>
      <c r="J2805" s="6">
        <v>1995.0</v>
      </c>
      <c r="K2805" s="10">
        <v>46084.0</v>
      </c>
      <c r="L2805" s="6">
        <v>1.0</v>
      </c>
      <c r="M2805" s="8">
        <f t="shared" si="5"/>
        <v>0.21</v>
      </c>
      <c r="P2805" s="9"/>
    </row>
    <row r="2806">
      <c r="A2806" s="6" t="s">
        <v>6740</v>
      </c>
      <c r="B2806" s="6" t="s">
        <v>2822</v>
      </c>
      <c r="C2806" s="6" t="s">
        <v>1897</v>
      </c>
      <c r="D2806" s="6" t="s">
        <v>6741</v>
      </c>
      <c r="E2806" s="6" t="s">
        <v>6451</v>
      </c>
      <c r="F2806" s="6" t="s">
        <v>3183</v>
      </c>
      <c r="G2806" s="7">
        <v>2.4</v>
      </c>
      <c r="H2806" s="6" t="s">
        <v>1774</v>
      </c>
      <c r="I2806" s="6" t="s">
        <v>20</v>
      </c>
      <c r="J2806" s="6">
        <v>1995.0</v>
      </c>
      <c r="L2806" s="6">
        <v>1.0</v>
      </c>
      <c r="M2806" s="8">
        <f t="shared" si="5"/>
        <v>2.4</v>
      </c>
      <c r="N2806" s="6" t="s">
        <v>6488</v>
      </c>
      <c r="P2806" s="9"/>
    </row>
    <row r="2807">
      <c r="A2807" s="6" t="s">
        <v>6742</v>
      </c>
      <c r="B2807" s="6" t="s">
        <v>6337</v>
      </c>
      <c r="C2807" s="6" t="s">
        <v>2855</v>
      </c>
      <c r="D2807" s="6" t="s">
        <v>6743</v>
      </c>
      <c r="E2807" s="6" t="s">
        <v>6744</v>
      </c>
      <c r="F2807" s="6" t="s">
        <v>6745</v>
      </c>
      <c r="G2807" s="7">
        <v>1.0</v>
      </c>
      <c r="H2807" s="6" t="s">
        <v>1917</v>
      </c>
      <c r="I2807" s="6" t="s">
        <v>20</v>
      </c>
      <c r="J2807" s="6">
        <v>1995.0</v>
      </c>
      <c r="K2807" s="10">
        <v>46055.0</v>
      </c>
      <c r="L2807" s="6">
        <v>1.0</v>
      </c>
      <c r="M2807" s="8">
        <f t="shared" si="5"/>
        <v>1</v>
      </c>
      <c r="N2807" s="6" t="s">
        <v>6488</v>
      </c>
      <c r="P2807" s="9"/>
    </row>
    <row r="2808">
      <c r="A2808" s="6" t="s">
        <v>6746</v>
      </c>
      <c r="B2808" s="6" t="s">
        <v>6337</v>
      </c>
      <c r="C2808" s="6" t="s">
        <v>2855</v>
      </c>
      <c r="D2808" s="6" t="s">
        <v>6747</v>
      </c>
      <c r="E2808" s="6" t="s">
        <v>6748</v>
      </c>
      <c r="F2808" s="6" t="s">
        <v>6749</v>
      </c>
      <c r="G2808" s="7">
        <v>0.21</v>
      </c>
      <c r="H2808" s="6" t="s">
        <v>1917</v>
      </c>
      <c r="I2808" s="6" t="s">
        <v>20</v>
      </c>
      <c r="J2808" s="6">
        <v>1995.0</v>
      </c>
      <c r="K2808" s="10">
        <v>46055.0</v>
      </c>
      <c r="L2808" s="6">
        <v>1.0</v>
      </c>
      <c r="M2808" s="8">
        <f t="shared" si="5"/>
        <v>0.21</v>
      </c>
      <c r="P2808" s="9"/>
    </row>
    <row r="2809">
      <c r="A2809" s="6" t="s">
        <v>6750</v>
      </c>
      <c r="B2809" s="6" t="s">
        <v>5895</v>
      </c>
      <c r="C2809" s="6" t="s">
        <v>1949</v>
      </c>
      <c r="D2809" s="6" t="s">
        <v>6751</v>
      </c>
      <c r="E2809" s="6" t="s">
        <v>6037</v>
      </c>
      <c r="F2809" s="6" t="s">
        <v>3169</v>
      </c>
      <c r="G2809" s="7">
        <v>0.15</v>
      </c>
      <c r="H2809" s="6" t="s">
        <v>1805</v>
      </c>
      <c r="I2809" s="6" t="s">
        <v>20</v>
      </c>
      <c r="J2809" s="6">
        <v>1996.0</v>
      </c>
      <c r="K2809" s="6" t="s">
        <v>6752</v>
      </c>
      <c r="L2809" s="6">
        <v>1.0</v>
      </c>
      <c r="M2809" s="8">
        <f t="shared" si="5"/>
        <v>0.15</v>
      </c>
      <c r="P2809" s="9"/>
    </row>
    <row r="2810">
      <c r="A2810" s="6" t="s">
        <v>6753</v>
      </c>
      <c r="B2810" s="6" t="s">
        <v>6754</v>
      </c>
      <c r="C2810" s="6" t="s">
        <v>1949</v>
      </c>
      <c r="D2810" s="6" t="s">
        <v>6755</v>
      </c>
      <c r="E2810" s="6" t="s">
        <v>2594</v>
      </c>
      <c r="F2810" s="6" t="s">
        <v>3108</v>
      </c>
      <c r="G2810" s="7">
        <v>0.21</v>
      </c>
      <c r="H2810" s="6" t="s">
        <v>1774</v>
      </c>
      <c r="I2810" s="6" t="s">
        <v>20</v>
      </c>
      <c r="J2810" s="6">
        <v>1995.0</v>
      </c>
      <c r="K2810" s="10">
        <v>46114.0</v>
      </c>
      <c r="L2810" s="6">
        <v>1.0</v>
      </c>
      <c r="M2810" s="8">
        <f t="shared" si="5"/>
        <v>0.21</v>
      </c>
      <c r="P2810" s="9"/>
    </row>
    <row r="2811">
      <c r="A2811" s="6" t="s">
        <v>6756</v>
      </c>
      <c r="B2811" s="6" t="s">
        <v>6757</v>
      </c>
      <c r="C2811" s="6" t="s">
        <v>1897</v>
      </c>
      <c r="D2811" s="6" t="s">
        <v>6758</v>
      </c>
      <c r="E2811" s="6" t="s">
        <v>6520</v>
      </c>
      <c r="F2811" s="6" t="s">
        <v>3192</v>
      </c>
      <c r="G2811" s="7">
        <v>3.49</v>
      </c>
      <c r="H2811" s="6" t="s">
        <v>1805</v>
      </c>
      <c r="I2811" s="6" t="s">
        <v>20</v>
      </c>
      <c r="J2811" s="6">
        <v>1996.0</v>
      </c>
      <c r="K2811" s="10">
        <v>46146.0</v>
      </c>
      <c r="L2811" s="6">
        <v>1.0</v>
      </c>
      <c r="M2811" s="8">
        <f t="shared" si="5"/>
        <v>3.49</v>
      </c>
      <c r="N2811" s="6" t="s">
        <v>6488</v>
      </c>
      <c r="P2811" s="9"/>
    </row>
    <row r="2812">
      <c r="A2812" s="6" t="s">
        <v>6759</v>
      </c>
      <c r="B2812" s="6" t="s">
        <v>6760</v>
      </c>
      <c r="C2812" s="6" t="s">
        <v>1897</v>
      </c>
      <c r="D2812" s="6" t="s">
        <v>6761</v>
      </c>
      <c r="E2812" s="6" t="s">
        <v>3326</v>
      </c>
      <c r="F2812" s="6" t="s">
        <v>3169</v>
      </c>
      <c r="G2812" s="7">
        <v>1.9</v>
      </c>
      <c r="H2812" s="6" t="s">
        <v>1805</v>
      </c>
      <c r="I2812" s="6" t="s">
        <v>20</v>
      </c>
      <c r="J2812" s="6">
        <v>1996.0</v>
      </c>
      <c r="K2812" s="10">
        <v>46086.0</v>
      </c>
      <c r="L2812" s="6">
        <v>1.0</v>
      </c>
      <c r="M2812" s="8">
        <f t="shared" si="5"/>
        <v>1.9</v>
      </c>
      <c r="N2812" s="6" t="s">
        <v>6488</v>
      </c>
      <c r="P2812" s="9"/>
    </row>
    <row r="2813">
      <c r="A2813" s="6" t="s">
        <v>6762</v>
      </c>
      <c r="B2813" s="6" t="s">
        <v>1753</v>
      </c>
      <c r="C2813" s="6" t="s">
        <v>2855</v>
      </c>
      <c r="D2813" s="6" t="s">
        <v>6763</v>
      </c>
      <c r="E2813" s="6" t="s">
        <v>3345</v>
      </c>
      <c r="F2813" s="6" t="s">
        <v>6745</v>
      </c>
      <c r="G2813" s="7">
        <v>1.5</v>
      </c>
      <c r="H2813" s="6" t="s">
        <v>1774</v>
      </c>
      <c r="I2813" s="6" t="s">
        <v>20</v>
      </c>
      <c r="J2813" s="6">
        <v>1995.0</v>
      </c>
      <c r="L2813" s="6">
        <v>1.0</v>
      </c>
      <c r="M2813" s="8">
        <f t="shared" si="5"/>
        <v>1.5</v>
      </c>
      <c r="N2813" s="6" t="s">
        <v>6488</v>
      </c>
      <c r="P2813" s="9"/>
    </row>
    <row r="2814">
      <c r="A2814" s="6" t="s">
        <v>6764</v>
      </c>
      <c r="B2814" s="6" t="s">
        <v>2822</v>
      </c>
      <c r="C2814" s="6" t="s">
        <v>1949</v>
      </c>
      <c r="D2814" s="6" t="s">
        <v>6765</v>
      </c>
      <c r="E2814" s="6" t="s">
        <v>1541</v>
      </c>
      <c r="F2814" s="6" t="s">
        <v>3183</v>
      </c>
      <c r="G2814" s="7">
        <v>0.15</v>
      </c>
      <c r="H2814" s="6" t="s">
        <v>1774</v>
      </c>
      <c r="I2814" s="6" t="s">
        <v>20</v>
      </c>
      <c r="J2814" s="6">
        <v>1995.0</v>
      </c>
      <c r="L2814" s="6">
        <v>1.0</v>
      </c>
      <c r="M2814" s="8">
        <f t="shared" si="5"/>
        <v>0.15</v>
      </c>
      <c r="P2814" s="9"/>
    </row>
    <row r="2815">
      <c r="A2815" s="6" t="s">
        <v>6766</v>
      </c>
      <c r="B2815" s="6" t="s">
        <v>2058</v>
      </c>
      <c r="C2815" s="6" t="s">
        <v>1897</v>
      </c>
      <c r="D2815" s="6" t="s">
        <v>6767</v>
      </c>
      <c r="E2815" s="6" t="s">
        <v>1802</v>
      </c>
      <c r="F2815" s="6" t="s">
        <v>152</v>
      </c>
      <c r="G2815" s="7">
        <v>0.5</v>
      </c>
      <c r="H2815" s="6" t="s">
        <v>6768</v>
      </c>
      <c r="I2815" s="6" t="s">
        <v>20</v>
      </c>
      <c r="J2815" s="6">
        <v>2021.0</v>
      </c>
      <c r="L2815" s="6">
        <v>1.0</v>
      </c>
      <c r="M2815" s="8">
        <f t="shared" si="5"/>
        <v>0.5</v>
      </c>
      <c r="P2815" s="9"/>
    </row>
    <row r="2816">
      <c r="A2816" s="6" t="s">
        <v>6769</v>
      </c>
      <c r="B2816" s="6" t="s">
        <v>6770</v>
      </c>
      <c r="C2816" s="6" t="s">
        <v>1897</v>
      </c>
      <c r="D2816" s="6" t="s">
        <v>6771</v>
      </c>
      <c r="E2816" s="6" t="s">
        <v>3353</v>
      </c>
      <c r="F2816" s="6" t="s">
        <v>3354</v>
      </c>
      <c r="G2816" s="7">
        <v>5.74</v>
      </c>
      <c r="H2816" s="6" t="s">
        <v>2024</v>
      </c>
      <c r="I2816" s="6" t="s">
        <v>20</v>
      </c>
      <c r="J2816" s="6">
        <v>1996.0</v>
      </c>
      <c r="K2816" s="10">
        <v>46122.0</v>
      </c>
      <c r="L2816" s="6">
        <v>1.0</v>
      </c>
      <c r="M2816" s="8">
        <f t="shared" si="5"/>
        <v>5.74</v>
      </c>
      <c r="N2816" s="6" t="s">
        <v>6488</v>
      </c>
      <c r="P2816" s="9"/>
    </row>
    <row r="2817">
      <c r="A2817" s="6" t="s">
        <v>6772</v>
      </c>
      <c r="B2817" s="6" t="s">
        <v>2969</v>
      </c>
      <c r="C2817" s="6" t="s">
        <v>2855</v>
      </c>
      <c r="D2817" s="6" t="s">
        <v>6773</v>
      </c>
      <c r="E2817" s="6" t="s">
        <v>6037</v>
      </c>
      <c r="F2817" s="6" t="s">
        <v>3644</v>
      </c>
      <c r="G2817" s="7">
        <v>0.19</v>
      </c>
      <c r="H2817" s="6" t="s">
        <v>2089</v>
      </c>
      <c r="I2817" s="6" t="s">
        <v>20</v>
      </c>
      <c r="J2817" s="6">
        <v>1995.0</v>
      </c>
      <c r="L2817" s="6">
        <v>1.0</v>
      </c>
      <c r="M2817" s="8">
        <f t="shared" si="5"/>
        <v>0.19</v>
      </c>
      <c r="P2817" s="9"/>
    </row>
    <row r="2818">
      <c r="A2818" s="6" t="s">
        <v>6774</v>
      </c>
      <c r="B2818" s="6" t="s">
        <v>1952</v>
      </c>
      <c r="C2818" s="6" t="s">
        <v>295</v>
      </c>
      <c r="D2818" s="6" t="s">
        <v>6775</v>
      </c>
      <c r="E2818" s="6" t="s">
        <v>1269</v>
      </c>
      <c r="F2818" s="6" t="s">
        <v>80</v>
      </c>
      <c r="G2818" s="7">
        <v>1.79</v>
      </c>
      <c r="H2818" s="6" t="s">
        <v>1697</v>
      </c>
      <c r="I2818" s="6" t="s">
        <v>20</v>
      </c>
      <c r="J2818" s="6">
        <v>2003.0</v>
      </c>
      <c r="L2818" s="6">
        <v>1.0</v>
      </c>
      <c r="M2818" s="8">
        <f t="shared" si="5"/>
        <v>1.79</v>
      </c>
      <c r="N2818" s="6" t="s">
        <v>6488</v>
      </c>
      <c r="P2818" s="9"/>
    </row>
    <row r="2819">
      <c r="A2819" s="6" t="s">
        <v>6776</v>
      </c>
      <c r="B2819" s="6" t="s">
        <v>6777</v>
      </c>
      <c r="C2819" s="6" t="s">
        <v>295</v>
      </c>
      <c r="D2819" s="6" t="s">
        <v>6778</v>
      </c>
      <c r="E2819" s="6" t="s">
        <v>1718</v>
      </c>
      <c r="F2819" s="6" t="s">
        <v>80</v>
      </c>
      <c r="G2819" s="7">
        <v>0.32</v>
      </c>
      <c r="H2819" s="6" t="s">
        <v>1697</v>
      </c>
      <c r="I2819" s="6" t="s">
        <v>20</v>
      </c>
      <c r="J2819" s="6">
        <v>2003.0</v>
      </c>
      <c r="K2819" s="10">
        <v>46055.0</v>
      </c>
      <c r="L2819" s="6">
        <v>4.0</v>
      </c>
      <c r="M2819" s="8">
        <f t="shared" si="5"/>
        <v>1.28</v>
      </c>
      <c r="P2819" s="9"/>
    </row>
    <row r="2820">
      <c r="A2820" s="6" t="s">
        <v>6779</v>
      </c>
      <c r="B2820" s="6" t="s">
        <v>2130</v>
      </c>
      <c r="C2820" s="6" t="s">
        <v>1949</v>
      </c>
      <c r="D2820" s="6" t="s">
        <v>6780</v>
      </c>
      <c r="E2820" s="6" t="s">
        <v>1269</v>
      </c>
      <c r="F2820" s="6" t="s">
        <v>80</v>
      </c>
      <c r="G2820" s="7">
        <v>0.25</v>
      </c>
      <c r="H2820" s="6" t="s">
        <v>1697</v>
      </c>
      <c r="I2820" s="6" t="s">
        <v>20</v>
      </c>
      <c r="J2820" s="6">
        <v>2003.0</v>
      </c>
      <c r="K2820" s="10">
        <v>46023.0</v>
      </c>
      <c r="L2820" s="6">
        <v>1.0</v>
      </c>
      <c r="M2820" s="8">
        <f t="shared" si="5"/>
        <v>0.25</v>
      </c>
      <c r="P2820" s="9"/>
    </row>
    <row r="2821">
      <c r="A2821" s="6" t="s">
        <v>6781</v>
      </c>
      <c r="B2821" s="6" t="s">
        <v>1896</v>
      </c>
      <c r="C2821" s="6" t="s">
        <v>295</v>
      </c>
      <c r="D2821" s="6" t="s">
        <v>6782</v>
      </c>
      <c r="E2821" s="6" t="s">
        <v>1269</v>
      </c>
      <c r="F2821" s="6" t="s">
        <v>88</v>
      </c>
      <c r="G2821" s="7">
        <v>0.45</v>
      </c>
      <c r="H2821" s="6" t="s">
        <v>2151</v>
      </c>
      <c r="I2821" s="6" t="s">
        <v>20</v>
      </c>
      <c r="J2821" s="6">
        <v>2013.0</v>
      </c>
      <c r="L2821" s="6">
        <v>2.0</v>
      </c>
      <c r="M2821" s="8">
        <f t="shared" si="5"/>
        <v>0.9</v>
      </c>
      <c r="P2821" s="9"/>
    </row>
    <row r="2822">
      <c r="A2822" s="6" t="s">
        <v>6783</v>
      </c>
      <c r="B2822" s="6" t="s">
        <v>6784</v>
      </c>
      <c r="C2822" s="6" t="s">
        <v>2841</v>
      </c>
      <c r="D2822" s="6" t="s">
        <v>6785</v>
      </c>
      <c r="F2822" s="6" t="s">
        <v>2140</v>
      </c>
      <c r="G2822" s="7">
        <v>0.18</v>
      </c>
      <c r="H2822" s="6" t="s">
        <v>2024</v>
      </c>
      <c r="I2822" s="6" t="s">
        <v>20</v>
      </c>
      <c r="J2822" s="6">
        <v>1996.0</v>
      </c>
      <c r="L2822" s="6">
        <v>1.0</v>
      </c>
      <c r="M2822" s="8">
        <f t="shared" si="5"/>
        <v>0.18</v>
      </c>
      <c r="P2822" s="9"/>
    </row>
    <row r="2823">
      <c r="A2823" s="6" t="s">
        <v>6786</v>
      </c>
      <c r="B2823" s="6" t="s">
        <v>294</v>
      </c>
      <c r="C2823" s="6" t="s">
        <v>1949</v>
      </c>
      <c r="D2823" s="6" t="s">
        <v>6787</v>
      </c>
      <c r="F2823" s="6" t="s">
        <v>3169</v>
      </c>
      <c r="G2823" s="7">
        <v>0.6</v>
      </c>
      <c r="H2823" s="6" t="s">
        <v>5906</v>
      </c>
      <c r="I2823" s="6" t="s">
        <v>20</v>
      </c>
      <c r="J2823" s="6">
        <v>2003.0</v>
      </c>
      <c r="L2823" s="6">
        <v>1.0</v>
      </c>
      <c r="M2823" s="8">
        <f t="shared" si="5"/>
        <v>0.6</v>
      </c>
      <c r="P2823" s="9"/>
    </row>
    <row r="2824">
      <c r="A2824" s="6" t="s">
        <v>6788</v>
      </c>
      <c r="B2824" s="6" t="s">
        <v>1813</v>
      </c>
      <c r="C2824" s="6" t="s">
        <v>1949</v>
      </c>
      <c r="D2824" s="6" t="s">
        <v>6789</v>
      </c>
      <c r="F2824" s="6" t="s">
        <v>80</v>
      </c>
      <c r="G2824" s="7">
        <v>0.2</v>
      </c>
      <c r="H2824" s="6" t="s">
        <v>6210</v>
      </c>
      <c r="I2824" s="6" t="s">
        <v>20</v>
      </c>
      <c r="J2824" s="6">
        <v>1995.0</v>
      </c>
      <c r="L2824" s="6">
        <v>1.0</v>
      </c>
      <c r="M2824" s="8">
        <f t="shared" si="5"/>
        <v>0.2</v>
      </c>
      <c r="P2824" s="9"/>
    </row>
    <row r="2825">
      <c r="A2825" s="6" t="s">
        <v>6790</v>
      </c>
      <c r="B2825" s="6" t="s">
        <v>6784</v>
      </c>
      <c r="C2825" s="6" t="s">
        <v>2138</v>
      </c>
      <c r="D2825" s="6" t="s">
        <v>6791</v>
      </c>
      <c r="E2825" s="6" t="s">
        <v>4202</v>
      </c>
      <c r="F2825" s="6" t="s">
        <v>2962</v>
      </c>
      <c r="G2825" s="7">
        <v>0.39</v>
      </c>
      <c r="H2825" s="6" t="s">
        <v>2950</v>
      </c>
      <c r="I2825" s="6" t="s">
        <v>20</v>
      </c>
      <c r="J2825" s="6">
        <v>2002.0</v>
      </c>
      <c r="L2825" s="6">
        <v>1.0</v>
      </c>
      <c r="M2825" s="8">
        <f t="shared" si="5"/>
        <v>0.39</v>
      </c>
      <c r="P2825" s="9"/>
    </row>
    <row r="2826">
      <c r="A2826" s="6" t="s">
        <v>6792</v>
      </c>
      <c r="B2826" s="6" t="s">
        <v>1813</v>
      </c>
      <c r="C2826" s="6" t="s">
        <v>1897</v>
      </c>
      <c r="D2826" s="6" t="s">
        <v>6793</v>
      </c>
      <c r="F2826" s="6" t="s">
        <v>170</v>
      </c>
      <c r="G2826" s="7">
        <v>3.39</v>
      </c>
      <c r="H2826" s="6" t="s">
        <v>1765</v>
      </c>
      <c r="I2826" s="6" t="s">
        <v>20</v>
      </c>
      <c r="J2826" s="6">
        <v>1997.0</v>
      </c>
      <c r="L2826" s="6">
        <v>1.0</v>
      </c>
      <c r="M2826" s="8">
        <f t="shared" si="5"/>
        <v>3.39</v>
      </c>
      <c r="N2826" s="6" t="s">
        <v>6488</v>
      </c>
      <c r="P2826" s="9"/>
    </row>
    <row r="2827">
      <c r="A2827" s="6" t="s">
        <v>6788</v>
      </c>
      <c r="B2827" s="6" t="s">
        <v>1813</v>
      </c>
      <c r="C2827" s="6" t="s">
        <v>1949</v>
      </c>
      <c r="D2827" s="6" t="s">
        <v>6789</v>
      </c>
      <c r="F2827" s="6" t="s">
        <v>80</v>
      </c>
      <c r="G2827" s="7">
        <v>0.99</v>
      </c>
      <c r="H2827" s="6" t="s">
        <v>1819</v>
      </c>
      <c r="I2827" s="6" t="s">
        <v>20</v>
      </c>
      <c r="J2827" s="6">
        <v>1995.0</v>
      </c>
      <c r="L2827" s="6">
        <v>1.0</v>
      </c>
      <c r="M2827" s="8">
        <f t="shared" si="5"/>
        <v>0.99</v>
      </c>
      <c r="P2827" s="9"/>
    </row>
    <row r="2828">
      <c r="A2828" s="6" t="s">
        <v>6794</v>
      </c>
      <c r="B2828" s="6" t="s">
        <v>6784</v>
      </c>
      <c r="C2828" s="6" t="s">
        <v>2841</v>
      </c>
      <c r="D2828" s="6" t="s">
        <v>6795</v>
      </c>
      <c r="F2828" s="6" t="s">
        <v>88</v>
      </c>
      <c r="G2828" s="7">
        <v>2.11</v>
      </c>
      <c r="H2828" s="6" t="s">
        <v>1780</v>
      </c>
      <c r="I2828" s="6" t="s">
        <v>20</v>
      </c>
      <c r="J2828" s="6">
        <v>1994.0</v>
      </c>
      <c r="L2828" s="6">
        <v>1.0</v>
      </c>
      <c r="M2828" s="8">
        <f t="shared" si="5"/>
        <v>2.11</v>
      </c>
      <c r="N2828" s="6" t="s">
        <v>6488</v>
      </c>
      <c r="P2828" s="9"/>
    </row>
    <row r="2829">
      <c r="A2829" s="6" t="s">
        <v>6796</v>
      </c>
      <c r="B2829" s="6" t="s">
        <v>1896</v>
      </c>
      <c r="C2829" s="6" t="s">
        <v>1949</v>
      </c>
      <c r="D2829" s="6" t="s">
        <v>6797</v>
      </c>
      <c r="E2829" s="6" t="s">
        <v>1269</v>
      </c>
      <c r="F2829" s="6" t="s">
        <v>80</v>
      </c>
      <c r="G2829" s="7">
        <v>0.2</v>
      </c>
      <c r="H2829" s="6" t="s">
        <v>1819</v>
      </c>
      <c r="I2829" s="6" t="s">
        <v>20</v>
      </c>
      <c r="J2829" s="6">
        <v>1995.0</v>
      </c>
      <c r="L2829" s="6">
        <v>1.0</v>
      </c>
      <c r="M2829" s="8">
        <f t="shared" si="5"/>
        <v>0.2</v>
      </c>
      <c r="P2829" s="9"/>
    </row>
    <row r="2830">
      <c r="A2830" s="6" t="s">
        <v>6796</v>
      </c>
      <c r="B2830" s="6" t="s">
        <v>1896</v>
      </c>
      <c r="C2830" s="6" t="s">
        <v>1949</v>
      </c>
      <c r="D2830" s="6" t="s">
        <v>6797</v>
      </c>
      <c r="E2830" s="6" t="s">
        <v>1269</v>
      </c>
      <c r="F2830" s="6" t="s">
        <v>80</v>
      </c>
      <c r="G2830" s="7">
        <v>0.09</v>
      </c>
      <c r="H2830" s="6" t="s">
        <v>1818</v>
      </c>
      <c r="I2830" s="6" t="s">
        <v>20</v>
      </c>
      <c r="J2830" s="6">
        <v>1995.0</v>
      </c>
      <c r="L2830" s="6">
        <v>1.0</v>
      </c>
      <c r="M2830" s="8">
        <f t="shared" si="5"/>
        <v>0.09</v>
      </c>
      <c r="P2830" s="9"/>
    </row>
    <row r="2831">
      <c r="A2831" s="6" t="s">
        <v>6798</v>
      </c>
      <c r="B2831" s="6" t="s">
        <v>6799</v>
      </c>
      <c r="C2831" s="6" t="s">
        <v>1949</v>
      </c>
      <c r="D2831" s="6" t="s">
        <v>6800</v>
      </c>
      <c r="E2831" s="6" t="s">
        <v>1032</v>
      </c>
      <c r="F2831" s="6" t="s">
        <v>80</v>
      </c>
      <c r="G2831" s="7">
        <v>0.34</v>
      </c>
      <c r="H2831" s="6" t="s">
        <v>6801</v>
      </c>
      <c r="I2831" s="6" t="s">
        <v>20</v>
      </c>
      <c r="J2831" s="6">
        <v>1994.0</v>
      </c>
      <c r="K2831" s="10">
        <v>46055.0</v>
      </c>
      <c r="L2831" s="6">
        <v>2.0</v>
      </c>
      <c r="M2831" s="8">
        <f t="shared" si="5"/>
        <v>0.68</v>
      </c>
      <c r="P2831" s="9"/>
    </row>
    <row r="2832">
      <c r="A2832" s="6" t="s">
        <v>6802</v>
      </c>
      <c r="B2832" s="6" t="s">
        <v>554</v>
      </c>
      <c r="C2832" s="6" t="s">
        <v>1897</v>
      </c>
      <c r="D2832" s="6" t="s">
        <v>6803</v>
      </c>
      <c r="E2832" s="6" t="s">
        <v>1032</v>
      </c>
      <c r="F2832" s="6" t="s">
        <v>80</v>
      </c>
      <c r="G2832" s="7">
        <v>1.75</v>
      </c>
      <c r="H2832" s="6" t="s">
        <v>1819</v>
      </c>
      <c r="I2832" s="6" t="s">
        <v>20</v>
      </c>
      <c r="J2832" s="6">
        <v>1995.0</v>
      </c>
      <c r="L2832" s="6">
        <v>2.0</v>
      </c>
      <c r="M2832" s="8">
        <f t="shared" si="5"/>
        <v>3.5</v>
      </c>
      <c r="N2832" s="6" t="s">
        <v>6488</v>
      </c>
      <c r="P2832" s="9"/>
    </row>
    <row r="2833">
      <c r="A2833" s="6" t="s">
        <v>6804</v>
      </c>
      <c r="B2833" s="6" t="s">
        <v>554</v>
      </c>
      <c r="C2833" s="6" t="s">
        <v>1897</v>
      </c>
      <c r="D2833" s="6" t="s">
        <v>6805</v>
      </c>
      <c r="E2833" s="6" t="s">
        <v>1909</v>
      </c>
      <c r="F2833" s="6" t="s">
        <v>80</v>
      </c>
      <c r="G2833" s="7">
        <v>4.66</v>
      </c>
      <c r="H2833" s="6" t="s">
        <v>1819</v>
      </c>
      <c r="I2833" s="6" t="s">
        <v>20</v>
      </c>
      <c r="J2833" s="6">
        <v>1995.0</v>
      </c>
      <c r="L2833" s="6">
        <v>1.0</v>
      </c>
      <c r="M2833" s="8">
        <f t="shared" si="5"/>
        <v>4.66</v>
      </c>
      <c r="N2833" s="6" t="s">
        <v>6488</v>
      </c>
      <c r="P2833" s="9"/>
    </row>
    <row r="2834">
      <c r="A2834" s="6" t="s">
        <v>6806</v>
      </c>
      <c r="B2834" s="6" t="s">
        <v>554</v>
      </c>
      <c r="C2834" s="6" t="s">
        <v>1897</v>
      </c>
      <c r="D2834" s="6" t="s">
        <v>6807</v>
      </c>
      <c r="E2834" s="6" t="s">
        <v>1718</v>
      </c>
      <c r="F2834" s="6" t="s">
        <v>18</v>
      </c>
      <c r="G2834" s="7">
        <v>0.75</v>
      </c>
      <c r="H2834" s="6" t="s">
        <v>1818</v>
      </c>
      <c r="I2834" s="6" t="s">
        <v>20</v>
      </c>
      <c r="J2834" s="6">
        <v>1995.0</v>
      </c>
      <c r="L2834" s="6">
        <v>1.0</v>
      </c>
      <c r="M2834" s="8">
        <f t="shared" si="5"/>
        <v>0.75</v>
      </c>
      <c r="P2834" s="9"/>
    </row>
    <row r="2835">
      <c r="A2835" s="6" t="s">
        <v>1925</v>
      </c>
      <c r="B2835" s="6" t="s">
        <v>6808</v>
      </c>
      <c r="C2835" s="6" t="s">
        <v>2855</v>
      </c>
      <c r="D2835" s="6" t="s">
        <v>6809</v>
      </c>
      <c r="E2835" s="6" t="s">
        <v>1693</v>
      </c>
      <c r="F2835" s="6" t="s">
        <v>80</v>
      </c>
      <c r="G2835" s="7">
        <v>0.43</v>
      </c>
      <c r="H2835" s="6" t="s">
        <v>1818</v>
      </c>
      <c r="I2835" s="6" t="s">
        <v>20</v>
      </c>
      <c r="J2835" s="6">
        <v>1995.0</v>
      </c>
      <c r="K2835" s="6" t="s">
        <v>1928</v>
      </c>
      <c r="L2835" s="6">
        <v>1.0</v>
      </c>
      <c r="M2835" s="8">
        <f t="shared" si="5"/>
        <v>0.43</v>
      </c>
      <c r="P2835" s="9"/>
    </row>
    <row r="2836">
      <c r="A2836" s="6" t="s">
        <v>6810</v>
      </c>
      <c r="B2836" s="6" t="s">
        <v>554</v>
      </c>
      <c r="C2836" s="6" t="s">
        <v>1949</v>
      </c>
      <c r="D2836" s="6" t="s">
        <v>6811</v>
      </c>
      <c r="E2836" s="6" t="s">
        <v>1035</v>
      </c>
      <c r="F2836" s="6" t="s">
        <v>80</v>
      </c>
      <c r="G2836" s="7">
        <v>0.16</v>
      </c>
      <c r="H2836" s="6" t="s">
        <v>1774</v>
      </c>
      <c r="I2836" s="6" t="s">
        <v>20</v>
      </c>
      <c r="J2836" s="6">
        <v>1995.0</v>
      </c>
      <c r="L2836" s="6">
        <v>2.0</v>
      </c>
      <c r="M2836" s="8">
        <f t="shared" si="5"/>
        <v>0.32</v>
      </c>
      <c r="P2836" s="9"/>
    </row>
    <row r="2837">
      <c r="A2837" s="6" t="s">
        <v>6812</v>
      </c>
      <c r="B2837" s="6" t="s">
        <v>6813</v>
      </c>
      <c r="C2837" s="6" t="s">
        <v>295</v>
      </c>
      <c r="D2837" s="6" t="s">
        <v>6814</v>
      </c>
      <c r="E2837" s="6" t="s">
        <v>1269</v>
      </c>
      <c r="F2837" s="6" t="s">
        <v>80</v>
      </c>
      <c r="G2837" s="7">
        <v>0.18</v>
      </c>
      <c r="H2837" s="6" t="s">
        <v>2089</v>
      </c>
      <c r="I2837" s="6" t="s">
        <v>20</v>
      </c>
      <c r="J2837" s="6">
        <v>1995.0</v>
      </c>
      <c r="K2837" s="6" t="s">
        <v>1733</v>
      </c>
      <c r="L2837" s="6">
        <v>2.0</v>
      </c>
      <c r="M2837" s="8">
        <f t="shared" si="5"/>
        <v>0.36</v>
      </c>
      <c r="P2837" s="9"/>
    </row>
    <row r="2838">
      <c r="A2838" s="6" t="s">
        <v>6815</v>
      </c>
      <c r="B2838" s="6" t="s">
        <v>1896</v>
      </c>
      <c r="C2838" s="6" t="s">
        <v>1949</v>
      </c>
      <c r="D2838" s="6" t="s">
        <v>6816</v>
      </c>
      <c r="E2838" s="6" t="s">
        <v>1269</v>
      </c>
      <c r="F2838" s="6" t="s">
        <v>80</v>
      </c>
      <c r="G2838" s="7">
        <v>0.43</v>
      </c>
      <c r="H2838" s="6" t="s">
        <v>1819</v>
      </c>
      <c r="I2838" s="6" t="s">
        <v>20</v>
      </c>
      <c r="J2838" s="6">
        <v>1995.0</v>
      </c>
      <c r="L2838" s="6">
        <v>1.0</v>
      </c>
      <c r="M2838" s="8">
        <f t="shared" si="5"/>
        <v>0.43</v>
      </c>
      <c r="P2838" s="9"/>
    </row>
    <row r="2839">
      <c r="A2839" s="6" t="s">
        <v>6815</v>
      </c>
      <c r="B2839" s="6" t="s">
        <v>1896</v>
      </c>
      <c r="C2839" s="6" t="s">
        <v>1949</v>
      </c>
      <c r="D2839" s="6" t="s">
        <v>6816</v>
      </c>
      <c r="E2839" s="6" t="s">
        <v>1269</v>
      </c>
      <c r="F2839" s="6" t="s">
        <v>80</v>
      </c>
      <c r="G2839" s="7">
        <v>0.1</v>
      </c>
      <c r="H2839" s="6" t="s">
        <v>1818</v>
      </c>
      <c r="I2839" s="6" t="s">
        <v>20</v>
      </c>
      <c r="J2839" s="6">
        <v>1995.0</v>
      </c>
      <c r="L2839" s="6">
        <v>1.0</v>
      </c>
      <c r="M2839" s="8">
        <f t="shared" si="5"/>
        <v>0.1</v>
      </c>
      <c r="P2839" s="9"/>
    </row>
    <row r="2840">
      <c r="A2840" s="6" t="s">
        <v>6817</v>
      </c>
      <c r="B2840" s="6" t="s">
        <v>1896</v>
      </c>
      <c r="C2840" s="6" t="s">
        <v>1897</v>
      </c>
      <c r="D2840" s="6" t="s">
        <v>6818</v>
      </c>
      <c r="E2840" s="6" t="s">
        <v>1032</v>
      </c>
      <c r="F2840" s="6" t="s">
        <v>80</v>
      </c>
      <c r="G2840" s="7">
        <v>4.0</v>
      </c>
      <c r="H2840" s="6" t="s">
        <v>1780</v>
      </c>
      <c r="I2840" s="6" t="s">
        <v>20</v>
      </c>
      <c r="J2840" s="6">
        <v>1994.0</v>
      </c>
      <c r="L2840" s="6">
        <v>1.0</v>
      </c>
      <c r="M2840" s="8">
        <f t="shared" si="5"/>
        <v>4</v>
      </c>
      <c r="N2840" s="6" t="s">
        <v>6488</v>
      </c>
      <c r="P2840" s="9"/>
    </row>
    <row r="2841">
      <c r="A2841" s="6" t="s">
        <v>6819</v>
      </c>
      <c r="B2841" s="6" t="s">
        <v>1896</v>
      </c>
      <c r="C2841" s="6" t="s">
        <v>2855</v>
      </c>
      <c r="D2841" s="6" t="s">
        <v>6820</v>
      </c>
      <c r="E2841" s="6" t="s">
        <v>1718</v>
      </c>
      <c r="F2841" s="6" t="s">
        <v>80</v>
      </c>
      <c r="G2841" s="7">
        <v>2.4</v>
      </c>
      <c r="H2841" s="6" t="s">
        <v>1819</v>
      </c>
      <c r="I2841" s="6" t="s">
        <v>20</v>
      </c>
      <c r="J2841" s="6">
        <v>1993.0</v>
      </c>
      <c r="L2841" s="6">
        <v>1.0</v>
      </c>
      <c r="M2841" s="8">
        <f t="shared" si="5"/>
        <v>2.4</v>
      </c>
      <c r="N2841" s="6" t="s">
        <v>6488</v>
      </c>
      <c r="P2841" s="9"/>
    </row>
    <row r="2842">
      <c r="A2842" s="6" t="s">
        <v>6821</v>
      </c>
      <c r="B2842" s="6" t="s">
        <v>1896</v>
      </c>
      <c r="C2842" s="6" t="s">
        <v>1949</v>
      </c>
      <c r="D2842" s="6" t="s">
        <v>6822</v>
      </c>
      <c r="E2842" s="6" t="s">
        <v>1718</v>
      </c>
      <c r="F2842" s="6" t="s">
        <v>80</v>
      </c>
      <c r="G2842" s="7">
        <v>0.09</v>
      </c>
      <c r="H2842" s="6" t="s">
        <v>5765</v>
      </c>
      <c r="I2842" s="6" t="s">
        <v>20</v>
      </c>
      <c r="J2842" s="6">
        <v>1995.0</v>
      </c>
      <c r="L2842" s="6">
        <v>2.0</v>
      </c>
      <c r="M2842" s="8">
        <f t="shared" si="5"/>
        <v>0.18</v>
      </c>
      <c r="P2842" s="9"/>
    </row>
    <row r="2843">
      <c r="A2843" s="6" t="s">
        <v>6823</v>
      </c>
      <c r="B2843" s="6" t="s">
        <v>1896</v>
      </c>
      <c r="C2843" s="6" t="s">
        <v>1949</v>
      </c>
      <c r="D2843" s="6" t="s">
        <v>6824</v>
      </c>
      <c r="E2843" s="6" t="s">
        <v>1718</v>
      </c>
      <c r="F2843" s="6" t="s">
        <v>80</v>
      </c>
      <c r="G2843" s="7">
        <v>0.5</v>
      </c>
      <c r="H2843" s="6" t="s">
        <v>1819</v>
      </c>
      <c r="I2843" s="6" t="s">
        <v>20</v>
      </c>
      <c r="J2843" s="6">
        <v>1995.0</v>
      </c>
      <c r="L2843" s="6">
        <v>1.0</v>
      </c>
      <c r="M2843" s="8">
        <f t="shared" si="5"/>
        <v>0.5</v>
      </c>
      <c r="P2843" s="9"/>
    </row>
    <row r="2844">
      <c r="A2844" s="6" t="s">
        <v>6823</v>
      </c>
      <c r="B2844" s="6" t="s">
        <v>1896</v>
      </c>
      <c r="C2844" s="6" t="s">
        <v>1949</v>
      </c>
      <c r="D2844" s="6" t="s">
        <v>6824</v>
      </c>
      <c r="E2844" s="6" t="s">
        <v>1718</v>
      </c>
      <c r="F2844" s="6" t="s">
        <v>80</v>
      </c>
      <c r="G2844" s="7">
        <v>0.4</v>
      </c>
      <c r="H2844" s="6" t="s">
        <v>1818</v>
      </c>
      <c r="I2844" s="6" t="s">
        <v>20</v>
      </c>
      <c r="J2844" s="6">
        <v>1995.0</v>
      </c>
      <c r="L2844" s="6">
        <v>1.0</v>
      </c>
      <c r="M2844" s="8">
        <f t="shared" si="5"/>
        <v>0.4</v>
      </c>
      <c r="P2844" s="9"/>
    </row>
    <row r="2845">
      <c r="A2845" s="6" t="s">
        <v>2066</v>
      </c>
      <c r="B2845" s="6" t="s">
        <v>1896</v>
      </c>
      <c r="C2845" s="6" t="s">
        <v>1949</v>
      </c>
      <c r="D2845" s="6" t="s">
        <v>6825</v>
      </c>
      <c r="E2845" s="6" t="s">
        <v>1718</v>
      </c>
      <c r="F2845" s="6" t="s">
        <v>80</v>
      </c>
      <c r="G2845" s="7">
        <v>0.1</v>
      </c>
      <c r="H2845" s="6" t="s">
        <v>1774</v>
      </c>
      <c r="I2845" s="6" t="s">
        <v>20</v>
      </c>
      <c r="J2845" s="6">
        <v>1995.0</v>
      </c>
      <c r="L2845" s="6">
        <v>1.0</v>
      </c>
      <c r="M2845" s="8">
        <f t="shared" si="5"/>
        <v>0.1</v>
      </c>
      <c r="P2845" s="9"/>
    </row>
    <row r="2846">
      <c r="A2846" s="6" t="s">
        <v>6826</v>
      </c>
      <c r="B2846" s="6" t="s">
        <v>1896</v>
      </c>
      <c r="C2846" s="6" t="s">
        <v>1949</v>
      </c>
      <c r="D2846" s="6" t="s">
        <v>6827</v>
      </c>
      <c r="E2846" s="6" t="s">
        <v>1718</v>
      </c>
      <c r="F2846" s="6" t="s">
        <v>80</v>
      </c>
      <c r="G2846" s="7">
        <v>0.1</v>
      </c>
      <c r="H2846" s="6" t="s">
        <v>2024</v>
      </c>
      <c r="I2846" s="6" t="s">
        <v>20</v>
      </c>
      <c r="J2846" s="6">
        <v>1996.0</v>
      </c>
      <c r="L2846" s="6">
        <v>1.0</v>
      </c>
      <c r="M2846" s="8">
        <f t="shared" si="5"/>
        <v>0.1</v>
      </c>
      <c r="P2846" s="9"/>
    </row>
    <row r="2847">
      <c r="A2847" s="6" t="s">
        <v>6828</v>
      </c>
      <c r="B2847" s="6" t="s">
        <v>2134</v>
      </c>
      <c r="C2847" s="6" t="s">
        <v>1897</v>
      </c>
      <c r="D2847" s="6" t="s">
        <v>6829</v>
      </c>
      <c r="E2847" s="6" t="s">
        <v>6830</v>
      </c>
      <c r="F2847" s="6" t="s">
        <v>80</v>
      </c>
      <c r="G2847" s="7">
        <v>6.75</v>
      </c>
      <c r="H2847" s="6" t="s">
        <v>1819</v>
      </c>
      <c r="I2847" s="6" t="s">
        <v>20</v>
      </c>
      <c r="J2847" s="6">
        <v>1995.0</v>
      </c>
      <c r="K2847" s="10">
        <v>46274.0</v>
      </c>
      <c r="L2847" s="6">
        <v>1.0</v>
      </c>
      <c r="M2847" s="8">
        <f t="shared" si="5"/>
        <v>6.75</v>
      </c>
      <c r="N2847" s="6" t="s">
        <v>6488</v>
      </c>
      <c r="P2847" s="9"/>
    </row>
    <row r="2848">
      <c r="A2848" s="6" t="s">
        <v>6831</v>
      </c>
      <c r="B2848" s="6" t="s">
        <v>4175</v>
      </c>
      <c r="C2848" s="6" t="s">
        <v>2855</v>
      </c>
      <c r="D2848" s="6" t="s">
        <v>6832</v>
      </c>
      <c r="E2848" s="6" t="s">
        <v>1693</v>
      </c>
      <c r="F2848" s="6" t="s">
        <v>80</v>
      </c>
      <c r="G2848" s="7">
        <v>0.43</v>
      </c>
      <c r="H2848" s="6" t="s">
        <v>1818</v>
      </c>
      <c r="I2848" s="6" t="s">
        <v>20</v>
      </c>
      <c r="J2848" s="6">
        <v>1995.0</v>
      </c>
      <c r="L2848" s="6">
        <v>1.0</v>
      </c>
      <c r="M2848" s="8">
        <f t="shared" si="5"/>
        <v>0.43</v>
      </c>
      <c r="P2848" s="9"/>
    </row>
    <row r="2849">
      <c r="A2849" s="6" t="s">
        <v>6833</v>
      </c>
      <c r="B2849" s="6" t="s">
        <v>1896</v>
      </c>
      <c r="C2849" s="6" t="s">
        <v>1949</v>
      </c>
      <c r="D2849" s="6" t="s">
        <v>6834</v>
      </c>
      <c r="E2849" s="6" t="s">
        <v>1718</v>
      </c>
      <c r="F2849" s="6" t="s">
        <v>80</v>
      </c>
      <c r="G2849" s="7">
        <v>0.34</v>
      </c>
      <c r="H2849" s="6" t="s">
        <v>1774</v>
      </c>
      <c r="I2849" s="6" t="s">
        <v>20</v>
      </c>
      <c r="J2849" s="6">
        <v>1995.0</v>
      </c>
      <c r="L2849" s="6">
        <v>1.0</v>
      </c>
      <c r="M2849" s="8">
        <f t="shared" si="5"/>
        <v>0.34</v>
      </c>
      <c r="P2849" s="9"/>
    </row>
    <row r="2850">
      <c r="A2850" s="6" t="s">
        <v>6835</v>
      </c>
      <c r="B2850" s="6" t="s">
        <v>1896</v>
      </c>
      <c r="C2850" s="6" t="s">
        <v>2841</v>
      </c>
      <c r="D2850" s="6" t="s">
        <v>6836</v>
      </c>
      <c r="E2850" s="6" t="s">
        <v>1032</v>
      </c>
      <c r="F2850" s="6" t="s">
        <v>80</v>
      </c>
      <c r="G2850" s="7">
        <v>0.35</v>
      </c>
      <c r="H2850" s="6" t="s">
        <v>1917</v>
      </c>
      <c r="I2850" s="6" t="s">
        <v>20</v>
      </c>
      <c r="J2850" s="6">
        <v>1995.0</v>
      </c>
      <c r="L2850" s="6">
        <v>1.0</v>
      </c>
      <c r="M2850" s="8">
        <f t="shared" si="5"/>
        <v>0.35</v>
      </c>
      <c r="P2850" s="9"/>
    </row>
    <row r="2851">
      <c r="A2851" s="6" t="s">
        <v>6837</v>
      </c>
      <c r="B2851" s="6" t="s">
        <v>6808</v>
      </c>
      <c r="C2851" s="6" t="s">
        <v>2841</v>
      </c>
      <c r="D2851" s="6" t="s">
        <v>6838</v>
      </c>
      <c r="E2851" s="6" t="s">
        <v>1718</v>
      </c>
      <c r="F2851" s="6" t="s">
        <v>80</v>
      </c>
      <c r="G2851" s="7">
        <v>1.34</v>
      </c>
      <c r="H2851" s="6" t="s">
        <v>5754</v>
      </c>
      <c r="I2851" s="6" t="s">
        <v>20</v>
      </c>
      <c r="J2851" s="6">
        <v>1994.0</v>
      </c>
      <c r="K2851" s="10">
        <v>46086.0</v>
      </c>
      <c r="L2851" s="6">
        <v>1.0</v>
      </c>
      <c r="M2851" s="8">
        <f t="shared" si="5"/>
        <v>1.34</v>
      </c>
      <c r="N2851" s="6" t="s">
        <v>6488</v>
      </c>
      <c r="P2851" s="9"/>
    </row>
    <row r="2852">
      <c r="A2852" s="6" t="s">
        <v>6839</v>
      </c>
      <c r="B2852" s="6" t="s">
        <v>1896</v>
      </c>
      <c r="C2852" s="6" t="s">
        <v>1949</v>
      </c>
      <c r="D2852" s="6" t="s">
        <v>6840</v>
      </c>
      <c r="E2852" s="6" t="s">
        <v>1269</v>
      </c>
      <c r="F2852" s="6" t="s">
        <v>80</v>
      </c>
      <c r="G2852" s="7">
        <v>0.43</v>
      </c>
      <c r="H2852" s="6" t="s">
        <v>1819</v>
      </c>
      <c r="I2852" s="6" t="s">
        <v>20</v>
      </c>
      <c r="J2852" s="6">
        <v>1995.0</v>
      </c>
      <c r="L2852" s="6">
        <v>3.0</v>
      </c>
      <c r="M2852" s="8">
        <f t="shared" si="5"/>
        <v>1.29</v>
      </c>
      <c r="P2852" s="9"/>
    </row>
    <row r="2853">
      <c r="A2853" s="6" t="s">
        <v>6841</v>
      </c>
      <c r="B2853" s="6" t="s">
        <v>6842</v>
      </c>
      <c r="C2853" s="6" t="s">
        <v>1949</v>
      </c>
      <c r="D2853" s="6" t="s">
        <v>6843</v>
      </c>
      <c r="E2853" s="6" t="s">
        <v>1718</v>
      </c>
      <c r="F2853" s="6" t="s">
        <v>80</v>
      </c>
      <c r="G2853" s="7">
        <v>0.12</v>
      </c>
      <c r="H2853" s="6" t="s">
        <v>1774</v>
      </c>
      <c r="I2853" s="6" t="s">
        <v>20</v>
      </c>
      <c r="J2853" s="6">
        <v>1995.0</v>
      </c>
      <c r="K2853" s="10">
        <v>46114.0</v>
      </c>
      <c r="L2853" s="6">
        <v>1.0</v>
      </c>
      <c r="M2853" s="8">
        <f t="shared" si="5"/>
        <v>0.12</v>
      </c>
      <c r="P2853" s="9"/>
    </row>
    <row r="2854">
      <c r="A2854" s="6" t="s">
        <v>6844</v>
      </c>
      <c r="B2854" s="6" t="s">
        <v>1896</v>
      </c>
      <c r="C2854" s="6" t="s">
        <v>1897</v>
      </c>
      <c r="D2854" s="6" t="s">
        <v>6845</v>
      </c>
      <c r="E2854" s="6" t="s">
        <v>1718</v>
      </c>
      <c r="F2854" s="6" t="s">
        <v>80</v>
      </c>
      <c r="G2854" s="7">
        <v>0.31</v>
      </c>
      <c r="H2854" s="6" t="s">
        <v>1774</v>
      </c>
      <c r="I2854" s="6" t="s">
        <v>20</v>
      </c>
      <c r="J2854" s="6">
        <v>1995.0</v>
      </c>
      <c r="L2854" s="6">
        <v>1.0</v>
      </c>
      <c r="M2854" s="8">
        <f t="shared" si="5"/>
        <v>0.31</v>
      </c>
      <c r="P2854" s="9"/>
    </row>
    <row r="2855">
      <c r="A2855" s="6" t="s">
        <v>6846</v>
      </c>
      <c r="B2855" s="6" t="s">
        <v>1896</v>
      </c>
      <c r="C2855" s="6" t="s">
        <v>1897</v>
      </c>
      <c r="D2855" s="6" t="s">
        <v>6847</v>
      </c>
      <c r="E2855" s="6" t="s">
        <v>1974</v>
      </c>
      <c r="F2855" s="6" t="s">
        <v>80</v>
      </c>
      <c r="G2855" s="7">
        <v>3.59</v>
      </c>
      <c r="H2855" s="6" t="s">
        <v>1831</v>
      </c>
      <c r="I2855" s="6" t="s">
        <v>20</v>
      </c>
      <c r="J2855" s="6">
        <v>1993.0</v>
      </c>
      <c r="L2855" s="6">
        <v>1.0</v>
      </c>
      <c r="M2855" s="8">
        <f t="shared" si="5"/>
        <v>3.59</v>
      </c>
      <c r="N2855" s="6" t="s">
        <v>6488</v>
      </c>
      <c r="P2855" s="9"/>
    </row>
    <row r="2856">
      <c r="A2856" s="6" t="s">
        <v>6848</v>
      </c>
      <c r="B2856" s="6" t="s">
        <v>554</v>
      </c>
      <c r="C2856" s="6" t="s">
        <v>1949</v>
      </c>
      <c r="D2856" s="6" t="s">
        <v>6849</v>
      </c>
      <c r="E2856" s="6" t="s">
        <v>1269</v>
      </c>
      <c r="F2856" s="6" t="s">
        <v>80</v>
      </c>
      <c r="G2856" s="7">
        <v>0.1</v>
      </c>
      <c r="H2856" s="6" t="s">
        <v>1818</v>
      </c>
      <c r="I2856" s="6" t="s">
        <v>20</v>
      </c>
      <c r="J2856" s="6">
        <v>1995.0</v>
      </c>
      <c r="L2856" s="6">
        <v>2.0</v>
      </c>
      <c r="M2856" s="8">
        <f t="shared" si="5"/>
        <v>0.2</v>
      </c>
      <c r="P2856" s="9"/>
    </row>
    <row r="2857">
      <c r="A2857" s="6" t="s">
        <v>6850</v>
      </c>
      <c r="B2857" s="6" t="s">
        <v>554</v>
      </c>
      <c r="C2857" s="6" t="s">
        <v>1949</v>
      </c>
      <c r="D2857" s="6" t="s">
        <v>6851</v>
      </c>
      <c r="E2857" s="6" t="s">
        <v>1035</v>
      </c>
      <c r="F2857" s="6" t="s">
        <v>80</v>
      </c>
      <c r="G2857" s="7">
        <v>0.15</v>
      </c>
      <c r="H2857" s="6" t="s">
        <v>1774</v>
      </c>
      <c r="I2857" s="6" t="s">
        <v>20</v>
      </c>
      <c r="J2857" s="6">
        <v>1995.0</v>
      </c>
      <c r="L2857" s="6">
        <v>1.0</v>
      </c>
      <c r="M2857" s="8">
        <f t="shared" si="5"/>
        <v>0.15</v>
      </c>
      <c r="P2857" s="9"/>
    </row>
    <row r="2858">
      <c r="A2858" s="6" t="s">
        <v>6852</v>
      </c>
      <c r="B2858" s="6" t="s">
        <v>1896</v>
      </c>
      <c r="C2858" s="6" t="s">
        <v>1897</v>
      </c>
      <c r="D2858" s="6" t="s">
        <v>6853</v>
      </c>
      <c r="E2858" s="6" t="s">
        <v>1718</v>
      </c>
      <c r="F2858" s="6" t="s">
        <v>80</v>
      </c>
      <c r="G2858" s="7">
        <v>2.8</v>
      </c>
      <c r="H2858" s="6" t="s">
        <v>1819</v>
      </c>
      <c r="I2858" s="6" t="s">
        <v>20</v>
      </c>
      <c r="J2858" s="6">
        <v>1995.0</v>
      </c>
      <c r="L2858" s="6">
        <v>1.0</v>
      </c>
      <c r="M2858" s="8">
        <f t="shared" si="5"/>
        <v>2.8</v>
      </c>
      <c r="N2858" s="6" t="s">
        <v>6488</v>
      </c>
      <c r="P2858" s="9"/>
    </row>
    <row r="2859">
      <c r="A2859" s="6" t="s">
        <v>6854</v>
      </c>
      <c r="B2859" s="6" t="s">
        <v>554</v>
      </c>
      <c r="C2859" s="6" t="s">
        <v>1949</v>
      </c>
      <c r="D2859" s="6" t="s">
        <v>6855</v>
      </c>
      <c r="E2859" s="6" t="s">
        <v>1718</v>
      </c>
      <c r="F2859" s="6" t="s">
        <v>80</v>
      </c>
      <c r="G2859" s="7">
        <v>0.17</v>
      </c>
      <c r="H2859" s="6" t="s">
        <v>1818</v>
      </c>
      <c r="I2859" s="6" t="s">
        <v>20</v>
      </c>
      <c r="J2859" s="6">
        <v>1995.0</v>
      </c>
      <c r="L2859" s="6">
        <v>1.0</v>
      </c>
      <c r="M2859" s="8">
        <f t="shared" si="5"/>
        <v>0.17</v>
      </c>
      <c r="P2859" s="9"/>
    </row>
    <row r="2860">
      <c r="A2860" s="6" t="s">
        <v>6856</v>
      </c>
      <c r="B2860" s="6" t="s">
        <v>1896</v>
      </c>
      <c r="C2860" s="6" t="s">
        <v>1897</v>
      </c>
      <c r="D2860" s="6" t="s">
        <v>6857</v>
      </c>
      <c r="E2860" s="6" t="s">
        <v>1680</v>
      </c>
      <c r="F2860" s="6" t="s">
        <v>80</v>
      </c>
      <c r="G2860" s="7">
        <v>1.5</v>
      </c>
      <c r="H2860" s="6" t="s">
        <v>1819</v>
      </c>
      <c r="I2860" s="6" t="s">
        <v>20</v>
      </c>
      <c r="J2860" s="6">
        <v>1995.0</v>
      </c>
      <c r="L2860" s="6">
        <v>1.0</v>
      </c>
      <c r="M2860" s="8">
        <f t="shared" si="5"/>
        <v>1.5</v>
      </c>
      <c r="N2860" s="6" t="s">
        <v>6488</v>
      </c>
      <c r="P2860" s="9"/>
    </row>
    <row r="2861">
      <c r="A2861" s="6" t="s">
        <v>6856</v>
      </c>
      <c r="B2861" s="6" t="s">
        <v>1896</v>
      </c>
      <c r="C2861" s="6" t="s">
        <v>1897</v>
      </c>
      <c r="D2861" s="6" t="s">
        <v>6857</v>
      </c>
      <c r="E2861" s="6" t="s">
        <v>1680</v>
      </c>
      <c r="F2861" s="6" t="s">
        <v>80</v>
      </c>
      <c r="G2861" s="7">
        <v>0.39</v>
      </c>
      <c r="H2861" s="6" t="s">
        <v>1818</v>
      </c>
      <c r="I2861" s="6" t="s">
        <v>20</v>
      </c>
      <c r="J2861" s="6">
        <v>1995.0</v>
      </c>
      <c r="L2861" s="6">
        <v>1.0</v>
      </c>
      <c r="M2861" s="8">
        <f t="shared" si="5"/>
        <v>0.39</v>
      </c>
      <c r="N2861" s="6" t="s">
        <v>6488</v>
      </c>
      <c r="P2861" s="9"/>
    </row>
    <row r="2862">
      <c r="A2862" s="6" t="s">
        <v>6858</v>
      </c>
      <c r="B2862" s="6" t="s">
        <v>554</v>
      </c>
      <c r="C2862" s="6" t="s">
        <v>1897</v>
      </c>
      <c r="D2862" s="6" t="s">
        <v>6859</v>
      </c>
      <c r="E2862" s="6" t="s">
        <v>1035</v>
      </c>
      <c r="F2862" s="6" t="s">
        <v>80</v>
      </c>
      <c r="G2862" s="7">
        <v>7.92</v>
      </c>
      <c r="H2862" s="6" t="s">
        <v>1780</v>
      </c>
      <c r="I2862" s="6" t="s">
        <v>20</v>
      </c>
      <c r="J2862" s="6">
        <v>1994.0</v>
      </c>
      <c r="L2862" s="6">
        <v>1.0</v>
      </c>
      <c r="M2862" s="8">
        <f t="shared" si="5"/>
        <v>7.92</v>
      </c>
      <c r="N2862" s="6" t="s">
        <v>6488</v>
      </c>
      <c r="P2862" s="9"/>
    </row>
    <row r="2863">
      <c r="A2863" s="6" t="s">
        <v>6860</v>
      </c>
      <c r="B2863" s="6" t="s">
        <v>6861</v>
      </c>
      <c r="C2863" s="6" t="s">
        <v>1897</v>
      </c>
      <c r="D2863" s="6" t="s">
        <v>6862</v>
      </c>
      <c r="E2863" s="6" t="s">
        <v>1693</v>
      </c>
      <c r="F2863" s="6" t="s">
        <v>80</v>
      </c>
      <c r="G2863" s="7">
        <v>1.6</v>
      </c>
      <c r="H2863" s="6" t="s">
        <v>1819</v>
      </c>
      <c r="I2863" s="6" t="s">
        <v>20</v>
      </c>
      <c r="J2863" s="6">
        <v>1995.0</v>
      </c>
      <c r="K2863" s="10">
        <v>46116.0</v>
      </c>
      <c r="L2863" s="6">
        <v>1.0</v>
      </c>
      <c r="M2863" s="8">
        <f t="shared" si="5"/>
        <v>1.6</v>
      </c>
      <c r="N2863" s="6" t="s">
        <v>6488</v>
      </c>
      <c r="P2863" s="9"/>
    </row>
    <row r="2864">
      <c r="A2864" s="6" t="s">
        <v>6863</v>
      </c>
      <c r="B2864" s="6" t="s">
        <v>6864</v>
      </c>
      <c r="C2864" s="6" t="s">
        <v>1897</v>
      </c>
      <c r="D2864" s="6" t="s">
        <v>6865</v>
      </c>
      <c r="E2864" s="6" t="s">
        <v>1693</v>
      </c>
      <c r="F2864" s="6" t="s">
        <v>80</v>
      </c>
      <c r="G2864" s="7">
        <v>1.5</v>
      </c>
      <c r="H2864" s="6" t="s">
        <v>5754</v>
      </c>
      <c r="I2864" s="6" t="s">
        <v>20</v>
      </c>
      <c r="J2864" s="6">
        <v>1994.0</v>
      </c>
      <c r="K2864" s="6" t="s">
        <v>564</v>
      </c>
      <c r="L2864" s="6">
        <v>1.0</v>
      </c>
      <c r="M2864" s="8">
        <f t="shared" si="5"/>
        <v>1.5</v>
      </c>
      <c r="N2864" s="6" t="s">
        <v>6488</v>
      </c>
      <c r="P2864" s="9"/>
    </row>
    <row r="2865">
      <c r="A2865" s="6" t="s">
        <v>6866</v>
      </c>
      <c r="B2865" s="6" t="s">
        <v>6808</v>
      </c>
      <c r="C2865" s="6" t="s">
        <v>2138</v>
      </c>
      <c r="D2865" s="6" t="s">
        <v>6867</v>
      </c>
      <c r="E2865" s="6" t="s">
        <v>1032</v>
      </c>
      <c r="F2865" s="6" t="s">
        <v>2140</v>
      </c>
      <c r="G2865" s="7">
        <v>0.2</v>
      </c>
      <c r="H2865" s="6" t="s">
        <v>2024</v>
      </c>
      <c r="I2865" s="6" t="s">
        <v>20</v>
      </c>
      <c r="J2865" s="6">
        <v>1996.0</v>
      </c>
      <c r="K2865" s="10">
        <v>46024.0</v>
      </c>
      <c r="L2865" s="6">
        <v>1.0</v>
      </c>
      <c r="M2865" s="8">
        <f t="shared" si="5"/>
        <v>0.2</v>
      </c>
      <c r="P2865" s="9"/>
    </row>
    <row r="2866">
      <c r="A2866" s="6" t="s">
        <v>6868</v>
      </c>
      <c r="B2866" s="6" t="s">
        <v>4175</v>
      </c>
      <c r="C2866" s="6" t="s">
        <v>2138</v>
      </c>
      <c r="D2866" s="6" t="s">
        <v>6869</v>
      </c>
      <c r="E2866" s="6" t="s">
        <v>1032</v>
      </c>
      <c r="F2866" s="6" t="s">
        <v>2140</v>
      </c>
      <c r="G2866" s="7">
        <v>0.17</v>
      </c>
      <c r="H2866" s="6" t="s">
        <v>1774</v>
      </c>
      <c r="I2866" s="6" t="s">
        <v>20</v>
      </c>
      <c r="J2866" s="6">
        <v>1995.0</v>
      </c>
      <c r="L2866" s="6">
        <v>1.0</v>
      </c>
      <c r="M2866" s="8">
        <f t="shared" si="5"/>
        <v>0.17</v>
      </c>
      <c r="P2866" s="9"/>
    </row>
    <row r="2867">
      <c r="A2867" s="6" t="s">
        <v>6870</v>
      </c>
      <c r="B2867" s="6" t="s">
        <v>554</v>
      </c>
      <c r="C2867" s="6" t="s">
        <v>1949</v>
      </c>
      <c r="D2867" s="6" t="s">
        <v>6871</v>
      </c>
      <c r="E2867" s="6" t="s">
        <v>1718</v>
      </c>
      <c r="F2867" s="6" t="s">
        <v>277</v>
      </c>
      <c r="G2867" s="7">
        <v>1.0</v>
      </c>
      <c r="H2867" s="6" t="s">
        <v>1818</v>
      </c>
      <c r="I2867" s="6" t="s">
        <v>20</v>
      </c>
      <c r="J2867" s="6">
        <v>1995.0</v>
      </c>
      <c r="L2867" s="6">
        <v>1.0</v>
      </c>
      <c r="M2867" s="8">
        <f t="shared" si="5"/>
        <v>1</v>
      </c>
      <c r="N2867" s="6" t="s">
        <v>6488</v>
      </c>
      <c r="P2867" s="9"/>
    </row>
    <row r="2868">
      <c r="A2868" s="6" t="s">
        <v>6872</v>
      </c>
      <c r="B2868" s="6" t="s">
        <v>554</v>
      </c>
      <c r="C2868" s="6" t="s">
        <v>1949</v>
      </c>
      <c r="D2868" s="6" t="s">
        <v>6873</v>
      </c>
      <c r="E2868" s="6" t="s">
        <v>1718</v>
      </c>
      <c r="F2868" s="6" t="s">
        <v>80</v>
      </c>
      <c r="G2868" s="7">
        <v>0.09</v>
      </c>
      <c r="H2868" s="6" t="s">
        <v>1744</v>
      </c>
      <c r="I2868" s="6" t="s">
        <v>20</v>
      </c>
      <c r="J2868" s="6">
        <v>2000.0</v>
      </c>
      <c r="L2868" s="6">
        <v>1.0</v>
      </c>
      <c r="M2868" s="8">
        <f t="shared" si="5"/>
        <v>0.09</v>
      </c>
      <c r="P2868" s="9"/>
    </row>
    <row r="2869">
      <c r="A2869" s="6" t="s">
        <v>1841</v>
      </c>
      <c r="B2869" s="6" t="s">
        <v>6874</v>
      </c>
      <c r="C2869" s="6" t="s">
        <v>1897</v>
      </c>
      <c r="D2869" s="6" t="s">
        <v>5794</v>
      </c>
      <c r="E2869" s="6" t="s">
        <v>1718</v>
      </c>
      <c r="F2869" s="6" t="s">
        <v>80</v>
      </c>
      <c r="G2869" s="7">
        <v>0.25</v>
      </c>
      <c r="H2869" s="6" t="s">
        <v>1818</v>
      </c>
      <c r="I2869" s="6" t="s">
        <v>20</v>
      </c>
      <c r="J2869" s="6">
        <v>1995.0</v>
      </c>
      <c r="K2869" s="10">
        <v>46143.0</v>
      </c>
      <c r="L2869" s="6">
        <v>1.0</v>
      </c>
      <c r="M2869" s="8">
        <f t="shared" si="5"/>
        <v>0.25</v>
      </c>
      <c r="P2869" s="9"/>
    </row>
    <row r="2870">
      <c r="A2870" s="6" t="s">
        <v>1841</v>
      </c>
      <c r="B2870" s="6" t="s">
        <v>6874</v>
      </c>
      <c r="C2870" s="6" t="s">
        <v>1897</v>
      </c>
      <c r="D2870" s="6" t="s">
        <v>5794</v>
      </c>
      <c r="E2870" s="6" t="s">
        <v>1718</v>
      </c>
      <c r="F2870" s="6" t="s">
        <v>80</v>
      </c>
      <c r="G2870" s="7">
        <v>2.99</v>
      </c>
      <c r="H2870" s="6" t="s">
        <v>5754</v>
      </c>
      <c r="I2870" s="6" t="s">
        <v>20</v>
      </c>
      <c r="J2870" s="6">
        <v>1994.0</v>
      </c>
      <c r="K2870" s="10">
        <v>46143.0</v>
      </c>
      <c r="L2870" s="6">
        <v>1.0</v>
      </c>
      <c r="M2870" s="8">
        <f t="shared" si="5"/>
        <v>2.99</v>
      </c>
      <c r="P2870" s="9"/>
    </row>
    <row r="2871">
      <c r="A2871" s="6" t="s">
        <v>6875</v>
      </c>
      <c r="B2871" s="6" t="s">
        <v>554</v>
      </c>
      <c r="C2871" s="6" t="s">
        <v>1949</v>
      </c>
      <c r="D2871" s="6" t="s">
        <v>6876</v>
      </c>
      <c r="E2871" s="6" t="s">
        <v>1035</v>
      </c>
      <c r="F2871" s="6" t="s">
        <v>80</v>
      </c>
      <c r="G2871" s="7">
        <v>0.1</v>
      </c>
      <c r="H2871" s="6" t="s">
        <v>1818</v>
      </c>
      <c r="I2871" s="6" t="s">
        <v>20</v>
      </c>
      <c r="J2871" s="6">
        <v>1995.0</v>
      </c>
      <c r="L2871" s="6">
        <v>2.0</v>
      </c>
      <c r="M2871" s="8">
        <f t="shared" si="5"/>
        <v>0.2</v>
      </c>
      <c r="P2871" s="9"/>
    </row>
    <row r="2872">
      <c r="A2872" s="6" t="s">
        <v>6877</v>
      </c>
      <c r="B2872" s="6" t="s">
        <v>1972</v>
      </c>
      <c r="C2872" s="6" t="s">
        <v>295</v>
      </c>
      <c r="D2872" s="6" t="s">
        <v>6878</v>
      </c>
      <c r="E2872" s="6" t="s">
        <v>1032</v>
      </c>
      <c r="F2872" s="6" t="s">
        <v>80</v>
      </c>
      <c r="G2872" s="7">
        <v>0.2</v>
      </c>
      <c r="H2872" s="6" t="s">
        <v>1818</v>
      </c>
      <c r="I2872" s="6" t="s">
        <v>20</v>
      </c>
      <c r="J2872" s="6">
        <v>1995.0</v>
      </c>
      <c r="K2872" s="10">
        <v>46082.0</v>
      </c>
      <c r="L2872" s="6">
        <v>1.0</v>
      </c>
      <c r="M2872" s="8">
        <f t="shared" si="5"/>
        <v>0.2</v>
      </c>
      <c r="P2872" s="9"/>
    </row>
    <row r="2873">
      <c r="A2873" s="6" t="s">
        <v>6879</v>
      </c>
      <c r="B2873" s="6" t="s">
        <v>554</v>
      </c>
      <c r="C2873" s="6" t="s">
        <v>295</v>
      </c>
      <c r="D2873" s="6" t="s">
        <v>6880</v>
      </c>
      <c r="E2873" s="6" t="s">
        <v>1693</v>
      </c>
      <c r="F2873" s="6" t="s">
        <v>80</v>
      </c>
      <c r="G2873" s="7">
        <v>0.08</v>
      </c>
      <c r="H2873" s="6" t="s">
        <v>1917</v>
      </c>
      <c r="I2873" s="6" t="s">
        <v>20</v>
      </c>
      <c r="J2873" s="6">
        <v>1995.0</v>
      </c>
      <c r="L2873" s="6">
        <v>1.0</v>
      </c>
      <c r="M2873" s="8">
        <f t="shared" si="5"/>
        <v>0.08</v>
      </c>
      <c r="P2873" s="9"/>
    </row>
    <row r="2874">
      <c r="A2874" s="6" t="s">
        <v>6863</v>
      </c>
      <c r="B2874" s="6" t="s">
        <v>6864</v>
      </c>
      <c r="C2874" s="6" t="s">
        <v>1897</v>
      </c>
      <c r="D2874" s="6" t="s">
        <v>6865</v>
      </c>
      <c r="E2874" s="6" t="s">
        <v>1693</v>
      </c>
      <c r="F2874" s="6" t="s">
        <v>80</v>
      </c>
      <c r="G2874" s="7">
        <v>0.5</v>
      </c>
      <c r="H2874" s="6" t="s">
        <v>1818</v>
      </c>
      <c r="I2874" s="6" t="s">
        <v>20</v>
      </c>
      <c r="J2874" s="6">
        <v>1995.0</v>
      </c>
      <c r="K2874" s="6" t="s">
        <v>564</v>
      </c>
      <c r="L2874" s="6">
        <v>1.0</v>
      </c>
      <c r="M2874" s="8">
        <f t="shared" si="5"/>
        <v>0.5</v>
      </c>
      <c r="P2874" s="9"/>
    </row>
    <row r="2875">
      <c r="A2875" s="6" t="s">
        <v>6881</v>
      </c>
      <c r="B2875" s="6" t="s">
        <v>4874</v>
      </c>
      <c r="C2875" s="6" t="s">
        <v>1949</v>
      </c>
      <c r="D2875" s="6" t="s">
        <v>6882</v>
      </c>
      <c r="E2875" s="6" t="s">
        <v>1718</v>
      </c>
      <c r="F2875" s="6" t="s">
        <v>80</v>
      </c>
      <c r="G2875" s="7">
        <v>0.75</v>
      </c>
      <c r="H2875" s="6" t="s">
        <v>5754</v>
      </c>
      <c r="I2875" s="6" t="s">
        <v>20</v>
      </c>
      <c r="J2875" s="6">
        <v>1994.0</v>
      </c>
      <c r="K2875" s="6" t="s">
        <v>1775</v>
      </c>
      <c r="L2875" s="6">
        <v>1.0</v>
      </c>
      <c r="M2875" s="8">
        <f t="shared" si="5"/>
        <v>0.75</v>
      </c>
      <c r="P2875" s="9"/>
    </row>
    <row r="2876">
      <c r="A2876" s="6" t="s">
        <v>6883</v>
      </c>
      <c r="B2876" s="6" t="s">
        <v>554</v>
      </c>
      <c r="C2876" s="6" t="s">
        <v>1897</v>
      </c>
      <c r="D2876" s="6" t="s">
        <v>6884</v>
      </c>
      <c r="E2876" s="6" t="s">
        <v>1693</v>
      </c>
      <c r="F2876" s="6" t="s">
        <v>80</v>
      </c>
      <c r="G2876" s="7">
        <v>4.8</v>
      </c>
      <c r="H2876" s="6" t="s">
        <v>6801</v>
      </c>
      <c r="I2876" s="6" t="s">
        <v>20</v>
      </c>
      <c r="J2876" s="6">
        <v>1994.0</v>
      </c>
      <c r="L2876" s="6">
        <v>1.0</v>
      </c>
      <c r="M2876" s="8">
        <f t="shared" si="5"/>
        <v>4.8</v>
      </c>
      <c r="N2876" s="6" t="s">
        <v>6488</v>
      </c>
      <c r="P2876" s="9"/>
    </row>
    <row r="2877">
      <c r="A2877" s="6" t="s">
        <v>6885</v>
      </c>
      <c r="B2877" s="6" t="s">
        <v>6886</v>
      </c>
      <c r="C2877" s="6" t="s">
        <v>295</v>
      </c>
      <c r="D2877" s="6" t="s">
        <v>6887</v>
      </c>
      <c r="E2877" s="6" t="s">
        <v>2030</v>
      </c>
      <c r="F2877" s="6" t="s">
        <v>80</v>
      </c>
      <c r="G2877" s="7">
        <v>0.1</v>
      </c>
      <c r="H2877" s="6" t="s">
        <v>2089</v>
      </c>
      <c r="I2877" s="6" t="s">
        <v>20</v>
      </c>
      <c r="J2877" s="6">
        <v>1995.0</v>
      </c>
      <c r="K2877" s="10">
        <v>46146.0</v>
      </c>
      <c r="L2877" s="6">
        <v>1.0</v>
      </c>
      <c r="M2877" s="8">
        <f t="shared" si="5"/>
        <v>0.1</v>
      </c>
      <c r="P2877" s="9"/>
    </row>
    <row r="2878">
      <c r="A2878" s="6" t="s">
        <v>6888</v>
      </c>
      <c r="B2878" s="6" t="s">
        <v>6808</v>
      </c>
      <c r="C2878" s="6" t="s">
        <v>2138</v>
      </c>
      <c r="D2878" s="6" t="s">
        <v>6889</v>
      </c>
      <c r="E2878" s="6" t="s">
        <v>1680</v>
      </c>
      <c r="F2878" s="6" t="s">
        <v>2140</v>
      </c>
      <c r="G2878" s="7">
        <v>0.05</v>
      </c>
      <c r="H2878" s="6" t="s">
        <v>2024</v>
      </c>
      <c r="I2878" s="6" t="s">
        <v>20</v>
      </c>
      <c r="J2878" s="6">
        <v>1996.0</v>
      </c>
      <c r="K2878" s="10">
        <v>46057.0</v>
      </c>
      <c r="L2878" s="6">
        <v>1.0</v>
      </c>
      <c r="M2878" s="8">
        <f t="shared" si="5"/>
        <v>0.05</v>
      </c>
      <c r="P2878" s="9"/>
    </row>
    <row r="2879">
      <c r="A2879" s="6" t="s">
        <v>6890</v>
      </c>
      <c r="B2879" s="6" t="s">
        <v>554</v>
      </c>
      <c r="C2879" s="6" t="s">
        <v>1897</v>
      </c>
      <c r="D2879" s="6" t="s">
        <v>6891</v>
      </c>
      <c r="E2879" s="6" t="s">
        <v>1269</v>
      </c>
      <c r="F2879" s="6" t="s">
        <v>80</v>
      </c>
      <c r="G2879" s="7">
        <v>0.63</v>
      </c>
      <c r="H2879" s="6" t="s">
        <v>1818</v>
      </c>
      <c r="I2879" s="6" t="s">
        <v>20</v>
      </c>
      <c r="J2879" s="6">
        <v>1995.0</v>
      </c>
      <c r="L2879" s="6">
        <v>1.0</v>
      </c>
      <c r="M2879" s="8">
        <f t="shared" si="5"/>
        <v>0.63</v>
      </c>
      <c r="P2879" s="9"/>
    </row>
    <row r="2880">
      <c r="A2880" s="6" t="s">
        <v>6892</v>
      </c>
      <c r="B2880" s="6" t="s">
        <v>4874</v>
      </c>
      <c r="C2880" s="6" t="s">
        <v>1949</v>
      </c>
      <c r="D2880" s="6" t="s">
        <v>6893</v>
      </c>
      <c r="E2880" s="6" t="s">
        <v>1718</v>
      </c>
      <c r="F2880" s="6" t="s">
        <v>80</v>
      </c>
      <c r="G2880" s="7">
        <v>0.2</v>
      </c>
      <c r="H2880" s="6" t="s">
        <v>1774</v>
      </c>
      <c r="I2880" s="6" t="s">
        <v>20</v>
      </c>
      <c r="J2880" s="6">
        <v>1995.0</v>
      </c>
      <c r="K2880" s="6" t="s">
        <v>1775</v>
      </c>
      <c r="L2880" s="6">
        <v>1.0</v>
      </c>
      <c r="M2880" s="8">
        <f t="shared" si="5"/>
        <v>0.2</v>
      </c>
      <c r="P2880" s="9"/>
    </row>
    <row r="2881">
      <c r="A2881" s="6" t="s">
        <v>6894</v>
      </c>
      <c r="B2881" s="6" t="s">
        <v>554</v>
      </c>
      <c r="C2881" s="6" t="s">
        <v>1949</v>
      </c>
      <c r="D2881" s="6" t="s">
        <v>6895</v>
      </c>
      <c r="E2881" s="6" t="s">
        <v>1035</v>
      </c>
      <c r="F2881" s="6" t="s">
        <v>80</v>
      </c>
      <c r="G2881" s="7">
        <v>0.5</v>
      </c>
      <c r="H2881" s="6" t="s">
        <v>1774</v>
      </c>
      <c r="I2881" s="6" t="s">
        <v>20</v>
      </c>
      <c r="J2881" s="6">
        <v>1995.0</v>
      </c>
      <c r="L2881" s="6">
        <v>1.0</v>
      </c>
      <c r="M2881" s="8">
        <f t="shared" si="5"/>
        <v>0.5</v>
      </c>
      <c r="P2881" s="9"/>
    </row>
    <row r="2882">
      <c r="A2882" s="6" t="s">
        <v>6896</v>
      </c>
      <c r="B2882" s="6" t="s">
        <v>4175</v>
      </c>
      <c r="C2882" s="6" t="s">
        <v>2841</v>
      </c>
      <c r="D2882" s="6" t="s">
        <v>6897</v>
      </c>
      <c r="E2882" s="6" t="s">
        <v>1032</v>
      </c>
      <c r="F2882" s="6" t="s">
        <v>2140</v>
      </c>
      <c r="G2882" s="7">
        <v>2.95</v>
      </c>
      <c r="H2882" s="6" t="s">
        <v>1774</v>
      </c>
      <c r="I2882" s="6" t="s">
        <v>20</v>
      </c>
      <c r="J2882" s="6">
        <v>1995.0</v>
      </c>
      <c r="L2882" s="6">
        <v>1.0</v>
      </c>
      <c r="M2882" s="8">
        <f t="shared" si="5"/>
        <v>2.95</v>
      </c>
      <c r="N2882" s="6" t="s">
        <v>6488</v>
      </c>
      <c r="P2882" s="9"/>
    </row>
    <row r="2883">
      <c r="A2883" s="6" t="s">
        <v>6898</v>
      </c>
      <c r="B2883" s="6" t="s">
        <v>554</v>
      </c>
      <c r="C2883" s="6" t="s">
        <v>1949</v>
      </c>
      <c r="D2883" s="6" t="s">
        <v>6899</v>
      </c>
      <c r="E2883" s="6" t="s">
        <v>1032</v>
      </c>
      <c r="F2883" s="6" t="s">
        <v>80</v>
      </c>
      <c r="G2883" s="7">
        <v>0.15</v>
      </c>
      <c r="H2883" s="6" t="s">
        <v>1805</v>
      </c>
      <c r="I2883" s="6" t="s">
        <v>20</v>
      </c>
      <c r="J2883" s="6">
        <v>1996.0</v>
      </c>
      <c r="L2883" s="6">
        <v>1.0</v>
      </c>
      <c r="M2883" s="8">
        <f t="shared" si="5"/>
        <v>0.15</v>
      </c>
      <c r="P2883" s="9"/>
    </row>
    <row r="2884">
      <c r="A2884" s="6" t="s">
        <v>6900</v>
      </c>
      <c r="B2884" s="6" t="s">
        <v>6337</v>
      </c>
      <c r="C2884" s="6" t="s">
        <v>2138</v>
      </c>
      <c r="D2884" s="6" t="s">
        <v>6901</v>
      </c>
      <c r="E2884" s="6" t="s">
        <v>6902</v>
      </c>
      <c r="F2884" s="6" t="s">
        <v>3648</v>
      </c>
      <c r="G2884" s="7">
        <v>11.69</v>
      </c>
      <c r="H2884" s="6" t="s">
        <v>1886</v>
      </c>
      <c r="I2884" s="6" t="s">
        <v>20</v>
      </c>
      <c r="J2884" s="6">
        <v>1994.0</v>
      </c>
      <c r="K2884" s="10">
        <v>46147.0</v>
      </c>
      <c r="L2884" s="6">
        <v>1.0</v>
      </c>
      <c r="M2884" s="8">
        <f t="shared" si="5"/>
        <v>11.69</v>
      </c>
      <c r="N2884" s="6" t="s">
        <v>6488</v>
      </c>
      <c r="P2884" s="9"/>
    </row>
    <row r="2885">
      <c r="A2885" s="6" t="s">
        <v>6903</v>
      </c>
      <c r="B2885" s="6" t="s">
        <v>6904</v>
      </c>
      <c r="C2885" s="6" t="s">
        <v>1949</v>
      </c>
      <c r="D2885" s="6" t="s">
        <v>6905</v>
      </c>
      <c r="E2885" s="6" t="s">
        <v>2318</v>
      </c>
      <c r="F2885" s="6" t="s">
        <v>88</v>
      </c>
      <c r="G2885" s="7">
        <v>0.04</v>
      </c>
      <c r="H2885" s="6" t="s">
        <v>3934</v>
      </c>
      <c r="I2885" s="6" t="s">
        <v>20</v>
      </c>
      <c r="J2885" s="6">
        <v>2023.0</v>
      </c>
      <c r="L2885" s="6">
        <v>1.0</v>
      </c>
      <c r="M2885" s="8">
        <f t="shared" si="5"/>
        <v>0.04</v>
      </c>
      <c r="P2885" s="9"/>
    </row>
    <row r="2886">
      <c r="A2886" s="6" t="s">
        <v>6906</v>
      </c>
      <c r="B2886" s="6" t="s">
        <v>1944</v>
      </c>
      <c r="C2886" s="6" t="s">
        <v>1897</v>
      </c>
      <c r="D2886" s="6" t="s">
        <v>6907</v>
      </c>
      <c r="E2886" s="6" t="s">
        <v>2318</v>
      </c>
      <c r="F2886" s="6" t="s">
        <v>88</v>
      </c>
      <c r="G2886" s="7">
        <v>0.25</v>
      </c>
      <c r="H2886" s="6" t="s">
        <v>2474</v>
      </c>
      <c r="I2886" s="6" t="s">
        <v>20</v>
      </c>
      <c r="J2886" s="6">
        <v>2017.0</v>
      </c>
      <c r="L2886" s="6">
        <v>1.0</v>
      </c>
      <c r="M2886" s="8">
        <f t="shared" si="5"/>
        <v>0.25</v>
      </c>
      <c r="P2886" s="9"/>
    </row>
    <row r="2887">
      <c r="A2887" s="6" t="s">
        <v>6908</v>
      </c>
      <c r="B2887" s="6" t="s">
        <v>1944</v>
      </c>
      <c r="C2887" s="6" t="s">
        <v>1897</v>
      </c>
      <c r="D2887" s="6" t="s">
        <v>6909</v>
      </c>
      <c r="E2887" s="6" t="s">
        <v>4282</v>
      </c>
      <c r="F2887" s="6" t="s">
        <v>88</v>
      </c>
      <c r="G2887" s="7">
        <v>0.24</v>
      </c>
      <c r="H2887" s="6" t="s">
        <v>2474</v>
      </c>
      <c r="I2887" s="6" t="s">
        <v>20</v>
      </c>
      <c r="J2887" s="6">
        <v>2017.0</v>
      </c>
      <c r="L2887" s="6">
        <v>2.0</v>
      </c>
      <c r="M2887" s="8">
        <f t="shared" si="5"/>
        <v>0.48</v>
      </c>
      <c r="P2887" s="9"/>
    </row>
    <row r="2888">
      <c r="A2888" s="6" t="s">
        <v>6910</v>
      </c>
      <c r="B2888" s="6" t="s">
        <v>4358</v>
      </c>
      <c r="C2888" s="6" t="s">
        <v>295</v>
      </c>
      <c r="D2888" s="6" t="s">
        <v>6911</v>
      </c>
      <c r="E2888" s="6" t="s">
        <v>2318</v>
      </c>
      <c r="F2888" s="6" t="s">
        <v>88</v>
      </c>
      <c r="G2888" s="7">
        <v>0.09</v>
      </c>
      <c r="H2888" s="6" t="s">
        <v>3021</v>
      </c>
      <c r="I2888" s="6" t="s">
        <v>20</v>
      </c>
      <c r="J2888" s="6">
        <v>2023.0</v>
      </c>
      <c r="K2888" s="10">
        <v>46082.0</v>
      </c>
      <c r="L2888" s="6">
        <v>1.0</v>
      </c>
      <c r="M2888" s="8">
        <f t="shared" si="5"/>
        <v>0.09</v>
      </c>
      <c r="P2888" s="9"/>
    </row>
    <row r="2889">
      <c r="A2889" s="6" t="s">
        <v>6912</v>
      </c>
      <c r="B2889" s="6" t="s">
        <v>3332</v>
      </c>
      <c r="C2889" s="6" t="s">
        <v>1949</v>
      </c>
      <c r="D2889" s="6" t="s">
        <v>6913</v>
      </c>
      <c r="E2889" s="6" t="s">
        <v>380</v>
      </c>
      <c r="F2889" s="6" t="s">
        <v>88</v>
      </c>
      <c r="G2889" s="7">
        <v>0.1</v>
      </c>
      <c r="H2889" s="6" t="s">
        <v>2456</v>
      </c>
      <c r="I2889" s="6" t="s">
        <v>31</v>
      </c>
      <c r="J2889" s="6">
        <v>2024.0</v>
      </c>
      <c r="K2889" s="10">
        <v>46082.0</v>
      </c>
      <c r="L2889" s="6">
        <v>1.0</v>
      </c>
      <c r="M2889" s="8">
        <f t="shared" si="5"/>
        <v>0.1</v>
      </c>
      <c r="P2889" s="9"/>
    </row>
    <row r="2890">
      <c r="A2890" s="6" t="s">
        <v>6914</v>
      </c>
      <c r="B2890" s="6" t="s">
        <v>6915</v>
      </c>
      <c r="C2890" s="6" t="s">
        <v>295</v>
      </c>
      <c r="D2890" s="6" t="s">
        <v>6916</v>
      </c>
      <c r="E2890" s="6" t="s">
        <v>380</v>
      </c>
      <c r="F2890" s="6" t="s">
        <v>88</v>
      </c>
      <c r="G2890" s="7">
        <v>0.14</v>
      </c>
      <c r="H2890" s="6" t="s">
        <v>3021</v>
      </c>
      <c r="I2890" s="6" t="s">
        <v>20</v>
      </c>
      <c r="J2890" s="6">
        <v>2023.0</v>
      </c>
      <c r="K2890" s="10">
        <v>46082.0</v>
      </c>
      <c r="L2890" s="6">
        <v>1.0</v>
      </c>
      <c r="M2890" s="8">
        <f t="shared" si="5"/>
        <v>0.14</v>
      </c>
      <c r="P2890" s="9"/>
    </row>
    <row r="2891">
      <c r="A2891" s="6" t="s">
        <v>6917</v>
      </c>
      <c r="B2891" s="6" t="s">
        <v>6918</v>
      </c>
      <c r="C2891" s="6" t="s">
        <v>160</v>
      </c>
      <c r="D2891" s="6" t="s">
        <v>6919</v>
      </c>
      <c r="E2891" s="6" t="s">
        <v>4321</v>
      </c>
      <c r="F2891" s="6" t="s">
        <v>88</v>
      </c>
      <c r="G2891" s="7">
        <v>0.5</v>
      </c>
      <c r="H2891" s="6" t="s">
        <v>2467</v>
      </c>
      <c r="I2891" s="6" t="s">
        <v>20</v>
      </c>
      <c r="J2891" s="6">
        <v>2017.0</v>
      </c>
      <c r="K2891" s="10">
        <v>46116.0</v>
      </c>
      <c r="L2891" s="6">
        <v>1.0</v>
      </c>
      <c r="M2891" s="8">
        <f t="shared" si="5"/>
        <v>0.5</v>
      </c>
      <c r="N2891" s="6" t="s">
        <v>6488</v>
      </c>
      <c r="P2891" s="9"/>
    </row>
    <row r="2892">
      <c r="A2892" s="6" t="s">
        <v>6920</v>
      </c>
      <c r="B2892" s="6" t="s">
        <v>2058</v>
      </c>
      <c r="C2892" s="6" t="s">
        <v>295</v>
      </c>
      <c r="D2892" s="6" t="s">
        <v>6921</v>
      </c>
      <c r="E2892" s="6" t="s">
        <v>2326</v>
      </c>
      <c r="F2892" s="6" t="s">
        <v>88</v>
      </c>
      <c r="G2892" s="7">
        <v>0.04</v>
      </c>
      <c r="H2892" s="6" t="s">
        <v>3476</v>
      </c>
      <c r="I2892" s="6" t="s">
        <v>20</v>
      </c>
      <c r="J2892" s="6">
        <v>2023.0</v>
      </c>
      <c r="L2892" s="6">
        <v>1.0</v>
      </c>
      <c r="M2892" s="8">
        <f t="shared" si="5"/>
        <v>0.04</v>
      </c>
      <c r="P2892" s="9"/>
    </row>
    <row r="2893">
      <c r="A2893" s="6" t="s">
        <v>6922</v>
      </c>
      <c r="B2893" s="6" t="s">
        <v>6923</v>
      </c>
      <c r="C2893" s="6" t="s">
        <v>1949</v>
      </c>
      <c r="D2893" s="6" t="s">
        <v>6924</v>
      </c>
      <c r="E2893" s="6" t="s">
        <v>2326</v>
      </c>
      <c r="F2893" s="6" t="s">
        <v>88</v>
      </c>
      <c r="G2893" s="7">
        <v>0.15</v>
      </c>
      <c r="H2893" s="6" t="s">
        <v>6925</v>
      </c>
      <c r="I2893" s="6" t="s">
        <v>20</v>
      </c>
      <c r="J2893" s="6">
        <v>2025.0</v>
      </c>
      <c r="K2893" s="10">
        <v>46116.0</v>
      </c>
      <c r="L2893" s="6">
        <v>1.0</v>
      </c>
      <c r="M2893" s="8">
        <f t="shared" si="5"/>
        <v>0.15</v>
      </c>
      <c r="P2893" s="9"/>
    </row>
    <row r="2894">
      <c r="A2894" s="6" t="s">
        <v>6926</v>
      </c>
      <c r="B2894" s="6" t="s">
        <v>6927</v>
      </c>
      <c r="C2894" s="6" t="s">
        <v>1949</v>
      </c>
      <c r="D2894" s="6" t="s">
        <v>6928</v>
      </c>
      <c r="E2894" s="6" t="s">
        <v>4321</v>
      </c>
      <c r="F2894" s="6" t="s">
        <v>88</v>
      </c>
      <c r="G2894" s="7">
        <v>0.06</v>
      </c>
      <c r="H2894" s="6" t="s">
        <v>2238</v>
      </c>
      <c r="I2894" s="6" t="s">
        <v>20</v>
      </c>
      <c r="J2894" s="6">
        <v>2024.0</v>
      </c>
      <c r="K2894" s="10">
        <v>46085.0</v>
      </c>
      <c r="L2894" s="6">
        <v>1.0</v>
      </c>
      <c r="M2894" s="8">
        <f t="shared" si="5"/>
        <v>0.06</v>
      </c>
      <c r="P2894" s="9"/>
    </row>
    <row r="2895">
      <c r="A2895" s="6" t="s">
        <v>6929</v>
      </c>
      <c r="B2895" s="6" t="s">
        <v>2969</v>
      </c>
      <c r="C2895" s="6" t="s">
        <v>2138</v>
      </c>
      <c r="D2895" s="6" t="s">
        <v>6930</v>
      </c>
      <c r="E2895" s="6" t="s">
        <v>4324</v>
      </c>
      <c r="F2895" s="6" t="s">
        <v>88</v>
      </c>
      <c r="G2895" s="7">
        <v>0.12</v>
      </c>
      <c r="H2895" s="6" t="s">
        <v>6931</v>
      </c>
      <c r="I2895" s="6" t="s">
        <v>20</v>
      </c>
      <c r="J2895" s="6">
        <v>2023.0</v>
      </c>
      <c r="L2895" s="6">
        <v>1.0</v>
      </c>
      <c r="M2895" s="8">
        <f t="shared" si="5"/>
        <v>0.12</v>
      </c>
      <c r="P2895" s="9"/>
    </row>
    <row r="2896">
      <c r="A2896" s="6" t="s">
        <v>6932</v>
      </c>
      <c r="B2896" s="6" t="s">
        <v>6298</v>
      </c>
      <c r="C2896" s="6" t="s">
        <v>295</v>
      </c>
      <c r="D2896" s="6" t="s">
        <v>6933</v>
      </c>
      <c r="E2896" s="6" t="s">
        <v>380</v>
      </c>
      <c r="F2896" s="6" t="s">
        <v>88</v>
      </c>
      <c r="G2896" s="7">
        <v>0.05</v>
      </c>
      <c r="H2896" s="6" t="s">
        <v>2219</v>
      </c>
      <c r="I2896" s="6" t="s">
        <v>20</v>
      </c>
      <c r="J2896" s="6">
        <v>2026.0</v>
      </c>
      <c r="K2896" s="10">
        <v>46054.0</v>
      </c>
      <c r="L2896" s="6">
        <v>2.0</v>
      </c>
      <c r="M2896" s="8">
        <f t="shared" si="5"/>
        <v>0.1</v>
      </c>
      <c r="P2896" s="9"/>
    </row>
    <row r="2897">
      <c r="A2897" s="6" t="s">
        <v>6934</v>
      </c>
      <c r="B2897" s="6" t="s">
        <v>2014</v>
      </c>
      <c r="C2897" s="6" t="s">
        <v>295</v>
      </c>
      <c r="D2897" s="6" t="s">
        <v>6935</v>
      </c>
      <c r="E2897" s="6" t="s">
        <v>915</v>
      </c>
      <c r="F2897" s="6" t="s">
        <v>88</v>
      </c>
      <c r="G2897" s="7">
        <v>0.14</v>
      </c>
      <c r="H2897" s="6" t="s">
        <v>2219</v>
      </c>
      <c r="I2897" s="6" t="s">
        <v>20</v>
      </c>
      <c r="J2897" s="6">
        <v>2024.0</v>
      </c>
      <c r="L2897" s="6">
        <v>1.0</v>
      </c>
      <c r="M2897" s="8">
        <f t="shared" si="5"/>
        <v>0.14</v>
      </c>
      <c r="P2897" s="9"/>
    </row>
    <row r="2898">
      <c r="A2898" s="6" t="s">
        <v>6936</v>
      </c>
      <c r="B2898" s="6" t="s">
        <v>610</v>
      </c>
      <c r="C2898" s="6" t="s">
        <v>295</v>
      </c>
      <c r="D2898" s="6" t="s">
        <v>6937</v>
      </c>
      <c r="E2898" s="6" t="s">
        <v>2326</v>
      </c>
      <c r="F2898" s="6" t="s">
        <v>88</v>
      </c>
      <c r="G2898" s="7">
        <v>0.05</v>
      </c>
      <c r="H2898" s="6" t="s">
        <v>2219</v>
      </c>
      <c r="I2898" s="6" t="s">
        <v>20</v>
      </c>
      <c r="J2898" s="6">
        <v>2024.0</v>
      </c>
      <c r="L2898" s="6">
        <v>3.0</v>
      </c>
      <c r="M2898" s="8">
        <f t="shared" si="5"/>
        <v>0.15</v>
      </c>
      <c r="P2898" s="9"/>
    </row>
    <row r="2899">
      <c r="A2899" s="6" t="s">
        <v>6938</v>
      </c>
      <c r="B2899" s="6" t="s">
        <v>378</v>
      </c>
      <c r="C2899" s="6" t="s">
        <v>295</v>
      </c>
      <c r="D2899" s="6" t="s">
        <v>6939</v>
      </c>
      <c r="E2899" s="6" t="s">
        <v>866</v>
      </c>
      <c r="F2899" s="6" t="s">
        <v>88</v>
      </c>
      <c r="G2899" s="7">
        <v>0.05</v>
      </c>
      <c r="H2899" s="6" t="s">
        <v>1664</v>
      </c>
      <c r="I2899" s="6" t="s">
        <v>20</v>
      </c>
      <c r="J2899" s="6">
        <v>2018.0</v>
      </c>
      <c r="L2899" s="6">
        <v>1.0</v>
      </c>
      <c r="M2899" s="8">
        <f t="shared" si="5"/>
        <v>0.05</v>
      </c>
      <c r="P2899" s="9"/>
    </row>
    <row r="2900">
      <c r="A2900" s="6" t="s">
        <v>6940</v>
      </c>
      <c r="B2900" s="6" t="s">
        <v>385</v>
      </c>
      <c r="C2900" s="6" t="s">
        <v>295</v>
      </c>
      <c r="D2900" s="6" t="s">
        <v>6941</v>
      </c>
      <c r="E2900" s="6" t="s">
        <v>915</v>
      </c>
      <c r="F2900" s="6" t="s">
        <v>88</v>
      </c>
      <c r="G2900" s="7">
        <v>0.19</v>
      </c>
      <c r="H2900" s="6" t="s">
        <v>1959</v>
      </c>
      <c r="I2900" s="6" t="s">
        <v>20</v>
      </c>
      <c r="J2900" s="6">
        <v>2024.0</v>
      </c>
      <c r="L2900" s="6">
        <v>1.0</v>
      </c>
      <c r="M2900" s="8">
        <f t="shared" si="5"/>
        <v>0.19</v>
      </c>
      <c r="P2900" s="9"/>
    </row>
    <row r="2901">
      <c r="A2901" s="6" t="s">
        <v>6942</v>
      </c>
      <c r="B2901" s="6" t="s">
        <v>4401</v>
      </c>
      <c r="C2901" s="6" t="s">
        <v>295</v>
      </c>
      <c r="D2901" s="6" t="s">
        <v>6943</v>
      </c>
      <c r="E2901" s="6" t="s">
        <v>6944</v>
      </c>
      <c r="F2901" s="6" t="s">
        <v>88</v>
      </c>
      <c r="G2901" s="7">
        <v>0.1</v>
      </c>
      <c r="H2901" s="6" t="s">
        <v>2219</v>
      </c>
      <c r="I2901" s="6" t="s">
        <v>20</v>
      </c>
      <c r="J2901" s="6">
        <v>2024.0</v>
      </c>
      <c r="K2901" s="10">
        <v>46147.0</v>
      </c>
      <c r="L2901" s="6">
        <v>1.0</v>
      </c>
      <c r="M2901" s="8">
        <f t="shared" si="5"/>
        <v>0.1</v>
      </c>
      <c r="P2901" s="9"/>
    </row>
    <row r="2902">
      <c r="A2902" s="6" t="s">
        <v>6945</v>
      </c>
      <c r="B2902" s="6" t="s">
        <v>6946</v>
      </c>
      <c r="C2902" s="6" t="s">
        <v>295</v>
      </c>
      <c r="E2902" s="6" t="s">
        <v>915</v>
      </c>
      <c r="F2902" s="6" t="s">
        <v>88</v>
      </c>
      <c r="G2902" s="7">
        <v>0.02</v>
      </c>
      <c r="H2902" s="6" t="s">
        <v>2219</v>
      </c>
      <c r="I2902" s="6" t="s">
        <v>20</v>
      </c>
      <c r="J2902" s="6">
        <v>2024.0</v>
      </c>
      <c r="K2902" s="6" t="s">
        <v>3153</v>
      </c>
      <c r="L2902" s="6">
        <v>1.0</v>
      </c>
      <c r="M2902" s="8">
        <f t="shared" si="5"/>
        <v>0.02</v>
      </c>
      <c r="P2902" s="9"/>
    </row>
    <row r="2903">
      <c r="A2903" s="6" t="s">
        <v>6947</v>
      </c>
      <c r="B2903" s="6" t="s">
        <v>610</v>
      </c>
      <c r="C2903" s="6" t="s">
        <v>295</v>
      </c>
      <c r="D2903" s="6" t="s">
        <v>6948</v>
      </c>
      <c r="E2903" s="6" t="s">
        <v>4324</v>
      </c>
      <c r="F2903" s="6" t="s">
        <v>88</v>
      </c>
      <c r="G2903" s="7">
        <v>0.05</v>
      </c>
      <c r="H2903" s="6" t="s">
        <v>1959</v>
      </c>
      <c r="I2903" s="6" t="s">
        <v>20</v>
      </c>
      <c r="J2903" s="6">
        <v>2024.0</v>
      </c>
      <c r="L2903" s="6">
        <v>2.0</v>
      </c>
      <c r="M2903" s="8">
        <f t="shared" si="5"/>
        <v>0.1</v>
      </c>
      <c r="P2903" s="9"/>
    </row>
    <row r="2904">
      <c r="A2904" s="6" t="s">
        <v>6949</v>
      </c>
      <c r="B2904" s="6" t="s">
        <v>610</v>
      </c>
      <c r="C2904" s="6" t="s">
        <v>295</v>
      </c>
      <c r="D2904" s="6" t="s">
        <v>6950</v>
      </c>
      <c r="E2904" s="6" t="s">
        <v>2326</v>
      </c>
      <c r="F2904" s="6" t="s">
        <v>88</v>
      </c>
      <c r="G2904" s="7">
        <v>0.05</v>
      </c>
      <c r="H2904" s="6" t="s">
        <v>1959</v>
      </c>
      <c r="I2904" s="6" t="s">
        <v>20</v>
      </c>
      <c r="J2904" s="6">
        <v>2024.0</v>
      </c>
      <c r="L2904" s="6">
        <v>1.0</v>
      </c>
      <c r="M2904" s="8">
        <f t="shared" si="5"/>
        <v>0.05</v>
      </c>
      <c r="P2904" s="9"/>
    </row>
    <row r="2905">
      <c r="A2905" s="6" t="s">
        <v>6951</v>
      </c>
      <c r="B2905" s="6" t="s">
        <v>2014</v>
      </c>
      <c r="C2905" s="6" t="s">
        <v>295</v>
      </c>
      <c r="D2905" s="6" t="s">
        <v>6952</v>
      </c>
      <c r="E2905" s="6" t="s">
        <v>2318</v>
      </c>
      <c r="F2905" s="6" t="s">
        <v>88</v>
      </c>
      <c r="G2905" s="7">
        <v>0.05</v>
      </c>
      <c r="H2905" s="6" t="s">
        <v>2238</v>
      </c>
      <c r="I2905" s="6" t="s">
        <v>20</v>
      </c>
      <c r="J2905" s="6">
        <v>2024.0</v>
      </c>
      <c r="L2905" s="6">
        <v>1.0</v>
      </c>
      <c r="M2905" s="8">
        <f t="shared" si="5"/>
        <v>0.05</v>
      </c>
      <c r="P2905" s="9"/>
    </row>
    <row r="2906">
      <c r="A2906" s="6" t="s">
        <v>4535</v>
      </c>
      <c r="B2906" s="6" t="s">
        <v>2058</v>
      </c>
      <c r="C2906" s="6" t="s">
        <v>295</v>
      </c>
      <c r="D2906" s="6" t="s">
        <v>4536</v>
      </c>
      <c r="E2906" s="6" t="s">
        <v>380</v>
      </c>
      <c r="F2906" s="6" t="s">
        <v>88</v>
      </c>
      <c r="G2906" s="7">
        <v>0.06</v>
      </c>
      <c r="H2906" s="6" t="s">
        <v>2650</v>
      </c>
      <c r="I2906" s="6" t="s">
        <v>20</v>
      </c>
      <c r="J2906" s="6">
        <v>2021.0</v>
      </c>
      <c r="L2906" s="6">
        <v>1.0</v>
      </c>
      <c r="M2906" s="8">
        <f t="shared" si="5"/>
        <v>0.06</v>
      </c>
      <c r="P2906" s="9"/>
    </row>
    <row r="2907">
      <c r="A2907" s="6" t="s">
        <v>6953</v>
      </c>
      <c r="B2907" s="6" t="s">
        <v>2017</v>
      </c>
      <c r="C2907" s="6" t="s">
        <v>295</v>
      </c>
      <c r="D2907" s="6" t="s">
        <v>6954</v>
      </c>
      <c r="E2907" s="6" t="s">
        <v>2326</v>
      </c>
      <c r="F2907" s="6" t="s">
        <v>88</v>
      </c>
      <c r="G2907" s="7">
        <v>0.05</v>
      </c>
      <c r="H2907" s="6" t="s">
        <v>2650</v>
      </c>
      <c r="I2907" s="6" t="s">
        <v>20</v>
      </c>
      <c r="J2907" s="6">
        <v>2021.0</v>
      </c>
      <c r="K2907" s="10">
        <v>46084.0</v>
      </c>
      <c r="L2907" s="6">
        <v>1.0</v>
      </c>
      <c r="M2907" s="8">
        <f t="shared" si="5"/>
        <v>0.05</v>
      </c>
      <c r="P2907" s="9"/>
    </row>
    <row r="2908">
      <c r="A2908" s="6" t="s">
        <v>6955</v>
      </c>
      <c r="B2908" s="6" t="s">
        <v>3311</v>
      </c>
      <c r="C2908" s="6" t="s">
        <v>295</v>
      </c>
      <c r="D2908" s="6" t="s">
        <v>6956</v>
      </c>
      <c r="E2908" s="6" t="s">
        <v>380</v>
      </c>
      <c r="F2908" s="6" t="s">
        <v>88</v>
      </c>
      <c r="G2908" s="7">
        <v>0.1</v>
      </c>
      <c r="H2908" s="6" t="s">
        <v>4574</v>
      </c>
      <c r="I2908" s="6" t="s">
        <v>20</v>
      </c>
      <c r="J2908" s="6">
        <v>2024.0</v>
      </c>
      <c r="K2908" s="10">
        <v>46024.0</v>
      </c>
      <c r="L2908" s="6">
        <v>1.0</v>
      </c>
      <c r="M2908" s="8">
        <f t="shared" si="5"/>
        <v>0.1</v>
      </c>
      <c r="P2908" s="9"/>
    </row>
    <row r="2909">
      <c r="A2909" s="6" t="s">
        <v>6957</v>
      </c>
      <c r="B2909" s="6" t="s">
        <v>5895</v>
      </c>
      <c r="C2909" s="6" t="s">
        <v>295</v>
      </c>
      <c r="D2909" s="6" t="s">
        <v>6958</v>
      </c>
      <c r="E2909" s="6" t="s">
        <v>2318</v>
      </c>
      <c r="F2909" s="6" t="s">
        <v>88</v>
      </c>
      <c r="G2909" s="7">
        <v>0.05</v>
      </c>
      <c r="H2909" s="6" t="s">
        <v>1959</v>
      </c>
      <c r="I2909" s="6" t="s">
        <v>20</v>
      </c>
      <c r="J2909" s="6">
        <v>2024.0</v>
      </c>
      <c r="K2909" s="10">
        <v>46082.0</v>
      </c>
      <c r="L2909" s="6">
        <v>1.0</v>
      </c>
      <c r="M2909" s="8">
        <f t="shared" si="5"/>
        <v>0.05</v>
      </c>
      <c r="P2909" s="9"/>
    </row>
    <row r="2910">
      <c r="A2910" s="6" t="s">
        <v>6600</v>
      </c>
      <c r="B2910" s="6" t="s">
        <v>2058</v>
      </c>
      <c r="C2910" s="6" t="s">
        <v>295</v>
      </c>
      <c r="D2910" s="6" t="s">
        <v>6601</v>
      </c>
      <c r="E2910" s="6" t="s">
        <v>2326</v>
      </c>
      <c r="F2910" s="6" t="s">
        <v>88</v>
      </c>
      <c r="G2910" s="7">
        <v>0.08</v>
      </c>
      <c r="H2910" s="6" t="s">
        <v>2456</v>
      </c>
      <c r="I2910" s="6" t="s">
        <v>20</v>
      </c>
      <c r="J2910" s="6">
        <v>2024.0</v>
      </c>
      <c r="L2910" s="6">
        <v>1.0</v>
      </c>
      <c r="M2910" s="8">
        <f t="shared" si="5"/>
        <v>0.08</v>
      </c>
      <c r="P2910" s="9"/>
    </row>
    <row r="2911">
      <c r="A2911" s="6" t="s">
        <v>6959</v>
      </c>
      <c r="B2911" s="6" t="s">
        <v>4808</v>
      </c>
      <c r="C2911" s="6" t="s">
        <v>295</v>
      </c>
      <c r="D2911" s="6" t="s">
        <v>6960</v>
      </c>
      <c r="E2911" s="6" t="s">
        <v>380</v>
      </c>
      <c r="F2911" s="6" t="s">
        <v>88</v>
      </c>
      <c r="G2911" s="7">
        <v>0.57</v>
      </c>
      <c r="H2911" s="6" t="s">
        <v>4574</v>
      </c>
      <c r="I2911" s="6" t="s">
        <v>20</v>
      </c>
      <c r="J2911" s="6">
        <v>2024.0</v>
      </c>
      <c r="K2911" s="10">
        <v>46082.0</v>
      </c>
      <c r="L2911" s="6">
        <v>1.0</v>
      </c>
      <c r="M2911" s="8">
        <f t="shared" si="5"/>
        <v>0.57</v>
      </c>
      <c r="P2911" s="9"/>
    </row>
    <row r="2912">
      <c r="A2912" s="6" t="s">
        <v>6961</v>
      </c>
      <c r="B2912" s="6" t="s">
        <v>2014</v>
      </c>
      <c r="C2912" s="6" t="s">
        <v>1949</v>
      </c>
      <c r="D2912" s="6" t="s">
        <v>6962</v>
      </c>
      <c r="E2912" s="6" t="s">
        <v>915</v>
      </c>
      <c r="F2912" s="6" t="s">
        <v>88</v>
      </c>
      <c r="G2912" s="7">
        <v>2.9</v>
      </c>
      <c r="H2912" s="6" t="s">
        <v>1619</v>
      </c>
      <c r="I2912" s="6" t="s">
        <v>20</v>
      </c>
      <c r="J2912" s="6">
        <v>2022.0</v>
      </c>
      <c r="L2912" s="6">
        <v>1.0</v>
      </c>
      <c r="M2912" s="8">
        <f t="shared" si="5"/>
        <v>2.9</v>
      </c>
      <c r="N2912" s="6" t="s">
        <v>6488</v>
      </c>
      <c r="P2912" s="9"/>
    </row>
    <row r="2913">
      <c r="A2913" s="6" t="s">
        <v>6963</v>
      </c>
      <c r="B2913" s="6" t="s">
        <v>378</v>
      </c>
      <c r="C2913" s="6" t="s">
        <v>295</v>
      </c>
      <c r="D2913" s="6" t="s">
        <v>6964</v>
      </c>
      <c r="E2913" s="6" t="s">
        <v>2326</v>
      </c>
      <c r="F2913" s="6" t="s">
        <v>88</v>
      </c>
      <c r="G2913" s="7">
        <v>0.08</v>
      </c>
      <c r="H2913" s="6" t="s">
        <v>2238</v>
      </c>
      <c r="I2913" s="6" t="s">
        <v>20</v>
      </c>
      <c r="J2913" s="6">
        <v>2024.0</v>
      </c>
      <c r="L2913" s="6">
        <v>1.0</v>
      </c>
      <c r="M2913" s="8">
        <f t="shared" si="5"/>
        <v>0.08</v>
      </c>
      <c r="P2913" s="9"/>
    </row>
    <row r="2914">
      <c r="A2914" s="6" t="s">
        <v>6965</v>
      </c>
      <c r="B2914" s="6" t="s">
        <v>3303</v>
      </c>
      <c r="C2914" s="6" t="s">
        <v>295</v>
      </c>
      <c r="D2914" s="6" t="s">
        <v>6966</v>
      </c>
      <c r="E2914" s="6" t="s">
        <v>2318</v>
      </c>
      <c r="F2914" s="6" t="s">
        <v>88</v>
      </c>
      <c r="G2914" s="7">
        <v>0.19</v>
      </c>
      <c r="H2914" s="6" t="s">
        <v>2141</v>
      </c>
      <c r="I2914" s="6" t="s">
        <v>20</v>
      </c>
      <c r="J2914" s="6">
        <v>2023.0</v>
      </c>
      <c r="K2914" s="10">
        <v>46082.0</v>
      </c>
      <c r="L2914" s="6">
        <v>1.0</v>
      </c>
      <c r="M2914" s="8">
        <f t="shared" si="5"/>
        <v>0.19</v>
      </c>
      <c r="P2914" s="9"/>
    </row>
    <row r="2915">
      <c r="A2915" s="6" t="s">
        <v>6967</v>
      </c>
      <c r="B2915" s="6" t="s">
        <v>6968</v>
      </c>
      <c r="C2915" s="6" t="s">
        <v>1949</v>
      </c>
      <c r="D2915" s="6" t="s">
        <v>6969</v>
      </c>
      <c r="E2915" s="6" t="s">
        <v>4315</v>
      </c>
      <c r="F2915" s="6" t="s">
        <v>88</v>
      </c>
      <c r="G2915" s="7">
        <v>0.29</v>
      </c>
      <c r="H2915" s="6" t="s">
        <v>2141</v>
      </c>
      <c r="I2915" s="6" t="s">
        <v>20</v>
      </c>
      <c r="J2915" s="6">
        <v>2023.0</v>
      </c>
      <c r="K2915" s="10">
        <v>46242.0</v>
      </c>
      <c r="L2915" s="6">
        <v>1.0</v>
      </c>
      <c r="M2915" s="8">
        <f t="shared" si="5"/>
        <v>0.29</v>
      </c>
      <c r="P2915" s="9"/>
    </row>
    <row r="2916">
      <c r="A2916" s="6" t="s">
        <v>6970</v>
      </c>
      <c r="B2916" s="6" t="s">
        <v>2017</v>
      </c>
      <c r="C2916" s="6" t="s">
        <v>1949</v>
      </c>
      <c r="D2916" s="6" t="s">
        <v>6971</v>
      </c>
      <c r="E2916" s="6" t="s">
        <v>2809</v>
      </c>
      <c r="F2916" s="6" t="s">
        <v>88</v>
      </c>
      <c r="G2916" s="7">
        <v>0.23</v>
      </c>
      <c r="H2916" s="6" t="s">
        <v>2141</v>
      </c>
      <c r="I2916" s="6" t="s">
        <v>20</v>
      </c>
      <c r="J2916" s="6">
        <v>2023.0</v>
      </c>
      <c r="K2916" s="10">
        <v>46115.0</v>
      </c>
      <c r="L2916" s="6">
        <v>1.0</v>
      </c>
      <c r="M2916" s="8">
        <f t="shared" si="5"/>
        <v>0.23</v>
      </c>
      <c r="P2916" s="9"/>
    </row>
    <row r="2917">
      <c r="A2917" s="6" t="s">
        <v>6972</v>
      </c>
      <c r="B2917" s="6" t="s">
        <v>2316</v>
      </c>
      <c r="C2917" s="6" t="s">
        <v>1949</v>
      </c>
      <c r="D2917" s="6" t="s">
        <v>6973</v>
      </c>
      <c r="E2917" s="6" t="s">
        <v>2318</v>
      </c>
      <c r="F2917" s="6" t="s">
        <v>88</v>
      </c>
      <c r="G2917" s="7">
        <v>0.17</v>
      </c>
      <c r="H2917" s="6" t="s">
        <v>2141</v>
      </c>
      <c r="I2917" s="6" t="s">
        <v>20</v>
      </c>
      <c r="J2917" s="6">
        <v>2023.0</v>
      </c>
      <c r="K2917" s="10">
        <v>46055.0</v>
      </c>
      <c r="L2917" s="6">
        <v>1.0</v>
      </c>
      <c r="M2917" s="8">
        <f t="shared" si="5"/>
        <v>0.17</v>
      </c>
      <c r="P2917" s="9"/>
    </row>
    <row r="2918">
      <c r="A2918" s="6" t="s">
        <v>6974</v>
      </c>
      <c r="B2918" s="6" t="s">
        <v>3311</v>
      </c>
      <c r="C2918" s="6" t="s">
        <v>1949</v>
      </c>
      <c r="D2918" s="6" t="s">
        <v>6975</v>
      </c>
      <c r="E2918" s="6" t="s">
        <v>2321</v>
      </c>
      <c r="F2918" s="6" t="s">
        <v>88</v>
      </c>
      <c r="G2918" s="7">
        <v>0.04</v>
      </c>
      <c r="H2918" s="6" t="s">
        <v>2162</v>
      </c>
      <c r="I2918" s="6" t="s">
        <v>20</v>
      </c>
      <c r="J2918" s="6">
        <v>2021.0</v>
      </c>
      <c r="K2918" s="10">
        <v>46024.0</v>
      </c>
      <c r="L2918" s="6">
        <v>1.0</v>
      </c>
      <c r="M2918" s="8">
        <f t="shared" si="5"/>
        <v>0.04</v>
      </c>
      <c r="P2918" s="9"/>
    </row>
    <row r="2919">
      <c r="A2919" s="6" t="s">
        <v>6976</v>
      </c>
      <c r="B2919" s="6" t="s">
        <v>2014</v>
      </c>
      <c r="C2919" s="6" t="s">
        <v>295</v>
      </c>
      <c r="D2919" s="6" t="s">
        <v>6977</v>
      </c>
      <c r="E2919" s="6" t="s">
        <v>380</v>
      </c>
      <c r="F2919" s="6" t="s">
        <v>88</v>
      </c>
      <c r="G2919" s="7">
        <v>0.09</v>
      </c>
      <c r="H2919" s="6" t="s">
        <v>2456</v>
      </c>
      <c r="I2919" s="6" t="s">
        <v>20</v>
      </c>
      <c r="J2919" s="6">
        <v>2024.0</v>
      </c>
      <c r="L2919" s="6">
        <v>1.0</v>
      </c>
      <c r="M2919" s="8">
        <f t="shared" si="5"/>
        <v>0.09</v>
      </c>
      <c r="P2919" s="9"/>
    </row>
    <row r="2920">
      <c r="A2920" s="6" t="s">
        <v>6978</v>
      </c>
      <c r="B2920" s="6" t="s">
        <v>2014</v>
      </c>
      <c r="C2920" s="6" t="s">
        <v>1949</v>
      </c>
      <c r="D2920" s="6" t="s">
        <v>6979</v>
      </c>
      <c r="E2920" s="6" t="s">
        <v>380</v>
      </c>
      <c r="F2920" s="6" t="s">
        <v>88</v>
      </c>
      <c r="G2920" s="7">
        <v>0.25</v>
      </c>
      <c r="H2920" s="6" t="s">
        <v>2205</v>
      </c>
      <c r="I2920" s="6" t="s">
        <v>20</v>
      </c>
      <c r="J2920" s="6">
        <v>2023.0</v>
      </c>
      <c r="L2920" s="6">
        <v>1.0</v>
      </c>
      <c r="M2920" s="8">
        <f t="shared" si="5"/>
        <v>0.25</v>
      </c>
      <c r="P2920" s="9"/>
    </row>
    <row r="2921">
      <c r="A2921" s="6" t="s">
        <v>6980</v>
      </c>
      <c r="B2921" s="6" t="s">
        <v>378</v>
      </c>
      <c r="C2921" s="6" t="s">
        <v>295</v>
      </c>
      <c r="D2921" s="6" t="s">
        <v>6981</v>
      </c>
      <c r="E2921" s="6" t="s">
        <v>380</v>
      </c>
      <c r="F2921" s="6" t="s">
        <v>88</v>
      </c>
      <c r="G2921" s="7">
        <v>0.05</v>
      </c>
      <c r="H2921" s="6" t="s">
        <v>1979</v>
      </c>
      <c r="I2921" s="6" t="s">
        <v>20</v>
      </c>
      <c r="J2921" s="6">
        <v>2022.0</v>
      </c>
      <c r="L2921" s="6">
        <v>1.0</v>
      </c>
      <c r="M2921" s="8">
        <f t="shared" si="5"/>
        <v>0.05</v>
      </c>
      <c r="P2921" s="9"/>
    </row>
    <row r="2922">
      <c r="A2922" s="6" t="s">
        <v>6982</v>
      </c>
      <c r="B2922" s="6" t="s">
        <v>378</v>
      </c>
      <c r="C2922" s="6" t="s">
        <v>1949</v>
      </c>
      <c r="D2922" s="6" t="s">
        <v>6983</v>
      </c>
      <c r="E2922" s="6" t="s">
        <v>2318</v>
      </c>
      <c r="F2922" s="6" t="s">
        <v>88</v>
      </c>
      <c r="G2922" s="7">
        <v>0.13</v>
      </c>
      <c r="H2922" s="6" t="s">
        <v>2467</v>
      </c>
      <c r="I2922" s="6" t="s">
        <v>20</v>
      </c>
      <c r="J2922" s="6">
        <v>2017.0</v>
      </c>
      <c r="L2922" s="6">
        <v>1.0</v>
      </c>
      <c r="M2922" s="8">
        <f t="shared" si="5"/>
        <v>0.13</v>
      </c>
      <c r="P2922" s="9"/>
    </row>
    <row r="2923">
      <c r="A2923" s="6" t="s">
        <v>6984</v>
      </c>
      <c r="B2923" s="6" t="s">
        <v>2621</v>
      </c>
      <c r="C2923" s="6" t="s">
        <v>295</v>
      </c>
      <c r="D2923" s="6" t="s">
        <v>6985</v>
      </c>
      <c r="E2923" s="6" t="s">
        <v>2321</v>
      </c>
      <c r="F2923" s="6" t="s">
        <v>88</v>
      </c>
      <c r="G2923" s="7">
        <v>0.1</v>
      </c>
      <c r="H2923" s="6" t="s">
        <v>3049</v>
      </c>
      <c r="I2923" s="6" t="s">
        <v>20</v>
      </c>
      <c r="J2923" s="6">
        <v>2025.0</v>
      </c>
      <c r="K2923" s="10">
        <v>46084.0</v>
      </c>
      <c r="L2923" s="6">
        <v>1.0</v>
      </c>
      <c r="M2923" s="8">
        <f t="shared" si="5"/>
        <v>0.1</v>
      </c>
      <c r="P2923" s="9"/>
    </row>
    <row r="2924">
      <c r="A2924" s="6" t="s">
        <v>6986</v>
      </c>
      <c r="B2924" s="6" t="s">
        <v>1896</v>
      </c>
      <c r="C2924" s="6" t="s">
        <v>1949</v>
      </c>
      <c r="D2924" s="6" t="s">
        <v>6987</v>
      </c>
      <c r="E2924" s="6" t="s">
        <v>1269</v>
      </c>
      <c r="F2924" s="6" t="s">
        <v>80</v>
      </c>
      <c r="G2924" s="7">
        <v>0.43</v>
      </c>
      <c r="H2924" s="6" t="s">
        <v>1819</v>
      </c>
      <c r="I2924" s="6" t="s">
        <v>20</v>
      </c>
      <c r="J2924" s="6">
        <v>1995.0</v>
      </c>
      <c r="L2924" s="6">
        <v>2.0</v>
      </c>
      <c r="M2924" s="8">
        <f t="shared" si="5"/>
        <v>0.86</v>
      </c>
      <c r="P2924" s="9"/>
    </row>
    <row r="2925">
      <c r="A2925" s="6" t="s">
        <v>6986</v>
      </c>
      <c r="B2925" s="6" t="s">
        <v>1896</v>
      </c>
      <c r="C2925" s="6" t="s">
        <v>1949</v>
      </c>
      <c r="D2925" s="6" t="s">
        <v>6987</v>
      </c>
      <c r="E2925" s="6" t="s">
        <v>1269</v>
      </c>
      <c r="F2925" s="6" t="s">
        <v>80</v>
      </c>
      <c r="G2925" s="7">
        <v>0.09</v>
      </c>
      <c r="H2925" s="6" t="s">
        <v>1818</v>
      </c>
      <c r="I2925" s="6" t="s">
        <v>20</v>
      </c>
      <c r="J2925" s="6">
        <v>1995.0</v>
      </c>
      <c r="L2925" s="6">
        <v>3.0</v>
      </c>
      <c r="M2925" s="8">
        <f t="shared" si="5"/>
        <v>0.27</v>
      </c>
      <c r="P2925" s="9"/>
    </row>
    <row r="2926">
      <c r="A2926" s="6" t="s">
        <v>6988</v>
      </c>
      <c r="B2926" s="6" t="s">
        <v>554</v>
      </c>
      <c r="C2926" s="6" t="s">
        <v>1897</v>
      </c>
      <c r="D2926" s="6" t="s">
        <v>6989</v>
      </c>
      <c r="E2926" s="6" t="s">
        <v>1032</v>
      </c>
      <c r="F2926" s="6" t="s">
        <v>80</v>
      </c>
      <c r="G2926" s="7">
        <v>1.75</v>
      </c>
      <c r="H2926" s="6" t="s">
        <v>1831</v>
      </c>
      <c r="I2926" s="6" t="s">
        <v>20</v>
      </c>
      <c r="J2926" s="6">
        <v>1995.0</v>
      </c>
      <c r="L2926" s="6">
        <v>2.0</v>
      </c>
      <c r="M2926" s="8">
        <f t="shared" si="5"/>
        <v>3.5</v>
      </c>
      <c r="N2926" s="6" t="s">
        <v>6488</v>
      </c>
      <c r="P2926" s="9"/>
    </row>
    <row r="2927">
      <c r="A2927" s="6" t="s">
        <v>6990</v>
      </c>
      <c r="B2927" s="6" t="s">
        <v>554</v>
      </c>
      <c r="C2927" s="6" t="s">
        <v>1949</v>
      </c>
      <c r="D2927" s="6" t="s">
        <v>6991</v>
      </c>
      <c r="E2927" s="6" t="s">
        <v>1032</v>
      </c>
      <c r="F2927" s="6" t="s">
        <v>80</v>
      </c>
      <c r="G2927" s="7">
        <v>0.5</v>
      </c>
      <c r="H2927" s="6" t="s">
        <v>1819</v>
      </c>
      <c r="I2927" s="6" t="s">
        <v>20</v>
      </c>
      <c r="J2927" s="6">
        <v>1995.0</v>
      </c>
      <c r="L2927" s="6">
        <v>1.0</v>
      </c>
      <c r="M2927" s="8">
        <f t="shared" si="5"/>
        <v>0.5</v>
      </c>
      <c r="P2927" s="9"/>
    </row>
    <row r="2928">
      <c r="A2928" s="6" t="s">
        <v>6990</v>
      </c>
      <c r="B2928" s="6" t="s">
        <v>554</v>
      </c>
      <c r="C2928" s="6" t="s">
        <v>1949</v>
      </c>
      <c r="D2928" s="6" t="s">
        <v>6991</v>
      </c>
      <c r="E2928" s="6" t="s">
        <v>1032</v>
      </c>
      <c r="F2928" s="6" t="s">
        <v>80</v>
      </c>
      <c r="G2928" s="7">
        <v>0.15</v>
      </c>
      <c r="H2928" s="6" t="s">
        <v>1818</v>
      </c>
      <c r="I2928" s="6" t="s">
        <v>20</v>
      </c>
      <c r="J2928" s="6">
        <v>1995.0</v>
      </c>
      <c r="L2928" s="6">
        <v>1.0</v>
      </c>
      <c r="M2928" s="8">
        <f t="shared" si="5"/>
        <v>0.15</v>
      </c>
      <c r="P2928" s="9"/>
    </row>
    <row r="2929">
      <c r="A2929" s="6" t="s">
        <v>6992</v>
      </c>
      <c r="B2929" s="6" t="s">
        <v>1896</v>
      </c>
      <c r="C2929" s="6" t="s">
        <v>1949</v>
      </c>
      <c r="D2929" s="6" t="s">
        <v>6993</v>
      </c>
      <c r="E2929" s="6" t="s">
        <v>1269</v>
      </c>
      <c r="F2929" s="6" t="s">
        <v>80</v>
      </c>
      <c r="G2929" s="7">
        <v>0.21</v>
      </c>
      <c r="H2929" s="6" t="s">
        <v>1819</v>
      </c>
      <c r="I2929" s="6" t="s">
        <v>20</v>
      </c>
      <c r="J2929" s="6">
        <v>1995.0</v>
      </c>
      <c r="L2929" s="6">
        <v>2.0</v>
      </c>
      <c r="M2929" s="8">
        <f t="shared" si="5"/>
        <v>0.42</v>
      </c>
      <c r="P2929" s="9"/>
    </row>
    <row r="2930">
      <c r="A2930" s="6" t="s">
        <v>6992</v>
      </c>
      <c r="B2930" s="6" t="s">
        <v>1896</v>
      </c>
      <c r="C2930" s="6" t="s">
        <v>1949</v>
      </c>
      <c r="D2930" s="6" t="s">
        <v>6993</v>
      </c>
      <c r="E2930" s="6" t="s">
        <v>1269</v>
      </c>
      <c r="F2930" s="6" t="s">
        <v>80</v>
      </c>
      <c r="G2930" s="7">
        <v>0.09</v>
      </c>
      <c r="H2930" s="6" t="s">
        <v>1818</v>
      </c>
      <c r="I2930" s="6" t="s">
        <v>20</v>
      </c>
      <c r="J2930" s="6">
        <v>1995.0</v>
      </c>
      <c r="L2930" s="6">
        <v>1.0</v>
      </c>
      <c r="M2930" s="8">
        <f t="shared" si="5"/>
        <v>0.09</v>
      </c>
      <c r="P2930" s="9"/>
    </row>
    <row r="2931">
      <c r="A2931" s="6" t="s">
        <v>6994</v>
      </c>
      <c r="B2931" s="6" t="s">
        <v>6799</v>
      </c>
      <c r="C2931" s="6" t="s">
        <v>295</v>
      </c>
      <c r="D2931" s="6" t="s">
        <v>6995</v>
      </c>
      <c r="E2931" s="6" t="s">
        <v>1718</v>
      </c>
      <c r="F2931" s="6" t="s">
        <v>80</v>
      </c>
      <c r="G2931" s="7">
        <v>0.1</v>
      </c>
      <c r="H2931" s="6" t="s">
        <v>1819</v>
      </c>
      <c r="I2931" s="6" t="s">
        <v>20</v>
      </c>
      <c r="J2931" s="6">
        <v>1995.0</v>
      </c>
      <c r="K2931" s="10">
        <v>46083.0</v>
      </c>
      <c r="L2931" s="6">
        <v>6.0</v>
      </c>
      <c r="M2931" s="8">
        <f t="shared" si="5"/>
        <v>0.6</v>
      </c>
      <c r="P2931" s="9"/>
    </row>
    <row r="2932">
      <c r="A2932" s="6" t="s">
        <v>6994</v>
      </c>
      <c r="B2932" s="6" t="s">
        <v>6799</v>
      </c>
      <c r="C2932" s="6" t="s">
        <v>295</v>
      </c>
      <c r="D2932" s="6" t="s">
        <v>6995</v>
      </c>
      <c r="E2932" s="6" t="s">
        <v>1718</v>
      </c>
      <c r="F2932" s="6" t="s">
        <v>80</v>
      </c>
      <c r="G2932" s="7">
        <v>0.05</v>
      </c>
      <c r="H2932" s="6" t="s">
        <v>1818</v>
      </c>
      <c r="I2932" s="6" t="s">
        <v>20</v>
      </c>
      <c r="J2932" s="6">
        <v>1995.0</v>
      </c>
      <c r="K2932" s="10">
        <v>46083.0</v>
      </c>
      <c r="L2932" s="6">
        <v>3.0</v>
      </c>
      <c r="M2932" s="8">
        <f t="shared" si="5"/>
        <v>0.15</v>
      </c>
      <c r="P2932" s="9"/>
    </row>
    <row r="2933">
      <c r="A2933" s="6" t="s">
        <v>6996</v>
      </c>
      <c r="B2933" s="6" t="s">
        <v>2184</v>
      </c>
      <c r="C2933" s="6" t="s">
        <v>1949</v>
      </c>
      <c r="D2933" s="6" t="s">
        <v>6997</v>
      </c>
      <c r="E2933" s="6" t="s">
        <v>1032</v>
      </c>
      <c r="F2933" s="6" t="s">
        <v>80</v>
      </c>
      <c r="G2933" s="7">
        <v>0.15</v>
      </c>
      <c r="H2933" s="6" t="s">
        <v>1819</v>
      </c>
      <c r="I2933" s="6" t="s">
        <v>20</v>
      </c>
      <c r="J2933" s="6">
        <v>1995.0</v>
      </c>
      <c r="K2933" s="10">
        <v>46083.0</v>
      </c>
      <c r="L2933" s="6">
        <v>4.0</v>
      </c>
      <c r="M2933" s="8">
        <f t="shared" si="5"/>
        <v>0.6</v>
      </c>
      <c r="P2933" s="9"/>
    </row>
    <row r="2934">
      <c r="A2934" s="6" t="s">
        <v>6996</v>
      </c>
      <c r="B2934" s="6" t="s">
        <v>2184</v>
      </c>
      <c r="C2934" s="6" t="s">
        <v>1949</v>
      </c>
      <c r="D2934" s="6" t="s">
        <v>6997</v>
      </c>
      <c r="E2934" s="6" t="s">
        <v>1032</v>
      </c>
      <c r="F2934" s="6" t="s">
        <v>80</v>
      </c>
      <c r="G2934" s="7">
        <v>0.09</v>
      </c>
      <c r="H2934" s="6" t="s">
        <v>1818</v>
      </c>
      <c r="I2934" s="6" t="s">
        <v>20</v>
      </c>
      <c r="J2934" s="6">
        <v>1995.0</v>
      </c>
      <c r="K2934" s="10">
        <v>46083.0</v>
      </c>
      <c r="L2934" s="6">
        <v>5.0</v>
      </c>
      <c r="M2934" s="8">
        <f t="shared" si="5"/>
        <v>0.45</v>
      </c>
      <c r="P2934" s="9"/>
    </row>
    <row r="2935">
      <c r="A2935" s="6" t="s">
        <v>6998</v>
      </c>
      <c r="B2935" s="6" t="s">
        <v>554</v>
      </c>
      <c r="C2935" s="6" t="s">
        <v>1949</v>
      </c>
      <c r="D2935" s="6" t="s">
        <v>6999</v>
      </c>
      <c r="E2935" s="6" t="s">
        <v>1718</v>
      </c>
      <c r="F2935" s="6" t="s">
        <v>80</v>
      </c>
      <c r="G2935" s="7">
        <v>0.35</v>
      </c>
      <c r="H2935" s="6" t="s">
        <v>1819</v>
      </c>
      <c r="I2935" s="6" t="s">
        <v>20</v>
      </c>
      <c r="J2935" s="6">
        <v>1995.0</v>
      </c>
      <c r="L2935" s="6">
        <v>1.0</v>
      </c>
      <c r="M2935" s="8">
        <f t="shared" si="5"/>
        <v>0.35</v>
      </c>
      <c r="P2935" s="9"/>
    </row>
    <row r="2936">
      <c r="A2936" s="6" t="s">
        <v>6998</v>
      </c>
      <c r="B2936" s="6" t="s">
        <v>554</v>
      </c>
      <c r="C2936" s="6" t="s">
        <v>1949</v>
      </c>
      <c r="D2936" s="6" t="s">
        <v>6999</v>
      </c>
      <c r="E2936" s="6" t="s">
        <v>1718</v>
      </c>
      <c r="F2936" s="6" t="s">
        <v>80</v>
      </c>
      <c r="G2936" s="7">
        <v>0.15</v>
      </c>
      <c r="H2936" s="6" t="s">
        <v>1818</v>
      </c>
      <c r="I2936" s="6" t="s">
        <v>20</v>
      </c>
      <c r="J2936" s="6">
        <v>1995.0</v>
      </c>
      <c r="L2936" s="6">
        <v>1.0</v>
      </c>
      <c r="M2936" s="8">
        <f t="shared" si="5"/>
        <v>0.15</v>
      </c>
      <c r="P2936" s="9"/>
    </row>
    <row r="2937">
      <c r="A2937" s="6" t="s">
        <v>7000</v>
      </c>
      <c r="B2937" s="6" t="s">
        <v>6799</v>
      </c>
      <c r="C2937" s="6" t="s">
        <v>1949</v>
      </c>
      <c r="D2937" s="6" t="s">
        <v>7001</v>
      </c>
      <c r="E2937" s="6" t="s">
        <v>2030</v>
      </c>
      <c r="F2937" s="6" t="s">
        <v>80</v>
      </c>
      <c r="G2937" s="7">
        <v>0.2</v>
      </c>
      <c r="H2937" s="6" t="s">
        <v>1819</v>
      </c>
      <c r="I2937" s="6" t="s">
        <v>20</v>
      </c>
      <c r="J2937" s="6">
        <v>1995.0</v>
      </c>
      <c r="K2937" s="10">
        <v>46116.0</v>
      </c>
      <c r="L2937" s="6">
        <v>1.0</v>
      </c>
      <c r="M2937" s="8">
        <f t="shared" si="5"/>
        <v>0.2</v>
      </c>
      <c r="P2937" s="9"/>
    </row>
    <row r="2938">
      <c r="A2938" s="6" t="s">
        <v>7000</v>
      </c>
      <c r="B2938" s="6" t="s">
        <v>6799</v>
      </c>
      <c r="C2938" s="6" t="s">
        <v>1949</v>
      </c>
      <c r="D2938" s="6" t="s">
        <v>7001</v>
      </c>
      <c r="E2938" s="6" t="s">
        <v>2030</v>
      </c>
      <c r="F2938" s="6" t="s">
        <v>80</v>
      </c>
      <c r="G2938" s="7">
        <v>0.09</v>
      </c>
      <c r="H2938" s="6" t="s">
        <v>1818</v>
      </c>
      <c r="I2938" s="6" t="s">
        <v>20</v>
      </c>
      <c r="J2938" s="6">
        <v>1995.0</v>
      </c>
      <c r="K2938" s="10">
        <v>46116.0</v>
      </c>
      <c r="L2938" s="6">
        <v>1.0</v>
      </c>
      <c r="M2938" s="8">
        <f t="shared" si="5"/>
        <v>0.09</v>
      </c>
      <c r="P2938" s="9"/>
    </row>
    <row r="2939">
      <c r="A2939" s="6" t="s">
        <v>7002</v>
      </c>
      <c r="B2939" s="6" t="s">
        <v>1691</v>
      </c>
      <c r="C2939" s="6" t="s">
        <v>295</v>
      </c>
      <c r="D2939" s="6" t="s">
        <v>7003</v>
      </c>
      <c r="E2939" s="6" t="s">
        <v>1718</v>
      </c>
      <c r="F2939" s="6" t="s">
        <v>80</v>
      </c>
      <c r="G2939" s="7">
        <v>0.1</v>
      </c>
      <c r="H2939" s="6" t="s">
        <v>1819</v>
      </c>
      <c r="I2939" s="6" t="s">
        <v>20</v>
      </c>
      <c r="J2939" s="6">
        <v>1995.0</v>
      </c>
      <c r="K2939" s="10">
        <v>46025.0</v>
      </c>
      <c r="L2939" s="6">
        <v>4.0</v>
      </c>
      <c r="M2939" s="8">
        <f t="shared" si="5"/>
        <v>0.4</v>
      </c>
      <c r="P2939" s="9"/>
    </row>
    <row r="2940">
      <c r="A2940" s="6" t="s">
        <v>7002</v>
      </c>
      <c r="B2940" s="6" t="s">
        <v>1691</v>
      </c>
      <c r="C2940" s="6" t="s">
        <v>295</v>
      </c>
      <c r="D2940" s="6" t="s">
        <v>7003</v>
      </c>
      <c r="E2940" s="6" t="s">
        <v>1718</v>
      </c>
      <c r="F2940" s="6" t="s">
        <v>80</v>
      </c>
      <c r="G2940" s="7">
        <v>0.05</v>
      </c>
      <c r="H2940" s="6" t="s">
        <v>1818</v>
      </c>
      <c r="I2940" s="6" t="s">
        <v>20</v>
      </c>
      <c r="J2940" s="6">
        <v>1995.0</v>
      </c>
      <c r="K2940" s="10">
        <v>46025.0</v>
      </c>
      <c r="L2940" s="6">
        <v>3.0</v>
      </c>
      <c r="M2940" s="8">
        <f t="shared" si="5"/>
        <v>0.15</v>
      </c>
      <c r="P2940" s="9"/>
    </row>
    <row r="2941">
      <c r="A2941" s="6" t="s">
        <v>7004</v>
      </c>
      <c r="B2941" s="6" t="s">
        <v>6808</v>
      </c>
      <c r="C2941" s="6" t="s">
        <v>2138</v>
      </c>
      <c r="D2941" s="6" t="s">
        <v>7005</v>
      </c>
      <c r="E2941" s="6" t="s">
        <v>1035</v>
      </c>
      <c r="F2941" s="6" t="s">
        <v>80</v>
      </c>
      <c r="G2941" s="7">
        <v>0.08</v>
      </c>
      <c r="H2941" s="6" t="s">
        <v>1819</v>
      </c>
      <c r="I2941" s="6" t="s">
        <v>20</v>
      </c>
      <c r="J2941" s="6">
        <v>1995.0</v>
      </c>
      <c r="K2941" s="10">
        <v>46023.0</v>
      </c>
      <c r="L2941" s="6">
        <v>6.0</v>
      </c>
      <c r="M2941" s="8">
        <f t="shared" si="5"/>
        <v>0.48</v>
      </c>
      <c r="P2941" s="9"/>
    </row>
    <row r="2942">
      <c r="A2942" s="6" t="s">
        <v>7004</v>
      </c>
      <c r="B2942" s="6" t="s">
        <v>6808</v>
      </c>
      <c r="C2942" s="6" t="s">
        <v>2138</v>
      </c>
      <c r="D2942" s="6" t="s">
        <v>7005</v>
      </c>
      <c r="E2942" s="6" t="s">
        <v>1035</v>
      </c>
      <c r="F2942" s="6" t="s">
        <v>80</v>
      </c>
      <c r="G2942" s="7">
        <v>0.05</v>
      </c>
      <c r="H2942" s="6" t="s">
        <v>1818</v>
      </c>
      <c r="I2942" s="6" t="s">
        <v>20</v>
      </c>
      <c r="J2942" s="6">
        <v>1995.0</v>
      </c>
      <c r="K2942" s="10">
        <v>46023.0</v>
      </c>
      <c r="L2942" s="6">
        <v>5.0</v>
      </c>
      <c r="M2942" s="8">
        <f t="shared" si="5"/>
        <v>0.25</v>
      </c>
      <c r="P2942" s="9"/>
    </row>
    <row r="2943">
      <c r="A2943" s="6" t="s">
        <v>7006</v>
      </c>
      <c r="B2943" s="6" t="s">
        <v>554</v>
      </c>
      <c r="C2943" s="6" t="s">
        <v>1949</v>
      </c>
      <c r="D2943" s="6" t="s">
        <v>7007</v>
      </c>
      <c r="E2943" s="6" t="s">
        <v>1032</v>
      </c>
      <c r="F2943" s="6" t="s">
        <v>80</v>
      </c>
      <c r="G2943" s="7">
        <v>0.48</v>
      </c>
      <c r="H2943" s="6" t="s">
        <v>7008</v>
      </c>
      <c r="I2943" s="6" t="s">
        <v>20</v>
      </c>
      <c r="J2943" s="6">
        <v>2022.0</v>
      </c>
      <c r="L2943" s="6">
        <v>4.0</v>
      </c>
      <c r="M2943" s="8">
        <f t="shared" si="5"/>
        <v>1.92</v>
      </c>
      <c r="P2943" s="9"/>
    </row>
    <row r="2944">
      <c r="A2944" s="6" t="s">
        <v>7009</v>
      </c>
      <c r="B2944" s="6" t="s">
        <v>554</v>
      </c>
      <c r="C2944" s="6" t="s">
        <v>1897</v>
      </c>
      <c r="D2944" s="6" t="s">
        <v>7010</v>
      </c>
      <c r="E2944" s="6" t="s">
        <v>1035</v>
      </c>
      <c r="F2944" s="6" t="s">
        <v>80</v>
      </c>
      <c r="G2944" s="7">
        <v>2.5</v>
      </c>
      <c r="H2944" s="6" t="s">
        <v>1818</v>
      </c>
      <c r="I2944" s="6" t="s">
        <v>20</v>
      </c>
      <c r="J2944" s="6">
        <v>1995.0</v>
      </c>
      <c r="L2944" s="6">
        <v>2.0</v>
      </c>
      <c r="M2944" s="8">
        <f t="shared" si="5"/>
        <v>5</v>
      </c>
      <c r="N2944" s="6" t="s">
        <v>6488</v>
      </c>
      <c r="P2944" s="9"/>
    </row>
    <row r="2945">
      <c r="A2945" s="6" t="s">
        <v>1875</v>
      </c>
      <c r="B2945" s="6" t="s">
        <v>554</v>
      </c>
      <c r="C2945" s="6" t="s">
        <v>2138</v>
      </c>
      <c r="D2945" s="6" t="s">
        <v>7011</v>
      </c>
      <c r="E2945" s="6" t="s">
        <v>1269</v>
      </c>
      <c r="F2945" s="6" t="s">
        <v>80</v>
      </c>
      <c r="G2945" s="7">
        <v>0.65</v>
      </c>
      <c r="H2945" s="6" t="s">
        <v>1818</v>
      </c>
      <c r="I2945" s="6" t="s">
        <v>20</v>
      </c>
      <c r="J2945" s="6">
        <v>1995.0</v>
      </c>
      <c r="L2945" s="6">
        <v>1.0</v>
      </c>
      <c r="M2945" s="8">
        <f t="shared" si="5"/>
        <v>0.65</v>
      </c>
      <c r="P2945" s="9"/>
    </row>
    <row r="2946">
      <c r="A2946" s="6" t="s">
        <v>7012</v>
      </c>
      <c r="B2946" s="6" t="s">
        <v>554</v>
      </c>
      <c r="C2946" s="6" t="s">
        <v>2841</v>
      </c>
      <c r="D2946" s="6" t="s">
        <v>7013</v>
      </c>
      <c r="E2946" s="6" t="s">
        <v>1718</v>
      </c>
      <c r="F2946" s="6" t="s">
        <v>80</v>
      </c>
      <c r="G2946" s="7">
        <v>0.49</v>
      </c>
      <c r="H2946" s="6" t="s">
        <v>1819</v>
      </c>
      <c r="I2946" s="6" t="s">
        <v>20</v>
      </c>
      <c r="J2946" s="6">
        <v>1995.0</v>
      </c>
      <c r="L2946" s="6">
        <v>2.0</v>
      </c>
      <c r="M2946" s="8">
        <f t="shared" si="5"/>
        <v>0.98</v>
      </c>
      <c r="P2946" s="9"/>
    </row>
    <row r="2947">
      <c r="A2947" s="6" t="s">
        <v>7012</v>
      </c>
      <c r="B2947" s="6" t="s">
        <v>554</v>
      </c>
      <c r="C2947" s="6" t="s">
        <v>2841</v>
      </c>
      <c r="D2947" s="6" t="s">
        <v>7013</v>
      </c>
      <c r="E2947" s="6" t="s">
        <v>1718</v>
      </c>
      <c r="F2947" s="6" t="s">
        <v>80</v>
      </c>
      <c r="G2947" s="7">
        <v>0.08</v>
      </c>
      <c r="H2947" s="6" t="s">
        <v>1818</v>
      </c>
      <c r="I2947" s="6" t="s">
        <v>20</v>
      </c>
      <c r="J2947" s="6">
        <v>1995.0</v>
      </c>
      <c r="L2947" s="6">
        <v>1.0</v>
      </c>
      <c r="M2947" s="8">
        <f t="shared" si="5"/>
        <v>0.08</v>
      </c>
      <c r="P2947" s="9"/>
    </row>
    <row r="2948">
      <c r="A2948" s="6" t="s">
        <v>7014</v>
      </c>
      <c r="B2948" s="6" t="s">
        <v>6799</v>
      </c>
      <c r="C2948" s="6" t="s">
        <v>1949</v>
      </c>
      <c r="D2948" s="6" t="s">
        <v>7015</v>
      </c>
      <c r="E2948" s="6" t="s">
        <v>1269</v>
      </c>
      <c r="F2948" s="6" t="s">
        <v>80</v>
      </c>
      <c r="G2948" s="7">
        <v>0.49</v>
      </c>
      <c r="H2948" s="6" t="s">
        <v>1819</v>
      </c>
      <c r="I2948" s="6" t="s">
        <v>20</v>
      </c>
      <c r="J2948" s="6">
        <v>1995.0</v>
      </c>
      <c r="K2948" s="10">
        <v>46082.0</v>
      </c>
      <c r="L2948" s="6">
        <v>1.0</v>
      </c>
      <c r="M2948" s="8">
        <f t="shared" si="5"/>
        <v>0.49</v>
      </c>
      <c r="P2948" s="9"/>
    </row>
    <row r="2949">
      <c r="A2949" s="6" t="s">
        <v>7014</v>
      </c>
      <c r="B2949" s="6" t="s">
        <v>6799</v>
      </c>
      <c r="C2949" s="6" t="s">
        <v>1949</v>
      </c>
      <c r="D2949" s="6" t="s">
        <v>7015</v>
      </c>
      <c r="E2949" s="6" t="s">
        <v>1269</v>
      </c>
      <c r="F2949" s="6" t="s">
        <v>80</v>
      </c>
      <c r="G2949" s="7">
        <v>0.14</v>
      </c>
      <c r="H2949" s="6" t="s">
        <v>1818</v>
      </c>
      <c r="I2949" s="6" t="s">
        <v>20</v>
      </c>
      <c r="J2949" s="6">
        <v>1995.0</v>
      </c>
      <c r="K2949" s="10">
        <v>46082.0</v>
      </c>
      <c r="L2949" s="6">
        <v>2.0</v>
      </c>
      <c r="M2949" s="8">
        <f t="shared" si="5"/>
        <v>0.28</v>
      </c>
      <c r="P2949" s="9"/>
    </row>
    <row r="2950">
      <c r="A2950" s="6" t="s">
        <v>7016</v>
      </c>
      <c r="B2950" s="6" t="s">
        <v>554</v>
      </c>
      <c r="C2950" s="6" t="s">
        <v>1949</v>
      </c>
      <c r="D2950" s="6" t="s">
        <v>7017</v>
      </c>
      <c r="E2950" s="6" t="s">
        <v>1035</v>
      </c>
      <c r="F2950" s="6" t="s">
        <v>80</v>
      </c>
      <c r="G2950" s="7">
        <v>0.64</v>
      </c>
      <c r="H2950" s="6" t="s">
        <v>1819</v>
      </c>
      <c r="I2950" s="6" t="s">
        <v>20</v>
      </c>
      <c r="J2950" s="6">
        <v>1995.0</v>
      </c>
      <c r="L2950" s="6">
        <v>1.0</v>
      </c>
      <c r="M2950" s="8">
        <f t="shared" si="5"/>
        <v>0.64</v>
      </c>
      <c r="P2950" s="9"/>
    </row>
    <row r="2951">
      <c r="A2951" s="6" t="s">
        <v>7016</v>
      </c>
      <c r="B2951" s="6" t="s">
        <v>554</v>
      </c>
      <c r="C2951" s="6" t="s">
        <v>1949</v>
      </c>
      <c r="D2951" s="6" t="s">
        <v>7017</v>
      </c>
      <c r="E2951" s="6" t="s">
        <v>1035</v>
      </c>
      <c r="F2951" s="6" t="s">
        <v>80</v>
      </c>
      <c r="G2951" s="7">
        <v>0.1</v>
      </c>
      <c r="H2951" s="6" t="s">
        <v>1818</v>
      </c>
      <c r="I2951" s="6" t="s">
        <v>20</v>
      </c>
      <c r="J2951" s="6">
        <v>1995.0</v>
      </c>
      <c r="L2951" s="6">
        <v>1.0</v>
      </c>
      <c r="M2951" s="8">
        <f t="shared" si="5"/>
        <v>0.1</v>
      </c>
      <c r="P2951" s="9"/>
    </row>
    <row r="2952">
      <c r="A2952" s="6" t="s">
        <v>7018</v>
      </c>
      <c r="B2952" s="6" t="s">
        <v>1691</v>
      </c>
      <c r="C2952" s="6" t="s">
        <v>1949</v>
      </c>
      <c r="E2952" s="6" t="s">
        <v>1693</v>
      </c>
      <c r="F2952" s="6" t="s">
        <v>80</v>
      </c>
      <c r="G2952" s="7">
        <v>0.4</v>
      </c>
      <c r="H2952" s="6" t="s">
        <v>1819</v>
      </c>
      <c r="I2952" s="6" t="s">
        <v>20</v>
      </c>
      <c r="J2952" s="6">
        <v>1995.0</v>
      </c>
      <c r="K2952" s="10">
        <v>46177.0</v>
      </c>
      <c r="L2952" s="6">
        <v>2.0</v>
      </c>
      <c r="M2952" s="8">
        <f t="shared" si="5"/>
        <v>0.8</v>
      </c>
      <c r="P2952" s="9"/>
    </row>
    <row r="2953">
      <c r="A2953" s="6" t="s">
        <v>7018</v>
      </c>
      <c r="B2953" s="6" t="s">
        <v>1691</v>
      </c>
      <c r="C2953" s="6" t="s">
        <v>1949</v>
      </c>
      <c r="E2953" s="6" t="s">
        <v>1693</v>
      </c>
      <c r="F2953" s="6" t="s">
        <v>80</v>
      </c>
      <c r="G2953" s="7">
        <v>0.09</v>
      </c>
      <c r="H2953" s="6" t="s">
        <v>1818</v>
      </c>
      <c r="I2953" s="6" t="s">
        <v>20</v>
      </c>
      <c r="J2953" s="6">
        <v>1995.0</v>
      </c>
      <c r="K2953" s="10">
        <v>46177.0</v>
      </c>
      <c r="L2953" s="6">
        <v>1.0</v>
      </c>
      <c r="M2953" s="8">
        <f t="shared" si="5"/>
        <v>0.09</v>
      </c>
      <c r="P2953" s="9"/>
    </row>
    <row r="2954">
      <c r="A2954" s="6" t="s">
        <v>7019</v>
      </c>
      <c r="B2954" s="6" t="s">
        <v>6681</v>
      </c>
      <c r="C2954" s="6" t="s">
        <v>295</v>
      </c>
      <c r="D2954" s="6" t="s">
        <v>7020</v>
      </c>
      <c r="E2954" s="6" t="s">
        <v>1032</v>
      </c>
      <c r="F2954" s="6" t="s">
        <v>80</v>
      </c>
      <c r="G2954" s="7">
        <v>0.08</v>
      </c>
      <c r="H2954" s="6" t="s">
        <v>1819</v>
      </c>
      <c r="I2954" s="6" t="s">
        <v>20</v>
      </c>
      <c r="J2954" s="6">
        <v>1995.0</v>
      </c>
      <c r="K2954" s="10">
        <v>46113.0</v>
      </c>
      <c r="L2954" s="6">
        <v>3.0</v>
      </c>
      <c r="M2954" s="8">
        <f t="shared" si="5"/>
        <v>0.24</v>
      </c>
      <c r="P2954" s="9"/>
    </row>
    <row r="2955">
      <c r="A2955" s="6" t="s">
        <v>7019</v>
      </c>
      <c r="B2955" s="6" t="s">
        <v>6681</v>
      </c>
      <c r="C2955" s="6" t="s">
        <v>295</v>
      </c>
      <c r="D2955" s="6" t="s">
        <v>7020</v>
      </c>
      <c r="E2955" s="6" t="s">
        <v>1032</v>
      </c>
      <c r="F2955" s="6" t="s">
        <v>80</v>
      </c>
      <c r="G2955" s="7">
        <v>0.05</v>
      </c>
      <c r="H2955" s="6" t="s">
        <v>1818</v>
      </c>
      <c r="I2955" s="6" t="s">
        <v>20</v>
      </c>
      <c r="J2955" s="6">
        <v>1995.0</v>
      </c>
      <c r="K2955" s="10">
        <v>46113.0</v>
      </c>
      <c r="L2955" s="6">
        <v>2.0</v>
      </c>
      <c r="M2955" s="8">
        <f t="shared" si="5"/>
        <v>0.1</v>
      </c>
      <c r="P2955" s="9"/>
    </row>
    <row r="2956">
      <c r="A2956" s="6" t="s">
        <v>7021</v>
      </c>
      <c r="B2956" s="6" t="s">
        <v>7022</v>
      </c>
      <c r="C2956" s="6" t="s">
        <v>295</v>
      </c>
      <c r="D2956" s="6" t="s">
        <v>7023</v>
      </c>
      <c r="E2956" s="6" t="s">
        <v>1718</v>
      </c>
      <c r="F2956" s="6" t="s">
        <v>80</v>
      </c>
      <c r="G2956" s="7">
        <v>0.1</v>
      </c>
      <c r="H2956" s="6" t="s">
        <v>2089</v>
      </c>
      <c r="I2956" s="6" t="s">
        <v>20</v>
      </c>
      <c r="J2956" s="6">
        <v>1995.0</v>
      </c>
      <c r="K2956" s="10">
        <v>46055.0</v>
      </c>
      <c r="L2956" s="6">
        <v>2.0</v>
      </c>
      <c r="M2956" s="8">
        <f t="shared" si="5"/>
        <v>0.2</v>
      </c>
      <c r="P2956" s="9"/>
    </row>
    <row r="2957">
      <c r="A2957" s="6" t="s">
        <v>1862</v>
      </c>
      <c r="B2957" s="6" t="s">
        <v>554</v>
      </c>
      <c r="C2957" s="6" t="s">
        <v>295</v>
      </c>
      <c r="D2957" s="6" t="s">
        <v>7024</v>
      </c>
      <c r="E2957" s="6" t="s">
        <v>1035</v>
      </c>
      <c r="F2957" s="6" t="s">
        <v>80</v>
      </c>
      <c r="G2957" s="7">
        <v>0.18</v>
      </c>
      <c r="H2957" s="6" t="s">
        <v>1819</v>
      </c>
      <c r="I2957" s="6" t="s">
        <v>20</v>
      </c>
      <c r="J2957" s="6">
        <v>1995.0</v>
      </c>
      <c r="L2957" s="6">
        <v>3.0</v>
      </c>
      <c r="M2957" s="8">
        <f t="shared" si="5"/>
        <v>0.54</v>
      </c>
      <c r="P2957" s="9"/>
    </row>
    <row r="2958">
      <c r="A2958" s="6" t="s">
        <v>1862</v>
      </c>
      <c r="B2958" s="6" t="s">
        <v>554</v>
      </c>
      <c r="C2958" s="6" t="s">
        <v>295</v>
      </c>
      <c r="D2958" s="6" t="s">
        <v>7024</v>
      </c>
      <c r="E2958" s="6" t="s">
        <v>1035</v>
      </c>
      <c r="F2958" s="6" t="s">
        <v>80</v>
      </c>
      <c r="G2958" s="7">
        <v>0.05</v>
      </c>
      <c r="H2958" s="6" t="s">
        <v>1818</v>
      </c>
      <c r="I2958" s="6" t="s">
        <v>20</v>
      </c>
      <c r="J2958" s="6">
        <v>1995.0</v>
      </c>
      <c r="L2958" s="6">
        <v>2.0</v>
      </c>
      <c r="M2958" s="8">
        <f t="shared" si="5"/>
        <v>0.1</v>
      </c>
      <c r="P2958" s="9"/>
    </row>
    <row r="2959">
      <c r="A2959" s="6" t="s">
        <v>7025</v>
      </c>
      <c r="B2959" s="6" t="s">
        <v>554</v>
      </c>
      <c r="C2959" s="6" t="s">
        <v>295</v>
      </c>
      <c r="D2959" s="6" t="s">
        <v>7026</v>
      </c>
      <c r="E2959" s="6" t="s">
        <v>1269</v>
      </c>
      <c r="F2959" s="6" t="s">
        <v>80</v>
      </c>
      <c r="G2959" s="7">
        <v>0.12</v>
      </c>
      <c r="H2959" s="6" t="s">
        <v>1774</v>
      </c>
      <c r="I2959" s="6" t="s">
        <v>20</v>
      </c>
      <c r="J2959" s="6">
        <v>1995.0</v>
      </c>
      <c r="L2959" s="6">
        <v>4.0</v>
      </c>
      <c r="M2959" s="8">
        <f t="shared" si="5"/>
        <v>0.48</v>
      </c>
      <c r="P2959" s="9"/>
    </row>
    <row r="2960">
      <c r="A2960" s="6" t="s">
        <v>7027</v>
      </c>
      <c r="B2960" s="6" t="s">
        <v>2058</v>
      </c>
      <c r="C2960" s="6" t="s">
        <v>295</v>
      </c>
      <c r="D2960" s="6" t="s">
        <v>7028</v>
      </c>
      <c r="E2960" s="6" t="s">
        <v>2295</v>
      </c>
      <c r="F2960" s="6" t="s">
        <v>18</v>
      </c>
      <c r="G2960" s="7">
        <v>0.06</v>
      </c>
      <c r="H2960" s="6" t="s">
        <v>3827</v>
      </c>
      <c r="I2960" s="6" t="s">
        <v>20</v>
      </c>
      <c r="J2960" s="6">
        <v>2016.0</v>
      </c>
      <c r="L2960" s="6">
        <v>1.0</v>
      </c>
      <c r="M2960" s="8">
        <f t="shared" si="5"/>
        <v>0.06</v>
      </c>
      <c r="P2960" s="9"/>
    </row>
    <row r="2961">
      <c r="A2961" s="6" t="s">
        <v>7029</v>
      </c>
      <c r="B2961" s="6" t="s">
        <v>378</v>
      </c>
      <c r="C2961" s="6" t="s">
        <v>295</v>
      </c>
      <c r="D2961" s="6" t="s">
        <v>7030</v>
      </c>
      <c r="E2961" s="6" t="s">
        <v>1954</v>
      </c>
      <c r="F2961" s="6" t="s">
        <v>18</v>
      </c>
      <c r="G2961" s="7">
        <v>0.06</v>
      </c>
      <c r="H2961" s="6" t="s">
        <v>2474</v>
      </c>
      <c r="I2961" s="6" t="s">
        <v>20</v>
      </c>
      <c r="J2961" s="6">
        <v>2017.0</v>
      </c>
      <c r="L2961" s="6">
        <v>1.0</v>
      </c>
      <c r="M2961" s="8">
        <f t="shared" si="5"/>
        <v>0.06</v>
      </c>
      <c r="P2961" s="9"/>
    </row>
    <row r="2962">
      <c r="A2962" s="6" t="s">
        <v>7031</v>
      </c>
      <c r="B2962" s="6" t="s">
        <v>2476</v>
      </c>
      <c r="C2962" s="6" t="s">
        <v>295</v>
      </c>
      <c r="D2962" s="6" t="s">
        <v>7032</v>
      </c>
      <c r="E2962" s="6" t="s">
        <v>1954</v>
      </c>
      <c r="F2962" s="6" t="s">
        <v>18</v>
      </c>
      <c r="G2962" s="7">
        <v>0.03</v>
      </c>
      <c r="H2962" s="6" t="s">
        <v>2511</v>
      </c>
      <c r="I2962" s="6" t="s">
        <v>20</v>
      </c>
      <c r="J2962" s="6">
        <v>2018.0</v>
      </c>
      <c r="K2962" s="10">
        <v>46055.0</v>
      </c>
      <c r="L2962" s="6">
        <v>1.0</v>
      </c>
      <c r="M2962" s="8">
        <f t="shared" si="5"/>
        <v>0.03</v>
      </c>
      <c r="P2962" s="9"/>
    </row>
    <row r="2963">
      <c r="A2963" s="6" t="s">
        <v>7033</v>
      </c>
      <c r="B2963" s="6" t="s">
        <v>2554</v>
      </c>
      <c r="C2963" s="6" t="s">
        <v>295</v>
      </c>
      <c r="D2963" s="6" t="s">
        <v>7034</v>
      </c>
      <c r="E2963" s="6" t="s">
        <v>2299</v>
      </c>
      <c r="F2963" s="6" t="s">
        <v>18</v>
      </c>
      <c r="G2963" s="7">
        <v>0.03</v>
      </c>
      <c r="H2963" s="6" t="s">
        <v>2511</v>
      </c>
      <c r="I2963" s="6" t="s">
        <v>20</v>
      </c>
      <c r="J2963" s="6">
        <v>2018.0</v>
      </c>
      <c r="K2963" s="10">
        <v>46084.0</v>
      </c>
      <c r="L2963" s="6">
        <v>2.0</v>
      </c>
      <c r="M2963" s="8">
        <f t="shared" si="5"/>
        <v>0.06</v>
      </c>
      <c r="P2963" s="9"/>
    </row>
    <row r="2964">
      <c r="A2964" s="6" t="s">
        <v>7035</v>
      </c>
      <c r="B2964" s="6" t="s">
        <v>2508</v>
      </c>
      <c r="C2964" s="6" t="s">
        <v>295</v>
      </c>
      <c r="E2964" s="6" t="s">
        <v>2295</v>
      </c>
      <c r="F2964" s="6" t="s">
        <v>18</v>
      </c>
      <c r="G2964" s="7">
        <v>0.03</v>
      </c>
      <c r="H2964" s="6" t="s">
        <v>2511</v>
      </c>
      <c r="I2964" s="6" t="s">
        <v>20</v>
      </c>
      <c r="J2964" s="6">
        <v>2018.0</v>
      </c>
      <c r="K2964" s="10">
        <v>46057.0</v>
      </c>
      <c r="L2964" s="6">
        <v>1.0</v>
      </c>
      <c r="M2964" s="8">
        <f t="shared" si="5"/>
        <v>0.03</v>
      </c>
      <c r="P2964" s="9"/>
    </row>
    <row r="2965">
      <c r="A2965" s="6" t="s">
        <v>7036</v>
      </c>
      <c r="B2965" s="6" t="s">
        <v>3525</v>
      </c>
      <c r="C2965" s="6" t="s">
        <v>295</v>
      </c>
      <c r="D2965" s="6" t="s">
        <v>5693</v>
      </c>
      <c r="E2965" s="6" t="s">
        <v>780</v>
      </c>
      <c r="F2965" s="6" t="s">
        <v>18</v>
      </c>
      <c r="G2965" s="7">
        <v>0.06</v>
      </c>
      <c r="H2965" s="6" t="s">
        <v>2990</v>
      </c>
      <c r="I2965" s="6" t="s">
        <v>20</v>
      </c>
      <c r="J2965" s="6">
        <v>2013.0</v>
      </c>
      <c r="K2965" s="10">
        <v>46023.0</v>
      </c>
      <c r="L2965" s="6">
        <v>1.0</v>
      </c>
      <c r="M2965" s="8">
        <f t="shared" si="5"/>
        <v>0.06</v>
      </c>
      <c r="P2965" s="9"/>
    </row>
    <row r="2966">
      <c r="A2966" s="6" t="s">
        <v>2507</v>
      </c>
      <c r="B2966" s="6" t="s">
        <v>2508</v>
      </c>
      <c r="C2966" s="6" t="s">
        <v>295</v>
      </c>
      <c r="D2966" s="6" t="s">
        <v>7037</v>
      </c>
      <c r="E2966" s="6" t="s">
        <v>2510</v>
      </c>
      <c r="F2966" s="6" t="s">
        <v>18</v>
      </c>
      <c r="G2966" s="7">
        <v>0.05</v>
      </c>
      <c r="H2966" s="6" t="s">
        <v>2511</v>
      </c>
      <c r="I2966" s="6" t="s">
        <v>20</v>
      </c>
      <c r="J2966" s="6">
        <v>2018.0</v>
      </c>
      <c r="K2966" s="10">
        <v>46179.0</v>
      </c>
      <c r="L2966" s="6">
        <v>1.0</v>
      </c>
      <c r="M2966" s="8">
        <f t="shared" si="5"/>
        <v>0.05</v>
      </c>
      <c r="P2966" s="9"/>
    </row>
    <row r="2967">
      <c r="A2967" s="6" t="s">
        <v>7038</v>
      </c>
      <c r="B2967" s="6" t="s">
        <v>4127</v>
      </c>
      <c r="C2967" s="6" t="s">
        <v>295</v>
      </c>
      <c r="D2967" s="6" t="s">
        <v>7039</v>
      </c>
      <c r="E2967" s="6" t="s">
        <v>2299</v>
      </c>
      <c r="F2967" s="6" t="s">
        <v>18</v>
      </c>
      <c r="G2967" s="7">
        <v>0.09</v>
      </c>
      <c r="H2967" s="6" t="s">
        <v>2574</v>
      </c>
      <c r="I2967" s="6" t="s">
        <v>20</v>
      </c>
      <c r="J2967" s="6">
        <v>2004.0</v>
      </c>
      <c r="L2967" s="6">
        <v>1.0</v>
      </c>
      <c r="M2967" s="8">
        <f t="shared" si="5"/>
        <v>0.09</v>
      </c>
      <c r="P2967" s="9"/>
    </row>
    <row r="2968">
      <c r="A2968" s="6" t="s">
        <v>7040</v>
      </c>
      <c r="B2968" s="6" t="s">
        <v>2058</v>
      </c>
      <c r="C2968" s="6" t="s">
        <v>295</v>
      </c>
      <c r="D2968" s="6" t="s">
        <v>7041</v>
      </c>
      <c r="E2968" s="6" t="s">
        <v>2503</v>
      </c>
      <c r="F2968" s="6" t="s">
        <v>18</v>
      </c>
      <c r="G2968" s="7">
        <v>0.09</v>
      </c>
      <c r="H2968" s="6" t="s">
        <v>3866</v>
      </c>
      <c r="I2968" s="6" t="s">
        <v>20</v>
      </c>
      <c r="J2968" s="6">
        <v>2005.0</v>
      </c>
      <c r="L2968" s="6">
        <v>1.0</v>
      </c>
      <c r="M2968" s="8">
        <f t="shared" si="5"/>
        <v>0.09</v>
      </c>
      <c r="P2968" s="9"/>
    </row>
    <row r="2969">
      <c r="A2969" s="6" t="s">
        <v>7042</v>
      </c>
      <c r="B2969" s="6" t="s">
        <v>4907</v>
      </c>
      <c r="C2969" s="6" t="s">
        <v>1897</v>
      </c>
      <c r="D2969" s="6" t="s">
        <v>7043</v>
      </c>
      <c r="E2969" s="6" t="s">
        <v>2365</v>
      </c>
      <c r="F2969" s="6" t="s">
        <v>170</v>
      </c>
      <c r="G2969" s="7">
        <v>0.32</v>
      </c>
      <c r="H2969" s="6" t="s">
        <v>4845</v>
      </c>
      <c r="I2969" s="6" t="s">
        <v>20</v>
      </c>
      <c r="J2969" s="6">
        <v>2025.0</v>
      </c>
      <c r="K2969" s="10">
        <v>46116.0</v>
      </c>
      <c r="L2969" s="6">
        <v>1.0</v>
      </c>
      <c r="M2969" s="8">
        <f t="shared" si="5"/>
        <v>0.32</v>
      </c>
      <c r="P2969" s="9"/>
    </row>
    <row r="2970">
      <c r="A2970" s="6" t="s">
        <v>7044</v>
      </c>
      <c r="B2970" s="6" t="s">
        <v>2301</v>
      </c>
      <c r="C2970" s="6" t="s">
        <v>1897</v>
      </c>
      <c r="D2970" s="6" t="s">
        <v>7045</v>
      </c>
      <c r="E2970" s="6" t="s">
        <v>2295</v>
      </c>
      <c r="F2970" s="6" t="s">
        <v>18</v>
      </c>
      <c r="G2970" s="7">
        <v>1.0</v>
      </c>
      <c r="H2970" s="6" t="s">
        <v>7046</v>
      </c>
      <c r="I2970" s="6" t="s">
        <v>20</v>
      </c>
      <c r="J2970" s="6">
        <v>2026.0</v>
      </c>
      <c r="K2970" s="10">
        <v>46023.0</v>
      </c>
      <c r="L2970" s="6">
        <v>1.0</v>
      </c>
      <c r="M2970" s="8">
        <f t="shared" si="5"/>
        <v>1</v>
      </c>
      <c r="N2970" s="6" t="s">
        <v>6488</v>
      </c>
      <c r="P2970" s="9"/>
    </row>
    <row r="2971">
      <c r="A2971" s="6" t="s">
        <v>7047</v>
      </c>
      <c r="B2971" s="6" t="s">
        <v>7048</v>
      </c>
      <c r="C2971" s="6" t="s">
        <v>1897</v>
      </c>
      <c r="D2971" s="6" t="s">
        <v>7049</v>
      </c>
      <c r="E2971" s="6" t="s">
        <v>2342</v>
      </c>
      <c r="F2971" s="6" t="s">
        <v>170</v>
      </c>
      <c r="G2971" s="7">
        <v>0.21</v>
      </c>
      <c r="H2971" s="6" t="s">
        <v>1965</v>
      </c>
      <c r="I2971" s="6" t="s">
        <v>20</v>
      </c>
      <c r="J2971" s="6">
        <v>2022.0</v>
      </c>
      <c r="L2971" s="6">
        <v>1.0</v>
      </c>
      <c r="M2971" s="8">
        <f t="shared" si="5"/>
        <v>0.21</v>
      </c>
      <c r="P2971" s="9"/>
    </row>
    <row r="2972">
      <c r="A2972" s="6" t="s">
        <v>5284</v>
      </c>
      <c r="B2972" s="6" t="s">
        <v>5039</v>
      </c>
      <c r="C2972" s="6" t="s">
        <v>1897</v>
      </c>
      <c r="D2972" s="6" t="s">
        <v>5285</v>
      </c>
      <c r="E2972" s="6" t="s">
        <v>1954</v>
      </c>
      <c r="F2972" s="6" t="s">
        <v>18</v>
      </c>
      <c r="G2972" s="7">
        <v>2.0</v>
      </c>
      <c r="H2972" s="6" t="s">
        <v>7050</v>
      </c>
      <c r="I2972" s="6" t="s">
        <v>20</v>
      </c>
      <c r="J2972" s="6">
        <v>2026.0</v>
      </c>
      <c r="K2972" s="10">
        <v>46054.0</v>
      </c>
      <c r="L2972" s="6">
        <v>1.0</v>
      </c>
      <c r="M2972" s="8">
        <f t="shared" si="5"/>
        <v>2</v>
      </c>
      <c r="N2972" s="6" t="s">
        <v>6488</v>
      </c>
      <c r="P2972" s="9"/>
    </row>
    <row r="2973">
      <c r="A2973" s="6" t="s">
        <v>7051</v>
      </c>
      <c r="B2973" s="6" t="s">
        <v>7052</v>
      </c>
      <c r="C2973" s="6" t="s">
        <v>160</v>
      </c>
      <c r="D2973" s="6" t="s">
        <v>7053</v>
      </c>
      <c r="E2973" s="6" t="s">
        <v>6468</v>
      </c>
      <c r="F2973" s="6" t="s">
        <v>3114</v>
      </c>
      <c r="G2973" s="7">
        <v>1.0</v>
      </c>
      <c r="H2973" s="6" t="s">
        <v>2467</v>
      </c>
      <c r="I2973" s="6" t="s">
        <v>20</v>
      </c>
      <c r="J2973" s="6">
        <v>2017.0</v>
      </c>
      <c r="K2973" s="10">
        <v>46148.0</v>
      </c>
      <c r="L2973" s="6">
        <v>1.0</v>
      </c>
      <c r="M2973" s="8">
        <f t="shared" si="5"/>
        <v>1</v>
      </c>
      <c r="N2973" s="6" t="s">
        <v>6488</v>
      </c>
      <c r="P2973" s="9"/>
    </row>
    <row r="2974">
      <c r="A2974" s="6" t="s">
        <v>7054</v>
      </c>
      <c r="B2974" s="6" t="s">
        <v>2486</v>
      </c>
      <c r="C2974" s="6" t="s">
        <v>1897</v>
      </c>
      <c r="D2974" s="6" t="s">
        <v>7055</v>
      </c>
      <c r="E2974" s="6" t="s">
        <v>2295</v>
      </c>
      <c r="F2974" s="6" t="s">
        <v>18</v>
      </c>
      <c r="G2974" s="7">
        <v>0.25</v>
      </c>
      <c r="H2974" s="6" t="s">
        <v>5609</v>
      </c>
      <c r="I2974" s="6" t="s">
        <v>20</v>
      </c>
      <c r="J2974" s="6">
        <v>2016.0</v>
      </c>
      <c r="K2974" s="10">
        <v>46023.0</v>
      </c>
      <c r="L2974" s="6">
        <v>1.0</v>
      </c>
      <c r="M2974" s="8">
        <f t="shared" si="5"/>
        <v>0.25</v>
      </c>
      <c r="P2974" s="9"/>
    </row>
    <row r="2975">
      <c r="A2975" s="6" t="s">
        <v>7056</v>
      </c>
      <c r="B2975" s="6" t="s">
        <v>6568</v>
      </c>
      <c r="C2975" s="6" t="s">
        <v>1897</v>
      </c>
      <c r="D2975" s="6" t="s">
        <v>7057</v>
      </c>
      <c r="E2975" s="6" t="s">
        <v>3424</v>
      </c>
      <c r="F2975" s="6" t="s">
        <v>170</v>
      </c>
      <c r="G2975" s="7">
        <v>0.75</v>
      </c>
      <c r="H2975" s="6" t="s">
        <v>3476</v>
      </c>
      <c r="I2975" s="6" t="s">
        <v>20</v>
      </c>
      <c r="J2975" s="6">
        <v>2023.0</v>
      </c>
      <c r="K2975" s="10">
        <v>46116.0</v>
      </c>
      <c r="L2975" s="6">
        <v>1.0</v>
      </c>
      <c r="M2975" s="8">
        <f t="shared" si="5"/>
        <v>0.75</v>
      </c>
      <c r="P2975" s="9"/>
    </row>
    <row r="2976">
      <c r="A2976" s="6" t="s">
        <v>6482</v>
      </c>
      <c r="B2976" s="6" t="s">
        <v>6483</v>
      </c>
      <c r="C2976" s="6" t="s">
        <v>1897</v>
      </c>
      <c r="D2976" s="6" t="s">
        <v>6484</v>
      </c>
      <c r="E2976" s="6" t="s">
        <v>4952</v>
      </c>
      <c r="F2976" s="6" t="s">
        <v>3192</v>
      </c>
      <c r="G2976" s="7">
        <v>0.33</v>
      </c>
      <c r="H2976" s="6" t="s">
        <v>2219</v>
      </c>
      <c r="I2976" s="6" t="s">
        <v>20</v>
      </c>
      <c r="J2976" s="6">
        <v>2024.0</v>
      </c>
      <c r="K2976" s="10">
        <v>46116.0</v>
      </c>
      <c r="L2976" s="6">
        <v>1.0</v>
      </c>
      <c r="M2976" s="8">
        <f t="shared" si="5"/>
        <v>0.33</v>
      </c>
      <c r="P2976" s="9"/>
    </row>
    <row r="2977">
      <c r="A2977" s="6" t="s">
        <v>7058</v>
      </c>
      <c r="B2977" s="6" t="s">
        <v>294</v>
      </c>
      <c r="C2977" s="6" t="s">
        <v>1897</v>
      </c>
      <c r="D2977" s="6" t="s">
        <v>7059</v>
      </c>
      <c r="F2977" s="6" t="s">
        <v>80</v>
      </c>
      <c r="G2977" s="7">
        <v>0.17</v>
      </c>
      <c r="H2977" s="6" t="s">
        <v>1995</v>
      </c>
      <c r="I2977" s="6" t="s">
        <v>20</v>
      </c>
      <c r="J2977" s="6">
        <v>2016.0</v>
      </c>
      <c r="L2977" s="6">
        <v>1.0</v>
      </c>
      <c r="M2977" s="8">
        <f t="shared" si="5"/>
        <v>0.17</v>
      </c>
      <c r="P2977" s="9"/>
    </row>
    <row r="2978">
      <c r="A2978" s="6" t="s">
        <v>7060</v>
      </c>
      <c r="B2978" s="6" t="s">
        <v>7061</v>
      </c>
      <c r="C2978" s="6" t="s">
        <v>1897</v>
      </c>
      <c r="D2978" s="6" t="s">
        <v>7062</v>
      </c>
      <c r="E2978" s="6" t="s">
        <v>3117</v>
      </c>
      <c r="F2978" s="6" t="s">
        <v>3114</v>
      </c>
      <c r="G2978" s="7">
        <v>0.25</v>
      </c>
      <c r="H2978" s="6" t="s">
        <v>2797</v>
      </c>
      <c r="I2978" s="6" t="s">
        <v>20</v>
      </c>
      <c r="J2978" s="6">
        <v>2026.0</v>
      </c>
      <c r="K2978" s="10">
        <v>46115.0</v>
      </c>
      <c r="L2978" s="6">
        <v>1.0</v>
      </c>
      <c r="M2978" s="8">
        <f t="shared" si="5"/>
        <v>0.25</v>
      </c>
      <c r="P2978" s="9"/>
    </row>
    <row r="2979">
      <c r="A2979" s="6" t="s">
        <v>7063</v>
      </c>
      <c r="B2979" s="6" t="s">
        <v>2969</v>
      </c>
      <c r="C2979" s="6" t="s">
        <v>2138</v>
      </c>
      <c r="D2979" s="6" t="s">
        <v>7064</v>
      </c>
      <c r="E2979" s="6" t="s">
        <v>1743</v>
      </c>
      <c r="F2979" s="6" t="s">
        <v>152</v>
      </c>
      <c r="G2979" s="7">
        <v>0.08</v>
      </c>
      <c r="H2979" s="6" t="s">
        <v>1917</v>
      </c>
      <c r="I2979" s="6" t="s">
        <v>20</v>
      </c>
      <c r="J2979" s="6">
        <v>1995.0</v>
      </c>
      <c r="L2979" s="6">
        <v>3.0</v>
      </c>
      <c r="M2979" s="8">
        <f t="shared" si="5"/>
        <v>0.24</v>
      </c>
      <c r="P2979" s="9"/>
    </row>
    <row r="2980">
      <c r="A2980" s="6" t="s">
        <v>7065</v>
      </c>
      <c r="B2980" s="6" t="s">
        <v>2822</v>
      </c>
      <c r="C2980" s="6" t="s">
        <v>295</v>
      </c>
      <c r="D2980" s="6" t="s">
        <v>7066</v>
      </c>
      <c r="E2980" s="6" t="s">
        <v>1755</v>
      </c>
      <c r="F2980" s="6" t="s">
        <v>152</v>
      </c>
      <c r="G2980" s="7">
        <v>0.15</v>
      </c>
      <c r="H2980" s="6" t="s">
        <v>1819</v>
      </c>
      <c r="I2980" s="6" t="s">
        <v>20</v>
      </c>
      <c r="J2980" s="6">
        <v>1995.0</v>
      </c>
      <c r="L2980" s="6">
        <v>3.0</v>
      </c>
      <c r="M2980" s="8">
        <f t="shared" si="5"/>
        <v>0.45</v>
      </c>
      <c r="P2980" s="9"/>
    </row>
    <row r="2981">
      <c r="A2981" s="6" t="s">
        <v>7065</v>
      </c>
      <c r="B2981" s="6" t="s">
        <v>2822</v>
      </c>
      <c r="C2981" s="6" t="s">
        <v>295</v>
      </c>
      <c r="D2981" s="6" t="s">
        <v>7066</v>
      </c>
      <c r="E2981" s="6" t="s">
        <v>1755</v>
      </c>
      <c r="F2981" s="6" t="s">
        <v>152</v>
      </c>
      <c r="G2981" s="7">
        <v>0.05</v>
      </c>
      <c r="H2981" s="6" t="s">
        <v>1818</v>
      </c>
      <c r="I2981" s="6" t="s">
        <v>20</v>
      </c>
      <c r="J2981" s="6">
        <v>1995.0</v>
      </c>
      <c r="L2981" s="6">
        <v>2.0</v>
      </c>
      <c r="M2981" s="8">
        <f t="shared" si="5"/>
        <v>0.1</v>
      </c>
      <c r="P2981" s="9"/>
    </row>
    <row r="2982">
      <c r="A2982" s="6" t="s">
        <v>7067</v>
      </c>
      <c r="B2982" s="6" t="s">
        <v>7068</v>
      </c>
      <c r="C2982" s="6" t="s">
        <v>2138</v>
      </c>
      <c r="D2982" s="6" t="s">
        <v>7069</v>
      </c>
      <c r="E2982" s="6" t="s">
        <v>1743</v>
      </c>
      <c r="F2982" s="6" t="s">
        <v>152</v>
      </c>
      <c r="G2982" s="7">
        <v>0.36</v>
      </c>
      <c r="H2982" s="6" t="s">
        <v>1819</v>
      </c>
      <c r="I2982" s="6" t="s">
        <v>20</v>
      </c>
      <c r="J2982" s="6">
        <v>1995.0</v>
      </c>
      <c r="L2982" s="6">
        <v>2.0</v>
      </c>
      <c r="M2982" s="8">
        <f t="shared" si="5"/>
        <v>0.72</v>
      </c>
      <c r="P2982" s="9"/>
    </row>
    <row r="2983">
      <c r="A2983" s="6" t="s">
        <v>7067</v>
      </c>
      <c r="B2983" s="6" t="s">
        <v>7068</v>
      </c>
      <c r="C2983" s="6" t="s">
        <v>2138</v>
      </c>
      <c r="D2983" s="6" t="s">
        <v>7069</v>
      </c>
      <c r="E2983" s="6" t="s">
        <v>1743</v>
      </c>
      <c r="F2983" s="6" t="s">
        <v>152</v>
      </c>
      <c r="G2983" s="7">
        <v>0.15</v>
      </c>
      <c r="H2983" s="6" t="s">
        <v>1818</v>
      </c>
      <c r="I2983" s="6" t="s">
        <v>20</v>
      </c>
      <c r="J2983" s="6">
        <v>1995.0</v>
      </c>
      <c r="L2983" s="6">
        <v>3.0</v>
      </c>
      <c r="M2983" s="8">
        <f t="shared" si="5"/>
        <v>0.45</v>
      </c>
      <c r="P2983" s="9"/>
    </row>
    <row r="2984">
      <c r="A2984" s="6" t="s">
        <v>7067</v>
      </c>
      <c r="B2984" s="6" t="s">
        <v>7068</v>
      </c>
      <c r="C2984" s="6" t="s">
        <v>2138</v>
      </c>
      <c r="D2984" s="6" t="s">
        <v>7069</v>
      </c>
      <c r="E2984" s="6" t="s">
        <v>1743</v>
      </c>
      <c r="F2984" s="6" t="s">
        <v>152</v>
      </c>
      <c r="G2984" s="7">
        <v>0.3</v>
      </c>
      <c r="H2984" s="6" t="s">
        <v>5754</v>
      </c>
      <c r="I2984" s="6" t="s">
        <v>20</v>
      </c>
      <c r="J2984" s="6">
        <v>1994.0</v>
      </c>
      <c r="L2984" s="6">
        <v>1.0</v>
      </c>
      <c r="M2984" s="8">
        <f t="shared" si="5"/>
        <v>0.3</v>
      </c>
      <c r="P2984" s="9"/>
    </row>
    <row r="2985">
      <c r="A2985" s="6" t="s">
        <v>7067</v>
      </c>
      <c r="B2985" s="6" t="s">
        <v>7068</v>
      </c>
      <c r="C2985" s="6" t="s">
        <v>2138</v>
      </c>
      <c r="D2985" s="6" t="s">
        <v>7069</v>
      </c>
      <c r="E2985" s="6" t="s">
        <v>1743</v>
      </c>
      <c r="F2985" s="6" t="s">
        <v>152</v>
      </c>
      <c r="G2985" s="7">
        <v>0.3</v>
      </c>
      <c r="H2985" s="6" t="s">
        <v>1774</v>
      </c>
      <c r="I2985" s="6" t="s">
        <v>20</v>
      </c>
      <c r="J2985" s="6">
        <v>1995.0</v>
      </c>
      <c r="L2985" s="6">
        <v>3.0</v>
      </c>
      <c r="M2985" s="8">
        <f t="shared" si="5"/>
        <v>0.9</v>
      </c>
      <c r="P2985" s="9"/>
    </row>
    <row r="2986">
      <c r="A2986" s="6" t="s">
        <v>7070</v>
      </c>
      <c r="B2986" s="6" t="s">
        <v>2969</v>
      </c>
      <c r="C2986" s="6" t="s">
        <v>2138</v>
      </c>
      <c r="D2986" s="6" t="s">
        <v>7071</v>
      </c>
      <c r="E2986" s="6" t="s">
        <v>1779</v>
      </c>
      <c r="F2986" s="6" t="s">
        <v>152</v>
      </c>
      <c r="G2986" s="7">
        <v>0.14</v>
      </c>
      <c r="H2986" s="6" t="s">
        <v>1819</v>
      </c>
      <c r="I2986" s="6" t="s">
        <v>20</v>
      </c>
      <c r="J2986" s="6">
        <v>1995.0</v>
      </c>
      <c r="L2986" s="6">
        <v>3.0</v>
      </c>
      <c r="M2986" s="8">
        <f t="shared" si="5"/>
        <v>0.42</v>
      </c>
      <c r="P2986" s="9"/>
    </row>
    <row r="2987">
      <c r="A2987" s="6" t="s">
        <v>7070</v>
      </c>
      <c r="B2987" s="6" t="s">
        <v>2969</v>
      </c>
      <c r="C2987" s="6" t="s">
        <v>2138</v>
      </c>
      <c r="D2987" s="6" t="s">
        <v>7071</v>
      </c>
      <c r="E2987" s="6" t="s">
        <v>1779</v>
      </c>
      <c r="F2987" s="6" t="s">
        <v>152</v>
      </c>
      <c r="G2987" s="7">
        <v>0.09</v>
      </c>
      <c r="H2987" s="6" t="s">
        <v>1818</v>
      </c>
      <c r="I2987" s="6" t="s">
        <v>20</v>
      </c>
      <c r="J2987" s="6">
        <v>1995.0</v>
      </c>
      <c r="L2987" s="6">
        <v>3.0</v>
      </c>
      <c r="M2987" s="8">
        <f t="shared" si="5"/>
        <v>0.27</v>
      </c>
      <c r="P2987" s="9"/>
    </row>
    <row r="2988">
      <c r="A2988" s="6" t="s">
        <v>7072</v>
      </c>
      <c r="B2988" s="6" t="s">
        <v>610</v>
      </c>
      <c r="C2988" s="6" t="s">
        <v>295</v>
      </c>
      <c r="D2988" s="6" t="s">
        <v>7073</v>
      </c>
      <c r="E2988" s="6" t="s">
        <v>1743</v>
      </c>
      <c r="F2988" s="6" t="s">
        <v>152</v>
      </c>
      <c r="G2988" s="7">
        <v>0.08</v>
      </c>
      <c r="H2988" s="6" t="s">
        <v>1774</v>
      </c>
      <c r="I2988" s="6" t="s">
        <v>20</v>
      </c>
      <c r="J2988" s="6">
        <v>1995.0</v>
      </c>
      <c r="L2988" s="6">
        <v>2.0</v>
      </c>
      <c r="M2988" s="8">
        <f t="shared" si="5"/>
        <v>0.16</v>
      </c>
      <c r="P2988" s="9"/>
    </row>
    <row r="2989">
      <c r="A2989" s="6" t="s">
        <v>7074</v>
      </c>
      <c r="B2989" s="6" t="s">
        <v>610</v>
      </c>
      <c r="C2989" s="6" t="s">
        <v>295</v>
      </c>
      <c r="D2989" s="6" t="s">
        <v>7075</v>
      </c>
      <c r="E2989" s="6" t="s">
        <v>713</v>
      </c>
      <c r="F2989" s="6" t="s">
        <v>152</v>
      </c>
      <c r="G2989" s="7">
        <v>0.35</v>
      </c>
      <c r="H2989" s="6" t="s">
        <v>1931</v>
      </c>
      <c r="I2989" s="6" t="s">
        <v>20</v>
      </c>
      <c r="J2989" s="6">
        <v>1999.0</v>
      </c>
      <c r="L2989" s="6">
        <v>2.0</v>
      </c>
      <c r="M2989" s="8">
        <f t="shared" si="5"/>
        <v>0.7</v>
      </c>
      <c r="P2989" s="9"/>
    </row>
    <row r="2990">
      <c r="A2990" s="6" t="s">
        <v>7076</v>
      </c>
      <c r="B2990" s="6" t="s">
        <v>378</v>
      </c>
      <c r="C2990" s="6" t="s">
        <v>295</v>
      </c>
      <c r="D2990" s="6" t="s">
        <v>7077</v>
      </c>
      <c r="E2990" s="6" t="s">
        <v>1779</v>
      </c>
      <c r="F2990" s="6" t="s">
        <v>152</v>
      </c>
      <c r="G2990" s="7">
        <v>0.15</v>
      </c>
      <c r="H2990" s="6" t="s">
        <v>7078</v>
      </c>
      <c r="I2990" s="6" t="s">
        <v>20</v>
      </c>
      <c r="J2990" s="6">
        <v>2001.0</v>
      </c>
      <c r="L2990" s="6">
        <v>4.0</v>
      </c>
      <c r="M2990" s="8">
        <f t="shared" si="5"/>
        <v>0.6</v>
      </c>
      <c r="P2990" s="9"/>
    </row>
    <row r="2991">
      <c r="A2991" s="6" t="s">
        <v>7079</v>
      </c>
      <c r="B2991" s="6" t="s">
        <v>7080</v>
      </c>
      <c r="C2991" s="6" t="s">
        <v>2138</v>
      </c>
      <c r="D2991" s="6" t="s">
        <v>7081</v>
      </c>
      <c r="E2991" s="6" t="s">
        <v>1755</v>
      </c>
      <c r="F2991" s="6" t="s">
        <v>152</v>
      </c>
      <c r="G2991" s="7">
        <v>0.4</v>
      </c>
      <c r="H2991" s="6" t="s">
        <v>1819</v>
      </c>
      <c r="I2991" s="6" t="s">
        <v>20</v>
      </c>
      <c r="J2991" s="6">
        <v>1995.0</v>
      </c>
      <c r="L2991" s="6">
        <v>2.0</v>
      </c>
      <c r="M2991" s="8">
        <f t="shared" si="5"/>
        <v>0.8</v>
      </c>
      <c r="P2991" s="9"/>
    </row>
    <row r="2992">
      <c r="A2992" s="6" t="s">
        <v>7079</v>
      </c>
      <c r="B2992" s="6" t="s">
        <v>7080</v>
      </c>
      <c r="C2992" s="6" t="s">
        <v>2138</v>
      </c>
      <c r="D2992" s="6" t="s">
        <v>7081</v>
      </c>
      <c r="E2992" s="6" t="s">
        <v>1755</v>
      </c>
      <c r="F2992" s="6" t="s">
        <v>152</v>
      </c>
      <c r="G2992" s="7">
        <v>0.14</v>
      </c>
      <c r="H2992" s="6" t="s">
        <v>1818</v>
      </c>
      <c r="I2992" s="6" t="s">
        <v>20</v>
      </c>
      <c r="J2992" s="6">
        <v>1995.0</v>
      </c>
      <c r="L2992" s="6">
        <v>2.0</v>
      </c>
      <c r="M2992" s="8">
        <f t="shared" si="5"/>
        <v>0.28</v>
      </c>
      <c r="P2992" s="9"/>
    </row>
    <row r="2993">
      <c r="A2993" s="6" t="s">
        <v>7082</v>
      </c>
      <c r="B2993" s="6" t="s">
        <v>7068</v>
      </c>
      <c r="C2993" s="6" t="s">
        <v>2138</v>
      </c>
      <c r="D2993" s="6" t="s">
        <v>1789</v>
      </c>
      <c r="E2993" s="6" t="s">
        <v>1743</v>
      </c>
      <c r="F2993" s="6" t="s">
        <v>152</v>
      </c>
      <c r="G2993" s="7">
        <v>0.02</v>
      </c>
      <c r="H2993" s="6" t="s">
        <v>1917</v>
      </c>
      <c r="I2993" s="6" t="s">
        <v>20</v>
      </c>
      <c r="J2993" s="6">
        <v>1995.0</v>
      </c>
      <c r="L2993" s="6">
        <v>4.0</v>
      </c>
      <c r="M2993" s="8">
        <f t="shared" si="5"/>
        <v>0.08</v>
      </c>
      <c r="P2993" s="9"/>
    </row>
    <row r="2994">
      <c r="A2994" s="6" t="s">
        <v>7082</v>
      </c>
      <c r="B2994" s="6" t="s">
        <v>7068</v>
      </c>
      <c r="C2994" s="6" t="s">
        <v>2138</v>
      </c>
      <c r="D2994" s="6" t="s">
        <v>1789</v>
      </c>
      <c r="E2994" s="6" t="s">
        <v>1743</v>
      </c>
      <c r="F2994" s="6" t="s">
        <v>152</v>
      </c>
      <c r="G2994" s="7">
        <v>0.1</v>
      </c>
      <c r="H2994" s="6" t="s">
        <v>1818</v>
      </c>
      <c r="I2994" s="6" t="s">
        <v>20</v>
      </c>
      <c r="J2994" s="6">
        <v>1995.0</v>
      </c>
      <c r="L2994" s="6">
        <v>1.0</v>
      </c>
      <c r="M2994" s="8">
        <f t="shared" si="5"/>
        <v>0.1</v>
      </c>
      <c r="P2994" s="9"/>
    </row>
    <row r="2995">
      <c r="A2995" s="6" t="s">
        <v>7083</v>
      </c>
      <c r="B2995" s="6" t="s">
        <v>610</v>
      </c>
      <c r="C2995" s="6" t="s">
        <v>295</v>
      </c>
      <c r="D2995" s="6" t="s">
        <v>7084</v>
      </c>
      <c r="E2995" s="6" t="s">
        <v>1885</v>
      </c>
      <c r="F2995" s="6" t="s">
        <v>152</v>
      </c>
      <c r="G2995" s="7">
        <v>0.12</v>
      </c>
      <c r="H2995" s="6" t="s">
        <v>1819</v>
      </c>
      <c r="I2995" s="6" t="s">
        <v>20</v>
      </c>
      <c r="J2995" s="6">
        <v>1995.0</v>
      </c>
      <c r="L2995" s="6">
        <v>3.0</v>
      </c>
      <c r="M2995" s="8">
        <f t="shared" si="5"/>
        <v>0.36</v>
      </c>
      <c r="P2995" s="9"/>
    </row>
    <row r="2996">
      <c r="A2996" s="6" t="s">
        <v>7083</v>
      </c>
      <c r="B2996" s="6" t="s">
        <v>610</v>
      </c>
      <c r="C2996" s="6" t="s">
        <v>295</v>
      </c>
      <c r="D2996" s="6" t="s">
        <v>7084</v>
      </c>
      <c r="E2996" s="6" t="s">
        <v>1885</v>
      </c>
      <c r="F2996" s="6" t="s">
        <v>152</v>
      </c>
      <c r="G2996" s="7">
        <v>0.05</v>
      </c>
      <c r="H2996" s="6" t="s">
        <v>1818</v>
      </c>
      <c r="I2996" s="6" t="s">
        <v>20</v>
      </c>
      <c r="J2996" s="6">
        <v>1995.0</v>
      </c>
      <c r="L2996" s="6">
        <v>3.0</v>
      </c>
      <c r="M2996" s="8">
        <f t="shared" si="5"/>
        <v>0.15</v>
      </c>
      <c r="P2996" s="9"/>
    </row>
    <row r="2997">
      <c r="A2997" s="6" t="s">
        <v>7085</v>
      </c>
      <c r="B2997" s="6" t="s">
        <v>2845</v>
      </c>
      <c r="C2997" s="6" t="s">
        <v>2138</v>
      </c>
      <c r="D2997" s="6" t="s">
        <v>7086</v>
      </c>
      <c r="E2997" s="6" t="s">
        <v>1779</v>
      </c>
      <c r="F2997" s="6" t="s">
        <v>152</v>
      </c>
      <c r="G2997" s="7">
        <v>0.49</v>
      </c>
      <c r="H2997" s="6" t="s">
        <v>1861</v>
      </c>
      <c r="I2997" s="6" t="s">
        <v>20</v>
      </c>
      <c r="J2997" s="6">
        <v>1997.0</v>
      </c>
      <c r="L2997" s="6">
        <v>1.0</v>
      </c>
      <c r="M2997" s="8">
        <f t="shared" si="5"/>
        <v>0.49</v>
      </c>
      <c r="P2997" s="9"/>
    </row>
    <row r="2998">
      <c r="A2998" s="6" t="s">
        <v>7087</v>
      </c>
      <c r="B2998" s="6" t="s">
        <v>610</v>
      </c>
      <c r="C2998" s="6" t="s">
        <v>295</v>
      </c>
      <c r="D2998" s="6" t="s">
        <v>7088</v>
      </c>
      <c r="E2998" s="6" t="s">
        <v>1743</v>
      </c>
      <c r="F2998" s="6" t="s">
        <v>152</v>
      </c>
      <c r="G2998" s="7">
        <v>0.24</v>
      </c>
      <c r="H2998" s="6" t="s">
        <v>1931</v>
      </c>
      <c r="I2998" s="6" t="s">
        <v>20</v>
      </c>
      <c r="J2998" s="6">
        <v>1999.0</v>
      </c>
      <c r="L2998" s="6">
        <v>1.0</v>
      </c>
      <c r="M2998" s="8">
        <f t="shared" si="5"/>
        <v>0.24</v>
      </c>
      <c r="P2998" s="9"/>
    </row>
    <row r="2999">
      <c r="A2999" s="6" t="s">
        <v>7089</v>
      </c>
      <c r="B2999" s="6" t="s">
        <v>7080</v>
      </c>
      <c r="C2999" s="6" t="s">
        <v>2138</v>
      </c>
      <c r="D2999" s="6" t="s">
        <v>7090</v>
      </c>
      <c r="E2999" s="6" t="s">
        <v>713</v>
      </c>
      <c r="F2999" s="6" t="s">
        <v>152</v>
      </c>
      <c r="G2999" s="7">
        <v>4.9</v>
      </c>
      <c r="H2999" s="6" t="s">
        <v>1906</v>
      </c>
      <c r="I2999" s="6" t="s">
        <v>20</v>
      </c>
      <c r="J2999" s="6">
        <v>2001.0</v>
      </c>
      <c r="L2999" s="6">
        <v>1.0</v>
      </c>
      <c r="M2999" s="8">
        <f t="shared" si="5"/>
        <v>4.9</v>
      </c>
      <c r="N2999" s="6" t="s">
        <v>6488</v>
      </c>
      <c r="P2999" s="9"/>
    </row>
    <row r="3000">
      <c r="A3000" s="6" t="s">
        <v>7091</v>
      </c>
      <c r="B3000" s="6" t="s">
        <v>1753</v>
      </c>
      <c r="C3000" s="6" t="s">
        <v>295</v>
      </c>
      <c r="D3000" s="6" t="s">
        <v>7092</v>
      </c>
      <c r="E3000" s="6" t="s">
        <v>1743</v>
      </c>
      <c r="F3000" s="6" t="s">
        <v>152</v>
      </c>
      <c r="G3000" s="7">
        <v>0.75</v>
      </c>
      <c r="H3000" s="6" t="s">
        <v>1861</v>
      </c>
      <c r="I3000" s="6" t="s">
        <v>20</v>
      </c>
      <c r="J3000" s="6">
        <v>1997.0</v>
      </c>
      <c r="L3000" s="6">
        <v>1.0</v>
      </c>
      <c r="M3000" s="8">
        <f t="shared" si="5"/>
        <v>0.75</v>
      </c>
      <c r="P3000" s="9"/>
    </row>
    <row r="3001">
      <c r="A3001" s="6" t="s">
        <v>7093</v>
      </c>
      <c r="B3001" s="6" t="s">
        <v>6737</v>
      </c>
      <c r="C3001" s="6" t="s">
        <v>1949</v>
      </c>
      <c r="D3001" s="6" t="s">
        <v>7094</v>
      </c>
      <c r="E3001" s="6" t="s">
        <v>2426</v>
      </c>
      <c r="F3001" s="6" t="s">
        <v>152</v>
      </c>
      <c r="G3001" s="7">
        <v>0.17</v>
      </c>
      <c r="H3001" s="6" t="s">
        <v>2089</v>
      </c>
      <c r="I3001" s="6" t="s">
        <v>20</v>
      </c>
      <c r="J3001" s="6">
        <v>1995.0</v>
      </c>
      <c r="K3001" s="10">
        <v>46084.0</v>
      </c>
      <c r="L3001" s="6">
        <v>1.0</v>
      </c>
      <c r="M3001" s="8">
        <f t="shared" si="5"/>
        <v>0.17</v>
      </c>
      <c r="P3001" s="9"/>
    </row>
    <row r="3002">
      <c r="A3002" s="6" t="s">
        <v>7095</v>
      </c>
      <c r="B3002" s="6" t="s">
        <v>7096</v>
      </c>
      <c r="C3002" s="6" t="s">
        <v>295</v>
      </c>
      <c r="D3002" s="6" t="s">
        <v>7097</v>
      </c>
      <c r="E3002" s="6" t="s">
        <v>1743</v>
      </c>
      <c r="F3002" s="6" t="s">
        <v>152</v>
      </c>
      <c r="G3002" s="7">
        <v>0.1</v>
      </c>
      <c r="H3002" s="6" t="s">
        <v>1805</v>
      </c>
      <c r="I3002" s="6" t="s">
        <v>20</v>
      </c>
      <c r="J3002" s="6">
        <v>1996.0</v>
      </c>
      <c r="K3002" s="10">
        <v>46054.0</v>
      </c>
      <c r="L3002" s="6">
        <v>1.0</v>
      </c>
      <c r="M3002" s="8">
        <f t="shared" si="5"/>
        <v>0.1</v>
      </c>
      <c r="P3002" s="9"/>
    </row>
    <row r="3003">
      <c r="A3003" s="6" t="s">
        <v>7098</v>
      </c>
      <c r="B3003" s="6" t="s">
        <v>2058</v>
      </c>
      <c r="C3003" s="6" t="s">
        <v>1949</v>
      </c>
      <c r="D3003" s="6" t="s">
        <v>7099</v>
      </c>
      <c r="E3003" s="6" t="s">
        <v>1755</v>
      </c>
      <c r="F3003" s="6" t="s">
        <v>152</v>
      </c>
      <c r="G3003" s="7">
        <v>0.8</v>
      </c>
      <c r="H3003" s="6" t="s">
        <v>5754</v>
      </c>
      <c r="I3003" s="6" t="s">
        <v>20</v>
      </c>
      <c r="J3003" s="6">
        <v>1994.0</v>
      </c>
      <c r="L3003" s="6">
        <v>1.0</v>
      </c>
      <c r="M3003" s="8">
        <f t="shared" si="5"/>
        <v>0.8</v>
      </c>
      <c r="P3003" s="9"/>
    </row>
    <row r="3004">
      <c r="A3004" s="6" t="s">
        <v>7100</v>
      </c>
      <c r="B3004" s="6" t="s">
        <v>7101</v>
      </c>
      <c r="C3004" s="6" t="s">
        <v>295</v>
      </c>
      <c r="D3004" s="6" t="s">
        <v>7102</v>
      </c>
      <c r="E3004" s="6" t="s">
        <v>1732</v>
      </c>
      <c r="F3004" s="6" t="s">
        <v>80</v>
      </c>
      <c r="G3004" s="7">
        <v>2.7</v>
      </c>
      <c r="H3004" s="6" t="s">
        <v>5754</v>
      </c>
      <c r="I3004" s="6" t="s">
        <v>20</v>
      </c>
      <c r="J3004" s="6">
        <v>1994.0</v>
      </c>
      <c r="K3004" s="6" t="s">
        <v>1733</v>
      </c>
      <c r="L3004" s="6">
        <v>1.0</v>
      </c>
      <c r="M3004" s="8">
        <f t="shared" si="5"/>
        <v>2.7</v>
      </c>
      <c r="P3004" s="9"/>
    </row>
    <row r="3005">
      <c r="A3005" s="6" t="s">
        <v>7103</v>
      </c>
      <c r="B3005" s="6" t="s">
        <v>7068</v>
      </c>
      <c r="C3005" s="6" t="s">
        <v>2138</v>
      </c>
      <c r="D3005" s="6" t="s">
        <v>7104</v>
      </c>
      <c r="E3005" s="6" t="s">
        <v>1743</v>
      </c>
      <c r="F3005" s="6" t="s">
        <v>152</v>
      </c>
      <c r="G3005" s="7">
        <v>0.25</v>
      </c>
      <c r="H3005" s="6" t="s">
        <v>1818</v>
      </c>
      <c r="I3005" s="6" t="s">
        <v>20</v>
      </c>
      <c r="J3005" s="6">
        <v>1995.0</v>
      </c>
      <c r="L3005" s="6">
        <v>1.0</v>
      </c>
      <c r="M3005" s="8">
        <f t="shared" si="5"/>
        <v>0.25</v>
      </c>
      <c r="P3005" s="9"/>
    </row>
    <row r="3006">
      <c r="A3006" s="6" t="s">
        <v>7063</v>
      </c>
      <c r="B3006" s="6" t="s">
        <v>2969</v>
      </c>
      <c r="C3006" s="6" t="s">
        <v>2138</v>
      </c>
      <c r="D3006" s="6" t="s">
        <v>7105</v>
      </c>
      <c r="E3006" s="6" t="s">
        <v>1743</v>
      </c>
      <c r="F3006" s="6" t="s">
        <v>152</v>
      </c>
      <c r="G3006" s="7">
        <v>0.08</v>
      </c>
      <c r="H3006" s="6" t="s">
        <v>1805</v>
      </c>
      <c r="I3006" s="6" t="s">
        <v>20</v>
      </c>
      <c r="J3006" s="6">
        <v>1996.0</v>
      </c>
      <c r="L3006" s="6">
        <v>1.0</v>
      </c>
      <c r="M3006" s="8">
        <f t="shared" si="5"/>
        <v>0.08</v>
      </c>
      <c r="P3006" s="9"/>
    </row>
    <row r="3007">
      <c r="A3007" s="6" t="s">
        <v>7106</v>
      </c>
      <c r="B3007" s="6" t="s">
        <v>385</v>
      </c>
      <c r="C3007" s="6" t="s">
        <v>1897</v>
      </c>
      <c r="D3007" s="6" t="s">
        <v>7107</v>
      </c>
      <c r="E3007" s="6" t="s">
        <v>1885</v>
      </c>
      <c r="F3007" s="6" t="s">
        <v>152</v>
      </c>
      <c r="G3007" s="7">
        <v>2.79</v>
      </c>
      <c r="H3007" s="6" t="s">
        <v>2089</v>
      </c>
      <c r="I3007" s="6" t="s">
        <v>20</v>
      </c>
      <c r="J3007" s="6">
        <v>1995.0</v>
      </c>
      <c r="L3007" s="6">
        <v>1.0</v>
      </c>
      <c r="M3007" s="8">
        <f t="shared" si="5"/>
        <v>2.79</v>
      </c>
      <c r="N3007" s="6" t="s">
        <v>6488</v>
      </c>
      <c r="P3007" s="9"/>
    </row>
    <row r="3008">
      <c r="A3008" s="6" t="s">
        <v>7108</v>
      </c>
      <c r="B3008" s="6" t="s">
        <v>2969</v>
      </c>
      <c r="C3008" s="6" t="s">
        <v>2138</v>
      </c>
      <c r="D3008" s="6" t="s">
        <v>7109</v>
      </c>
      <c r="E3008" s="6" t="s">
        <v>1779</v>
      </c>
      <c r="F3008" s="6" t="s">
        <v>152</v>
      </c>
      <c r="G3008" s="7">
        <v>0.05</v>
      </c>
      <c r="H3008" s="6" t="s">
        <v>1774</v>
      </c>
      <c r="I3008" s="6" t="s">
        <v>20</v>
      </c>
      <c r="J3008" s="6">
        <v>1995.0</v>
      </c>
      <c r="L3008" s="6">
        <v>1.0</v>
      </c>
      <c r="M3008" s="8">
        <f t="shared" si="5"/>
        <v>0.05</v>
      </c>
      <c r="P3008" s="9"/>
    </row>
    <row r="3009">
      <c r="A3009" s="6" t="s">
        <v>7110</v>
      </c>
      <c r="B3009" s="6" t="s">
        <v>2969</v>
      </c>
      <c r="C3009" s="6" t="s">
        <v>2855</v>
      </c>
      <c r="D3009" s="6" t="s">
        <v>7111</v>
      </c>
      <c r="E3009" s="6" t="s">
        <v>1885</v>
      </c>
      <c r="F3009" s="6" t="s">
        <v>152</v>
      </c>
      <c r="G3009" s="7">
        <v>0.89</v>
      </c>
      <c r="H3009" s="6" t="s">
        <v>1818</v>
      </c>
      <c r="I3009" s="6" t="s">
        <v>20</v>
      </c>
      <c r="J3009" s="6">
        <v>1995.0</v>
      </c>
      <c r="L3009" s="6">
        <v>1.0</v>
      </c>
      <c r="M3009" s="8">
        <f t="shared" si="5"/>
        <v>0.89</v>
      </c>
      <c r="P3009" s="9"/>
    </row>
    <row r="3010">
      <c r="A3010" s="6" t="s">
        <v>7112</v>
      </c>
      <c r="B3010" s="6" t="s">
        <v>7068</v>
      </c>
      <c r="C3010" s="6" t="s">
        <v>2855</v>
      </c>
      <c r="D3010" s="6" t="s">
        <v>7113</v>
      </c>
      <c r="E3010" s="6" t="s">
        <v>1755</v>
      </c>
      <c r="F3010" s="6" t="s">
        <v>152</v>
      </c>
      <c r="G3010" s="7">
        <v>0.25</v>
      </c>
      <c r="H3010" s="6" t="s">
        <v>1774</v>
      </c>
      <c r="I3010" s="6" t="s">
        <v>20</v>
      </c>
      <c r="J3010" s="6">
        <v>1995.0</v>
      </c>
      <c r="L3010" s="6">
        <v>1.0</v>
      </c>
      <c r="M3010" s="8">
        <f t="shared" si="5"/>
        <v>0.25</v>
      </c>
      <c r="P3010" s="9"/>
    </row>
    <row r="3011">
      <c r="A3011" s="6" t="s">
        <v>7114</v>
      </c>
      <c r="B3011" s="6" t="s">
        <v>7080</v>
      </c>
      <c r="C3011" s="6" t="s">
        <v>2138</v>
      </c>
      <c r="D3011" s="6" t="s">
        <v>7115</v>
      </c>
      <c r="E3011" s="6" t="s">
        <v>1779</v>
      </c>
      <c r="F3011" s="6" t="s">
        <v>152</v>
      </c>
      <c r="G3011" s="7">
        <v>0.01</v>
      </c>
      <c r="H3011" s="6" t="s">
        <v>1774</v>
      </c>
      <c r="I3011" s="6" t="s">
        <v>20</v>
      </c>
      <c r="J3011" s="6">
        <v>1995.0</v>
      </c>
      <c r="L3011" s="6">
        <v>2.0</v>
      </c>
      <c r="M3011" s="8">
        <f t="shared" si="5"/>
        <v>0.02</v>
      </c>
      <c r="P3011" s="9"/>
    </row>
    <row r="3012">
      <c r="A3012" s="6" t="s">
        <v>7116</v>
      </c>
      <c r="B3012" s="6" t="s">
        <v>7068</v>
      </c>
      <c r="C3012" s="6" t="s">
        <v>2841</v>
      </c>
      <c r="D3012" s="6" t="s">
        <v>7117</v>
      </c>
      <c r="E3012" s="6" t="s">
        <v>1885</v>
      </c>
      <c r="F3012" s="6" t="s">
        <v>152</v>
      </c>
      <c r="G3012" s="7">
        <v>0.19</v>
      </c>
      <c r="H3012" s="6" t="s">
        <v>1819</v>
      </c>
      <c r="I3012" s="6" t="s">
        <v>20</v>
      </c>
      <c r="J3012" s="6">
        <v>1995.0</v>
      </c>
      <c r="L3012" s="6">
        <v>4.0</v>
      </c>
      <c r="M3012" s="8">
        <f t="shared" si="5"/>
        <v>0.76</v>
      </c>
      <c r="P3012" s="9"/>
    </row>
    <row r="3013">
      <c r="A3013" s="6" t="s">
        <v>7116</v>
      </c>
      <c r="B3013" s="6" t="s">
        <v>7068</v>
      </c>
      <c r="C3013" s="6" t="s">
        <v>2841</v>
      </c>
      <c r="D3013" s="6" t="s">
        <v>7117</v>
      </c>
      <c r="E3013" s="6" t="s">
        <v>1885</v>
      </c>
      <c r="F3013" s="6" t="s">
        <v>152</v>
      </c>
      <c r="G3013" s="7">
        <v>0.05</v>
      </c>
      <c r="H3013" s="6" t="s">
        <v>1818</v>
      </c>
      <c r="I3013" s="6" t="s">
        <v>20</v>
      </c>
      <c r="J3013" s="6">
        <v>1995.0</v>
      </c>
      <c r="L3013" s="6">
        <v>2.0</v>
      </c>
      <c r="M3013" s="8">
        <f t="shared" si="5"/>
        <v>0.1</v>
      </c>
      <c r="P3013" s="9"/>
    </row>
    <row r="3014">
      <c r="A3014" s="6" t="s">
        <v>7118</v>
      </c>
      <c r="B3014" s="6" t="s">
        <v>2969</v>
      </c>
      <c r="C3014" s="6" t="s">
        <v>2855</v>
      </c>
      <c r="D3014" s="6" t="s">
        <v>7119</v>
      </c>
      <c r="E3014" s="6" t="s">
        <v>7120</v>
      </c>
      <c r="F3014" s="6" t="s">
        <v>152</v>
      </c>
      <c r="G3014" s="7">
        <v>0.18</v>
      </c>
      <c r="H3014" s="6" t="s">
        <v>1917</v>
      </c>
      <c r="I3014" s="6" t="s">
        <v>20</v>
      </c>
      <c r="J3014" s="6">
        <v>1995.0</v>
      </c>
      <c r="L3014" s="6">
        <v>2.0</v>
      </c>
      <c r="M3014" s="8">
        <f t="shared" si="5"/>
        <v>0.36</v>
      </c>
      <c r="P3014" s="9"/>
    </row>
    <row r="3015">
      <c r="A3015" s="6" t="s">
        <v>7121</v>
      </c>
      <c r="B3015" s="6" t="s">
        <v>7122</v>
      </c>
      <c r="C3015" s="6" t="s">
        <v>2138</v>
      </c>
      <c r="D3015" s="6" t="s">
        <v>7123</v>
      </c>
      <c r="E3015" s="6" t="s">
        <v>1743</v>
      </c>
      <c r="F3015" s="6" t="s">
        <v>152</v>
      </c>
      <c r="G3015" s="7">
        <v>1.5</v>
      </c>
      <c r="H3015" s="6" t="s">
        <v>2021</v>
      </c>
      <c r="I3015" s="6" t="s">
        <v>20</v>
      </c>
      <c r="J3015" s="6">
        <v>1996.0</v>
      </c>
      <c r="K3015" s="10">
        <v>46023.0</v>
      </c>
      <c r="L3015" s="6">
        <v>4.0</v>
      </c>
      <c r="M3015" s="8">
        <f t="shared" si="5"/>
        <v>6</v>
      </c>
      <c r="N3015" s="6" t="s">
        <v>6488</v>
      </c>
      <c r="P3015" s="9"/>
    </row>
    <row r="3016">
      <c r="A3016" s="6" t="s">
        <v>7124</v>
      </c>
      <c r="B3016" s="6" t="s">
        <v>7068</v>
      </c>
      <c r="C3016" s="6" t="s">
        <v>2841</v>
      </c>
      <c r="D3016" s="6" t="s">
        <v>7125</v>
      </c>
      <c r="E3016" s="6" t="s">
        <v>1779</v>
      </c>
      <c r="F3016" s="6" t="s">
        <v>152</v>
      </c>
      <c r="G3016" s="7">
        <v>0.01</v>
      </c>
      <c r="H3016" s="6" t="s">
        <v>1774</v>
      </c>
      <c r="I3016" s="6" t="s">
        <v>20</v>
      </c>
      <c r="J3016" s="6">
        <v>1995.0</v>
      </c>
      <c r="L3016" s="6">
        <v>2.0</v>
      </c>
      <c r="M3016" s="8">
        <f t="shared" si="5"/>
        <v>0.02</v>
      </c>
      <c r="P3016" s="9"/>
    </row>
    <row r="3017">
      <c r="A3017" s="6" t="s">
        <v>7126</v>
      </c>
      <c r="B3017" s="6" t="s">
        <v>2822</v>
      </c>
      <c r="C3017" s="6" t="s">
        <v>1949</v>
      </c>
      <c r="D3017" s="6" t="s">
        <v>7127</v>
      </c>
      <c r="E3017" s="6" t="s">
        <v>713</v>
      </c>
      <c r="F3017" s="6" t="s">
        <v>152</v>
      </c>
      <c r="G3017" s="7">
        <v>0.68</v>
      </c>
      <c r="H3017" s="6" t="s">
        <v>1819</v>
      </c>
      <c r="I3017" s="6" t="s">
        <v>20</v>
      </c>
      <c r="J3017" s="6">
        <v>1995.0</v>
      </c>
      <c r="L3017" s="6">
        <v>2.0</v>
      </c>
      <c r="M3017" s="8">
        <f t="shared" si="5"/>
        <v>1.36</v>
      </c>
      <c r="P3017" s="9"/>
    </row>
    <row r="3018">
      <c r="A3018" s="6" t="s">
        <v>7128</v>
      </c>
      <c r="B3018" s="6" t="s">
        <v>2822</v>
      </c>
      <c r="C3018" s="6" t="s">
        <v>1949</v>
      </c>
      <c r="D3018" s="6" t="s">
        <v>7129</v>
      </c>
      <c r="E3018" s="6" t="s">
        <v>713</v>
      </c>
      <c r="F3018" s="6" t="s">
        <v>152</v>
      </c>
      <c r="G3018" s="7">
        <v>0.28</v>
      </c>
      <c r="H3018" s="6" t="s">
        <v>1819</v>
      </c>
      <c r="I3018" s="6" t="s">
        <v>20</v>
      </c>
      <c r="J3018" s="6">
        <v>1995.0</v>
      </c>
      <c r="L3018" s="6">
        <v>1.0</v>
      </c>
      <c r="M3018" s="8">
        <f t="shared" si="5"/>
        <v>0.28</v>
      </c>
      <c r="P3018" s="9"/>
    </row>
    <row r="3019">
      <c r="A3019" s="6" t="s">
        <v>7128</v>
      </c>
      <c r="B3019" s="6" t="s">
        <v>2822</v>
      </c>
      <c r="C3019" s="6" t="s">
        <v>1949</v>
      </c>
      <c r="D3019" s="6" t="s">
        <v>7129</v>
      </c>
      <c r="E3019" s="6" t="s">
        <v>713</v>
      </c>
      <c r="F3019" s="6" t="s">
        <v>152</v>
      </c>
      <c r="G3019" s="7">
        <v>0.15</v>
      </c>
      <c r="H3019" s="6" t="s">
        <v>1818</v>
      </c>
      <c r="I3019" s="6" t="s">
        <v>20</v>
      </c>
      <c r="J3019" s="6">
        <v>1995.0</v>
      </c>
      <c r="L3019" s="6">
        <v>1.0</v>
      </c>
      <c r="M3019" s="8">
        <f t="shared" si="5"/>
        <v>0.15</v>
      </c>
      <c r="P3019" s="9"/>
    </row>
    <row r="3020">
      <c r="A3020" s="6" t="s">
        <v>7130</v>
      </c>
      <c r="B3020" s="6" t="s">
        <v>7068</v>
      </c>
      <c r="C3020" s="6" t="s">
        <v>2855</v>
      </c>
      <c r="D3020" s="6" t="s">
        <v>7131</v>
      </c>
      <c r="E3020" s="6" t="s">
        <v>1755</v>
      </c>
      <c r="F3020" s="6" t="s">
        <v>152</v>
      </c>
      <c r="G3020" s="7">
        <v>0.1</v>
      </c>
      <c r="H3020" s="6" t="s">
        <v>1818</v>
      </c>
      <c r="I3020" s="6" t="s">
        <v>20</v>
      </c>
      <c r="J3020" s="6">
        <v>1995.0</v>
      </c>
      <c r="L3020" s="6">
        <v>1.0</v>
      </c>
      <c r="M3020" s="8">
        <f t="shared" si="5"/>
        <v>0.1</v>
      </c>
      <c r="P3020" s="9"/>
    </row>
    <row r="3021">
      <c r="A3021" s="6" t="s">
        <v>7132</v>
      </c>
      <c r="B3021" s="6" t="s">
        <v>7068</v>
      </c>
      <c r="C3021" s="6" t="s">
        <v>2841</v>
      </c>
      <c r="D3021" s="6" t="s">
        <v>7133</v>
      </c>
      <c r="E3021" s="6" t="s">
        <v>1761</v>
      </c>
      <c r="F3021" s="6" t="s">
        <v>152</v>
      </c>
      <c r="G3021" s="7">
        <v>0.99</v>
      </c>
      <c r="H3021" s="6" t="s">
        <v>7134</v>
      </c>
      <c r="I3021" s="6" t="s">
        <v>20</v>
      </c>
      <c r="J3021" s="6">
        <v>1995.0</v>
      </c>
      <c r="L3021" s="6">
        <v>1.0</v>
      </c>
      <c r="M3021" s="8">
        <f t="shared" si="5"/>
        <v>0.99</v>
      </c>
      <c r="N3021" s="6" t="s">
        <v>6488</v>
      </c>
      <c r="P3021" s="9"/>
    </row>
    <row r="3022">
      <c r="A3022" s="6" t="s">
        <v>7135</v>
      </c>
      <c r="B3022" s="6" t="s">
        <v>7068</v>
      </c>
      <c r="C3022" s="6" t="s">
        <v>2855</v>
      </c>
      <c r="D3022" s="6" t="s">
        <v>7136</v>
      </c>
      <c r="E3022" s="6" t="s">
        <v>1755</v>
      </c>
      <c r="F3022" s="6" t="s">
        <v>152</v>
      </c>
      <c r="G3022" s="7">
        <v>0.13</v>
      </c>
      <c r="H3022" s="6" t="s">
        <v>1774</v>
      </c>
      <c r="I3022" s="6" t="s">
        <v>20</v>
      </c>
      <c r="J3022" s="6">
        <v>1995.0</v>
      </c>
      <c r="L3022" s="6">
        <v>1.0</v>
      </c>
      <c r="M3022" s="8">
        <f t="shared" si="5"/>
        <v>0.13</v>
      </c>
      <c r="P3022" s="9"/>
    </row>
    <row r="3023">
      <c r="A3023" s="6" t="s">
        <v>7137</v>
      </c>
      <c r="B3023" s="6" t="s">
        <v>7138</v>
      </c>
      <c r="C3023" s="6" t="s">
        <v>2855</v>
      </c>
      <c r="D3023" s="6" t="s">
        <v>7139</v>
      </c>
      <c r="E3023" s="6" t="s">
        <v>2426</v>
      </c>
      <c r="F3023" s="6" t="s">
        <v>152</v>
      </c>
      <c r="G3023" s="7">
        <v>2.48</v>
      </c>
      <c r="H3023" s="6" t="s">
        <v>1886</v>
      </c>
      <c r="I3023" s="6" t="s">
        <v>20</v>
      </c>
      <c r="J3023" s="6">
        <v>1995.0</v>
      </c>
      <c r="K3023" s="10">
        <v>46144.0</v>
      </c>
      <c r="L3023" s="6">
        <v>1.0</v>
      </c>
      <c r="M3023" s="8">
        <f t="shared" si="5"/>
        <v>2.48</v>
      </c>
      <c r="N3023" s="6" t="s">
        <v>6488</v>
      </c>
      <c r="P3023" s="9"/>
    </row>
    <row r="3024">
      <c r="A3024" s="6" t="s">
        <v>7140</v>
      </c>
      <c r="B3024" s="6" t="s">
        <v>591</v>
      </c>
      <c r="C3024" s="6" t="s">
        <v>295</v>
      </c>
      <c r="D3024" s="6" t="s">
        <v>7141</v>
      </c>
      <c r="E3024" s="6" t="s">
        <v>1743</v>
      </c>
      <c r="F3024" s="6" t="s">
        <v>152</v>
      </c>
      <c r="G3024" s="7">
        <v>4.49</v>
      </c>
      <c r="H3024" s="6" t="s">
        <v>1744</v>
      </c>
      <c r="I3024" s="6" t="s">
        <v>31</v>
      </c>
      <c r="J3024" s="6">
        <v>2000.0</v>
      </c>
      <c r="K3024" s="10">
        <v>46054.0</v>
      </c>
      <c r="L3024" s="6">
        <v>1.0</v>
      </c>
      <c r="M3024" s="8">
        <f t="shared" si="5"/>
        <v>4.49</v>
      </c>
      <c r="N3024" s="6" t="s">
        <v>6488</v>
      </c>
      <c r="P3024" s="9"/>
    </row>
    <row r="3025">
      <c r="A3025" s="6" t="s">
        <v>7142</v>
      </c>
      <c r="B3025" s="6" t="s">
        <v>7143</v>
      </c>
      <c r="C3025" s="6" t="s">
        <v>295</v>
      </c>
      <c r="D3025" s="6" t="s">
        <v>7144</v>
      </c>
      <c r="E3025" s="6" t="s">
        <v>1779</v>
      </c>
      <c r="F3025" s="6" t="s">
        <v>152</v>
      </c>
      <c r="G3025" s="7">
        <v>3.5</v>
      </c>
      <c r="H3025" s="6" t="s">
        <v>7078</v>
      </c>
      <c r="I3025" s="6" t="s">
        <v>31</v>
      </c>
      <c r="J3025" s="6">
        <v>2001.0</v>
      </c>
      <c r="K3025" s="10">
        <v>46082.0</v>
      </c>
      <c r="L3025" s="6">
        <v>1.0</v>
      </c>
      <c r="M3025" s="8">
        <f t="shared" si="5"/>
        <v>3.5</v>
      </c>
      <c r="N3025" s="6" t="s">
        <v>6488</v>
      </c>
      <c r="P3025" s="9"/>
    </row>
    <row r="3026">
      <c r="A3026" s="6" t="s">
        <v>7145</v>
      </c>
      <c r="B3026" s="6" t="s">
        <v>7068</v>
      </c>
      <c r="C3026" s="6" t="s">
        <v>2138</v>
      </c>
      <c r="D3026" s="6" t="s">
        <v>7146</v>
      </c>
      <c r="E3026" s="6" t="s">
        <v>1743</v>
      </c>
      <c r="F3026" s="6" t="s">
        <v>152</v>
      </c>
      <c r="G3026" s="7">
        <v>0.49</v>
      </c>
      <c r="H3026" s="6" t="s">
        <v>1819</v>
      </c>
      <c r="I3026" s="6" t="s">
        <v>20</v>
      </c>
      <c r="J3026" s="6">
        <v>1995.0</v>
      </c>
      <c r="L3026" s="6">
        <v>7.0</v>
      </c>
      <c r="M3026" s="8">
        <f t="shared" si="5"/>
        <v>3.43</v>
      </c>
      <c r="P3026" s="9"/>
    </row>
    <row r="3027">
      <c r="A3027" s="6" t="s">
        <v>7145</v>
      </c>
      <c r="B3027" s="6" t="s">
        <v>7068</v>
      </c>
      <c r="C3027" s="6" t="s">
        <v>2138</v>
      </c>
      <c r="D3027" s="6" t="s">
        <v>7146</v>
      </c>
      <c r="E3027" s="6" t="s">
        <v>1743</v>
      </c>
      <c r="F3027" s="6" t="s">
        <v>152</v>
      </c>
      <c r="G3027" s="7">
        <v>0.1</v>
      </c>
      <c r="H3027" s="6" t="s">
        <v>1818</v>
      </c>
      <c r="I3027" s="6" t="s">
        <v>20</v>
      </c>
      <c r="J3027" s="6">
        <v>1995.0</v>
      </c>
      <c r="L3027" s="6">
        <v>1.0</v>
      </c>
      <c r="M3027" s="8">
        <f t="shared" si="5"/>
        <v>0.1</v>
      </c>
      <c r="P3027" s="9"/>
    </row>
    <row r="3028">
      <c r="A3028" s="6" t="s">
        <v>7147</v>
      </c>
      <c r="B3028" s="6" t="s">
        <v>7148</v>
      </c>
      <c r="C3028" s="6" t="s">
        <v>2138</v>
      </c>
      <c r="D3028" s="6" t="s">
        <v>7149</v>
      </c>
      <c r="E3028" s="6" t="s">
        <v>1743</v>
      </c>
      <c r="F3028" s="6" t="s">
        <v>152</v>
      </c>
      <c r="G3028" s="7">
        <v>1.0</v>
      </c>
      <c r="H3028" s="6" t="s">
        <v>1819</v>
      </c>
      <c r="I3028" s="6" t="s">
        <v>20</v>
      </c>
      <c r="J3028" s="6">
        <v>1994.0</v>
      </c>
      <c r="L3028" s="6">
        <v>8.0</v>
      </c>
      <c r="M3028" s="8">
        <f t="shared" si="5"/>
        <v>8</v>
      </c>
      <c r="P3028" s="9"/>
    </row>
    <row r="3029">
      <c r="A3029" s="6" t="s">
        <v>7147</v>
      </c>
      <c r="B3029" s="6" t="s">
        <v>7148</v>
      </c>
      <c r="C3029" s="6" t="s">
        <v>2138</v>
      </c>
      <c r="D3029" s="6" t="s">
        <v>7149</v>
      </c>
      <c r="E3029" s="6" t="s">
        <v>1743</v>
      </c>
      <c r="F3029" s="6" t="s">
        <v>152</v>
      </c>
      <c r="G3029" s="7">
        <v>0.2</v>
      </c>
      <c r="H3029" s="6" t="s">
        <v>1818</v>
      </c>
      <c r="I3029" s="6" t="s">
        <v>20</v>
      </c>
      <c r="J3029" s="6">
        <v>1994.0</v>
      </c>
      <c r="L3029" s="6">
        <v>1.0</v>
      </c>
      <c r="M3029" s="8">
        <f t="shared" si="5"/>
        <v>0.2</v>
      </c>
      <c r="P3029" s="9"/>
    </row>
    <row r="3030">
      <c r="A3030" s="6" t="s">
        <v>1824</v>
      </c>
      <c r="B3030" s="6" t="s">
        <v>7080</v>
      </c>
      <c r="C3030" s="6" t="s">
        <v>2138</v>
      </c>
      <c r="D3030" s="6" t="s">
        <v>7150</v>
      </c>
      <c r="E3030" s="6" t="s">
        <v>713</v>
      </c>
      <c r="F3030" s="6" t="s">
        <v>152</v>
      </c>
      <c r="G3030" s="7">
        <v>0.13</v>
      </c>
      <c r="H3030" s="6" t="s">
        <v>1819</v>
      </c>
      <c r="I3030" s="6" t="s">
        <v>20</v>
      </c>
      <c r="J3030" s="6">
        <v>1995.0</v>
      </c>
      <c r="L3030" s="6">
        <v>3.0</v>
      </c>
      <c r="M3030" s="8">
        <f t="shared" si="5"/>
        <v>0.39</v>
      </c>
      <c r="P3030" s="9"/>
    </row>
    <row r="3031">
      <c r="A3031" s="6" t="s">
        <v>1824</v>
      </c>
      <c r="B3031" s="6" t="s">
        <v>7080</v>
      </c>
      <c r="C3031" s="6" t="s">
        <v>2138</v>
      </c>
      <c r="D3031" s="6" t="s">
        <v>7150</v>
      </c>
      <c r="E3031" s="6" t="s">
        <v>713</v>
      </c>
      <c r="F3031" s="6" t="s">
        <v>152</v>
      </c>
      <c r="G3031" s="7">
        <v>0.09</v>
      </c>
      <c r="H3031" s="6" t="s">
        <v>1818</v>
      </c>
      <c r="I3031" s="6" t="s">
        <v>20</v>
      </c>
      <c r="J3031" s="6">
        <v>1995.0</v>
      </c>
      <c r="L3031" s="6">
        <v>4.0</v>
      </c>
      <c r="M3031" s="8">
        <f t="shared" si="5"/>
        <v>0.36</v>
      </c>
      <c r="P3031" s="9"/>
    </row>
    <row r="3032">
      <c r="A3032" s="6" t="s">
        <v>7151</v>
      </c>
      <c r="B3032" s="6" t="s">
        <v>3996</v>
      </c>
      <c r="C3032" s="6" t="s">
        <v>295</v>
      </c>
      <c r="D3032" s="6" t="s">
        <v>7152</v>
      </c>
      <c r="E3032" s="6" t="s">
        <v>2839</v>
      </c>
      <c r="F3032" s="6" t="s">
        <v>277</v>
      </c>
      <c r="G3032" s="7">
        <v>0.17</v>
      </c>
      <c r="H3032" s="6" t="s">
        <v>2141</v>
      </c>
      <c r="I3032" s="6" t="s">
        <v>20</v>
      </c>
      <c r="J3032" s="6">
        <v>2023.0</v>
      </c>
      <c r="K3032" s="10">
        <v>46023.0</v>
      </c>
      <c r="L3032" s="6">
        <v>1.0</v>
      </c>
      <c r="M3032" s="8">
        <f t="shared" si="5"/>
        <v>0.17</v>
      </c>
      <c r="P3032" s="9"/>
    </row>
    <row r="3033">
      <c r="A3033" s="6" t="s">
        <v>7153</v>
      </c>
      <c r="B3033" s="6" t="s">
        <v>7154</v>
      </c>
      <c r="C3033" s="6" t="s">
        <v>295</v>
      </c>
      <c r="D3033" s="6" t="s">
        <v>7155</v>
      </c>
      <c r="E3033" s="6" t="s">
        <v>2280</v>
      </c>
      <c r="F3033" s="6" t="s">
        <v>277</v>
      </c>
      <c r="G3033" s="7">
        <v>0.24</v>
      </c>
      <c r="H3033" s="6" t="s">
        <v>2141</v>
      </c>
      <c r="I3033" s="6" t="s">
        <v>20</v>
      </c>
      <c r="J3033" s="6">
        <v>2023.0</v>
      </c>
      <c r="K3033" s="10">
        <v>46024.0</v>
      </c>
      <c r="L3033" s="6">
        <v>1.0</v>
      </c>
      <c r="M3033" s="8">
        <f t="shared" si="5"/>
        <v>0.24</v>
      </c>
      <c r="P3033" s="9"/>
    </row>
    <row r="3034">
      <c r="A3034" s="6" t="s">
        <v>7156</v>
      </c>
      <c r="B3034" s="6" t="s">
        <v>385</v>
      </c>
      <c r="C3034" s="6" t="s">
        <v>295</v>
      </c>
      <c r="D3034" s="6" t="s">
        <v>7157</v>
      </c>
      <c r="E3034" s="6" t="s">
        <v>1856</v>
      </c>
      <c r="F3034" s="6" t="s">
        <v>277</v>
      </c>
      <c r="G3034" s="7">
        <v>0.25</v>
      </c>
      <c r="H3034" s="6" t="s">
        <v>1631</v>
      </c>
      <c r="I3034" s="6" t="s">
        <v>31</v>
      </c>
      <c r="J3034" s="6">
        <v>2024.0</v>
      </c>
      <c r="L3034" s="6">
        <v>1.0</v>
      </c>
      <c r="M3034" s="8">
        <f t="shared" si="5"/>
        <v>0.25</v>
      </c>
      <c r="P3034" s="9"/>
    </row>
    <row r="3035">
      <c r="A3035" s="6" t="s">
        <v>7158</v>
      </c>
      <c r="B3035" s="6" t="s">
        <v>7159</v>
      </c>
      <c r="C3035" s="6" t="s">
        <v>1949</v>
      </c>
      <c r="D3035" s="6" t="s">
        <v>7160</v>
      </c>
      <c r="E3035" s="6" t="s">
        <v>1856</v>
      </c>
      <c r="F3035" s="6" t="s">
        <v>277</v>
      </c>
      <c r="G3035" s="7">
        <v>0.39</v>
      </c>
      <c r="H3035" s="6" t="s">
        <v>2141</v>
      </c>
      <c r="I3035" s="6" t="s">
        <v>20</v>
      </c>
      <c r="J3035" s="6">
        <v>2023.0</v>
      </c>
      <c r="K3035" s="10">
        <v>46055.0</v>
      </c>
      <c r="L3035" s="6">
        <v>2.0</v>
      </c>
      <c r="M3035" s="8">
        <f t="shared" si="5"/>
        <v>0.78</v>
      </c>
      <c r="P3035" s="9"/>
    </row>
    <row r="3036">
      <c r="A3036" s="6" t="s">
        <v>7161</v>
      </c>
      <c r="B3036" s="6" t="s">
        <v>610</v>
      </c>
      <c r="C3036" s="6" t="s">
        <v>295</v>
      </c>
      <c r="D3036" s="6" t="s">
        <v>7162</v>
      </c>
      <c r="E3036" s="6" t="s">
        <v>629</v>
      </c>
      <c r="F3036" s="6" t="s">
        <v>277</v>
      </c>
      <c r="G3036" s="7">
        <v>0.39</v>
      </c>
      <c r="H3036" s="6" t="s">
        <v>2238</v>
      </c>
      <c r="I3036" s="6" t="s">
        <v>20</v>
      </c>
      <c r="J3036" s="6">
        <v>2024.0</v>
      </c>
      <c r="L3036" s="6">
        <v>1.0</v>
      </c>
      <c r="M3036" s="8">
        <f t="shared" si="5"/>
        <v>0.39</v>
      </c>
      <c r="P3036" s="9"/>
    </row>
    <row r="3037">
      <c r="A3037" s="6" t="s">
        <v>7163</v>
      </c>
      <c r="B3037" s="6" t="s">
        <v>3635</v>
      </c>
      <c r="C3037" s="6" t="s">
        <v>295</v>
      </c>
      <c r="D3037" s="6" t="s">
        <v>7164</v>
      </c>
      <c r="E3037" s="6" t="s">
        <v>7165</v>
      </c>
      <c r="F3037" s="6" t="s">
        <v>277</v>
      </c>
      <c r="G3037" s="7">
        <v>0.16</v>
      </c>
      <c r="H3037" s="6" t="s">
        <v>1619</v>
      </c>
      <c r="I3037" s="6" t="s">
        <v>20</v>
      </c>
      <c r="J3037" s="6">
        <v>2022.0</v>
      </c>
      <c r="K3037" s="10">
        <v>46147.0</v>
      </c>
      <c r="L3037" s="6">
        <v>1.0</v>
      </c>
      <c r="M3037" s="8">
        <f t="shared" si="5"/>
        <v>0.16</v>
      </c>
      <c r="P3037" s="9"/>
    </row>
    <row r="3038">
      <c r="A3038" s="6" t="s">
        <v>7166</v>
      </c>
      <c r="B3038" s="6" t="s">
        <v>378</v>
      </c>
      <c r="C3038" s="6" t="s">
        <v>295</v>
      </c>
      <c r="D3038" s="6" t="s">
        <v>7167</v>
      </c>
      <c r="E3038" s="6" t="s">
        <v>2280</v>
      </c>
      <c r="F3038" s="6" t="s">
        <v>277</v>
      </c>
      <c r="G3038" s="7">
        <v>0.1</v>
      </c>
      <c r="H3038" s="6" t="s">
        <v>1619</v>
      </c>
      <c r="I3038" s="6" t="s">
        <v>20</v>
      </c>
      <c r="J3038" s="6">
        <v>2022.0</v>
      </c>
      <c r="L3038" s="6">
        <v>1.0</v>
      </c>
      <c r="M3038" s="8">
        <f t="shared" si="5"/>
        <v>0.1</v>
      </c>
      <c r="P3038" s="9"/>
    </row>
    <row r="3039">
      <c r="A3039" s="6" t="s">
        <v>7168</v>
      </c>
      <c r="B3039" s="6" t="s">
        <v>2058</v>
      </c>
      <c r="C3039" s="6" t="s">
        <v>295</v>
      </c>
      <c r="D3039" s="6" t="s">
        <v>7169</v>
      </c>
      <c r="E3039" s="6" t="s">
        <v>2280</v>
      </c>
      <c r="F3039" s="6" t="s">
        <v>277</v>
      </c>
      <c r="G3039" s="7">
        <v>0.25</v>
      </c>
      <c r="H3039" s="6" t="s">
        <v>2238</v>
      </c>
      <c r="I3039" s="6" t="s">
        <v>20</v>
      </c>
      <c r="J3039" s="6">
        <v>2024.0</v>
      </c>
      <c r="L3039" s="6">
        <v>1.0</v>
      </c>
      <c r="M3039" s="8">
        <f t="shared" si="5"/>
        <v>0.25</v>
      </c>
      <c r="P3039" s="9"/>
    </row>
    <row r="3040">
      <c r="A3040" s="6" t="s">
        <v>7170</v>
      </c>
      <c r="B3040" s="6" t="s">
        <v>378</v>
      </c>
      <c r="C3040" s="6" t="s">
        <v>1949</v>
      </c>
      <c r="D3040" s="6" t="s">
        <v>7171</v>
      </c>
      <c r="E3040" s="6" t="s">
        <v>2280</v>
      </c>
      <c r="F3040" s="6" t="s">
        <v>277</v>
      </c>
      <c r="G3040" s="7">
        <v>0.29</v>
      </c>
      <c r="H3040" s="6" t="s">
        <v>2619</v>
      </c>
      <c r="I3040" s="6" t="s">
        <v>20</v>
      </c>
      <c r="J3040" s="6">
        <v>2019.0</v>
      </c>
      <c r="L3040" s="6">
        <v>2.0</v>
      </c>
      <c r="M3040" s="8">
        <f t="shared" si="5"/>
        <v>0.58</v>
      </c>
      <c r="P3040" s="9"/>
    </row>
    <row r="3041">
      <c r="A3041" s="6" t="s">
        <v>7172</v>
      </c>
      <c r="B3041" s="6" t="s">
        <v>7173</v>
      </c>
      <c r="C3041" s="6" t="s">
        <v>295</v>
      </c>
      <c r="D3041" s="6" t="s">
        <v>7174</v>
      </c>
      <c r="E3041" s="6" t="s">
        <v>2280</v>
      </c>
      <c r="F3041" s="6" t="s">
        <v>277</v>
      </c>
      <c r="G3041" s="7">
        <v>0.06</v>
      </c>
      <c r="H3041" s="6" t="s">
        <v>2650</v>
      </c>
      <c r="I3041" s="6" t="s">
        <v>20</v>
      </c>
      <c r="J3041" s="6">
        <v>2021.0</v>
      </c>
      <c r="K3041" s="6" t="s">
        <v>564</v>
      </c>
      <c r="L3041" s="6">
        <v>1.0</v>
      </c>
      <c r="M3041" s="8">
        <f t="shared" si="5"/>
        <v>0.06</v>
      </c>
      <c r="P3041" s="9"/>
    </row>
    <row r="3042">
      <c r="A3042" s="6" t="s">
        <v>7175</v>
      </c>
      <c r="B3042" s="6" t="s">
        <v>3546</v>
      </c>
      <c r="C3042" s="6" t="s">
        <v>295</v>
      </c>
      <c r="D3042" s="6" t="s">
        <v>7176</v>
      </c>
      <c r="E3042" s="6" t="s">
        <v>1853</v>
      </c>
      <c r="F3042" s="6" t="s">
        <v>277</v>
      </c>
      <c r="G3042" s="7">
        <v>0.18</v>
      </c>
      <c r="H3042" s="6" t="s">
        <v>4574</v>
      </c>
      <c r="I3042" s="6" t="s">
        <v>20</v>
      </c>
      <c r="J3042" s="6">
        <v>2024.0</v>
      </c>
      <c r="K3042" s="10">
        <v>46083.0</v>
      </c>
      <c r="L3042" s="6">
        <v>1.0</v>
      </c>
      <c r="M3042" s="8">
        <f t="shared" si="5"/>
        <v>0.18</v>
      </c>
      <c r="P3042" s="9"/>
    </row>
    <row r="3043">
      <c r="A3043" s="6" t="s">
        <v>7177</v>
      </c>
      <c r="B3043" s="6" t="s">
        <v>7178</v>
      </c>
      <c r="C3043" s="6" t="s">
        <v>295</v>
      </c>
      <c r="D3043" s="6" t="s">
        <v>7179</v>
      </c>
      <c r="E3043" s="6" t="s">
        <v>2280</v>
      </c>
      <c r="F3043" s="6" t="s">
        <v>277</v>
      </c>
      <c r="G3043" s="7">
        <v>0.05</v>
      </c>
      <c r="H3043" s="6" t="s">
        <v>1959</v>
      </c>
      <c r="I3043" s="6" t="s">
        <v>20</v>
      </c>
      <c r="J3043" s="6">
        <v>2024.0</v>
      </c>
      <c r="K3043" s="10">
        <v>46055.0</v>
      </c>
      <c r="L3043" s="6">
        <v>2.0</v>
      </c>
      <c r="M3043" s="8">
        <f t="shared" si="5"/>
        <v>0.1</v>
      </c>
      <c r="P3043" s="9"/>
    </row>
    <row r="3044">
      <c r="A3044" s="6" t="s">
        <v>5224</v>
      </c>
      <c r="B3044" s="6" t="s">
        <v>5225</v>
      </c>
      <c r="C3044" s="6" t="s">
        <v>1949</v>
      </c>
      <c r="E3044" s="6" t="s">
        <v>2287</v>
      </c>
      <c r="F3044" s="6" t="s">
        <v>277</v>
      </c>
      <c r="G3044" s="7">
        <v>0.15</v>
      </c>
      <c r="H3044" s="6" t="s">
        <v>2141</v>
      </c>
      <c r="I3044" s="6" t="s">
        <v>20</v>
      </c>
      <c r="J3044" s="6">
        <v>2023.0</v>
      </c>
      <c r="K3044" s="10">
        <v>46090.0</v>
      </c>
      <c r="L3044" s="6">
        <v>1.0</v>
      </c>
      <c r="M3044" s="8">
        <f t="shared" si="5"/>
        <v>0.15</v>
      </c>
      <c r="P3044" s="9"/>
    </row>
    <row r="3045">
      <c r="A3045" s="6" t="s">
        <v>7180</v>
      </c>
      <c r="B3045" s="6" t="s">
        <v>2058</v>
      </c>
      <c r="C3045" s="6" t="s">
        <v>1949</v>
      </c>
      <c r="D3045" s="6" t="s">
        <v>7181</v>
      </c>
      <c r="E3045" s="6" t="s">
        <v>4252</v>
      </c>
      <c r="F3045" s="6" t="s">
        <v>277</v>
      </c>
      <c r="G3045" s="7">
        <v>0.2</v>
      </c>
      <c r="H3045" s="6" t="s">
        <v>2141</v>
      </c>
      <c r="I3045" s="6" t="s">
        <v>20</v>
      </c>
      <c r="J3045" s="6">
        <v>2023.0</v>
      </c>
      <c r="L3045" s="6">
        <v>1.0</v>
      </c>
      <c r="M3045" s="8">
        <f t="shared" si="5"/>
        <v>0.2</v>
      </c>
      <c r="P3045" s="9"/>
    </row>
    <row r="3046">
      <c r="A3046" s="6" t="s">
        <v>3584</v>
      </c>
      <c r="B3046" s="6" t="s">
        <v>3585</v>
      </c>
      <c r="C3046" s="6" t="s">
        <v>1949</v>
      </c>
      <c r="D3046" s="6" t="s">
        <v>3586</v>
      </c>
      <c r="E3046" s="6" t="s">
        <v>1853</v>
      </c>
      <c r="F3046" s="6" t="s">
        <v>277</v>
      </c>
      <c r="G3046" s="7">
        <v>0.24</v>
      </c>
      <c r="H3046" s="6" t="s">
        <v>2141</v>
      </c>
      <c r="I3046" s="6" t="s">
        <v>20</v>
      </c>
      <c r="J3046" s="6">
        <v>2023.0</v>
      </c>
      <c r="K3046" s="10">
        <v>46057.0</v>
      </c>
      <c r="L3046" s="6">
        <v>1.0</v>
      </c>
      <c r="M3046" s="8">
        <f t="shared" si="5"/>
        <v>0.24</v>
      </c>
      <c r="P3046" s="9"/>
    </row>
    <row r="3047">
      <c r="A3047" s="6" t="s">
        <v>7182</v>
      </c>
      <c r="B3047" s="6" t="s">
        <v>7183</v>
      </c>
      <c r="C3047" s="6" t="s">
        <v>1949</v>
      </c>
      <c r="D3047" s="6" t="s">
        <v>7184</v>
      </c>
      <c r="E3047" s="6" t="s">
        <v>1853</v>
      </c>
      <c r="F3047" s="6" t="s">
        <v>277</v>
      </c>
      <c r="G3047" s="7">
        <v>0.75</v>
      </c>
      <c r="H3047" s="6" t="s">
        <v>2141</v>
      </c>
      <c r="I3047" s="6" t="s">
        <v>20</v>
      </c>
      <c r="J3047" s="6">
        <v>2023.0</v>
      </c>
      <c r="K3047" s="10">
        <v>46055.0</v>
      </c>
      <c r="L3047" s="6">
        <v>1.0</v>
      </c>
      <c r="M3047" s="8">
        <f t="shared" si="5"/>
        <v>0.75</v>
      </c>
      <c r="P3047" s="9"/>
    </row>
    <row r="3048">
      <c r="A3048" s="6" t="s">
        <v>7185</v>
      </c>
      <c r="B3048" s="6" t="s">
        <v>4250</v>
      </c>
      <c r="C3048" s="6" t="s">
        <v>1949</v>
      </c>
      <c r="D3048" s="6" t="s">
        <v>7186</v>
      </c>
      <c r="E3048" s="6" t="s">
        <v>4252</v>
      </c>
      <c r="F3048" s="6" t="s">
        <v>277</v>
      </c>
      <c r="G3048" s="7">
        <v>0.17</v>
      </c>
      <c r="H3048" s="6" t="s">
        <v>2141</v>
      </c>
      <c r="I3048" s="6" t="s">
        <v>20</v>
      </c>
      <c r="J3048" s="6">
        <v>2023.0</v>
      </c>
      <c r="K3048" s="10">
        <v>46147.0</v>
      </c>
      <c r="L3048" s="6">
        <v>1.0</v>
      </c>
      <c r="M3048" s="8">
        <f t="shared" si="5"/>
        <v>0.17</v>
      </c>
      <c r="P3048" s="9"/>
    </row>
    <row r="3049">
      <c r="A3049" s="6" t="s">
        <v>4245</v>
      </c>
      <c r="B3049" s="6" t="s">
        <v>3303</v>
      </c>
      <c r="C3049" s="6" t="s">
        <v>1949</v>
      </c>
      <c r="D3049" s="6" t="s">
        <v>4246</v>
      </c>
      <c r="E3049" s="6" t="s">
        <v>2380</v>
      </c>
      <c r="F3049" s="6" t="s">
        <v>277</v>
      </c>
      <c r="G3049" s="7">
        <v>0.19</v>
      </c>
      <c r="H3049" s="6" t="s">
        <v>2141</v>
      </c>
      <c r="I3049" s="6" t="s">
        <v>20</v>
      </c>
      <c r="J3049" s="6">
        <v>2023.0</v>
      </c>
      <c r="K3049" s="10">
        <v>46055.0</v>
      </c>
      <c r="L3049" s="6">
        <v>1.0</v>
      </c>
      <c r="M3049" s="8">
        <f t="shared" si="5"/>
        <v>0.19</v>
      </c>
      <c r="P3049" s="9"/>
    </row>
    <row r="3050">
      <c r="A3050" s="6" t="s">
        <v>7187</v>
      </c>
      <c r="B3050" s="6" t="s">
        <v>7188</v>
      </c>
      <c r="C3050" s="6" t="s">
        <v>1949</v>
      </c>
      <c r="D3050" s="6" t="s">
        <v>7189</v>
      </c>
      <c r="E3050" s="6" t="s">
        <v>3046</v>
      </c>
      <c r="F3050" s="6" t="s">
        <v>277</v>
      </c>
      <c r="G3050" s="7">
        <v>0.38</v>
      </c>
      <c r="H3050" s="6" t="s">
        <v>2141</v>
      </c>
      <c r="I3050" s="6" t="s">
        <v>20</v>
      </c>
      <c r="J3050" s="6">
        <v>2023.0</v>
      </c>
      <c r="K3050" s="10">
        <v>46116.0</v>
      </c>
      <c r="L3050" s="6">
        <v>1.0</v>
      </c>
      <c r="M3050" s="8">
        <f t="shared" si="5"/>
        <v>0.38</v>
      </c>
      <c r="P3050" s="9"/>
    </row>
    <row r="3051">
      <c r="A3051" s="6" t="s">
        <v>7190</v>
      </c>
      <c r="B3051" s="6" t="s">
        <v>7191</v>
      </c>
      <c r="C3051" s="6" t="s">
        <v>1949</v>
      </c>
      <c r="D3051" s="6" t="s">
        <v>7192</v>
      </c>
      <c r="E3051" s="6" t="s">
        <v>1856</v>
      </c>
      <c r="F3051" s="6" t="s">
        <v>277</v>
      </c>
      <c r="G3051" s="7">
        <v>1.7</v>
      </c>
      <c r="H3051" s="6" t="s">
        <v>2141</v>
      </c>
      <c r="I3051" s="6" t="s">
        <v>20</v>
      </c>
      <c r="J3051" s="6">
        <v>2023.0</v>
      </c>
      <c r="K3051" s="10">
        <v>46055.0</v>
      </c>
      <c r="L3051" s="6">
        <v>1.0</v>
      </c>
      <c r="M3051" s="8">
        <f t="shared" si="5"/>
        <v>1.7</v>
      </c>
      <c r="N3051" s="6" t="s">
        <v>6488</v>
      </c>
      <c r="P3051" s="9"/>
    </row>
    <row r="3052">
      <c r="A3052" s="6" t="s">
        <v>7193</v>
      </c>
      <c r="B3052" s="6" t="s">
        <v>2058</v>
      </c>
      <c r="C3052" s="6" t="s">
        <v>295</v>
      </c>
      <c r="D3052" s="6" t="s">
        <v>7194</v>
      </c>
      <c r="E3052" s="6" t="s">
        <v>2280</v>
      </c>
      <c r="F3052" s="6" t="s">
        <v>277</v>
      </c>
      <c r="G3052" s="7">
        <v>0.05</v>
      </c>
      <c r="H3052" s="6" t="s">
        <v>2456</v>
      </c>
      <c r="I3052" s="6" t="s">
        <v>20</v>
      </c>
      <c r="J3052" s="6">
        <v>2024.0</v>
      </c>
      <c r="L3052" s="6">
        <v>1.0</v>
      </c>
      <c r="M3052" s="8">
        <f t="shared" si="5"/>
        <v>0.05</v>
      </c>
      <c r="P3052" s="9"/>
    </row>
    <row r="3053">
      <c r="A3053" s="6" t="s">
        <v>7195</v>
      </c>
      <c r="B3053" s="6" t="s">
        <v>6968</v>
      </c>
      <c r="C3053" s="6" t="s">
        <v>1949</v>
      </c>
      <c r="D3053" s="6" t="s">
        <v>7196</v>
      </c>
      <c r="E3053" s="6" t="s">
        <v>5410</v>
      </c>
      <c r="F3053" s="6" t="s">
        <v>88</v>
      </c>
      <c r="G3053" s="7">
        <v>0.25</v>
      </c>
      <c r="H3053" s="6" t="s">
        <v>2141</v>
      </c>
      <c r="I3053" s="6" t="s">
        <v>20</v>
      </c>
      <c r="J3053" s="6">
        <v>2023.0</v>
      </c>
      <c r="K3053" s="10">
        <v>46240.0</v>
      </c>
      <c r="L3053" s="6">
        <v>1.0</v>
      </c>
      <c r="M3053" s="8">
        <f t="shared" si="5"/>
        <v>0.25</v>
      </c>
      <c r="P3053" s="9"/>
    </row>
    <row r="3054">
      <c r="A3054" s="6" t="s">
        <v>7197</v>
      </c>
      <c r="B3054" s="6" t="s">
        <v>7198</v>
      </c>
      <c r="C3054" s="6" t="s">
        <v>295</v>
      </c>
      <c r="D3054" s="6" t="s">
        <v>7199</v>
      </c>
      <c r="E3054" s="6" t="s">
        <v>2318</v>
      </c>
      <c r="F3054" s="6" t="s">
        <v>88</v>
      </c>
      <c r="G3054" s="7">
        <v>0.06</v>
      </c>
      <c r="H3054" s="6" t="s">
        <v>1708</v>
      </c>
      <c r="I3054" s="6" t="s">
        <v>20</v>
      </c>
      <c r="J3054" s="6">
        <v>2019.0</v>
      </c>
      <c r="K3054" s="10">
        <v>46023.0</v>
      </c>
      <c r="L3054" s="6">
        <v>1.0</v>
      </c>
      <c r="M3054" s="8">
        <f t="shared" si="5"/>
        <v>0.06</v>
      </c>
      <c r="P3054" s="9"/>
    </row>
    <row r="3055">
      <c r="A3055" s="6" t="s">
        <v>7200</v>
      </c>
      <c r="B3055" s="6" t="s">
        <v>378</v>
      </c>
      <c r="C3055" s="6" t="s">
        <v>1949</v>
      </c>
      <c r="D3055" s="6" t="s">
        <v>7201</v>
      </c>
      <c r="E3055" s="6" t="s">
        <v>2318</v>
      </c>
      <c r="F3055" s="6" t="s">
        <v>88</v>
      </c>
      <c r="G3055" s="7">
        <v>0.35</v>
      </c>
      <c r="H3055" s="6" t="s">
        <v>2205</v>
      </c>
      <c r="I3055" s="6" t="s">
        <v>20</v>
      </c>
      <c r="J3055" s="6">
        <v>2023.0</v>
      </c>
      <c r="L3055" s="6">
        <v>1.0</v>
      </c>
      <c r="M3055" s="8">
        <f t="shared" si="5"/>
        <v>0.35</v>
      </c>
      <c r="P3055" s="9"/>
    </row>
    <row r="3056">
      <c r="A3056" s="6" t="s">
        <v>7202</v>
      </c>
      <c r="B3056" s="6" t="s">
        <v>378</v>
      </c>
      <c r="C3056" s="6" t="s">
        <v>295</v>
      </c>
      <c r="D3056" s="6" t="s">
        <v>7203</v>
      </c>
      <c r="E3056" s="6" t="s">
        <v>380</v>
      </c>
      <c r="F3056" s="6" t="s">
        <v>88</v>
      </c>
      <c r="G3056" s="7">
        <v>0.06</v>
      </c>
      <c r="H3056" s="6" t="s">
        <v>1984</v>
      </c>
      <c r="I3056" s="6" t="s">
        <v>20</v>
      </c>
      <c r="J3056" s="6">
        <v>2015.0</v>
      </c>
      <c r="L3056" s="6">
        <v>1.0</v>
      </c>
      <c r="M3056" s="8">
        <f t="shared" si="5"/>
        <v>0.06</v>
      </c>
      <c r="P3056" s="9"/>
    </row>
    <row r="3057">
      <c r="A3057" s="6" t="s">
        <v>7204</v>
      </c>
      <c r="B3057" s="6" t="s">
        <v>7205</v>
      </c>
      <c r="C3057" s="6" t="s">
        <v>295</v>
      </c>
      <c r="D3057" s="6" t="s">
        <v>7206</v>
      </c>
      <c r="E3057" s="6" t="s">
        <v>2326</v>
      </c>
      <c r="F3057" s="6" t="s">
        <v>88</v>
      </c>
      <c r="G3057" s="7">
        <v>0.05</v>
      </c>
      <c r="H3057" s="6" t="s">
        <v>6498</v>
      </c>
      <c r="I3057" s="6" t="s">
        <v>20</v>
      </c>
      <c r="J3057" s="6">
        <v>2025.0</v>
      </c>
      <c r="K3057" s="10">
        <v>46056.0</v>
      </c>
      <c r="L3057" s="6">
        <v>1.0</v>
      </c>
      <c r="M3057" s="8">
        <f t="shared" si="5"/>
        <v>0.05</v>
      </c>
      <c r="P3057" s="9"/>
    </row>
    <row r="3058">
      <c r="A3058" s="6" t="s">
        <v>7207</v>
      </c>
      <c r="B3058" s="6" t="s">
        <v>378</v>
      </c>
      <c r="C3058" s="6" t="s">
        <v>1949</v>
      </c>
      <c r="D3058" s="6" t="s">
        <v>7208</v>
      </c>
      <c r="E3058" s="6" t="s">
        <v>2326</v>
      </c>
      <c r="F3058" s="6" t="s">
        <v>88</v>
      </c>
      <c r="G3058" s="7">
        <v>3.95</v>
      </c>
      <c r="H3058" s="6" t="s">
        <v>2219</v>
      </c>
      <c r="I3058" s="6" t="s">
        <v>20</v>
      </c>
      <c r="J3058" s="6">
        <v>2024.0</v>
      </c>
      <c r="L3058" s="6">
        <v>1.0</v>
      </c>
      <c r="M3058" s="8">
        <f t="shared" si="5"/>
        <v>3.95</v>
      </c>
      <c r="N3058" s="6" t="s">
        <v>6488</v>
      </c>
      <c r="P3058" s="9"/>
    </row>
    <row r="3059">
      <c r="A3059" s="6" t="s">
        <v>7209</v>
      </c>
      <c r="B3059" s="6" t="s">
        <v>4871</v>
      </c>
      <c r="C3059" s="6" t="s">
        <v>295</v>
      </c>
      <c r="D3059" s="6" t="s">
        <v>7210</v>
      </c>
      <c r="E3059" s="6" t="s">
        <v>380</v>
      </c>
      <c r="F3059" s="6" t="s">
        <v>88</v>
      </c>
      <c r="G3059" s="7">
        <v>0.1</v>
      </c>
      <c r="H3059" s="6" t="s">
        <v>6498</v>
      </c>
      <c r="I3059" s="6" t="s">
        <v>20</v>
      </c>
      <c r="J3059" s="6">
        <v>2025.0</v>
      </c>
      <c r="K3059" s="10">
        <v>46084.0</v>
      </c>
      <c r="L3059" s="6">
        <v>1.0</v>
      </c>
      <c r="M3059" s="8">
        <f t="shared" si="5"/>
        <v>0.1</v>
      </c>
      <c r="P3059" s="9"/>
    </row>
    <row r="3060">
      <c r="A3060" s="6" t="s">
        <v>7211</v>
      </c>
      <c r="B3060" s="6" t="s">
        <v>2621</v>
      </c>
      <c r="C3060" s="6" t="s">
        <v>295</v>
      </c>
      <c r="D3060" s="6" t="s">
        <v>7212</v>
      </c>
      <c r="E3060" s="6" t="s">
        <v>380</v>
      </c>
      <c r="F3060" s="6" t="s">
        <v>88</v>
      </c>
      <c r="G3060" s="7">
        <v>0.09</v>
      </c>
      <c r="H3060" s="6" t="s">
        <v>2172</v>
      </c>
      <c r="I3060" s="6" t="s">
        <v>20</v>
      </c>
      <c r="J3060" s="6">
        <v>2021.0</v>
      </c>
      <c r="K3060" s="10">
        <v>46084.0</v>
      </c>
      <c r="L3060" s="6">
        <v>1.0</v>
      </c>
      <c r="M3060" s="8">
        <f t="shared" si="5"/>
        <v>0.09</v>
      </c>
      <c r="P3060" s="9"/>
    </row>
    <row r="3061">
      <c r="A3061" s="6" t="s">
        <v>7213</v>
      </c>
      <c r="B3061" s="6" t="s">
        <v>2621</v>
      </c>
      <c r="C3061" s="6" t="s">
        <v>295</v>
      </c>
      <c r="D3061" s="6" t="s">
        <v>7214</v>
      </c>
      <c r="E3061" s="6" t="s">
        <v>2318</v>
      </c>
      <c r="F3061" s="6" t="s">
        <v>88</v>
      </c>
      <c r="G3061" s="7">
        <v>0.06</v>
      </c>
      <c r="H3061" s="6" t="s">
        <v>2172</v>
      </c>
      <c r="I3061" s="6" t="s">
        <v>20</v>
      </c>
      <c r="J3061" s="6">
        <v>2021.0</v>
      </c>
      <c r="K3061" s="10">
        <v>46083.0</v>
      </c>
      <c r="L3061" s="6">
        <v>1.0</v>
      </c>
      <c r="M3061" s="8">
        <f t="shared" si="5"/>
        <v>0.06</v>
      </c>
      <c r="P3061" s="9"/>
    </row>
    <row r="3062">
      <c r="A3062" s="6" t="s">
        <v>7215</v>
      </c>
      <c r="B3062" s="6" t="s">
        <v>378</v>
      </c>
      <c r="C3062" s="6" t="s">
        <v>1949</v>
      </c>
      <c r="D3062" s="6" t="s">
        <v>7216</v>
      </c>
      <c r="E3062" s="6" t="s">
        <v>915</v>
      </c>
      <c r="F3062" s="6" t="s">
        <v>88</v>
      </c>
      <c r="G3062" s="7">
        <v>7.0</v>
      </c>
      <c r="H3062" s="6" t="s">
        <v>2172</v>
      </c>
      <c r="I3062" s="6" t="s">
        <v>20</v>
      </c>
      <c r="J3062" s="6">
        <v>2021.0</v>
      </c>
      <c r="L3062" s="6">
        <v>1.0</v>
      </c>
      <c r="M3062" s="8">
        <f t="shared" si="5"/>
        <v>7</v>
      </c>
      <c r="N3062" s="6" t="s">
        <v>6488</v>
      </c>
      <c r="P3062" s="9"/>
    </row>
    <row r="3063">
      <c r="A3063" s="6" t="s">
        <v>7217</v>
      </c>
      <c r="B3063" s="6" t="s">
        <v>1896</v>
      </c>
      <c r="C3063" s="6" t="s">
        <v>1949</v>
      </c>
      <c r="D3063" s="6" t="s">
        <v>7218</v>
      </c>
      <c r="E3063" s="6" t="s">
        <v>380</v>
      </c>
      <c r="F3063" s="6" t="s">
        <v>88</v>
      </c>
      <c r="G3063" s="7">
        <v>0.09</v>
      </c>
      <c r="H3063" s="6" t="s">
        <v>2172</v>
      </c>
      <c r="I3063" s="6" t="s">
        <v>20</v>
      </c>
      <c r="J3063" s="6">
        <v>2021.0</v>
      </c>
      <c r="L3063" s="6">
        <v>1.0</v>
      </c>
      <c r="M3063" s="8">
        <f t="shared" si="5"/>
        <v>0.09</v>
      </c>
      <c r="P3063" s="9"/>
    </row>
    <row r="3064">
      <c r="A3064" s="6" t="s">
        <v>7219</v>
      </c>
      <c r="B3064" s="6" t="s">
        <v>6639</v>
      </c>
      <c r="C3064" s="6" t="s">
        <v>295</v>
      </c>
      <c r="D3064" s="6" t="s">
        <v>7220</v>
      </c>
      <c r="E3064" s="6" t="s">
        <v>7221</v>
      </c>
      <c r="F3064" s="6" t="s">
        <v>88</v>
      </c>
      <c r="G3064" s="7">
        <v>0.05</v>
      </c>
      <c r="H3064" s="6" t="s">
        <v>1959</v>
      </c>
      <c r="I3064" s="6" t="s">
        <v>20</v>
      </c>
      <c r="J3064" s="6">
        <v>2024.0</v>
      </c>
      <c r="L3064" s="6">
        <v>1.0</v>
      </c>
      <c r="M3064" s="8">
        <f t="shared" si="5"/>
        <v>0.05</v>
      </c>
      <c r="P3064" s="9"/>
    </row>
    <row r="3065">
      <c r="A3065" s="6" t="s">
        <v>7222</v>
      </c>
      <c r="B3065" s="6" t="s">
        <v>2017</v>
      </c>
      <c r="C3065" s="6" t="s">
        <v>295</v>
      </c>
      <c r="D3065" s="6" t="s">
        <v>7223</v>
      </c>
      <c r="E3065" s="6" t="s">
        <v>915</v>
      </c>
      <c r="F3065" s="6" t="s">
        <v>88</v>
      </c>
      <c r="G3065" s="7">
        <v>0.03</v>
      </c>
      <c r="H3065" s="6" t="s">
        <v>1664</v>
      </c>
      <c r="I3065" s="6" t="s">
        <v>20</v>
      </c>
      <c r="J3065" s="6">
        <v>2018.0</v>
      </c>
      <c r="K3065" s="10">
        <v>46023.0</v>
      </c>
      <c r="L3065" s="6">
        <v>1.0</v>
      </c>
      <c r="M3065" s="8">
        <f t="shared" si="5"/>
        <v>0.03</v>
      </c>
      <c r="P3065" s="9"/>
    </row>
    <row r="3066">
      <c r="A3066" s="6" t="s">
        <v>7224</v>
      </c>
      <c r="B3066" s="6" t="s">
        <v>610</v>
      </c>
      <c r="C3066" s="6" t="s">
        <v>295</v>
      </c>
      <c r="D3066" s="6" t="s">
        <v>7225</v>
      </c>
      <c r="E3066" s="6" t="s">
        <v>2326</v>
      </c>
      <c r="F3066" s="6" t="s">
        <v>88</v>
      </c>
      <c r="G3066" s="7">
        <v>0.05</v>
      </c>
      <c r="H3066" s="6" t="s">
        <v>6498</v>
      </c>
      <c r="I3066" s="6" t="s">
        <v>20</v>
      </c>
      <c r="J3066" s="6">
        <v>2025.0</v>
      </c>
      <c r="L3066" s="6">
        <v>1.0</v>
      </c>
      <c r="M3066" s="8">
        <f t="shared" si="5"/>
        <v>0.05</v>
      </c>
      <c r="P3066" s="9"/>
    </row>
    <row r="3067">
      <c r="A3067" s="6" t="s">
        <v>7226</v>
      </c>
      <c r="B3067" s="6" t="s">
        <v>2014</v>
      </c>
      <c r="C3067" s="6" t="s">
        <v>1949</v>
      </c>
      <c r="D3067" s="6" t="s">
        <v>7227</v>
      </c>
      <c r="E3067" s="6" t="s">
        <v>2318</v>
      </c>
      <c r="F3067" s="6" t="s">
        <v>88</v>
      </c>
      <c r="G3067" s="7">
        <v>0.17</v>
      </c>
      <c r="H3067" s="6" t="s">
        <v>2219</v>
      </c>
      <c r="I3067" s="6" t="s">
        <v>20</v>
      </c>
      <c r="J3067" s="6">
        <v>2024.0</v>
      </c>
      <c r="L3067" s="6">
        <v>1.0</v>
      </c>
      <c r="M3067" s="8">
        <f t="shared" si="5"/>
        <v>0.17</v>
      </c>
      <c r="P3067" s="9"/>
    </row>
    <row r="3068">
      <c r="A3068" s="6" t="s">
        <v>7228</v>
      </c>
      <c r="B3068" s="6" t="s">
        <v>4471</v>
      </c>
      <c r="C3068" s="6" t="s">
        <v>295</v>
      </c>
      <c r="D3068" s="6" t="s">
        <v>7229</v>
      </c>
      <c r="E3068" s="6" t="s">
        <v>4324</v>
      </c>
      <c r="F3068" s="6" t="s">
        <v>88</v>
      </c>
      <c r="G3068" s="7">
        <v>0.05</v>
      </c>
      <c r="H3068" s="6" t="s">
        <v>4212</v>
      </c>
      <c r="I3068" s="6" t="s">
        <v>20</v>
      </c>
      <c r="J3068" s="6">
        <v>2008.0</v>
      </c>
      <c r="K3068" s="10">
        <v>46055.0</v>
      </c>
      <c r="L3068" s="6">
        <v>1.0</v>
      </c>
      <c r="M3068" s="8">
        <f t="shared" si="5"/>
        <v>0.05</v>
      </c>
      <c r="P3068" s="9"/>
    </row>
    <row r="3069">
      <c r="A3069" s="6" t="s">
        <v>7230</v>
      </c>
      <c r="B3069" s="6" t="s">
        <v>7231</v>
      </c>
      <c r="C3069" s="6" t="s">
        <v>1949</v>
      </c>
      <c r="D3069" s="6" t="s">
        <v>7232</v>
      </c>
      <c r="E3069" s="6" t="s">
        <v>2318</v>
      </c>
      <c r="F3069" s="6" t="s">
        <v>88</v>
      </c>
      <c r="G3069" s="7">
        <v>0.11</v>
      </c>
      <c r="H3069" s="6" t="s">
        <v>2219</v>
      </c>
      <c r="I3069" s="6" t="s">
        <v>20</v>
      </c>
      <c r="J3069" s="6">
        <v>2024.0</v>
      </c>
      <c r="K3069" s="10">
        <v>46055.0</v>
      </c>
      <c r="L3069" s="6">
        <v>1.0</v>
      </c>
      <c r="M3069" s="8">
        <f t="shared" si="5"/>
        <v>0.11</v>
      </c>
      <c r="P3069" s="9"/>
    </row>
    <row r="3070">
      <c r="A3070" s="6" t="s">
        <v>7233</v>
      </c>
      <c r="B3070" s="6" t="s">
        <v>2232</v>
      </c>
      <c r="C3070" s="6" t="s">
        <v>1949</v>
      </c>
      <c r="D3070" s="6" t="s">
        <v>7234</v>
      </c>
      <c r="E3070" s="6" t="s">
        <v>2326</v>
      </c>
      <c r="F3070" s="6" t="s">
        <v>88</v>
      </c>
      <c r="G3070" s="7">
        <v>0.1</v>
      </c>
      <c r="H3070" s="6" t="s">
        <v>2456</v>
      </c>
      <c r="I3070" s="6" t="s">
        <v>20</v>
      </c>
      <c r="J3070" s="6">
        <v>2024.0</v>
      </c>
      <c r="K3070" s="10">
        <v>46178.0</v>
      </c>
      <c r="L3070" s="6">
        <v>1.0</v>
      </c>
      <c r="M3070" s="8">
        <f t="shared" si="5"/>
        <v>0.1</v>
      </c>
      <c r="P3070" s="9"/>
    </row>
    <row r="3071">
      <c r="A3071" s="6" t="s">
        <v>7235</v>
      </c>
      <c r="B3071" s="6" t="s">
        <v>2014</v>
      </c>
      <c r="C3071" s="6" t="s">
        <v>1949</v>
      </c>
      <c r="D3071" s="6" t="s">
        <v>7236</v>
      </c>
      <c r="E3071" s="6" t="s">
        <v>4288</v>
      </c>
      <c r="F3071" s="6" t="s">
        <v>88</v>
      </c>
      <c r="G3071" s="7">
        <v>0.1</v>
      </c>
      <c r="H3071" s="6" t="s">
        <v>3679</v>
      </c>
      <c r="I3071" s="6" t="s">
        <v>20</v>
      </c>
      <c r="J3071" s="6">
        <v>2022.0</v>
      </c>
      <c r="L3071" s="6">
        <v>1.0</v>
      </c>
      <c r="M3071" s="8">
        <f t="shared" si="5"/>
        <v>0.1</v>
      </c>
      <c r="P3071" s="9"/>
    </row>
    <row r="3072">
      <c r="A3072" s="6" t="s">
        <v>7237</v>
      </c>
      <c r="B3072" s="6" t="s">
        <v>3487</v>
      </c>
      <c r="C3072" s="6" t="s">
        <v>295</v>
      </c>
      <c r="D3072" s="6" t="s">
        <v>7238</v>
      </c>
      <c r="E3072" s="6" t="s">
        <v>2318</v>
      </c>
      <c r="F3072" s="6" t="s">
        <v>88</v>
      </c>
      <c r="G3072" s="7">
        <v>0.04</v>
      </c>
      <c r="H3072" s="6" t="s">
        <v>2186</v>
      </c>
      <c r="I3072" s="6" t="s">
        <v>20</v>
      </c>
      <c r="J3072" s="6">
        <v>2022.0</v>
      </c>
      <c r="K3072" s="6" t="s">
        <v>89</v>
      </c>
      <c r="L3072" s="6">
        <v>1.0</v>
      </c>
      <c r="M3072" s="8">
        <f t="shared" si="5"/>
        <v>0.04</v>
      </c>
      <c r="P3072" s="9"/>
    </row>
    <row r="3073">
      <c r="A3073" s="6" t="s">
        <v>7239</v>
      </c>
      <c r="B3073" s="6" t="s">
        <v>2058</v>
      </c>
      <c r="C3073" s="6" t="s">
        <v>295</v>
      </c>
      <c r="D3073" s="6" t="s">
        <v>7240</v>
      </c>
      <c r="E3073" s="6" t="s">
        <v>2326</v>
      </c>
      <c r="F3073" s="6" t="s">
        <v>88</v>
      </c>
      <c r="G3073" s="7">
        <v>0.43</v>
      </c>
      <c r="H3073" s="6" t="s">
        <v>3679</v>
      </c>
      <c r="I3073" s="6" t="s">
        <v>20</v>
      </c>
      <c r="J3073" s="6">
        <v>2022.0</v>
      </c>
      <c r="L3073" s="6">
        <v>1.0</v>
      </c>
      <c r="M3073" s="8">
        <f t="shared" si="5"/>
        <v>0.43</v>
      </c>
      <c r="P3073" s="9"/>
    </row>
    <row r="3074">
      <c r="A3074" s="6" t="s">
        <v>7241</v>
      </c>
      <c r="B3074" s="6" t="s">
        <v>7242</v>
      </c>
      <c r="C3074" s="6" t="s">
        <v>1949</v>
      </c>
      <c r="D3074" s="6" t="s">
        <v>7243</v>
      </c>
      <c r="E3074" s="6" t="s">
        <v>2321</v>
      </c>
      <c r="F3074" s="6" t="s">
        <v>88</v>
      </c>
      <c r="G3074" s="7">
        <v>0.1</v>
      </c>
      <c r="H3074" s="6" t="s">
        <v>1711</v>
      </c>
      <c r="I3074" s="6" t="s">
        <v>20</v>
      </c>
      <c r="J3074" s="6">
        <v>2022.0</v>
      </c>
      <c r="K3074" s="10">
        <v>46115.0</v>
      </c>
      <c r="L3074" s="6">
        <v>1.0</v>
      </c>
      <c r="M3074" s="8">
        <f t="shared" si="5"/>
        <v>0.1</v>
      </c>
      <c r="P3074" s="9"/>
    </row>
    <row r="3075">
      <c r="A3075" s="6" t="s">
        <v>7244</v>
      </c>
      <c r="B3075" s="6" t="s">
        <v>2014</v>
      </c>
      <c r="C3075" s="6" t="s">
        <v>1949</v>
      </c>
      <c r="D3075" s="6" t="s">
        <v>7245</v>
      </c>
      <c r="E3075" s="6" t="s">
        <v>2321</v>
      </c>
      <c r="F3075" s="6" t="s">
        <v>88</v>
      </c>
      <c r="G3075" s="7">
        <v>0.04</v>
      </c>
      <c r="H3075" s="6" t="s">
        <v>1739</v>
      </c>
      <c r="I3075" s="6" t="s">
        <v>20</v>
      </c>
      <c r="J3075" s="6">
        <v>2023.0</v>
      </c>
      <c r="L3075" s="6">
        <v>1.0</v>
      </c>
      <c r="M3075" s="8">
        <f t="shared" si="5"/>
        <v>0.04</v>
      </c>
      <c r="P3075" s="9"/>
    </row>
    <row r="3076">
      <c r="A3076" s="6" t="s">
        <v>7246</v>
      </c>
      <c r="B3076" s="6" t="s">
        <v>5692</v>
      </c>
      <c r="C3076" s="6" t="s">
        <v>1949</v>
      </c>
      <c r="D3076" s="6" t="s">
        <v>7247</v>
      </c>
      <c r="E3076" s="6" t="s">
        <v>1954</v>
      </c>
      <c r="F3076" s="6" t="s">
        <v>18</v>
      </c>
      <c r="G3076" s="7">
        <v>0.15</v>
      </c>
      <c r="H3076" s="6" t="s">
        <v>3049</v>
      </c>
      <c r="I3076" s="6" t="s">
        <v>20</v>
      </c>
      <c r="J3076" s="6">
        <v>2025.0</v>
      </c>
      <c r="K3076" s="10">
        <v>46055.0</v>
      </c>
      <c r="L3076" s="6">
        <v>1.0</v>
      </c>
      <c r="M3076" s="8">
        <f t="shared" si="5"/>
        <v>0.15</v>
      </c>
      <c r="P3076" s="9"/>
    </row>
    <row r="3077">
      <c r="A3077" s="6" t="s">
        <v>7248</v>
      </c>
      <c r="B3077" s="6" t="s">
        <v>378</v>
      </c>
      <c r="C3077" s="6" t="s">
        <v>295</v>
      </c>
      <c r="D3077" s="6" t="s">
        <v>7249</v>
      </c>
      <c r="E3077" s="6" t="s">
        <v>1954</v>
      </c>
      <c r="F3077" s="6" t="s">
        <v>18</v>
      </c>
      <c r="G3077" s="7">
        <v>0.15</v>
      </c>
      <c r="H3077" s="6" t="s">
        <v>3021</v>
      </c>
      <c r="I3077" s="6" t="s">
        <v>20</v>
      </c>
      <c r="J3077" s="6">
        <v>2023.0</v>
      </c>
      <c r="L3077" s="6">
        <v>1.0</v>
      </c>
      <c r="M3077" s="8">
        <f t="shared" si="5"/>
        <v>0.15</v>
      </c>
      <c r="P3077" s="9"/>
    </row>
    <row r="3078">
      <c r="A3078" s="6" t="s">
        <v>7250</v>
      </c>
      <c r="B3078" s="6" t="s">
        <v>7251</v>
      </c>
      <c r="C3078" s="6" t="s">
        <v>1949</v>
      </c>
      <c r="D3078" s="6" t="s">
        <v>7252</v>
      </c>
      <c r="E3078" s="6" t="s">
        <v>1954</v>
      </c>
      <c r="F3078" s="6" t="s">
        <v>18</v>
      </c>
      <c r="G3078" s="7">
        <v>0.2</v>
      </c>
      <c r="H3078" s="6" t="s">
        <v>3476</v>
      </c>
      <c r="I3078" s="6" t="s">
        <v>20</v>
      </c>
      <c r="J3078" s="6">
        <v>2023.0</v>
      </c>
      <c r="K3078" s="10">
        <v>46055.0</v>
      </c>
      <c r="L3078" s="6">
        <v>1.0</v>
      </c>
      <c r="M3078" s="8">
        <f t="shared" si="5"/>
        <v>0.2</v>
      </c>
      <c r="P3078" s="9"/>
    </row>
    <row r="3079">
      <c r="A3079" s="6" t="s">
        <v>7253</v>
      </c>
      <c r="B3079" s="6" t="s">
        <v>378</v>
      </c>
      <c r="C3079" s="6" t="s">
        <v>295</v>
      </c>
      <c r="D3079" s="6" t="s">
        <v>7254</v>
      </c>
      <c r="E3079" s="6" t="s">
        <v>2295</v>
      </c>
      <c r="F3079" s="6" t="s">
        <v>18</v>
      </c>
      <c r="G3079" s="7">
        <v>0.04</v>
      </c>
      <c r="H3079" s="6" t="s">
        <v>2219</v>
      </c>
      <c r="I3079" s="6" t="s">
        <v>20</v>
      </c>
      <c r="J3079" s="6">
        <v>2024.0</v>
      </c>
      <c r="L3079" s="6">
        <v>2.0</v>
      </c>
      <c r="M3079" s="8">
        <f t="shared" si="5"/>
        <v>0.08</v>
      </c>
      <c r="P3079" s="9"/>
    </row>
    <row r="3080">
      <c r="A3080" s="6" t="s">
        <v>7255</v>
      </c>
      <c r="B3080" s="6" t="s">
        <v>7256</v>
      </c>
      <c r="C3080" s="6" t="s">
        <v>1949</v>
      </c>
      <c r="D3080" s="6" t="s">
        <v>7257</v>
      </c>
      <c r="E3080" s="6" t="s">
        <v>2556</v>
      </c>
      <c r="F3080" s="6" t="s">
        <v>18</v>
      </c>
      <c r="G3080" s="7">
        <v>0.2</v>
      </c>
      <c r="H3080" s="6" t="s">
        <v>2182</v>
      </c>
      <c r="I3080" s="6" t="s">
        <v>20</v>
      </c>
      <c r="J3080" s="6">
        <v>2022.0</v>
      </c>
      <c r="K3080" s="10">
        <v>46084.0</v>
      </c>
      <c r="L3080" s="6">
        <v>1.0</v>
      </c>
      <c r="M3080" s="8">
        <f t="shared" si="5"/>
        <v>0.2</v>
      </c>
      <c r="P3080" s="9"/>
    </row>
    <row r="3081">
      <c r="A3081" s="6" t="s">
        <v>7258</v>
      </c>
      <c r="B3081" s="6" t="s">
        <v>2534</v>
      </c>
      <c r="C3081" s="6" t="s">
        <v>1949</v>
      </c>
      <c r="D3081" s="6" t="s">
        <v>7259</v>
      </c>
      <c r="E3081" s="6" t="s">
        <v>1954</v>
      </c>
      <c r="F3081" s="6" t="s">
        <v>18</v>
      </c>
      <c r="G3081" s="7">
        <v>0.17</v>
      </c>
      <c r="H3081" s="6" t="s">
        <v>3595</v>
      </c>
      <c r="I3081" s="6" t="s">
        <v>20</v>
      </c>
      <c r="J3081" s="6">
        <v>2020.0</v>
      </c>
      <c r="K3081" s="10">
        <v>46024.0</v>
      </c>
      <c r="L3081" s="6">
        <v>1.0</v>
      </c>
      <c r="M3081" s="8">
        <f t="shared" si="5"/>
        <v>0.17</v>
      </c>
      <c r="P3081" s="9"/>
    </row>
    <row r="3082">
      <c r="A3082" s="6" t="s">
        <v>7260</v>
      </c>
      <c r="B3082" s="6" t="s">
        <v>2014</v>
      </c>
      <c r="C3082" s="6" t="s">
        <v>295</v>
      </c>
      <c r="D3082" s="6" t="s">
        <v>7261</v>
      </c>
      <c r="E3082" s="6" t="s">
        <v>2295</v>
      </c>
      <c r="F3082" s="6" t="s">
        <v>18</v>
      </c>
      <c r="G3082" s="7">
        <v>0.03</v>
      </c>
      <c r="H3082" s="6" t="s">
        <v>2619</v>
      </c>
      <c r="I3082" s="6" t="s">
        <v>20</v>
      </c>
      <c r="J3082" s="6">
        <v>2019.0</v>
      </c>
      <c r="L3082" s="6">
        <v>1.0</v>
      </c>
      <c r="M3082" s="8">
        <f t="shared" si="5"/>
        <v>0.03</v>
      </c>
      <c r="P3082" s="9"/>
    </row>
    <row r="3083">
      <c r="A3083" s="6" t="s">
        <v>7262</v>
      </c>
      <c r="B3083" s="6" t="s">
        <v>7263</v>
      </c>
      <c r="C3083" s="6" t="s">
        <v>295</v>
      </c>
      <c r="D3083" s="6" t="s">
        <v>7264</v>
      </c>
      <c r="E3083" s="6" t="s">
        <v>2326</v>
      </c>
      <c r="F3083" s="6" t="s">
        <v>88</v>
      </c>
      <c r="G3083" s="7">
        <v>0.05</v>
      </c>
      <c r="H3083" s="6" t="s">
        <v>6498</v>
      </c>
      <c r="I3083" s="6" t="s">
        <v>20</v>
      </c>
      <c r="J3083" s="6">
        <v>2025.0</v>
      </c>
      <c r="K3083" s="10">
        <v>46115.0</v>
      </c>
      <c r="L3083" s="6">
        <v>1.0</v>
      </c>
      <c r="M3083" s="8">
        <f t="shared" si="5"/>
        <v>0.05</v>
      </c>
      <c r="P3083" s="9"/>
    </row>
    <row r="3084">
      <c r="A3084" s="6" t="s">
        <v>7265</v>
      </c>
      <c r="B3084" s="6" t="s">
        <v>7266</v>
      </c>
      <c r="C3084" s="6" t="s">
        <v>295</v>
      </c>
      <c r="D3084" s="6" t="s">
        <v>7267</v>
      </c>
      <c r="E3084" s="6" t="s">
        <v>380</v>
      </c>
      <c r="F3084" s="6" t="s">
        <v>88</v>
      </c>
      <c r="G3084" s="7">
        <v>0.06</v>
      </c>
      <c r="H3084" s="6" t="s">
        <v>1631</v>
      </c>
      <c r="I3084" s="6" t="s">
        <v>20</v>
      </c>
      <c r="J3084" s="6">
        <v>2024.0</v>
      </c>
      <c r="K3084" s="10">
        <v>46082.0</v>
      </c>
      <c r="L3084" s="6">
        <v>1.0</v>
      </c>
      <c r="M3084" s="8">
        <f t="shared" si="5"/>
        <v>0.06</v>
      </c>
      <c r="P3084" s="9"/>
    </row>
    <row r="3085">
      <c r="A3085" s="6" t="s">
        <v>7268</v>
      </c>
      <c r="B3085" s="6" t="s">
        <v>378</v>
      </c>
      <c r="C3085" s="6" t="s">
        <v>295</v>
      </c>
      <c r="D3085" s="6" t="s">
        <v>7269</v>
      </c>
      <c r="E3085" s="6" t="s">
        <v>915</v>
      </c>
      <c r="F3085" s="6" t="s">
        <v>88</v>
      </c>
      <c r="G3085" s="7">
        <v>3.9</v>
      </c>
      <c r="H3085" s="6" t="s">
        <v>3679</v>
      </c>
      <c r="I3085" s="6" t="s">
        <v>20</v>
      </c>
      <c r="J3085" s="6">
        <v>2022.0</v>
      </c>
      <c r="L3085" s="6">
        <v>1.0</v>
      </c>
      <c r="M3085" s="8">
        <f t="shared" si="5"/>
        <v>3.9</v>
      </c>
      <c r="N3085" s="6" t="s">
        <v>6488</v>
      </c>
      <c r="P3085" s="9"/>
    </row>
    <row r="3086">
      <c r="A3086" s="6" t="s">
        <v>7270</v>
      </c>
      <c r="B3086" s="6" t="s">
        <v>7271</v>
      </c>
      <c r="C3086" s="6" t="s">
        <v>1949</v>
      </c>
      <c r="D3086" s="6" t="s">
        <v>7272</v>
      </c>
      <c r="E3086" s="6" t="s">
        <v>2318</v>
      </c>
      <c r="F3086" s="6" t="s">
        <v>88</v>
      </c>
      <c r="G3086" s="7">
        <v>0.09</v>
      </c>
      <c r="H3086" s="6" t="s">
        <v>1638</v>
      </c>
      <c r="I3086" s="6" t="s">
        <v>20</v>
      </c>
      <c r="J3086" s="6">
        <v>2024.0</v>
      </c>
      <c r="K3086" s="10">
        <v>46114.0</v>
      </c>
      <c r="L3086" s="6">
        <v>1.0</v>
      </c>
      <c r="M3086" s="8">
        <f t="shared" si="5"/>
        <v>0.09</v>
      </c>
      <c r="P3086" s="9"/>
    </row>
    <row r="3087">
      <c r="A3087" s="6" t="s">
        <v>7273</v>
      </c>
      <c r="B3087" s="6" t="s">
        <v>7274</v>
      </c>
      <c r="C3087" s="6" t="s">
        <v>1949</v>
      </c>
      <c r="D3087" s="6" t="s">
        <v>7275</v>
      </c>
      <c r="E3087" s="6" t="s">
        <v>7165</v>
      </c>
      <c r="F3087" s="6" t="s">
        <v>277</v>
      </c>
      <c r="G3087" s="7">
        <v>1.5</v>
      </c>
      <c r="H3087" s="6" t="s">
        <v>6726</v>
      </c>
      <c r="I3087" s="6" t="s">
        <v>31</v>
      </c>
      <c r="J3087" s="6">
        <v>2023.0</v>
      </c>
      <c r="K3087" s="10">
        <v>46117.0</v>
      </c>
      <c r="L3087" s="6">
        <v>1.0</v>
      </c>
      <c r="M3087" s="8">
        <f t="shared" si="5"/>
        <v>1.5</v>
      </c>
      <c r="P3087" s="9"/>
    </row>
    <row r="3088">
      <c r="A3088" s="6" t="s">
        <v>7276</v>
      </c>
      <c r="B3088" s="6" t="s">
        <v>378</v>
      </c>
      <c r="C3088" s="6" t="s">
        <v>1949</v>
      </c>
      <c r="D3088" s="6" t="s">
        <v>7277</v>
      </c>
      <c r="E3088" s="6" t="s">
        <v>2280</v>
      </c>
      <c r="F3088" s="6" t="s">
        <v>277</v>
      </c>
      <c r="G3088" s="7">
        <v>0.72</v>
      </c>
      <c r="H3088" s="6" t="s">
        <v>2578</v>
      </c>
      <c r="I3088" s="6" t="s">
        <v>31</v>
      </c>
      <c r="J3088" s="6">
        <v>2020.0</v>
      </c>
      <c r="L3088" s="6">
        <v>1.0</v>
      </c>
      <c r="M3088" s="8">
        <f t="shared" si="5"/>
        <v>0.72</v>
      </c>
      <c r="P3088" s="9"/>
    </row>
    <row r="3089">
      <c r="A3089" s="6" t="s">
        <v>7278</v>
      </c>
      <c r="B3089" s="6" t="s">
        <v>7279</v>
      </c>
      <c r="C3089" s="6" t="s">
        <v>1949</v>
      </c>
      <c r="D3089" s="6" t="s">
        <v>7280</v>
      </c>
      <c r="E3089" s="6" t="s">
        <v>1853</v>
      </c>
      <c r="F3089" s="6" t="s">
        <v>277</v>
      </c>
      <c r="G3089" s="7">
        <v>0.09</v>
      </c>
      <c r="H3089" s="6" t="s">
        <v>1631</v>
      </c>
      <c r="I3089" s="6" t="s">
        <v>20</v>
      </c>
      <c r="J3089" s="6">
        <v>2024.0</v>
      </c>
      <c r="K3089" s="10">
        <v>46057.0</v>
      </c>
      <c r="L3089" s="6">
        <v>1.0</v>
      </c>
      <c r="M3089" s="8">
        <f t="shared" si="5"/>
        <v>0.09</v>
      </c>
      <c r="P3089" s="9"/>
    </row>
    <row r="3090">
      <c r="A3090" s="6" t="s">
        <v>7281</v>
      </c>
      <c r="B3090" s="6" t="s">
        <v>2527</v>
      </c>
      <c r="C3090" s="6" t="s">
        <v>295</v>
      </c>
      <c r="D3090" s="6" t="s">
        <v>7282</v>
      </c>
      <c r="E3090" s="6" t="s">
        <v>1853</v>
      </c>
      <c r="F3090" s="6" t="s">
        <v>277</v>
      </c>
      <c r="G3090" s="7">
        <v>0.1</v>
      </c>
      <c r="H3090" s="6" t="s">
        <v>2205</v>
      </c>
      <c r="I3090" s="6" t="s">
        <v>20</v>
      </c>
      <c r="J3090" s="6">
        <v>2023.0</v>
      </c>
      <c r="K3090" s="10">
        <v>46085.0</v>
      </c>
      <c r="L3090" s="6">
        <v>1.0</v>
      </c>
      <c r="M3090" s="8">
        <f t="shared" si="5"/>
        <v>0.1</v>
      </c>
      <c r="P3090" s="9"/>
    </row>
    <row r="3091">
      <c r="A3091" s="6" t="s">
        <v>7283</v>
      </c>
      <c r="B3091" s="6" t="s">
        <v>7284</v>
      </c>
      <c r="C3091" s="6" t="s">
        <v>295</v>
      </c>
      <c r="D3091" s="6" t="s">
        <v>7285</v>
      </c>
      <c r="E3091" s="6" t="s">
        <v>2280</v>
      </c>
      <c r="F3091" s="6" t="s">
        <v>277</v>
      </c>
      <c r="G3091" s="7">
        <v>0.09</v>
      </c>
      <c r="H3091" s="6" t="s">
        <v>1965</v>
      </c>
      <c r="I3091" s="6" t="s">
        <v>20</v>
      </c>
      <c r="J3091" s="6">
        <v>2022.0</v>
      </c>
      <c r="K3091" s="10">
        <v>46024.0</v>
      </c>
      <c r="L3091" s="6">
        <v>1.0</v>
      </c>
      <c r="M3091" s="8">
        <f t="shared" si="5"/>
        <v>0.09</v>
      </c>
      <c r="P3091" s="9"/>
    </row>
    <row r="3092">
      <c r="A3092" s="6" t="s">
        <v>7286</v>
      </c>
      <c r="B3092" s="6" t="s">
        <v>3293</v>
      </c>
      <c r="C3092" s="6" t="s">
        <v>295</v>
      </c>
      <c r="D3092" s="6" t="s">
        <v>7287</v>
      </c>
      <c r="E3092" s="6" t="s">
        <v>1856</v>
      </c>
      <c r="F3092" s="6" t="s">
        <v>277</v>
      </c>
      <c r="G3092" s="7">
        <v>0.13</v>
      </c>
      <c r="H3092" s="6" t="s">
        <v>3679</v>
      </c>
      <c r="I3092" s="6" t="s">
        <v>20</v>
      </c>
      <c r="J3092" s="6">
        <v>2022.0</v>
      </c>
      <c r="K3092" s="10">
        <v>46023.0</v>
      </c>
      <c r="L3092" s="6">
        <v>1.0</v>
      </c>
      <c r="M3092" s="8">
        <f t="shared" si="5"/>
        <v>0.13</v>
      </c>
      <c r="P3092" s="9"/>
    </row>
    <row r="3093">
      <c r="A3093" s="6" t="s">
        <v>7288</v>
      </c>
      <c r="B3093" s="6" t="s">
        <v>2014</v>
      </c>
      <c r="C3093" s="6" t="s">
        <v>1949</v>
      </c>
      <c r="D3093" s="6" t="s">
        <v>7289</v>
      </c>
      <c r="E3093" s="6" t="s">
        <v>1853</v>
      </c>
      <c r="F3093" s="6" t="s">
        <v>277</v>
      </c>
      <c r="G3093" s="7">
        <v>0.06</v>
      </c>
      <c r="H3093" s="6" t="s">
        <v>2384</v>
      </c>
      <c r="I3093" s="6" t="s">
        <v>20</v>
      </c>
      <c r="J3093" s="6">
        <v>2019.0</v>
      </c>
      <c r="L3093" s="6">
        <v>1.0</v>
      </c>
      <c r="M3093" s="8">
        <f t="shared" si="5"/>
        <v>0.06</v>
      </c>
      <c r="P3093" s="9"/>
    </row>
    <row r="3094">
      <c r="A3094" s="6" t="s">
        <v>7290</v>
      </c>
      <c r="B3094" s="6" t="s">
        <v>7291</v>
      </c>
      <c r="C3094" s="6" t="s">
        <v>1949</v>
      </c>
      <c r="D3094" s="6" t="s">
        <v>7292</v>
      </c>
      <c r="E3094" s="6" t="s">
        <v>2280</v>
      </c>
      <c r="F3094" s="6" t="s">
        <v>277</v>
      </c>
      <c r="G3094" s="7">
        <v>0.05</v>
      </c>
      <c r="H3094" s="6" t="s">
        <v>2384</v>
      </c>
      <c r="I3094" s="6" t="s">
        <v>20</v>
      </c>
      <c r="J3094" s="6">
        <v>2019.0</v>
      </c>
      <c r="K3094" s="10">
        <v>46055.0</v>
      </c>
      <c r="L3094" s="6">
        <v>3.0</v>
      </c>
      <c r="M3094" s="8">
        <f t="shared" si="5"/>
        <v>0.15</v>
      </c>
      <c r="P3094" s="9"/>
    </row>
    <row r="3095">
      <c r="A3095" s="6" t="s">
        <v>7293</v>
      </c>
      <c r="B3095" s="6" t="s">
        <v>4671</v>
      </c>
      <c r="C3095" s="6" t="s">
        <v>1949</v>
      </c>
      <c r="D3095" s="6" t="s">
        <v>7294</v>
      </c>
      <c r="E3095" s="6" t="s">
        <v>1853</v>
      </c>
      <c r="F3095" s="6" t="s">
        <v>277</v>
      </c>
      <c r="G3095" s="7">
        <v>0.13</v>
      </c>
      <c r="H3095" s="6" t="s">
        <v>2384</v>
      </c>
      <c r="I3095" s="6" t="s">
        <v>20</v>
      </c>
      <c r="J3095" s="6">
        <v>2019.0</v>
      </c>
      <c r="K3095" s="10">
        <v>46055.0</v>
      </c>
      <c r="L3095" s="6">
        <v>3.0</v>
      </c>
      <c r="M3095" s="8">
        <f t="shared" si="5"/>
        <v>0.39</v>
      </c>
      <c r="P3095" s="9"/>
    </row>
    <row r="3096">
      <c r="A3096" s="6" t="s">
        <v>7295</v>
      </c>
      <c r="B3096" s="6" t="s">
        <v>2058</v>
      </c>
      <c r="C3096" s="6" t="s">
        <v>1949</v>
      </c>
      <c r="D3096" s="6" t="s">
        <v>7296</v>
      </c>
      <c r="E3096" s="6" t="s">
        <v>1853</v>
      </c>
      <c r="F3096" s="6" t="s">
        <v>277</v>
      </c>
      <c r="G3096" s="7">
        <v>0.05</v>
      </c>
      <c r="H3096" s="6" t="s">
        <v>2384</v>
      </c>
      <c r="I3096" s="6" t="s">
        <v>20</v>
      </c>
      <c r="J3096" s="6">
        <v>2019.0</v>
      </c>
      <c r="L3096" s="6">
        <v>2.0</v>
      </c>
      <c r="M3096" s="8">
        <f t="shared" si="5"/>
        <v>0.1</v>
      </c>
      <c r="P3096" s="9"/>
    </row>
    <row r="3097">
      <c r="A3097" s="6" t="s">
        <v>7297</v>
      </c>
      <c r="B3097" s="6" t="s">
        <v>7298</v>
      </c>
      <c r="C3097" s="6" t="s">
        <v>1897</v>
      </c>
      <c r="D3097" s="6" t="s">
        <v>7299</v>
      </c>
      <c r="E3097" s="6" t="s">
        <v>5814</v>
      </c>
      <c r="F3097" s="6" t="s">
        <v>277</v>
      </c>
      <c r="G3097" s="7">
        <v>0.34</v>
      </c>
      <c r="H3097" s="6" t="s">
        <v>1664</v>
      </c>
      <c r="I3097" s="6" t="s">
        <v>20</v>
      </c>
      <c r="J3097" s="6">
        <v>2018.0</v>
      </c>
      <c r="L3097" s="6">
        <v>1.0</v>
      </c>
      <c r="M3097" s="8">
        <f t="shared" si="5"/>
        <v>0.34</v>
      </c>
      <c r="P3097" s="9"/>
    </row>
    <row r="3098">
      <c r="A3098" s="6" t="s">
        <v>7300</v>
      </c>
      <c r="B3098" s="6" t="s">
        <v>4871</v>
      </c>
      <c r="C3098" s="6" t="s">
        <v>1897</v>
      </c>
      <c r="D3098" s="6" t="s">
        <v>7301</v>
      </c>
      <c r="E3098" s="6" t="s">
        <v>7165</v>
      </c>
      <c r="F3098" s="6" t="s">
        <v>277</v>
      </c>
      <c r="G3098" s="7">
        <v>1.8</v>
      </c>
      <c r="H3098" s="6" t="s">
        <v>6498</v>
      </c>
      <c r="I3098" s="6" t="s">
        <v>20</v>
      </c>
      <c r="J3098" s="6">
        <v>2025.0</v>
      </c>
      <c r="K3098" s="10">
        <v>46085.0</v>
      </c>
      <c r="L3098" s="6">
        <v>1.0</v>
      </c>
      <c r="M3098" s="8">
        <f t="shared" si="5"/>
        <v>1.8</v>
      </c>
      <c r="N3098" s="6" t="s">
        <v>6488</v>
      </c>
      <c r="P3098" s="9"/>
    </row>
    <row r="3099">
      <c r="A3099" s="6" t="s">
        <v>7302</v>
      </c>
      <c r="B3099" s="6" t="s">
        <v>378</v>
      </c>
      <c r="C3099" s="6" t="s">
        <v>295</v>
      </c>
      <c r="D3099" s="6" t="s">
        <v>7303</v>
      </c>
      <c r="E3099" s="6" t="s">
        <v>2839</v>
      </c>
      <c r="F3099" s="6" t="s">
        <v>277</v>
      </c>
      <c r="G3099" s="7">
        <v>0.05</v>
      </c>
      <c r="H3099" s="6" t="s">
        <v>1959</v>
      </c>
      <c r="I3099" s="6" t="s">
        <v>20</v>
      </c>
      <c r="J3099" s="6">
        <v>2024.0</v>
      </c>
      <c r="L3099" s="6">
        <v>1.0</v>
      </c>
      <c r="M3099" s="8">
        <f t="shared" si="5"/>
        <v>0.05</v>
      </c>
      <c r="P3099" s="9"/>
    </row>
    <row r="3100">
      <c r="A3100" s="6" t="s">
        <v>7304</v>
      </c>
      <c r="B3100" s="6" t="s">
        <v>610</v>
      </c>
      <c r="C3100" s="6" t="s">
        <v>1949</v>
      </c>
      <c r="D3100" s="6" t="s">
        <v>7305</v>
      </c>
      <c r="E3100" s="6" t="s">
        <v>2839</v>
      </c>
      <c r="F3100" s="6" t="s">
        <v>277</v>
      </c>
      <c r="G3100" s="7">
        <v>0.21</v>
      </c>
      <c r="H3100" s="6" t="s">
        <v>1631</v>
      </c>
      <c r="I3100" s="6" t="s">
        <v>20</v>
      </c>
      <c r="J3100" s="6">
        <v>2024.0</v>
      </c>
      <c r="L3100" s="6">
        <v>1.0</v>
      </c>
      <c r="M3100" s="8">
        <f t="shared" si="5"/>
        <v>0.21</v>
      </c>
      <c r="P3100" s="9"/>
    </row>
    <row r="3101">
      <c r="A3101" s="6" t="s">
        <v>7306</v>
      </c>
      <c r="B3101" s="6" t="s">
        <v>5984</v>
      </c>
      <c r="C3101" s="6" t="s">
        <v>295</v>
      </c>
      <c r="D3101" s="6" t="s">
        <v>7307</v>
      </c>
      <c r="E3101" s="6" t="s">
        <v>1856</v>
      </c>
      <c r="F3101" s="6" t="s">
        <v>277</v>
      </c>
      <c r="G3101" s="7">
        <v>0.05</v>
      </c>
      <c r="H3101" s="6" t="s">
        <v>6498</v>
      </c>
      <c r="I3101" s="6" t="s">
        <v>20</v>
      </c>
      <c r="J3101" s="6">
        <v>2025.0</v>
      </c>
      <c r="K3101" s="10">
        <v>46056.0</v>
      </c>
      <c r="L3101" s="6">
        <v>1.0</v>
      </c>
      <c r="M3101" s="8">
        <f t="shared" si="5"/>
        <v>0.05</v>
      </c>
      <c r="P3101" s="9"/>
    </row>
    <row r="3102">
      <c r="A3102" s="6" t="s">
        <v>7308</v>
      </c>
      <c r="B3102" s="6" t="s">
        <v>6613</v>
      </c>
      <c r="C3102" s="6" t="s">
        <v>295</v>
      </c>
      <c r="D3102" s="6" t="s">
        <v>7309</v>
      </c>
      <c r="E3102" s="6" t="s">
        <v>2287</v>
      </c>
      <c r="F3102" s="6" t="s">
        <v>277</v>
      </c>
      <c r="G3102" s="7">
        <v>0.03</v>
      </c>
      <c r="H3102" s="6" t="s">
        <v>1959</v>
      </c>
      <c r="I3102" s="6" t="s">
        <v>20</v>
      </c>
      <c r="J3102" s="6">
        <v>2024.0</v>
      </c>
      <c r="K3102" s="10">
        <v>46147.0</v>
      </c>
      <c r="L3102" s="6">
        <v>1.0</v>
      </c>
      <c r="M3102" s="8">
        <f t="shared" si="5"/>
        <v>0.03</v>
      </c>
      <c r="P3102" s="9"/>
    </row>
    <row r="3103">
      <c r="A3103" s="6" t="s">
        <v>7310</v>
      </c>
      <c r="B3103" s="6" t="s">
        <v>610</v>
      </c>
      <c r="C3103" s="6" t="s">
        <v>295</v>
      </c>
      <c r="D3103" s="6" t="s">
        <v>7311</v>
      </c>
      <c r="E3103" s="6" t="s">
        <v>2280</v>
      </c>
      <c r="F3103" s="6" t="s">
        <v>277</v>
      </c>
      <c r="G3103" s="7">
        <v>0.05</v>
      </c>
      <c r="H3103" s="6" t="s">
        <v>1959</v>
      </c>
      <c r="I3103" s="6" t="s">
        <v>20</v>
      </c>
      <c r="J3103" s="6">
        <v>2024.0</v>
      </c>
      <c r="L3103" s="6">
        <v>1.0</v>
      </c>
      <c r="M3103" s="8">
        <f t="shared" si="5"/>
        <v>0.05</v>
      </c>
      <c r="P3103" s="9"/>
    </row>
    <row r="3104">
      <c r="A3104" s="6" t="s">
        <v>7312</v>
      </c>
      <c r="B3104" s="6" t="s">
        <v>610</v>
      </c>
      <c r="C3104" s="6" t="s">
        <v>295</v>
      </c>
      <c r="D3104" s="6" t="s">
        <v>7313</v>
      </c>
      <c r="E3104" s="6" t="s">
        <v>2280</v>
      </c>
      <c r="F3104" s="6" t="s">
        <v>277</v>
      </c>
      <c r="G3104" s="7">
        <v>0.15</v>
      </c>
      <c r="H3104" s="6" t="s">
        <v>6498</v>
      </c>
      <c r="I3104" s="6" t="s">
        <v>20</v>
      </c>
      <c r="J3104" s="6">
        <v>2025.0</v>
      </c>
      <c r="L3104" s="6">
        <v>1.0</v>
      </c>
      <c r="M3104" s="8">
        <f t="shared" si="5"/>
        <v>0.15</v>
      </c>
      <c r="P3104" s="9"/>
    </row>
    <row r="3105">
      <c r="A3105" s="6" t="s">
        <v>7314</v>
      </c>
      <c r="B3105" s="6" t="s">
        <v>7315</v>
      </c>
      <c r="C3105" s="6" t="s">
        <v>1949</v>
      </c>
      <c r="D3105" s="6" t="s">
        <v>7316</v>
      </c>
      <c r="E3105" s="6" t="s">
        <v>1853</v>
      </c>
      <c r="F3105" s="6" t="s">
        <v>277</v>
      </c>
      <c r="G3105" s="7">
        <v>0.1</v>
      </c>
      <c r="H3105" s="6" t="s">
        <v>6498</v>
      </c>
      <c r="I3105" s="6" t="s">
        <v>20</v>
      </c>
      <c r="J3105" s="6">
        <v>2025.0</v>
      </c>
      <c r="K3105" s="10">
        <v>46085.0</v>
      </c>
      <c r="L3105" s="6">
        <v>1.0</v>
      </c>
      <c r="M3105" s="8">
        <f t="shared" si="5"/>
        <v>0.1</v>
      </c>
      <c r="P3105" s="9"/>
    </row>
    <row r="3106">
      <c r="A3106" s="6" t="s">
        <v>7317</v>
      </c>
      <c r="B3106" s="6" t="s">
        <v>6504</v>
      </c>
      <c r="C3106" s="6" t="s">
        <v>295</v>
      </c>
      <c r="D3106" s="6" t="s">
        <v>7318</v>
      </c>
      <c r="E3106" s="6" t="s">
        <v>1856</v>
      </c>
      <c r="F3106" s="6" t="s">
        <v>277</v>
      </c>
      <c r="G3106" s="7">
        <v>0.08</v>
      </c>
      <c r="H3106" s="6" t="s">
        <v>1631</v>
      </c>
      <c r="I3106" s="6" t="s">
        <v>20</v>
      </c>
      <c r="J3106" s="6">
        <v>2024.0</v>
      </c>
      <c r="K3106" s="10">
        <v>46055.0</v>
      </c>
      <c r="L3106" s="6">
        <v>1.0</v>
      </c>
      <c r="M3106" s="8">
        <f t="shared" si="5"/>
        <v>0.08</v>
      </c>
      <c r="P3106" s="9"/>
    </row>
    <row r="3107">
      <c r="A3107" s="6" t="s">
        <v>7319</v>
      </c>
      <c r="B3107" s="6" t="s">
        <v>7320</v>
      </c>
      <c r="C3107" s="6" t="s">
        <v>1949</v>
      </c>
      <c r="D3107" s="6" t="s">
        <v>7321</v>
      </c>
      <c r="E3107" s="6" t="s">
        <v>2287</v>
      </c>
      <c r="F3107" s="6" t="s">
        <v>277</v>
      </c>
      <c r="G3107" s="7">
        <v>0.18</v>
      </c>
      <c r="H3107" s="6" t="s">
        <v>1956</v>
      </c>
      <c r="I3107" s="6" t="s">
        <v>20</v>
      </c>
      <c r="J3107" s="6">
        <v>2021.0</v>
      </c>
      <c r="K3107" s="10">
        <v>46085.0</v>
      </c>
      <c r="L3107" s="6">
        <v>1.0</v>
      </c>
      <c r="M3107" s="8">
        <f t="shared" si="5"/>
        <v>0.18</v>
      </c>
      <c r="P3107" s="9"/>
    </row>
    <row r="3108">
      <c r="A3108" s="6" t="s">
        <v>7322</v>
      </c>
      <c r="B3108" s="6" t="s">
        <v>7323</v>
      </c>
      <c r="C3108" s="6" t="s">
        <v>1949</v>
      </c>
      <c r="D3108" s="6" t="s">
        <v>7324</v>
      </c>
      <c r="E3108" s="6" t="s">
        <v>2839</v>
      </c>
      <c r="F3108" s="6" t="s">
        <v>277</v>
      </c>
      <c r="G3108" s="7">
        <v>0.9</v>
      </c>
      <c r="H3108" s="6" t="s">
        <v>2219</v>
      </c>
      <c r="I3108" s="6" t="s">
        <v>31</v>
      </c>
      <c r="J3108" s="6">
        <v>2024.0</v>
      </c>
      <c r="K3108" s="10">
        <v>46083.0</v>
      </c>
      <c r="L3108" s="6">
        <v>1.0</v>
      </c>
      <c r="M3108" s="8">
        <f t="shared" si="5"/>
        <v>0.9</v>
      </c>
      <c r="P3108" s="9"/>
    </row>
    <row r="3109">
      <c r="A3109" s="6" t="s">
        <v>7325</v>
      </c>
      <c r="B3109" s="6" t="s">
        <v>7326</v>
      </c>
      <c r="C3109" s="6" t="s">
        <v>295</v>
      </c>
      <c r="D3109" s="6" t="s">
        <v>7327</v>
      </c>
      <c r="E3109" s="6" t="s">
        <v>1856</v>
      </c>
      <c r="F3109" s="6" t="s">
        <v>277</v>
      </c>
      <c r="G3109" s="7">
        <v>0.17</v>
      </c>
      <c r="H3109" s="6" t="s">
        <v>1959</v>
      </c>
      <c r="I3109" s="6" t="s">
        <v>31</v>
      </c>
      <c r="J3109" s="6">
        <v>2024.0</v>
      </c>
      <c r="K3109" s="10">
        <v>46056.0</v>
      </c>
      <c r="L3109" s="6">
        <v>1.0</v>
      </c>
      <c r="M3109" s="8">
        <f t="shared" si="5"/>
        <v>0.17</v>
      </c>
      <c r="P3109" s="9"/>
    </row>
    <row r="3110">
      <c r="A3110" s="6" t="s">
        <v>7328</v>
      </c>
      <c r="B3110" s="6" t="s">
        <v>5895</v>
      </c>
      <c r="C3110" s="6" t="s">
        <v>295</v>
      </c>
      <c r="D3110" s="6" t="s">
        <v>7329</v>
      </c>
      <c r="E3110" s="6" t="s">
        <v>4252</v>
      </c>
      <c r="F3110" s="6" t="s">
        <v>277</v>
      </c>
      <c r="G3110" s="7">
        <v>0.17</v>
      </c>
      <c r="H3110" s="6" t="s">
        <v>1959</v>
      </c>
      <c r="I3110" s="6" t="s">
        <v>31</v>
      </c>
      <c r="J3110" s="6">
        <v>2024.0</v>
      </c>
      <c r="K3110" s="10">
        <v>46148.0</v>
      </c>
      <c r="L3110" s="6">
        <v>3.0</v>
      </c>
      <c r="M3110" s="8">
        <f t="shared" si="5"/>
        <v>0.51</v>
      </c>
      <c r="P3110" s="9"/>
    </row>
    <row r="3111">
      <c r="A3111" s="6" t="s">
        <v>7330</v>
      </c>
      <c r="B3111" s="6" t="s">
        <v>4023</v>
      </c>
      <c r="C3111" s="6" t="s">
        <v>295</v>
      </c>
      <c r="D3111" s="6" t="s">
        <v>7331</v>
      </c>
      <c r="E3111" s="6" t="s">
        <v>1853</v>
      </c>
      <c r="F3111" s="6" t="s">
        <v>277</v>
      </c>
      <c r="G3111" s="7">
        <v>0.25</v>
      </c>
      <c r="H3111" s="6" t="s">
        <v>2205</v>
      </c>
      <c r="I3111" s="6" t="s">
        <v>31</v>
      </c>
      <c r="J3111" s="6">
        <v>2023.0</v>
      </c>
      <c r="K3111" s="10">
        <v>46084.0</v>
      </c>
      <c r="L3111" s="6">
        <v>1.0</v>
      </c>
      <c r="M3111" s="8">
        <f t="shared" si="5"/>
        <v>0.25</v>
      </c>
      <c r="P3111" s="9"/>
    </row>
    <row r="3112">
      <c r="A3112" s="6" t="s">
        <v>7332</v>
      </c>
      <c r="B3112" s="6" t="s">
        <v>7333</v>
      </c>
      <c r="C3112" s="6" t="s">
        <v>1949</v>
      </c>
      <c r="D3112" s="6" t="s">
        <v>7334</v>
      </c>
      <c r="E3112" s="6" t="s">
        <v>2342</v>
      </c>
      <c r="F3112" s="6" t="s">
        <v>170</v>
      </c>
      <c r="G3112" s="7">
        <v>0.15</v>
      </c>
      <c r="H3112" s="6" t="s">
        <v>1959</v>
      </c>
      <c r="I3112" s="6" t="s">
        <v>20</v>
      </c>
      <c r="J3112" s="6">
        <v>2024.0</v>
      </c>
      <c r="K3112" s="10">
        <v>46056.0</v>
      </c>
      <c r="L3112" s="6">
        <v>1.0</v>
      </c>
      <c r="M3112" s="8">
        <f t="shared" si="5"/>
        <v>0.15</v>
      </c>
      <c r="P3112" s="9"/>
    </row>
    <row r="3113">
      <c r="A3113" s="6" t="s">
        <v>7335</v>
      </c>
      <c r="B3113" s="6" t="s">
        <v>7336</v>
      </c>
      <c r="C3113" s="6" t="s">
        <v>295</v>
      </c>
      <c r="D3113" s="6" t="s">
        <v>7337</v>
      </c>
      <c r="E3113" s="6" t="s">
        <v>2754</v>
      </c>
      <c r="F3113" s="6" t="s">
        <v>170</v>
      </c>
      <c r="G3113" s="7">
        <v>0.03</v>
      </c>
      <c r="H3113" s="6" t="s">
        <v>1959</v>
      </c>
      <c r="I3113" s="6" t="s">
        <v>20</v>
      </c>
      <c r="J3113" s="6">
        <v>2024.0</v>
      </c>
      <c r="K3113" s="10">
        <v>46116.0</v>
      </c>
      <c r="L3113" s="6">
        <v>1.0</v>
      </c>
      <c r="M3113" s="8">
        <f t="shared" si="5"/>
        <v>0.03</v>
      </c>
      <c r="P3113" s="9"/>
    </row>
    <row r="3114">
      <c r="A3114" s="6" t="s">
        <v>7338</v>
      </c>
      <c r="B3114" s="6" t="s">
        <v>3293</v>
      </c>
      <c r="C3114" s="6" t="s">
        <v>295</v>
      </c>
      <c r="D3114" s="6" t="s">
        <v>7339</v>
      </c>
      <c r="E3114" s="6" t="s">
        <v>930</v>
      </c>
      <c r="F3114" s="6" t="s">
        <v>170</v>
      </c>
      <c r="G3114" s="7">
        <v>2.23</v>
      </c>
      <c r="H3114" s="6" t="s">
        <v>2172</v>
      </c>
      <c r="I3114" s="6" t="s">
        <v>20</v>
      </c>
      <c r="J3114" s="6">
        <v>2021.0</v>
      </c>
      <c r="K3114" s="10">
        <v>46023.0</v>
      </c>
      <c r="L3114" s="6">
        <v>1.0</v>
      </c>
      <c r="M3114" s="8">
        <f t="shared" si="5"/>
        <v>2.23</v>
      </c>
      <c r="N3114" s="6" t="s">
        <v>6488</v>
      </c>
      <c r="P3114" s="9"/>
    </row>
    <row r="3115">
      <c r="A3115" s="6" t="s">
        <v>7340</v>
      </c>
      <c r="B3115" s="6" t="s">
        <v>3293</v>
      </c>
      <c r="C3115" s="6" t="s">
        <v>295</v>
      </c>
      <c r="D3115" s="6" t="s">
        <v>7341</v>
      </c>
      <c r="E3115" s="6" t="s">
        <v>2754</v>
      </c>
      <c r="F3115" s="6" t="s">
        <v>170</v>
      </c>
      <c r="G3115" s="7">
        <v>0.09</v>
      </c>
      <c r="H3115" s="6" t="s">
        <v>2172</v>
      </c>
      <c r="I3115" s="6" t="s">
        <v>20</v>
      </c>
      <c r="J3115" s="6">
        <v>2021.0</v>
      </c>
      <c r="K3115" s="10">
        <v>46116.0</v>
      </c>
      <c r="L3115" s="6">
        <v>1.0</v>
      </c>
      <c r="M3115" s="8">
        <f t="shared" si="5"/>
        <v>0.09</v>
      </c>
      <c r="P3115" s="9"/>
    </row>
    <row r="3116">
      <c r="A3116" s="6" t="s">
        <v>7342</v>
      </c>
      <c r="B3116" s="6" t="s">
        <v>3293</v>
      </c>
      <c r="C3116" s="6" t="s">
        <v>295</v>
      </c>
      <c r="D3116" s="6" t="s">
        <v>7343</v>
      </c>
      <c r="E3116" s="6" t="s">
        <v>2342</v>
      </c>
      <c r="F3116" s="6" t="s">
        <v>170</v>
      </c>
      <c r="G3116" s="7">
        <v>0.09</v>
      </c>
      <c r="H3116" s="6" t="s">
        <v>2172</v>
      </c>
      <c r="I3116" s="6" t="s">
        <v>20</v>
      </c>
      <c r="J3116" s="6">
        <v>2021.0</v>
      </c>
      <c r="K3116" s="10">
        <v>46024.0</v>
      </c>
      <c r="L3116" s="6">
        <v>1.0</v>
      </c>
      <c r="M3116" s="8">
        <f t="shared" si="5"/>
        <v>0.09</v>
      </c>
      <c r="P3116" s="9"/>
    </row>
    <row r="3117">
      <c r="A3117" s="6" t="s">
        <v>7344</v>
      </c>
      <c r="B3117" s="6" t="s">
        <v>3293</v>
      </c>
      <c r="C3117" s="6" t="s">
        <v>1949</v>
      </c>
      <c r="D3117" s="6" t="s">
        <v>7345</v>
      </c>
      <c r="E3117" s="6" t="s">
        <v>2350</v>
      </c>
      <c r="F3117" s="6" t="s">
        <v>170</v>
      </c>
      <c r="G3117" s="7">
        <v>0.09</v>
      </c>
      <c r="H3117" s="6" t="s">
        <v>2172</v>
      </c>
      <c r="I3117" s="6" t="s">
        <v>20</v>
      </c>
      <c r="J3117" s="6">
        <v>2021.0</v>
      </c>
      <c r="K3117" s="10">
        <v>46083.0</v>
      </c>
      <c r="L3117" s="6">
        <v>1.0</v>
      </c>
      <c r="M3117" s="8">
        <f t="shared" si="5"/>
        <v>0.09</v>
      </c>
      <c r="P3117" s="9"/>
    </row>
    <row r="3118">
      <c r="A3118" s="6" t="s">
        <v>3786</v>
      </c>
      <c r="B3118" s="6" t="s">
        <v>378</v>
      </c>
      <c r="C3118" s="6" t="s">
        <v>1949</v>
      </c>
      <c r="D3118" s="6" t="s">
        <v>3787</v>
      </c>
      <c r="E3118" s="6" t="s">
        <v>2342</v>
      </c>
      <c r="F3118" s="6" t="s">
        <v>170</v>
      </c>
      <c r="G3118" s="7">
        <v>0.3</v>
      </c>
      <c r="H3118" s="6" t="s">
        <v>2219</v>
      </c>
      <c r="I3118" s="6" t="s">
        <v>20</v>
      </c>
      <c r="J3118" s="6">
        <v>2024.0</v>
      </c>
      <c r="L3118" s="6">
        <v>1.0</v>
      </c>
      <c r="M3118" s="8">
        <f t="shared" si="5"/>
        <v>0.3</v>
      </c>
      <c r="P3118" s="9"/>
    </row>
    <row r="3119">
      <c r="A3119" s="6" t="s">
        <v>6071</v>
      </c>
      <c r="B3119" s="6" t="s">
        <v>2058</v>
      </c>
      <c r="C3119" s="6" t="s">
        <v>1949</v>
      </c>
      <c r="D3119" s="6" t="s">
        <v>6072</v>
      </c>
      <c r="E3119" s="6" t="s">
        <v>2350</v>
      </c>
      <c r="F3119" s="6" t="s">
        <v>170</v>
      </c>
      <c r="G3119" s="7">
        <v>0.05</v>
      </c>
      <c r="H3119" s="6" t="s">
        <v>2219</v>
      </c>
      <c r="I3119" s="6" t="s">
        <v>20</v>
      </c>
      <c r="J3119" s="6">
        <v>2024.0</v>
      </c>
      <c r="L3119" s="6">
        <v>1.0</v>
      </c>
      <c r="M3119" s="8">
        <f t="shared" si="5"/>
        <v>0.05</v>
      </c>
      <c r="P3119" s="9"/>
    </row>
    <row r="3120">
      <c r="A3120" s="6" t="s">
        <v>7346</v>
      </c>
      <c r="B3120" s="6" t="s">
        <v>7347</v>
      </c>
      <c r="C3120" s="6" t="s">
        <v>1949</v>
      </c>
      <c r="D3120" s="6" t="s">
        <v>7348</v>
      </c>
      <c r="E3120" s="6" t="s">
        <v>2342</v>
      </c>
      <c r="F3120" s="6" t="s">
        <v>170</v>
      </c>
      <c r="G3120" s="7">
        <v>0.1</v>
      </c>
      <c r="H3120" s="6" t="s">
        <v>2238</v>
      </c>
      <c r="I3120" s="6" t="s">
        <v>20</v>
      </c>
      <c r="J3120" s="6">
        <v>2024.0</v>
      </c>
      <c r="K3120" s="10">
        <v>46055.0</v>
      </c>
      <c r="L3120" s="6">
        <v>2.0</v>
      </c>
      <c r="M3120" s="8">
        <f t="shared" si="5"/>
        <v>0.2</v>
      </c>
      <c r="P3120" s="9"/>
    </row>
    <row r="3121">
      <c r="A3121" s="6" t="s">
        <v>7349</v>
      </c>
      <c r="B3121" s="6" t="s">
        <v>385</v>
      </c>
      <c r="C3121" s="6" t="s">
        <v>295</v>
      </c>
      <c r="D3121" s="6" t="s">
        <v>7350</v>
      </c>
      <c r="E3121" s="6" t="s">
        <v>2342</v>
      </c>
      <c r="F3121" s="6" t="s">
        <v>170</v>
      </c>
      <c r="G3121" s="7">
        <v>3.7</v>
      </c>
      <c r="H3121" s="6" t="s">
        <v>1959</v>
      </c>
      <c r="I3121" s="6" t="s">
        <v>20</v>
      </c>
      <c r="J3121" s="6">
        <v>2024.0</v>
      </c>
      <c r="L3121" s="6">
        <v>1.0</v>
      </c>
      <c r="M3121" s="8">
        <f t="shared" si="5"/>
        <v>3.7</v>
      </c>
      <c r="N3121" s="6" t="s">
        <v>6488</v>
      </c>
      <c r="P3121" s="9"/>
    </row>
    <row r="3122">
      <c r="A3122" s="6" t="s">
        <v>7351</v>
      </c>
      <c r="B3122" s="6" t="s">
        <v>2424</v>
      </c>
      <c r="C3122" s="6" t="s">
        <v>1897</v>
      </c>
      <c r="D3122" s="6" t="s">
        <v>7352</v>
      </c>
      <c r="E3122" s="6" t="s">
        <v>2350</v>
      </c>
      <c r="F3122" s="6" t="s">
        <v>170</v>
      </c>
      <c r="G3122" s="7">
        <v>0.19</v>
      </c>
      <c r="H3122" s="6" t="s">
        <v>1664</v>
      </c>
      <c r="I3122" s="6" t="s">
        <v>20</v>
      </c>
      <c r="J3122" s="6">
        <v>2018.0</v>
      </c>
      <c r="L3122" s="6">
        <v>2.0</v>
      </c>
      <c r="M3122" s="8">
        <f t="shared" si="5"/>
        <v>0.38</v>
      </c>
      <c r="P3122" s="9"/>
    </row>
    <row r="3123">
      <c r="A3123" s="6" t="s">
        <v>7353</v>
      </c>
      <c r="B3123" s="6" t="s">
        <v>2194</v>
      </c>
      <c r="C3123" s="6" t="s">
        <v>295</v>
      </c>
      <c r="D3123" s="6" t="s">
        <v>7354</v>
      </c>
      <c r="E3123" s="6" t="s">
        <v>930</v>
      </c>
      <c r="F3123" s="6" t="s">
        <v>170</v>
      </c>
      <c r="G3123" s="7">
        <v>0.06</v>
      </c>
      <c r="H3123" s="6" t="s">
        <v>2456</v>
      </c>
      <c r="I3123" s="6" t="s">
        <v>20</v>
      </c>
      <c r="J3123" s="6">
        <v>2024.0</v>
      </c>
      <c r="K3123" s="10">
        <v>46023.0</v>
      </c>
      <c r="L3123" s="6">
        <v>1.0</v>
      </c>
      <c r="M3123" s="8">
        <f t="shared" si="5"/>
        <v>0.06</v>
      </c>
      <c r="P3123" s="9"/>
    </row>
    <row r="3124">
      <c r="A3124" s="6" t="s">
        <v>7355</v>
      </c>
      <c r="B3124" s="6" t="s">
        <v>7356</v>
      </c>
      <c r="C3124" s="6" t="s">
        <v>1949</v>
      </c>
      <c r="D3124" s="6" t="s">
        <v>7357</v>
      </c>
      <c r="E3124" s="6" t="s">
        <v>2779</v>
      </c>
      <c r="F3124" s="6" t="s">
        <v>170</v>
      </c>
      <c r="G3124" s="7">
        <v>0.04</v>
      </c>
      <c r="H3124" s="6" t="s">
        <v>3934</v>
      </c>
      <c r="I3124" s="6" t="s">
        <v>20</v>
      </c>
      <c r="J3124" s="6">
        <v>2023.0</v>
      </c>
      <c r="K3124" s="10">
        <v>46147.0</v>
      </c>
      <c r="L3124" s="6">
        <v>1.0</v>
      </c>
      <c r="M3124" s="8">
        <f t="shared" si="5"/>
        <v>0.04</v>
      </c>
      <c r="P3124" s="9"/>
    </row>
    <row r="3125">
      <c r="A3125" s="6" t="s">
        <v>7358</v>
      </c>
      <c r="B3125" s="6" t="s">
        <v>6557</v>
      </c>
      <c r="C3125" s="6" t="s">
        <v>1949</v>
      </c>
      <c r="D3125" s="6" t="s">
        <v>7359</v>
      </c>
      <c r="E3125" s="6" t="s">
        <v>2350</v>
      </c>
      <c r="F3125" s="6" t="s">
        <v>170</v>
      </c>
      <c r="G3125" s="7">
        <v>0.04</v>
      </c>
      <c r="H3125" s="6" t="s">
        <v>3934</v>
      </c>
      <c r="I3125" s="6" t="s">
        <v>20</v>
      </c>
      <c r="J3125" s="6">
        <v>2023.0</v>
      </c>
      <c r="K3125" s="10">
        <v>46056.0</v>
      </c>
      <c r="L3125" s="6">
        <v>1.0</v>
      </c>
      <c r="M3125" s="8">
        <f t="shared" si="5"/>
        <v>0.04</v>
      </c>
      <c r="P3125" s="9"/>
    </row>
    <row r="3126">
      <c r="A3126" s="6" t="s">
        <v>7360</v>
      </c>
      <c r="B3126" s="6" t="s">
        <v>1952</v>
      </c>
      <c r="C3126" s="6" t="s">
        <v>1949</v>
      </c>
      <c r="D3126" s="6" t="s">
        <v>7361</v>
      </c>
      <c r="E3126" s="6" t="s">
        <v>2342</v>
      </c>
      <c r="F3126" s="6" t="s">
        <v>170</v>
      </c>
      <c r="G3126" s="7">
        <v>0.1</v>
      </c>
      <c r="H3126" s="6" t="s">
        <v>3934</v>
      </c>
      <c r="I3126" s="6" t="s">
        <v>20</v>
      </c>
      <c r="J3126" s="6">
        <v>2023.0</v>
      </c>
      <c r="L3126" s="6">
        <v>1.0</v>
      </c>
      <c r="M3126" s="8">
        <f t="shared" si="5"/>
        <v>0.1</v>
      </c>
      <c r="P3126" s="9"/>
    </row>
    <row r="3127">
      <c r="A3127" s="6" t="s">
        <v>7362</v>
      </c>
      <c r="B3127" s="6" t="s">
        <v>7363</v>
      </c>
      <c r="C3127" s="6" t="s">
        <v>295</v>
      </c>
      <c r="D3127" s="6" t="s">
        <v>7364</v>
      </c>
      <c r="E3127" s="6" t="s">
        <v>2342</v>
      </c>
      <c r="F3127" s="6" t="s">
        <v>170</v>
      </c>
      <c r="G3127" s="7">
        <v>0.1</v>
      </c>
      <c r="H3127" s="6" t="s">
        <v>6498</v>
      </c>
      <c r="I3127" s="6" t="s">
        <v>20</v>
      </c>
      <c r="J3127" s="6">
        <v>2025.0</v>
      </c>
      <c r="K3127" s="10">
        <v>46055.0</v>
      </c>
      <c r="L3127" s="6">
        <v>2.0</v>
      </c>
      <c r="M3127" s="8">
        <f t="shared" si="5"/>
        <v>0.2</v>
      </c>
      <c r="P3127" s="9"/>
    </row>
    <row r="3128">
      <c r="A3128" s="6" t="s">
        <v>7365</v>
      </c>
      <c r="B3128" s="6" t="s">
        <v>6259</v>
      </c>
      <c r="C3128" s="6" t="s">
        <v>1949</v>
      </c>
      <c r="D3128" s="6" t="s">
        <v>7366</v>
      </c>
      <c r="E3128" s="6" t="s">
        <v>2350</v>
      </c>
      <c r="F3128" s="6" t="s">
        <v>170</v>
      </c>
      <c r="G3128" s="7">
        <v>0.99</v>
      </c>
      <c r="H3128" s="6" t="s">
        <v>7367</v>
      </c>
      <c r="I3128" s="6" t="s">
        <v>20</v>
      </c>
      <c r="J3128" s="6">
        <v>2024.0</v>
      </c>
      <c r="K3128" s="10">
        <v>46055.0</v>
      </c>
      <c r="L3128" s="6">
        <v>1.0</v>
      </c>
      <c r="M3128" s="8">
        <f t="shared" si="5"/>
        <v>0.99</v>
      </c>
      <c r="N3128" s="6" t="s">
        <v>6488</v>
      </c>
      <c r="P3128" s="9"/>
    </row>
    <row r="3129">
      <c r="A3129" s="6" t="s">
        <v>7368</v>
      </c>
      <c r="B3129" s="6" t="s">
        <v>3336</v>
      </c>
      <c r="C3129" s="6" t="s">
        <v>1949</v>
      </c>
      <c r="D3129" s="6" t="s">
        <v>7369</v>
      </c>
      <c r="E3129" s="6" t="s">
        <v>2350</v>
      </c>
      <c r="F3129" s="6" t="s">
        <v>170</v>
      </c>
      <c r="G3129" s="7">
        <v>0.07</v>
      </c>
      <c r="H3129" s="6" t="s">
        <v>3476</v>
      </c>
      <c r="I3129" s="6" t="s">
        <v>20</v>
      </c>
      <c r="J3129" s="6">
        <v>2023.0</v>
      </c>
      <c r="K3129" s="10">
        <v>46084.0</v>
      </c>
      <c r="L3129" s="6">
        <v>1.0</v>
      </c>
      <c r="M3129" s="8">
        <f t="shared" si="5"/>
        <v>0.07</v>
      </c>
      <c r="P3129" s="9"/>
    </row>
    <row r="3130">
      <c r="A3130" s="6" t="s">
        <v>7370</v>
      </c>
      <c r="B3130" s="6" t="s">
        <v>2058</v>
      </c>
      <c r="C3130" s="6" t="s">
        <v>1949</v>
      </c>
      <c r="D3130" s="6" t="s">
        <v>7371</v>
      </c>
      <c r="E3130" s="6" t="s">
        <v>2757</v>
      </c>
      <c r="F3130" s="6" t="s">
        <v>170</v>
      </c>
      <c r="G3130" s="7">
        <v>0.25</v>
      </c>
      <c r="H3130" s="6" t="s">
        <v>2141</v>
      </c>
      <c r="I3130" s="6" t="s">
        <v>20</v>
      </c>
      <c r="J3130" s="6">
        <v>2023.0</v>
      </c>
      <c r="L3130" s="6">
        <v>2.0</v>
      </c>
      <c r="M3130" s="8">
        <f t="shared" si="5"/>
        <v>0.5</v>
      </c>
      <c r="P3130" s="9"/>
    </row>
    <row r="3131">
      <c r="A3131" s="6" t="s">
        <v>7372</v>
      </c>
      <c r="B3131" s="6" t="s">
        <v>378</v>
      </c>
      <c r="C3131" s="6" t="s">
        <v>1949</v>
      </c>
      <c r="D3131" s="6" t="s">
        <v>7373</v>
      </c>
      <c r="E3131" s="6" t="s">
        <v>933</v>
      </c>
      <c r="F3131" s="6" t="s">
        <v>170</v>
      </c>
      <c r="G3131" s="7">
        <v>0.13</v>
      </c>
      <c r="H3131" s="6" t="s">
        <v>2141</v>
      </c>
      <c r="I3131" s="6" t="s">
        <v>20</v>
      </c>
      <c r="J3131" s="6">
        <v>2023.0</v>
      </c>
      <c r="L3131" s="6">
        <v>1.0</v>
      </c>
      <c r="M3131" s="8">
        <f t="shared" si="5"/>
        <v>0.13</v>
      </c>
      <c r="P3131" s="9"/>
    </row>
    <row r="3132">
      <c r="A3132" s="6" t="s">
        <v>7374</v>
      </c>
      <c r="B3132" s="6" t="s">
        <v>2058</v>
      </c>
      <c r="C3132" s="6" t="s">
        <v>295</v>
      </c>
      <c r="D3132" s="6" t="s">
        <v>7375</v>
      </c>
      <c r="E3132" s="6" t="s">
        <v>2365</v>
      </c>
      <c r="F3132" s="6" t="s">
        <v>170</v>
      </c>
      <c r="G3132" s="7">
        <v>0.15</v>
      </c>
      <c r="H3132" s="6" t="s">
        <v>3021</v>
      </c>
      <c r="I3132" s="6" t="s">
        <v>20</v>
      </c>
      <c r="J3132" s="6">
        <v>2023.0</v>
      </c>
      <c r="L3132" s="6">
        <v>1.0</v>
      </c>
      <c r="M3132" s="8">
        <f t="shared" si="5"/>
        <v>0.15</v>
      </c>
      <c r="P3132" s="9"/>
    </row>
    <row r="3133">
      <c r="A3133" s="6" t="s">
        <v>7376</v>
      </c>
      <c r="B3133" s="6" t="s">
        <v>2058</v>
      </c>
      <c r="C3133" s="6" t="s">
        <v>295</v>
      </c>
      <c r="D3133" s="6" t="s">
        <v>7377</v>
      </c>
      <c r="E3133" s="6" t="s">
        <v>2342</v>
      </c>
      <c r="F3133" s="6" t="s">
        <v>170</v>
      </c>
      <c r="G3133" s="7">
        <v>0.23</v>
      </c>
      <c r="H3133" s="6" t="s">
        <v>4574</v>
      </c>
      <c r="I3133" s="6" t="s">
        <v>20</v>
      </c>
      <c r="J3133" s="6">
        <v>2024.0</v>
      </c>
      <c r="L3133" s="6">
        <v>1.0</v>
      </c>
      <c r="M3133" s="8">
        <f t="shared" si="5"/>
        <v>0.23</v>
      </c>
      <c r="P3133" s="9"/>
    </row>
    <row r="3134">
      <c r="A3134" s="6" t="s">
        <v>7378</v>
      </c>
      <c r="B3134" s="6" t="s">
        <v>7379</v>
      </c>
      <c r="C3134" s="6" t="s">
        <v>295</v>
      </c>
      <c r="D3134" s="6" t="s">
        <v>7380</v>
      </c>
      <c r="E3134" s="6" t="s">
        <v>2757</v>
      </c>
      <c r="F3134" s="6" t="s">
        <v>170</v>
      </c>
      <c r="G3134" s="7">
        <v>0.1</v>
      </c>
      <c r="H3134" s="6" t="s">
        <v>2456</v>
      </c>
      <c r="I3134" s="6" t="s">
        <v>20</v>
      </c>
      <c r="J3134" s="6">
        <v>2024.0</v>
      </c>
      <c r="K3134" s="10">
        <v>46116.0</v>
      </c>
      <c r="L3134" s="6">
        <v>1.0</v>
      </c>
      <c r="M3134" s="8">
        <f t="shared" si="5"/>
        <v>0.1</v>
      </c>
      <c r="P3134" s="9"/>
    </row>
    <row r="3135">
      <c r="A3135" s="6" t="s">
        <v>7381</v>
      </c>
      <c r="B3135" s="6" t="s">
        <v>7382</v>
      </c>
      <c r="C3135" s="6" t="s">
        <v>295</v>
      </c>
      <c r="D3135" s="6" t="s">
        <v>7383</v>
      </c>
      <c r="E3135" s="6" t="s">
        <v>3424</v>
      </c>
      <c r="F3135" s="6" t="s">
        <v>170</v>
      </c>
      <c r="G3135" s="7">
        <v>0.05</v>
      </c>
      <c r="H3135" s="6" t="s">
        <v>2456</v>
      </c>
      <c r="I3135" s="6" t="s">
        <v>20</v>
      </c>
      <c r="J3135" s="6">
        <v>2024.0</v>
      </c>
      <c r="K3135" s="10">
        <v>46056.0</v>
      </c>
      <c r="L3135" s="6">
        <v>1.0</v>
      </c>
      <c r="M3135" s="8">
        <f t="shared" si="5"/>
        <v>0.05</v>
      </c>
      <c r="P3135" s="9"/>
    </row>
    <row r="3136">
      <c r="A3136" s="6" t="s">
        <v>7384</v>
      </c>
      <c r="B3136" s="6" t="s">
        <v>7385</v>
      </c>
      <c r="C3136" s="6" t="s">
        <v>295</v>
      </c>
      <c r="D3136" s="6" t="s">
        <v>7386</v>
      </c>
      <c r="E3136" s="6" t="s">
        <v>2350</v>
      </c>
      <c r="F3136" s="6" t="s">
        <v>170</v>
      </c>
      <c r="G3136" s="7">
        <v>0.05</v>
      </c>
      <c r="H3136" s="6" t="s">
        <v>1959</v>
      </c>
      <c r="I3136" s="6" t="s">
        <v>20</v>
      </c>
      <c r="J3136" s="6">
        <v>2024.0</v>
      </c>
      <c r="K3136" s="10">
        <v>46083.0</v>
      </c>
      <c r="L3136" s="6">
        <v>1.0</v>
      </c>
      <c r="M3136" s="8">
        <f t="shared" si="5"/>
        <v>0.05</v>
      </c>
      <c r="P3136" s="9"/>
    </row>
    <row r="3137">
      <c r="A3137" s="6" t="s">
        <v>7387</v>
      </c>
      <c r="B3137" s="6" t="s">
        <v>2058</v>
      </c>
      <c r="C3137" s="6" t="s">
        <v>295</v>
      </c>
      <c r="D3137" s="6" t="s">
        <v>7388</v>
      </c>
      <c r="E3137" s="6" t="s">
        <v>930</v>
      </c>
      <c r="F3137" s="6" t="s">
        <v>170</v>
      </c>
      <c r="G3137" s="7">
        <v>0.5</v>
      </c>
      <c r="H3137" s="6" t="s">
        <v>2205</v>
      </c>
      <c r="I3137" s="6" t="s">
        <v>20</v>
      </c>
      <c r="J3137" s="6">
        <v>2023.0</v>
      </c>
      <c r="L3137" s="6">
        <v>1.0</v>
      </c>
      <c r="M3137" s="8">
        <f t="shared" si="5"/>
        <v>0.5</v>
      </c>
      <c r="P3137" s="9"/>
    </row>
    <row r="3138">
      <c r="A3138" s="6" t="s">
        <v>7389</v>
      </c>
      <c r="B3138" s="6" t="s">
        <v>3232</v>
      </c>
      <c r="C3138" s="6" t="s">
        <v>295</v>
      </c>
      <c r="D3138" s="6" t="s">
        <v>7390</v>
      </c>
      <c r="E3138" s="6" t="s">
        <v>1853</v>
      </c>
      <c r="F3138" s="6" t="s">
        <v>277</v>
      </c>
      <c r="G3138" s="7">
        <v>0.1</v>
      </c>
      <c r="H3138" s="6" t="s">
        <v>1965</v>
      </c>
      <c r="I3138" s="6" t="s">
        <v>20</v>
      </c>
      <c r="J3138" s="6">
        <v>2022.0</v>
      </c>
      <c r="K3138" s="10">
        <v>46057.0</v>
      </c>
      <c r="L3138" s="6">
        <v>1.0</v>
      </c>
      <c r="M3138" s="8">
        <f t="shared" si="5"/>
        <v>0.1</v>
      </c>
      <c r="P3138" s="9"/>
    </row>
    <row r="3139">
      <c r="A3139" s="6" t="s">
        <v>7391</v>
      </c>
      <c r="B3139" s="6" t="s">
        <v>6639</v>
      </c>
      <c r="C3139" s="6" t="s">
        <v>295</v>
      </c>
      <c r="D3139" s="6" t="s">
        <v>7392</v>
      </c>
      <c r="E3139" s="6" t="s">
        <v>7393</v>
      </c>
      <c r="F3139" s="6" t="s">
        <v>277</v>
      </c>
      <c r="G3139" s="7">
        <v>0.05</v>
      </c>
      <c r="H3139" s="6" t="s">
        <v>1959</v>
      </c>
      <c r="I3139" s="6" t="s">
        <v>20</v>
      </c>
      <c r="J3139" s="6">
        <v>2024.0</v>
      </c>
      <c r="L3139" s="6">
        <v>1.0</v>
      </c>
      <c r="M3139" s="8">
        <f t="shared" si="5"/>
        <v>0.05</v>
      </c>
      <c r="P3139" s="9"/>
    </row>
    <row r="3140">
      <c r="A3140" s="6" t="s">
        <v>7394</v>
      </c>
      <c r="B3140" s="6" t="s">
        <v>2825</v>
      </c>
      <c r="C3140" s="6" t="s">
        <v>295</v>
      </c>
      <c r="D3140" s="6" t="s">
        <v>7395</v>
      </c>
      <c r="E3140" s="6" t="s">
        <v>629</v>
      </c>
      <c r="F3140" s="6" t="s">
        <v>277</v>
      </c>
      <c r="G3140" s="7">
        <v>0.29</v>
      </c>
      <c r="H3140" s="6" t="s">
        <v>2219</v>
      </c>
      <c r="I3140" s="6" t="s">
        <v>20</v>
      </c>
      <c r="J3140" s="6">
        <v>2024.0</v>
      </c>
      <c r="K3140" s="10">
        <v>46023.0</v>
      </c>
      <c r="L3140" s="6">
        <v>1.0</v>
      </c>
      <c r="M3140" s="8">
        <f t="shared" si="5"/>
        <v>0.29</v>
      </c>
      <c r="P3140" s="9"/>
    </row>
    <row r="3141">
      <c r="A3141" s="6" t="s">
        <v>7396</v>
      </c>
      <c r="B3141" s="6" t="s">
        <v>7397</v>
      </c>
      <c r="C3141" s="6" t="s">
        <v>295</v>
      </c>
      <c r="D3141" s="6" t="s">
        <v>7398</v>
      </c>
      <c r="E3141" s="6" t="s">
        <v>1856</v>
      </c>
      <c r="F3141" s="6" t="s">
        <v>277</v>
      </c>
      <c r="G3141" s="7">
        <v>0.1</v>
      </c>
      <c r="H3141" s="6" t="s">
        <v>1619</v>
      </c>
      <c r="I3141" s="6" t="s">
        <v>20</v>
      </c>
      <c r="J3141" s="6">
        <v>2022.0</v>
      </c>
      <c r="K3141" s="10">
        <v>46055.0</v>
      </c>
      <c r="L3141" s="6">
        <v>1.0</v>
      </c>
      <c r="M3141" s="8">
        <f t="shared" si="5"/>
        <v>0.1</v>
      </c>
      <c r="P3141" s="9"/>
    </row>
    <row r="3142">
      <c r="A3142" s="6" t="s">
        <v>7399</v>
      </c>
      <c r="B3142" s="6" t="s">
        <v>5513</v>
      </c>
      <c r="C3142" s="6" t="s">
        <v>295</v>
      </c>
      <c r="D3142" s="6" t="s">
        <v>7400</v>
      </c>
      <c r="E3142" s="6" t="s">
        <v>2287</v>
      </c>
      <c r="F3142" s="6" t="s">
        <v>277</v>
      </c>
      <c r="G3142" s="7">
        <v>0.05</v>
      </c>
      <c r="H3142" s="6" t="s">
        <v>3049</v>
      </c>
      <c r="I3142" s="6" t="s">
        <v>20</v>
      </c>
      <c r="J3142" s="6">
        <v>2025.0</v>
      </c>
      <c r="K3142" s="10">
        <v>46084.0</v>
      </c>
      <c r="L3142" s="6">
        <v>1.0</v>
      </c>
      <c r="M3142" s="8">
        <f t="shared" si="5"/>
        <v>0.05</v>
      </c>
      <c r="P3142" s="9"/>
    </row>
    <row r="3143">
      <c r="A3143" s="6" t="s">
        <v>7401</v>
      </c>
      <c r="B3143" s="6" t="s">
        <v>4250</v>
      </c>
      <c r="C3143" s="6" t="s">
        <v>1897</v>
      </c>
      <c r="D3143" s="6" t="s">
        <v>7402</v>
      </c>
      <c r="E3143" s="6" t="s">
        <v>2380</v>
      </c>
      <c r="F3143" s="6" t="s">
        <v>277</v>
      </c>
      <c r="G3143" s="7">
        <v>3.25</v>
      </c>
      <c r="H3143" s="6" t="s">
        <v>2474</v>
      </c>
      <c r="I3143" s="6" t="s">
        <v>20</v>
      </c>
      <c r="J3143" s="6">
        <v>2017.0</v>
      </c>
      <c r="K3143" s="10">
        <v>46117.0</v>
      </c>
      <c r="L3143" s="6">
        <v>2.0</v>
      </c>
      <c r="M3143" s="8">
        <f t="shared" si="5"/>
        <v>6.5</v>
      </c>
      <c r="N3143" s="6" t="s">
        <v>6488</v>
      </c>
      <c r="P3143" s="9"/>
    </row>
    <row r="3144">
      <c r="A3144" s="6" t="s">
        <v>7403</v>
      </c>
      <c r="B3144" s="6" t="s">
        <v>3487</v>
      </c>
      <c r="C3144" s="6" t="s">
        <v>1897</v>
      </c>
      <c r="D3144" s="6" t="s">
        <v>7404</v>
      </c>
      <c r="E3144" s="6" t="s">
        <v>2280</v>
      </c>
      <c r="F3144" s="6" t="s">
        <v>277</v>
      </c>
      <c r="G3144" s="7">
        <v>0.16</v>
      </c>
      <c r="H3144" s="6" t="s">
        <v>2598</v>
      </c>
      <c r="I3144" s="6" t="s">
        <v>20</v>
      </c>
      <c r="J3144" s="6">
        <v>2017.0</v>
      </c>
      <c r="K3144" s="10">
        <v>46024.0</v>
      </c>
      <c r="L3144" s="6">
        <v>3.0</v>
      </c>
      <c r="M3144" s="8">
        <f t="shared" si="5"/>
        <v>0.48</v>
      </c>
      <c r="P3144" s="9"/>
    </row>
    <row r="3145">
      <c r="A3145" s="6" t="s">
        <v>7405</v>
      </c>
      <c r="B3145" s="6" t="s">
        <v>2058</v>
      </c>
      <c r="C3145" s="6" t="s">
        <v>1897</v>
      </c>
      <c r="D3145" s="6" t="s">
        <v>7406</v>
      </c>
      <c r="E3145" s="6" t="s">
        <v>1758</v>
      </c>
      <c r="F3145" s="6" t="s">
        <v>277</v>
      </c>
      <c r="G3145" s="7">
        <v>2.0</v>
      </c>
      <c r="H3145" s="6" t="s">
        <v>2598</v>
      </c>
      <c r="I3145" s="6" t="s">
        <v>20</v>
      </c>
      <c r="J3145" s="6">
        <v>2017.0</v>
      </c>
      <c r="L3145" s="6">
        <v>1.0</v>
      </c>
      <c r="M3145" s="8">
        <f t="shared" si="5"/>
        <v>2</v>
      </c>
      <c r="N3145" s="6" t="s">
        <v>6488</v>
      </c>
      <c r="P3145" s="9"/>
    </row>
    <row r="3146">
      <c r="A3146" s="6" t="s">
        <v>7407</v>
      </c>
      <c r="B3146" s="6" t="s">
        <v>7408</v>
      </c>
      <c r="C3146" s="6" t="s">
        <v>1897</v>
      </c>
      <c r="D3146" s="6" t="s">
        <v>7409</v>
      </c>
      <c r="E3146" s="6" t="s">
        <v>1758</v>
      </c>
      <c r="F3146" s="6" t="s">
        <v>277</v>
      </c>
      <c r="G3146" s="7">
        <v>0.25</v>
      </c>
      <c r="H3146" s="6" t="s">
        <v>1704</v>
      </c>
      <c r="I3146" s="6" t="s">
        <v>20</v>
      </c>
      <c r="J3146" s="6">
        <v>2016.0</v>
      </c>
      <c r="K3146" s="10">
        <v>46083.0</v>
      </c>
      <c r="L3146" s="6">
        <v>2.0</v>
      </c>
      <c r="M3146" s="8">
        <f t="shared" si="5"/>
        <v>0.5</v>
      </c>
      <c r="P3146" s="9"/>
    </row>
    <row r="3147">
      <c r="A3147" s="6" t="s">
        <v>7410</v>
      </c>
      <c r="B3147" s="6" t="s">
        <v>7411</v>
      </c>
      <c r="C3147" s="6" t="s">
        <v>295</v>
      </c>
      <c r="D3147" s="6" t="s">
        <v>7412</v>
      </c>
      <c r="E3147" s="6" t="s">
        <v>1853</v>
      </c>
      <c r="F3147" s="6" t="s">
        <v>277</v>
      </c>
      <c r="G3147" s="7">
        <v>0.04</v>
      </c>
      <c r="H3147" s="6" t="s">
        <v>3021</v>
      </c>
      <c r="I3147" s="6" t="s">
        <v>20</v>
      </c>
      <c r="J3147" s="6">
        <v>2023.0</v>
      </c>
      <c r="K3147" s="10">
        <v>46055.0</v>
      </c>
      <c r="L3147" s="6">
        <v>1.0</v>
      </c>
      <c r="M3147" s="8">
        <f t="shared" si="5"/>
        <v>0.04</v>
      </c>
      <c r="P3147" s="9"/>
    </row>
    <row r="3148">
      <c r="A3148" s="6" t="s">
        <v>7413</v>
      </c>
      <c r="B3148" s="6" t="s">
        <v>4250</v>
      </c>
      <c r="C3148" s="6" t="s">
        <v>1949</v>
      </c>
      <c r="D3148" s="6" t="s">
        <v>7414</v>
      </c>
      <c r="E3148" s="6" t="s">
        <v>4252</v>
      </c>
      <c r="F3148" s="6" t="s">
        <v>277</v>
      </c>
      <c r="G3148" s="7">
        <v>0.1</v>
      </c>
      <c r="H3148" s="6" t="s">
        <v>2384</v>
      </c>
      <c r="I3148" s="6" t="s">
        <v>20</v>
      </c>
      <c r="J3148" s="6">
        <v>2019.0</v>
      </c>
      <c r="K3148" s="10">
        <v>46084.0</v>
      </c>
      <c r="L3148" s="6">
        <v>1.0</v>
      </c>
      <c r="M3148" s="8">
        <f t="shared" si="5"/>
        <v>0.1</v>
      </c>
      <c r="P3148" s="9"/>
    </row>
    <row r="3149">
      <c r="A3149" s="6" t="s">
        <v>5993</v>
      </c>
      <c r="B3149" s="6" t="s">
        <v>378</v>
      </c>
      <c r="C3149" s="6" t="s">
        <v>295</v>
      </c>
      <c r="D3149" s="6" t="s">
        <v>5994</v>
      </c>
      <c r="E3149" s="6" t="s">
        <v>2280</v>
      </c>
      <c r="F3149" s="6" t="s">
        <v>277</v>
      </c>
      <c r="G3149" s="7">
        <v>0.15</v>
      </c>
      <c r="H3149" s="6" t="s">
        <v>3021</v>
      </c>
      <c r="I3149" s="6" t="s">
        <v>20</v>
      </c>
      <c r="J3149" s="6">
        <v>2023.0</v>
      </c>
      <c r="L3149" s="6">
        <v>1.0</v>
      </c>
      <c r="M3149" s="8">
        <f t="shared" si="5"/>
        <v>0.15</v>
      </c>
      <c r="P3149" s="9"/>
    </row>
    <row r="3150">
      <c r="A3150" s="6" t="s">
        <v>7415</v>
      </c>
      <c r="B3150" s="6" t="s">
        <v>378</v>
      </c>
      <c r="C3150" s="6" t="s">
        <v>1949</v>
      </c>
      <c r="D3150" s="6" t="s">
        <v>7416</v>
      </c>
      <c r="E3150" s="6" t="s">
        <v>2280</v>
      </c>
      <c r="F3150" s="6" t="s">
        <v>277</v>
      </c>
      <c r="G3150" s="7">
        <v>0.13</v>
      </c>
      <c r="H3150" s="6" t="s">
        <v>1987</v>
      </c>
      <c r="I3150" s="6" t="s">
        <v>20</v>
      </c>
      <c r="J3150" s="6">
        <v>2019.0</v>
      </c>
      <c r="L3150" s="6">
        <v>2.0</v>
      </c>
      <c r="M3150" s="8">
        <f t="shared" si="5"/>
        <v>0.26</v>
      </c>
      <c r="P3150" s="9"/>
    </row>
    <row r="3151">
      <c r="A3151" s="6" t="s">
        <v>7417</v>
      </c>
      <c r="B3151" s="6" t="s">
        <v>378</v>
      </c>
      <c r="C3151" s="6" t="s">
        <v>1949</v>
      </c>
      <c r="D3151" s="6" t="s">
        <v>7418</v>
      </c>
      <c r="E3151" s="6" t="s">
        <v>2280</v>
      </c>
      <c r="F3151" s="6" t="s">
        <v>277</v>
      </c>
      <c r="G3151" s="7">
        <v>0.25</v>
      </c>
      <c r="H3151" s="6" t="s">
        <v>2238</v>
      </c>
      <c r="I3151" s="6" t="s">
        <v>20</v>
      </c>
      <c r="J3151" s="6">
        <v>2024.0</v>
      </c>
      <c r="L3151" s="6">
        <v>1.0</v>
      </c>
      <c r="M3151" s="8">
        <f t="shared" si="5"/>
        <v>0.25</v>
      </c>
      <c r="P3151" s="9"/>
    </row>
    <row r="3152">
      <c r="A3152" s="6" t="s">
        <v>7419</v>
      </c>
      <c r="B3152" s="6" t="s">
        <v>7420</v>
      </c>
      <c r="C3152" s="6" t="s">
        <v>2841</v>
      </c>
      <c r="D3152" s="6" t="s">
        <v>7421</v>
      </c>
      <c r="E3152" s="6" t="s">
        <v>1853</v>
      </c>
      <c r="F3152" s="6" t="s">
        <v>277</v>
      </c>
      <c r="G3152" s="7">
        <v>0.04</v>
      </c>
      <c r="H3152" s="6" t="s">
        <v>1739</v>
      </c>
      <c r="I3152" s="6" t="s">
        <v>20</v>
      </c>
      <c r="J3152" s="6">
        <v>2023.0</v>
      </c>
      <c r="K3152" s="6" t="s">
        <v>7422</v>
      </c>
      <c r="L3152" s="6">
        <v>1.0</v>
      </c>
      <c r="M3152" s="8">
        <f t="shared" si="5"/>
        <v>0.04</v>
      </c>
      <c r="P3152" s="9"/>
    </row>
    <row r="3153">
      <c r="A3153" s="6" t="s">
        <v>7423</v>
      </c>
      <c r="B3153" s="6" t="s">
        <v>7420</v>
      </c>
      <c r="C3153" s="6" t="s">
        <v>2841</v>
      </c>
      <c r="D3153" s="6" t="s">
        <v>7424</v>
      </c>
      <c r="E3153" s="6" t="s">
        <v>2287</v>
      </c>
      <c r="F3153" s="6" t="s">
        <v>277</v>
      </c>
      <c r="G3153" s="7">
        <v>0.04</v>
      </c>
      <c r="H3153" s="6" t="s">
        <v>1739</v>
      </c>
      <c r="I3153" s="6" t="s">
        <v>20</v>
      </c>
      <c r="J3153" s="6">
        <v>2023.0</v>
      </c>
      <c r="K3153" s="6" t="s">
        <v>7425</v>
      </c>
      <c r="L3153" s="6">
        <v>1.0</v>
      </c>
      <c r="M3153" s="8">
        <f t="shared" si="5"/>
        <v>0.04</v>
      </c>
      <c r="P3153" s="9"/>
    </row>
    <row r="3154">
      <c r="A3154" s="6" t="s">
        <v>7426</v>
      </c>
      <c r="B3154" s="6" t="s">
        <v>3022</v>
      </c>
      <c r="C3154" s="6" t="s">
        <v>295</v>
      </c>
      <c r="D3154" s="6" t="s">
        <v>7427</v>
      </c>
      <c r="E3154" s="6" t="s">
        <v>1853</v>
      </c>
      <c r="F3154" s="6" t="s">
        <v>277</v>
      </c>
      <c r="G3154" s="7">
        <v>0.04</v>
      </c>
      <c r="H3154" s="6" t="s">
        <v>2219</v>
      </c>
      <c r="I3154" s="6" t="s">
        <v>20</v>
      </c>
      <c r="J3154" s="6">
        <v>2024.0</v>
      </c>
      <c r="K3154" s="10">
        <v>46057.0</v>
      </c>
      <c r="L3154" s="6">
        <v>1.0</v>
      </c>
      <c r="M3154" s="8">
        <f t="shared" si="5"/>
        <v>0.04</v>
      </c>
      <c r="P3154" s="9"/>
    </row>
    <row r="3155">
      <c r="A3155" s="6" t="s">
        <v>7428</v>
      </c>
      <c r="B3155" s="6" t="s">
        <v>7429</v>
      </c>
      <c r="C3155" s="6" t="s">
        <v>1949</v>
      </c>
      <c r="D3155" s="6" t="s">
        <v>7430</v>
      </c>
      <c r="E3155" s="6" t="s">
        <v>2280</v>
      </c>
      <c r="F3155" s="6" t="s">
        <v>277</v>
      </c>
      <c r="G3155" s="7">
        <v>0.1</v>
      </c>
      <c r="H3155" s="6" t="s">
        <v>164</v>
      </c>
      <c r="I3155" s="6" t="s">
        <v>20</v>
      </c>
      <c r="J3155" s="6">
        <v>2014.0</v>
      </c>
      <c r="K3155" s="10">
        <v>46023.0</v>
      </c>
      <c r="L3155" s="6">
        <v>4.0</v>
      </c>
      <c r="M3155" s="8">
        <f t="shared" si="5"/>
        <v>0.4</v>
      </c>
      <c r="P3155" s="9"/>
    </row>
    <row r="3156">
      <c r="A3156" s="6" t="s">
        <v>7431</v>
      </c>
      <c r="B3156" s="6" t="s">
        <v>2058</v>
      </c>
      <c r="C3156" s="6" t="s">
        <v>295</v>
      </c>
      <c r="D3156" s="6" t="s">
        <v>7432</v>
      </c>
      <c r="E3156" s="6" t="s">
        <v>629</v>
      </c>
      <c r="F3156" s="6" t="s">
        <v>277</v>
      </c>
      <c r="G3156" s="7">
        <v>0.1</v>
      </c>
      <c r="H3156" s="6" t="s">
        <v>2219</v>
      </c>
      <c r="I3156" s="6" t="s">
        <v>20</v>
      </c>
      <c r="J3156" s="6">
        <v>2024.0</v>
      </c>
      <c r="L3156" s="6">
        <v>1.0</v>
      </c>
      <c r="M3156" s="8">
        <f t="shared" si="5"/>
        <v>0.1</v>
      </c>
      <c r="P3156" s="9"/>
    </row>
    <row r="3157">
      <c r="A3157" s="6" t="s">
        <v>7433</v>
      </c>
      <c r="B3157" s="6" t="s">
        <v>1896</v>
      </c>
      <c r="C3157" s="6" t="s">
        <v>1949</v>
      </c>
      <c r="D3157" s="6" t="s">
        <v>7434</v>
      </c>
      <c r="E3157" s="6" t="s">
        <v>4252</v>
      </c>
      <c r="F3157" s="6" t="s">
        <v>277</v>
      </c>
      <c r="G3157" s="7">
        <v>0.06</v>
      </c>
      <c r="H3157" s="6" t="s">
        <v>1987</v>
      </c>
      <c r="I3157" s="6" t="s">
        <v>20</v>
      </c>
      <c r="J3157" s="6">
        <v>2019.0</v>
      </c>
      <c r="L3157" s="6">
        <v>1.0</v>
      </c>
      <c r="M3157" s="8">
        <f t="shared" si="5"/>
        <v>0.06</v>
      </c>
      <c r="P3157" s="9"/>
    </row>
    <row r="3158">
      <c r="A3158" s="6" t="s">
        <v>7435</v>
      </c>
      <c r="B3158" s="6" t="s">
        <v>2058</v>
      </c>
      <c r="C3158" s="6" t="s">
        <v>295</v>
      </c>
      <c r="D3158" s="6" t="s">
        <v>7436</v>
      </c>
      <c r="E3158" s="6" t="s">
        <v>2839</v>
      </c>
      <c r="F3158" s="6" t="s">
        <v>277</v>
      </c>
      <c r="G3158" s="7">
        <v>3.5</v>
      </c>
      <c r="H3158" s="6" t="s">
        <v>2141</v>
      </c>
      <c r="I3158" s="6" t="s">
        <v>20</v>
      </c>
      <c r="J3158" s="6">
        <v>2023.0</v>
      </c>
      <c r="L3158" s="6">
        <v>2.0</v>
      </c>
      <c r="M3158" s="8">
        <f t="shared" si="5"/>
        <v>7</v>
      </c>
      <c r="N3158" s="6" t="s">
        <v>6488</v>
      </c>
      <c r="P3158" s="9"/>
    </row>
    <row r="3159">
      <c r="A3159" s="6" t="s">
        <v>7437</v>
      </c>
      <c r="B3159" s="6" t="s">
        <v>2058</v>
      </c>
      <c r="C3159" s="6" t="s">
        <v>295</v>
      </c>
      <c r="D3159" s="6" t="s">
        <v>7438</v>
      </c>
      <c r="E3159" s="6" t="s">
        <v>2280</v>
      </c>
      <c r="F3159" s="6" t="s">
        <v>277</v>
      </c>
      <c r="G3159" s="7">
        <v>0.08</v>
      </c>
      <c r="H3159" s="6" t="s">
        <v>2219</v>
      </c>
      <c r="I3159" s="6" t="s">
        <v>20</v>
      </c>
      <c r="J3159" s="6">
        <v>2024.0</v>
      </c>
      <c r="L3159" s="6">
        <v>1.0</v>
      </c>
      <c r="M3159" s="8">
        <f t="shared" si="5"/>
        <v>0.08</v>
      </c>
      <c r="P3159" s="9"/>
    </row>
    <row r="3160">
      <c r="A3160" s="6" t="s">
        <v>7439</v>
      </c>
      <c r="B3160" s="6" t="s">
        <v>378</v>
      </c>
      <c r="C3160" s="6" t="s">
        <v>295</v>
      </c>
      <c r="D3160" s="6" t="s">
        <v>7440</v>
      </c>
      <c r="E3160" s="6" t="s">
        <v>2839</v>
      </c>
      <c r="F3160" s="6" t="s">
        <v>277</v>
      </c>
      <c r="G3160" s="7">
        <v>0.05</v>
      </c>
      <c r="H3160" s="6" t="s">
        <v>2456</v>
      </c>
      <c r="I3160" s="6" t="s">
        <v>20</v>
      </c>
      <c r="J3160" s="6">
        <v>2024.0</v>
      </c>
      <c r="L3160" s="6">
        <v>1.0</v>
      </c>
      <c r="M3160" s="8">
        <f t="shared" si="5"/>
        <v>0.05</v>
      </c>
      <c r="P3160" s="9"/>
    </row>
    <row r="3161">
      <c r="A3161" s="6" t="s">
        <v>7441</v>
      </c>
      <c r="B3161" s="6" t="s">
        <v>3465</v>
      </c>
      <c r="C3161" s="6" t="s">
        <v>1949</v>
      </c>
      <c r="D3161" s="6" t="s">
        <v>7442</v>
      </c>
      <c r="E3161" s="6" t="s">
        <v>2280</v>
      </c>
      <c r="F3161" s="6" t="s">
        <v>277</v>
      </c>
      <c r="G3161" s="7">
        <v>0.25</v>
      </c>
      <c r="H3161" s="6" t="s">
        <v>1619</v>
      </c>
      <c r="I3161" s="6" t="s">
        <v>20</v>
      </c>
      <c r="J3161" s="6">
        <v>2022.0</v>
      </c>
      <c r="K3161" s="10">
        <v>46055.0</v>
      </c>
      <c r="L3161" s="6">
        <v>1.0</v>
      </c>
      <c r="M3161" s="8">
        <f t="shared" si="5"/>
        <v>0.25</v>
      </c>
      <c r="P3161" s="9"/>
    </row>
    <row r="3162">
      <c r="A3162" s="6" t="s">
        <v>7443</v>
      </c>
      <c r="B3162" s="6" t="s">
        <v>378</v>
      </c>
      <c r="C3162" s="6" t="s">
        <v>295</v>
      </c>
      <c r="D3162" s="6" t="s">
        <v>7444</v>
      </c>
      <c r="E3162" s="6" t="s">
        <v>1758</v>
      </c>
      <c r="F3162" s="6" t="s">
        <v>277</v>
      </c>
      <c r="G3162" s="7">
        <v>0.05</v>
      </c>
      <c r="H3162" s="6" t="s">
        <v>2219</v>
      </c>
      <c r="I3162" s="6" t="s">
        <v>20</v>
      </c>
      <c r="J3162" s="6">
        <v>2024.0</v>
      </c>
      <c r="L3162" s="6">
        <v>2.0</v>
      </c>
      <c r="M3162" s="8">
        <f t="shared" si="5"/>
        <v>0.1</v>
      </c>
      <c r="P3162" s="9"/>
    </row>
    <row r="3163">
      <c r="A3163" s="6" t="s">
        <v>7445</v>
      </c>
      <c r="B3163" s="6" t="s">
        <v>1896</v>
      </c>
      <c r="C3163" s="6" t="s">
        <v>295</v>
      </c>
      <c r="D3163" s="6" t="s">
        <v>7446</v>
      </c>
      <c r="E3163" s="6" t="s">
        <v>629</v>
      </c>
      <c r="F3163" s="6" t="s">
        <v>277</v>
      </c>
      <c r="G3163" s="7">
        <v>0.25</v>
      </c>
      <c r="H3163" s="6" t="s">
        <v>2141</v>
      </c>
      <c r="I3163" s="6" t="s">
        <v>20</v>
      </c>
      <c r="J3163" s="6">
        <v>2023.0</v>
      </c>
      <c r="L3163" s="6">
        <v>1.0</v>
      </c>
      <c r="M3163" s="8">
        <f t="shared" si="5"/>
        <v>0.25</v>
      </c>
      <c r="P3163" s="9"/>
    </row>
    <row r="3164">
      <c r="A3164" s="6" t="s">
        <v>7447</v>
      </c>
      <c r="B3164" s="6" t="s">
        <v>2058</v>
      </c>
      <c r="C3164" s="6" t="s">
        <v>295</v>
      </c>
      <c r="D3164" s="6" t="s">
        <v>7448</v>
      </c>
      <c r="E3164" s="6" t="s">
        <v>1856</v>
      </c>
      <c r="F3164" s="6" t="s">
        <v>277</v>
      </c>
      <c r="G3164" s="7">
        <v>0.07</v>
      </c>
      <c r="H3164" s="6" t="s">
        <v>3021</v>
      </c>
      <c r="I3164" s="6" t="s">
        <v>20</v>
      </c>
      <c r="J3164" s="6">
        <v>2023.0</v>
      </c>
      <c r="L3164" s="6">
        <v>1.0</v>
      </c>
      <c r="M3164" s="8">
        <f t="shared" si="5"/>
        <v>0.07</v>
      </c>
      <c r="P3164" s="9"/>
    </row>
    <row r="3165">
      <c r="A3165" s="6" t="s">
        <v>7449</v>
      </c>
      <c r="B3165" s="6" t="s">
        <v>7450</v>
      </c>
      <c r="C3165" s="6" t="s">
        <v>295</v>
      </c>
      <c r="D3165" s="6" t="s">
        <v>7451</v>
      </c>
      <c r="E3165" s="6" t="s">
        <v>629</v>
      </c>
      <c r="F3165" s="6" t="s">
        <v>277</v>
      </c>
      <c r="G3165" s="7">
        <v>0.12</v>
      </c>
      <c r="H3165" s="6" t="s">
        <v>3021</v>
      </c>
      <c r="I3165" s="6" t="s">
        <v>20</v>
      </c>
      <c r="J3165" s="6">
        <v>2023.0</v>
      </c>
      <c r="K3165" s="10">
        <v>46023.0</v>
      </c>
      <c r="L3165" s="6">
        <v>1.0</v>
      </c>
      <c r="M3165" s="8">
        <f t="shared" si="5"/>
        <v>0.12</v>
      </c>
      <c r="P3165" s="9"/>
    </row>
    <row r="3166">
      <c r="A3166" s="6" t="s">
        <v>7452</v>
      </c>
      <c r="B3166" s="6" t="s">
        <v>7453</v>
      </c>
      <c r="C3166" s="6" t="s">
        <v>1897</v>
      </c>
      <c r="D3166" s="6" t="s">
        <v>7454</v>
      </c>
      <c r="E3166" s="6" t="s">
        <v>2287</v>
      </c>
      <c r="F3166" s="6" t="s">
        <v>277</v>
      </c>
      <c r="G3166" s="7">
        <v>1.98</v>
      </c>
      <c r="H3166" s="6" t="s">
        <v>1664</v>
      </c>
      <c r="I3166" s="6" t="s">
        <v>31</v>
      </c>
      <c r="J3166" s="6">
        <v>2018.0</v>
      </c>
      <c r="L3166" s="6">
        <v>1.0</v>
      </c>
      <c r="M3166" s="8">
        <f t="shared" si="5"/>
        <v>1.98</v>
      </c>
      <c r="N3166" s="6" t="s">
        <v>6488</v>
      </c>
      <c r="P3166" s="9"/>
    </row>
    <row r="3167">
      <c r="A3167" s="6" t="s">
        <v>7455</v>
      </c>
      <c r="B3167" s="6" t="s">
        <v>7456</v>
      </c>
      <c r="C3167" s="6" t="s">
        <v>1949</v>
      </c>
      <c r="D3167" s="6" t="s">
        <v>7457</v>
      </c>
      <c r="E3167" s="6" t="s">
        <v>3913</v>
      </c>
      <c r="F3167" s="6" t="s">
        <v>170</v>
      </c>
      <c r="G3167" s="7">
        <v>0.05</v>
      </c>
      <c r="H3167" s="6" t="s">
        <v>2219</v>
      </c>
      <c r="I3167" s="6" t="s">
        <v>20</v>
      </c>
      <c r="J3167" s="6">
        <v>2024.0</v>
      </c>
      <c r="K3167" s="10">
        <v>46084.0</v>
      </c>
      <c r="L3167" s="6">
        <v>1.0</v>
      </c>
      <c r="M3167" s="8">
        <f t="shared" si="5"/>
        <v>0.05</v>
      </c>
      <c r="P3167" s="9"/>
    </row>
    <row r="3168">
      <c r="A3168" s="6" t="s">
        <v>7458</v>
      </c>
      <c r="B3168" s="6" t="s">
        <v>2058</v>
      </c>
      <c r="C3168" s="6" t="s">
        <v>1949</v>
      </c>
      <c r="D3168" s="6" t="s">
        <v>7459</v>
      </c>
      <c r="E3168" s="6" t="s">
        <v>3913</v>
      </c>
      <c r="F3168" s="6" t="s">
        <v>170</v>
      </c>
      <c r="G3168" s="7">
        <v>0.13</v>
      </c>
      <c r="H3168" s="6" t="s">
        <v>1956</v>
      </c>
      <c r="I3168" s="6" t="s">
        <v>20</v>
      </c>
      <c r="J3168" s="6">
        <v>2021.0</v>
      </c>
      <c r="L3168" s="6">
        <v>1.0</v>
      </c>
      <c r="M3168" s="8">
        <f t="shared" si="5"/>
        <v>0.13</v>
      </c>
      <c r="P3168" s="9"/>
    </row>
    <row r="3169">
      <c r="A3169" s="6" t="s">
        <v>7460</v>
      </c>
      <c r="B3169" s="6" t="s">
        <v>6394</v>
      </c>
      <c r="C3169" s="6" t="s">
        <v>1949</v>
      </c>
      <c r="D3169" s="6" t="s">
        <v>7461</v>
      </c>
      <c r="E3169" s="6" t="s">
        <v>930</v>
      </c>
      <c r="F3169" s="6" t="s">
        <v>170</v>
      </c>
      <c r="G3169" s="7">
        <v>0.22</v>
      </c>
      <c r="H3169" s="6" t="s">
        <v>6498</v>
      </c>
      <c r="I3169" s="6" t="s">
        <v>20</v>
      </c>
      <c r="J3169" s="6">
        <v>2025.0</v>
      </c>
      <c r="K3169" s="10">
        <v>46024.0</v>
      </c>
      <c r="L3169" s="6">
        <v>1.0</v>
      </c>
      <c r="M3169" s="8">
        <f t="shared" si="5"/>
        <v>0.22</v>
      </c>
      <c r="P3169" s="9"/>
    </row>
    <row r="3170">
      <c r="A3170" s="6" t="s">
        <v>7462</v>
      </c>
      <c r="B3170" s="6" t="s">
        <v>1896</v>
      </c>
      <c r="C3170" s="6" t="s">
        <v>295</v>
      </c>
      <c r="D3170" s="6" t="s">
        <v>7463</v>
      </c>
      <c r="E3170" s="6" t="s">
        <v>930</v>
      </c>
      <c r="F3170" s="6" t="s">
        <v>170</v>
      </c>
      <c r="G3170" s="7">
        <v>4.0</v>
      </c>
      <c r="H3170" s="6" t="s">
        <v>1711</v>
      </c>
      <c r="I3170" s="6" t="s">
        <v>20</v>
      </c>
      <c r="J3170" s="6">
        <v>2022.0</v>
      </c>
      <c r="L3170" s="6">
        <v>1.0</v>
      </c>
      <c r="M3170" s="8">
        <f t="shared" si="5"/>
        <v>4</v>
      </c>
      <c r="N3170" s="6" t="s">
        <v>6488</v>
      </c>
      <c r="P3170" s="9"/>
    </row>
    <row r="3171">
      <c r="A3171" s="6" t="s">
        <v>7464</v>
      </c>
      <c r="B3171" s="6" t="s">
        <v>2014</v>
      </c>
      <c r="C3171" s="6" t="s">
        <v>1949</v>
      </c>
      <c r="D3171" s="6" t="s">
        <v>7465</v>
      </c>
      <c r="E3171" s="6" t="s">
        <v>2342</v>
      </c>
      <c r="F3171" s="6" t="s">
        <v>170</v>
      </c>
      <c r="G3171" s="7">
        <v>0.25</v>
      </c>
      <c r="H3171" s="6" t="s">
        <v>1638</v>
      </c>
      <c r="I3171" s="6" t="s">
        <v>20</v>
      </c>
      <c r="J3171" s="6">
        <v>2024.0</v>
      </c>
      <c r="L3171" s="6">
        <v>1.0</v>
      </c>
      <c r="M3171" s="8">
        <f t="shared" si="5"/>
        <v>0.25</v>
      </c>
      <c r="P3171" s="9"/>
    </row>
    <row r="3172">
      <c r="A3172" s="6" t="s">
        <v>7466</v>
      </c>
      <c r="B3172" s="6" t="s">
        <v>6639</v>
      </c>
      <c r="C3172" s="6" t="s">
        <v>1949</v>
      </c>
      <c r="D3172" s="6" t="s">
        <v>7467</v>
      </c>
      <c r="E3172" s="6" t="s">
        <v>7468</v>
      </c>
      <c r="F3172" s="6" t="s">
        <v>170</v>
      </c>
      <c r="G3172" s="7">
        <v>0.1</v>
      </c>
      <c r="H3172" s="6" t="s">
        <v>1959</v>
      </c>
      <c r="I3172" s="6" t="s">
        <v>20</v>
      </c>
      <c r="J3172" s="6">
        <v>2024.0</v>
      </c>
      <c r="L3172" s="6">
        <v>1.0</v>
      </c>
      <c r="M3172" s="8">
        <f t="shared" si="5"/>
        <v>0.1</v>
      </c>
      <c r="P3172" s="9"/>
    </row>
    <row r="3173">
      <c r="A3173" s="6" t="s">
        <v>7469</v>
      </c>
      <c r="B3173" s="6" t="s">
        <v>378</v>
      </c>
      <c r="C3173" s="6" t="s">
        <v>1949</v>
      </c>
      <c r="D3173" s="6" t="s">
        <v>7470</v>
      </c>
      <c r="E3173" s="6" t="s">
        <v>2350</v>
      </c>
      <c r="F3173" s="6" t="s">
        <v>170</v>
      </c>
      <c r="G3173" s="7">
        <v>0.04</v>
      </c>
      <c r="H3173" s="6" t="s">
        <v>1619</v>
      </c>
      <c r="I3173" s="6" t="s">
        <v>20</v>
      </c>
      <c r="J3173" s="6">
        <v>2022.0</v>
      </c>
      <c r="L3173" s="6">
        <v>2.0</v>
      </c>
      <c r="M3173" s="8">
        <f t="shared" si="5"/>
        <v>0.08</v>
      </c>
      <c r="P3173" s="9"/>
    </row>
    <row r="3174">
      <c r="A3174" s="6" t="s">
        <v>7471</v>
      </c>
      <c r="B3174" s="6" t="s">
        <v>7472</v>
      </c>
      <c r="C3174" s="6" t="s">
        <v>1949</v>
      </c>
      <c r="D3174" s="6" t="s">
        <v>7473</v>
      </c>
      <c r="E3174" s="6" t="s">
        <v>7474</v>
      </c>
      <c r="F3174" s="6" t="s">
        <v>170</v>
      </c>
      <c r="G3174" s="7">
        <v>0.1</v>
      </c>
      <c r="H3174" s="6" t="s">
        <v>3476</v>
      </c>
      <c r="I3174" s="6" t="s">
        <v>20</v>
      </c>
      <c r="J3174" s="6">
        <v>2023.0</v>
      </c>
      <c r="K3174" s="10">
        <v>46055.0</v>
      </c>
      <c r="L3174" s="6">
        <v>1.0</v>
      </c>
      <c r="M3174" s="8">
        <f t="shared" si="5"/>
        <v>0.1</v>
      </c>
      <c r="P3174" s="9"/>
    </row>
    <row r="3175">
      <c r="A3175" s="6" t="s">
        <v>7475</v>
      </c>
      <c r="B3175" s="6" t="s">
        <v>7048</v>
      </c>
      <c r="C3175" s="6" t="s">
        <v>1949</v>
      </c>
      <c r="D3175" s="6" t="s">
        <v>7476</v>
      </c>
      <c r="E3175" s="6" t="s">
        <v>2754</v>
      </c>
      <c r="F3175" s="6" t="s">
        <v>170</v>
      </c>
      <c r="G3175" s="7">
        <v>0.13</v>
      </c>
      <c r="H3175" s="6" t="s">
        <v>1965</v>
      </c>
      <c r="I3175" s="6" t="s">
        <v>20</v>
      </c>
      <c r="J3175" s="6">
        <v>2022.0</v>
      </c>
      <c r="L3175" s="6">
        <v>1.0</v>
      </c>
      <c r="M3175" s="8">
        <f t="shared" si="5"/>
        <v>0.13</v>
      </c>
      <c r="P3175" s="9"/>
    </row>
    <row r="3176">
      <c r="A3176" s="6" t="s">
        <v>7477</v>
      </c>
      <c r="B3176" s="6" t="s">
        <v>4239</v>
      </c>
      <c r="C3176" s="6" t="s">
        <v>295</v>
      </c>
      <c r="D3176" s="6" t="s">
        <v>7478</v>
      </c>
      <c r="E3176" s="6" t="s">
        <v>2342</v>
      </c>
      <c r="F3176" s="6" t="s">
        <v>170</v>
      </c>
      <c r="G3176" s="7">
        <v>0.08</v>
      </c>
      <c r="H3176" s="6" t="s">
        <v>1638</v>
      </c>
      <c r="I3176" s="6" t="s">
        <v>20</v>
      </c>
      <c r="J3176" s="6">
        <v>2024.0</v>
      </c>
      <c r="K3176" s="10">
        <v>46082.0</v>
      </c>
      <c r="L3176" s="6">
        <v>1.0</v>
      </c>
      <c r="M3176" s="8">
        <f t="shared" si="5"/>
        <v>0.08</v>
      </c>
      <c r="P3176" s="9"/>
    </row>
    <row r="3177">
      <c r="A3177" s="6" t="s">
        <v>7479</v>
      </c>
      <c r="B3177" s="6" t="s">
        <v>3808</v>
      </c>
      <c r="C3177" s="6" t="s">
        <v>1949</v>
      </c>
      <c r="D3177" s="6" t="s">
        <v>7480</v>
      </c>
      <c r="E3177" s="6" t="s">
        <v>930</v>
      </c>
      <c r="F3177" s="6" t="s">
        <v>170</v>
      </c>
      <c r="G3177" s="7">
        <v>0.34</v>
      </c>
      <c r="H3177" s="6" t="s">
        <v>2162</v>
      </c>
      <c r="I3177" s="6" t="s">
        <v>20</v>
      </c>
      <c r="J3177" s="6">
        <v>2021.0</v>
      </c>
      <c r="K3177" s="10">
        <v>46023.0</v>
      </c>
      <c r="L3177" s="6">
        <v>1.0</v>
      </c>
      <c r="M3177" s="8">
        <f t="shared" si="5"/>
        <v>0.34</v>
      </c>
      <c r="P3177" s="9"/>
    </row>
    <row r="3178">
      <c r="A3178" s="6" t="s">
        <v>7481</v>
      </c>
      <c r="B3178" s="6" t="s">
        <v>3110</v>
      </c>
      <c r="C3178" s="6" t="s">
        <v>295</v>
      </c>
      <c r="D3178" s="6" t="s">
        <v>7482</v>
      </c>
      <c r="E3178" s="6" t="s">
        <v>930</v>
      </c>
      <c r="F3178" s="6" t="s">
        <v>170</v>
      </c>
      <c r="G3178" s="7">
        <v>0.5</v>
      </c>
      <c r="H3178" s="6" t="s">
        <v>2141</v>
      </c>
      <c r="I3178" s="6" t="s">
        <v>20</v>
      </c>
      <c r="J3178" s="6">
        <v>2023.0</v>
      </c>
      <c r="K3178" s="10">
        <v>46023.0</v>
      </c>
      <c r="L3178" s="6">
        <v>1.0</v>
      </c>
      <c r="M3178" s="8">
        <f t="shared" si="5"/>
        <v>0.5</v>
      </c>
      <c r="P3178" s="9"/>
    </row>
    <row r="3179">
      <c r="A3179" s="6" t="s">
        <v>7483</v>
      </c>
      <c r="B3179" s="6" t="s">
        <v>378</v>
      </c>
      <c r="C3179" s="6" t="s">
        <v>295</v>
      </c>
      <c r="D3179" s="6" t="s">
        <v>7484</v>
      </c>
      <c r="E3179" s="6" t="s">
        <v>2342</v>
      </c>
      <c r="F3179" s="6" t="s">
        <v>170</v>
      </c>
      <c r="G3179" s="7">
        <v>0.35</v>
      </c>
      <c r="H3179" s="6" t="s">
        <v>2141</v>
      </c>
      <c r="I3179" s="6" t="s">
        <v>20</v>
      </c>
      <c r="J3179" s="6">
        <v>2023.0</v>
      </c>
      <c r="L3179" s="6">
        <v>1.0</v>
      </c>
      <c r="M3179" s="8">
        <f t="shared" si="5"/>
        <v>0.35</v>
      </c>
      <c r="P3179" s="9"/>
    </row>
    <row r="3180">
      <c r="A3180" s="6" t="s">
        <v>7485</v>
      </c>
      <c r="B3180" s="6" t="s">
        <v>2424</v>
      </c>
      <c r="C3180" s="6" t="s">
        <v>1949</v>
      </c>
      <c r="D3180" s="6" t="s">
        <v>7486</v>
      </c>
      <c r="E3180" s="6" t="s">
        <v>2342</v>
      </c>
      <c r="F3180" s="6" t="s">
        <v>170</v>
      </c>
      <c r="G3180" s="7">
        <v>0.04</v>
      </c>
      <c r="H3180" s="6" t="s">
        <v>1619</v>
      </c>
      <c r="I3180" s="6" t="s">
        <v>20</v>
      </c>
      <c r="J3180" s="6">
        <v>2022.0</v>
      </c>
      <c r="L3180" s="6">
        <v>1.0</v>
      </c>
      <c r="M3180" s="8">
        <f t="shared" si="5"/>
        <v>0.04</v>
      </c>
      <c r="P3180" s="9"/>
    </row>
    <row r="3181">
      <c r="A3181" s="6" t="s">
        <v>7487</v>
      </c>
      <c r="B3181" s="6" t="s">
        <v>7488</v>
      </c>
      <c r="C3181" s="6" t="s">
        <v>1949</v>
      </c>
      <c r="D3181" s="6" t="s">
        <v>7489</v>
      </c>
      <c r="E3181" s="6" t="s">
        <v>2342</v>
      </c>
      <c r="F3181" s="6" t="s">
        <v>170</v>
      </c>
      <c r="G3181" s="7">
        <v>0.1</v>
      </c>
      <c r="H3181" s="6" t="s">
        <v>3049</v>
      </c>
      <c r="I3181" s="6" t="s">
        <v>20</v>
      </c>
      <c r="J3181" s="6">
        <v>2025.0</v>
      </c>
      <c r="K3181" s="10">
        <v>46024.0</v>
      </c>
      <c r="L3181" s="6">
        <v>1.0</v>
      </c>
      <c r="M3181" s="8">
        <f t="shared" si="5"/>
        <v>0.1</v>
      </c>
      <c r="P3181" s="9"/>
    </row>
    <row r="3182">
      <c r="A3182" s="6" t="s">
        <v>7490</v>
      </c>
      <c r="B3182" s="6" t="s">
        <v>1944</v>
      </c>
      <c r="C3182" s="6" t="s">
        <v>1949</v>
      </c>
      <c r="D3182" s="6" t="s">
        <v>7491</v>
      </c>
      <c r="E3182" s="6" t="s">
        <v>3913</v>
      </c>
      <c r="F3182" s="6" t="s">
        <v>170</v>
      </c>
      <c r="G3182" s="7">
        <v>0.07</v>
      </c>
      <c r="H3182" s="6" t="s">
        <v>2699</v>
      </c>
      <c r="I3182" s="6" t="s">
        <v>20</v>
      </c>
      <c r="J3182" s="6">
        <v>2010.0</v>
      </c>
      <c r="L3182" s="6">
        <v>1.0</v>
      </c>
      <c r="M3182" s="8">
        <f t="shared" si="5"/>
        <v>0.07</v>
      </c>
      <c r="P3182" s="9"/>
    </row>
    <row r="3183">
      <c r="A3183" s="6" t="s">
        <v>7492</v>
      </c>
      <c r="B3183" s="6" t="s">
        <v>378</v>
      </c>
      <c r="C3183" s="6" t="s">
        <v>295</v>
      </c>
      <c r="D3183" s="6" t="s">
        <v>7493</v>
      </c>
      <c r="E3183" s="6" t="s">
        <v>3424</v>
      </c>
      <c r="F3183" s="6" t="s">
        <v>170</v>
      </c>
      <c r="G3183" s="7">
        <v>0.24</v>
      </c>
      <c r="H3183" s="6" t="s">
        <v>2141</v>
      </c>
      <c r="I3183" s="6" t="s">
        <v>20</v>
      </c>
      <c r="J3183" s="6">
        <v>2023.0</v>
      </c>
      <c r="L3183" s="6">
        <v>1.0</v>
      </c>
      <c r="M3183" s="8">
        <f t="shared" si="5"/>
        <v>0.24</v>
      </c>
      <c r="P3183" s="9"/>
    </row>
    <row r="3184">
      <c r="A3184" s="6" t="s">
        <v>7494</v>
      </c>
      <c r="B3184" s="6" t="s">
        <v>6438</v>
      </c>
      <c r="C3184" s="6" t="s">
        <v>295</v>
      </c>
      <c r="D3184" s="6" t="s">
        <v>7495</v>
      </c>
      <c r="E3184" s="6" t="s">
        <v>2754</v>
      </c>
      <c r="F3184" s="6" t="s">
        <v>170</v>
      </c>
      <c r="G3184" s="7">
        <v>0.05</v>
      </c>
      <c r="H3184" s="6" t="s">
        <v>2141</v>
      </c>
      <c r="I3184" s="6" t="s">
        <v>20</v>
      </c>
      <c r="J3184" s="6">
        <v>2023.0</v>
      </c>
      <c r="K3184" s="10">
        <v>46057.0</v>
      </c>
      <c r="L3184" s="6">
        <v>1.0</v>
      </c>
      <c r="M3184" s="8">
        <f t="shared" si="5"/>
        <v>0.05</v>
      </c>
      <c r="P3184" s="9"/>
    </row>
    <row r="3185">
      <c r="A3185" s="6" t="s">
        <v>7496</v>
      </c>
      <c r="B3185" s="6" t="s">
        <v>3509</v>
      </c>
      <c r="C3185" s="6" t="s">
        <v>295</v>
      </c>
      <c r="D3185" s="6" t="s">
        <v>7497</v>
      </c>
      <c r="E3185" s="6" t="s">
        <v>2365</v>
      </c>
      <c r="F3185" s="6" t="s">
        <v>170</v>
      </c>
      <c r="G3185" s="7">
        <v>0.13</v>
      </c>
      <c r="H3185" s="6" t="s">
        <v>2141</v>
      </c>
      <c r="I3185" s="6" t="s">
        <v>20</v>
      </c>
      <c r="J3185" s="6">
        <v>2023.0</v>
      </c>
      <c r="K3185" s="10">
        <v>46056.0</v>
      </c>
      <c r="L3185" s="6">
        <v>1.0</v>
      </c>
      <c r="M3185" s="8">
        <f t="shared" si="5"/>
        <v>0.13</v>
      </c>
      <c r="P3185" s="9"/>
    </row>
    <row r="3186">
      <c r="A3186" s="6" t="s">
        <v>7498</v>
      </c>
      <c r="B3186" s="6" t="s">
        <v>1944</v>
      </c>
      <c r="C3186" s="6" t="s">
        <v>295</v>
      </c>
      <c r="D3186" s="6" t="s">
        <v>7499</v>
      </c>
      <c r="E3186" s="6" t="s">
        <v>2342</v>
      </c>
      <c r="F3186" s="6" t="s">
        <v>170</v>
      </c>
      <c r="G3186" s="7">
        <v>0.9</v>
      </c>
      <c r="H3186" s="6" t="s">
        <v>2141</v>
      </c>
      <c r="I3186" s="6" t="s">
        <v>20</v>
      </c>
      <c r="J3186" s="6">
        <v>2023.0</v>
      </c>
      <c r="L3186" s="6">
        <v>1.0</v>
      </c>
      <c r="M3186" s="8">
        <f t="shared" si="5"/>
        <v>0.9</v>
      </c>
      <c r="P3186" s="9"/>
    </row>
    <row r="3187">
      <c r="A3187" s="6" t="s">
        <v>7500</v>
      </c>
      <c r="B3187" s="6" t="s">
        <v>7501</v>
      </c>
      <c r="C3187" s="6" t="s">
        <v>295</v>
      </c>
      <c r="D3187" s="6" t="s">
        <v>7502</v>
      </c>
      <c r="E3187" s="6" t="s">
        <v>2342</v>
      </c>
      <c r="F3187" s="6" t="s">
        <v>170</v>
      </c>
      <c r="G3187" s="7">
        <v>0.17</v>
      </c>
      <c r="H3187" s="6" t="s">
        <v>2141</v>
      </c>
      <c r="I3187" s="6" t="s">
        <v>20</v>
      </c>
      <c r="J3187" s="6">
        <v>2023.0</v>
      </c>
      <c r="K3187" s="10">
        <v>46023.0</v>
      </c>
      <c r="L3187" s="6">
        <v>1.0</v>
      </c>
      <c r="M3187" s="8">
        <f t="shared" si="5"/>
        <v>0.17</v>
      </c>
      <c r="P3187" s="9"/>
    </row>
    <row r="3188">
      <c r="A3188" s="6" t="s">
        <v>7503</v>
      </c>
      <c r="B3188" s="6" t="s">
        <v>7504</v>
      </c>
      <c r="C3188" s="6" t="s">
        <v>295</v>
      </c>
      <c r="D3188" s="6" t="s">
        <v>7505</v>
      </c>
      <c r="E3188" s="6" t="s">
        <v>2342</v>
      </c>
      <c r="F3188" s="6" t="s">
        <v>170</v>
      </c>
      <c r="G3188" s="7">
        <v>0.08</v>
      </c>
      <c r="H3188" s="6" t="s">
        <v>2219</v>
      </c>
      <c r="I3188" s="6" t="s">
        <v>20</v>
      </c>
      <c r="J3188" s="6">
        <v>2024.0</v>
      </c>
      <c r="K3188" s="10">
        <v>46055.0</v>
      </c>
      <c r="L3188" s="6">
        <v>1.0</v>
      </c>
      <c r="M3188" s="8">
        <f t="shared" si="5"/>
        <v>0.08</v>
      </c>
      <c r="P3188" s="9"/>
    </row>
    <row r="3189">
      <c r="A3189" s="6" t="s">
        <v>7506</v>
      </c>
      <c r="B3189" s="6" t="s">
        <v>2494</v>
      </c>
      <c r="C3189" s="6" t="s">
        <v>295</v>
      </c>
      <c r="D3189" s="6" t="s">
        <v>7507</v>
      </c>
      <c r="E3189" s="6" t="s">
        <v>2358</v>
      </c>
      <c r="F3189" s="6" t="s">
        <v>170</v>
      </c>
      <c r="G3189" s="7">
        <v>0.2</v>
      </c>
      <c r="H3189" s="6" t="s">
        <v>2141</v>
      </c>
      <c r="I3189" s="6" t="s">
        <v>20</v>
      </c>
      <c r="J3189" s="6">
        <v>2023.0</v>
      </c>
      <c r="K3189" s="10">
        <v>46117.0</v>
      </c>
      <c r="L3189" s="6">
        <v>1.0</v>
      </c>
      <c r="M3189" s="8">
        <f t="shared" si="5"/>
        <v>0.2</v>
      </c>
      <c r="P3189" s="9"/>
    </row>
    <row r="3190">
      <c r="A3190" s="6" t="s">
        <v>7508</v>
      </c>
      <c r="B3190" s="6" t="s">
        <v>2786</v>
      </c>
      <c r="C3190" s="6" t="s">
        <v>295</v>
      </c>
      <c r="D3190" s="6" t="s">
        <v>7509</v>
      </c>
      <c r="E3190" s="6" t="s">
        <v>2754</v>
      </c>
      <c r="F3190" s="6" t="s">
        <v>170</v>
      </c>
      <c r="G3190" s="7">
        <v>0.18</v>
      </c>
      <c r="H3190" s="6" t="s">
        <v>2141</v>
      </c>
      <c r="I3190" s="6" t="s">
        <v>20</v>
      </c>
      <c r="J3190" s="6">
        <v>2023.0</v>
      </c>
      <c r="K3190" s="10">
        <v>46084.0</v>
      </c>
      <c r="L3190" s="6">
        <v>1.0</v>
      </c>
      <c r="M3190" s="8">
        <f t="shared" si="5"/>
        <v>0.18</v>
      </c>
      <c r="P3190" s="9"/>
    </row>
    <row r="3191">
      <c r="A3191" s="6" t="s">
        <v>7510</v>
      </c>
      <c r="B3191" s="6" t="s">
        <v>610</v>
      </c>
      <c r="C3191" s="6" t="s">
        <v>295</v>
      </c>
      <c r="D3191" s="6" t="s">
        <v>7511</v>
      </c>
      <c r="E3191" s="6" t="s">
        <v>2754</v>
      </c>
      <c r="F3191" s="6" t="s">
        <v>170</v>
      </c>
      <c r="G3191" s="7">
        <v>0.05</v>
      </c>
      <c r="H3191" s="6" t="s">
        <v>1959</v>
      </c>
      <c r="I3191" s="6" t="s">
        <v>20</v>
      </c>
      <c r="J3191" s="6">
        <v>2024.0</v>
      </c>
      <c r="L3191" s="6">
        <v>1.0</v>
      </c>
      <c r="M3191" s="8">
        <f t="shared" si="5"/>
        <v>0.05</v>
      </c>
      <c r="P3191" s="9"/>
    </row>
    <row r="3192">
      <c r="A3192" s="6" t="s">
        <v>7512</v>
      </c>
      <c r="B3192" s="6" t="s">
        <v>385</v>
      </c>
      <c r="C3192" s="6" t="s">
        <v>295</v>
      </c>
      <c r="D3192" s="6" t="s">
        <v>7513</v>
      </c>
      <c r="E3192" s="6" t="s">
        <v>2754</v>
      </c>
      <c r="F3192" s="6" t="s">
        <v>170</v>
      </c>
      <c r="G3192" s="7">
        <v>0.05</v>
      </c>
      <c r="H3192" s="6" t="s">
        <v>2219</v>
      </c>
      <c r="I3192" s="6" t="s">
        <v>20</v>
      </c>
      <c r="J3192" s="6">
        <v>2024.0</v>
      </c>
      <c r="L3192" s="6">
        <v>1.0</v>
      </c>
      <c r="M3192" s="8">
        <f t="shared" si="5"/>
        <v>0.05</v>
      </c>
      <c r="P3192" s="9"/>
    </row>
    <row r="3193">
      <c r="A3193" s="6" t="s">
        <v>7514</v>
      </c>
      <c r="B3193" s="6" t="s">
        <v>5895</v>
      </c>
      <c r="C3193" s="6" t="s">
        <v>295</v>
      </c>
      <c r="D3193" s="6" t="s">
        <v>7515</v>
      </c>
      <c r="E3193" s="6" t="s">
        <v>2350</v>
      </c>
      <c r="F3193" s="6" t="s">
        <v>170</v>
      </c>
      <c r="G3193" s="7">
        <v>0.05</v>
      </c>
      <c r="H3193" s="6" t="s">
        <v>1959</v>
      </c>
      <c r="I3193" s="6" t="s">
        <v>20</v>
      </c>
      <c r="J3193" s="6">
        <v>2024.0</v>
      </c>
      <c r="K3193" s="10">
        <v>46113.0</v>
      </c>
      <c r="L3193" s="6">
        <v>1.0</v>
      </c>
      <c r="M3193" s="8">
        <f t="shared" si="5"/>
        <v>0.05</v>
      </c>
      <c r="P3193" s="9"/>
    </row>
    <row r="3194">
      <c r="A3194" s="6" t="s">
        <v>3226</v>
      </c>
      <c r="B3194" s="6" t="s">
        <v>378</v>
      </c>
      <c r="C3194" s="6" t="s">
        <v>295</v>
      </c>
      <c r="D3194" s="6" t="s">
        <v>3227</v>
      </c>
      <c r="E3194" s="6" t="s">
        <v>2342</v>
      </c>
      <c r="F3194" s="6" t="s">
        <v>170</v>
      </c>
      <c r="G3194" s="7">
        <v>0.15</v>
      </c>
      <c r="H3194" s="6" t="s">
        <v>1619</v>
      </c>
      <c r="I3194" s="6" t="s">
        <v>20</v>
      </c>
      <c r="J3194" s="6">
        <v>2022.0</v>
      </c>
      <c r="L3194" s="6">
        <v>1.0</v>
      </c>
      <c r="M3194" s="8">
        <f t="shared" si="5"/>
        <v>0.15</v>
      </c>
      <c r="P3194" s="9"/>
    </row>
    <row r="3195">
      <c r="A3195" s="6" t="s">
        <v>7516</v>
      </c>
      <c r="B3195" s="6" t="s">
        <v>7517</v>
      </c>
      <c r="C3195" s="6" t="s">
        <v>1949</v>
      </c>
      <c r="D3195" s="6" t="s">
        <v>7518</v>
      </c>
      <c r="E3195" s="6" t="s">
        <v>2754</v>
      </c>
      <c r="F3195" s="6" t="s">
        <v>170</v>
      </c>
      <c r="G3195" s="7">
        <v>0.07</v>
      </c>
      <c r="H3195" s="6" t="s">
        <v>1959</v>
      </c>
      <c r="I3195" s="6" t="s">
        <v>20</v>
      </c>
      <c r="J3195" s="6">
        <v>2024.0</v>
      </c>
      <c r="K3195" s="10">
        <v>46116.0</v>
      </c>
      <c r="L3195" s="6">
        <v>1.0</v>
      </c>
      <c r="M3195" s="8">
        <f t="shared" si="5"/>
        <v>0.07</v>
      </c>
      <c r="P3195" s="9"/>
    </row>
    <row r="3196">
      <c r="A3196" s="6" t="s">
        <v>7519</v>
      </c>
      <c r="B3196" s="6" t="s">
        <v>2486</v>
      </c>
      <c r="C3196" s="6" t="s">
        <v>1949</v>
      </c>
      <c r="D3196" s="6" t="s">
        <v>7520</v>
      </c>
      <c r="E3196" s="6" t="s">
        <v>2342</v>
      </c>
      <c r="F3196" s="6" t="s">
        <v>170</v>
      </c>
      <c r="G3196" s="7">
        <v>1.89</v>
      </c>
      <c r="H3196" s="6" t="s">
        <v>7367</v>
      </c>
      <c r="I3196" s="6" t="s">
        <v>20</v>
      </c>
      <c r="J3196" s="6">
        <v>2024.0</v>
      </c>
      <c r="K3196" s="10">
        <v>46024.0</v>
      </c>
      <c r="L3196" s="6">
        <v>1.0</v>
      </c>
      <c r="M3196" s="8">
        <f t="shared" si="5"/>
        <v>1.89</v>
      </c>
      <c r="N3196" s="6" t="s">
        <v>6488</v>
      </c>
      <c r="P3196" s="9"/>
    </row>
    <row r="3197">
      <c r="A3197" s="6" t="s">
        <v>7521</v>
      </c>
      <c r="B3197" s="6" t="s">
        <v>2508</v>
      </c>
      <c r="C3197" s="6" t="s">
        <v>1949</v>
      </c>
      <c r="D3197" s="6" t="s">
        <v>7522</v>
      </c>
      <c r="E3197" s="6" t="s">
        <v>2342</v>
      </c>
      <c r="F3197" s="6" t="s">
        <v>170</v>
      </c>
      <c r="G3197" s="7">
        <v>0.16</v>
      </c>
      <c r="H3197" s="6" t="s">
        <v>2456</v>
      </c>
      <c r="I3197" s="6" t="s">
        <v>31</v>
      </c>
      <c r="J3197" s="6">
        <v>2024.0</v>
      </c>
      <c r="K3197" s="10">
        <v>46024.0</v>
      </c>
      <c r="L3197" s="6">
        <v>1.0</v>
      </c>
      <c r="M3197" s="8">
        <f t="shared" si="5"/>
        <v>0.16</v>
      </c>
      <c r="P3197" s="9"/>
    </row>
    <row r="3198">
      <c r="A3198" s="6" t="s">
        <v>7523</v>
      </c>
      <c r="B3198" s="6" t="s">
        <v>1896</v>
      </c>
      <c r="C3198" s="6" t="s">
        <v>1949</v>
      </c>
      <c r="D3198" s="6" t="s">
        <v>7524</v>
      </c>
      <c r="E3198" s="6" t="s">
        <v>2342</v>
      </c>
      <c r="F3198" s="6" t="s">
        <v>170</v>
      </c>
      <c r="G3198" s="7">
        <v>0.17</v>
      </c>
      <c r="H3198" s="6" t="s">
        <v>2456</v>
      </c>
      <c r="I3198" s="6" t="s">
        <v>20</v>
      </c>
      <c r="J3198" s="6">
        <v>2024.0</v>
      </c>
      <c r="L3198" s="6">
        <v>1.0</v>
      </c>
      <c r="M3198" s="8">
        <f t="shared" si="5"/>
        <v>0.17</v>
      </c>
      <c r="P3198" s="9"/>
    </row>
    <row r="3199">
      <c r="A3199" s="6" t="s">
        <v>7525</v>
      </c>
      <c r="B3199" s="6" t="s">
        <v>2058</v>
      </c>
      <c r="C3199" s="6" t="s">
        <v>295</v>
      </c>
      <c r="D3199" s="6" t="s">
        <v>7526</v>
      </c>
      <c r="E3199" s="6" t="s">
        <v>2754</v>
      </c>
      <c r="F3199" s="6" t="s">
        <v>170</v>
      </c>
      <c r="G3199" s="7">
        <v>0.1</v>
      </c>
      <c r="H3199" s="6" t="s">
        <v>3049</v>
      </c>
      <c r="I3199" s="6" t="s">
        <v>20</v>
      </c>
      <c r="J3199" s="6">
        <v>2025.0</v>
      </c>
      <c r="L3199" s="6">
        <v>1.0</v>
      </c>
      <c r="M3199" s="8">
        <f t="shared" si="5"/>
        <v>0.1</v>
      </c>
      <c r="P3199" s="9"/>
    </row>
    <row r="3200">
      <c r="A3200" s="6" t="s">
        <v>7527</v>
      </c>
      <c r="B3200" s="6" t="s">
        <v>5611</v>
      </c>
      <c r="C3200" s="6" t="s">
        <v>295</v>
      </c>
      <c r="D3200" s="6" t="s">
        <v>7528</v>
      </c>
      <c r="E3200" s="6" t="s">
        <v>2342</v>
      </c>
      <c r="F3200" s="6" t="s">
        <v>170</v>
      </c>
      <c r="G3200" s="7">
        <v>0.2</v>
      </c>
      <c r="H3200" s="6" t="s">
        <v>2219</v>
      </c>
      <c r="I3200" s="6" t="s">
        <v>20</v>
      </c>
      <c r="J3200" s="6">
        <v>2024.0</v>
      </c>
      <c r="K3200" s="10">
        <v>46024.0</v>
      </c>
      <c r="L3200" s="6">
        <v>1.0</v>
      </c>
      <c r="M3200" s="8">
        <f t="shared" si="5"/>
        <v>0.2</v>
      </c>
      <c r="P3200" s="9"/>
    </row>
    <row r="3201">
      <c r="A3201" s="6" t="s">
        <v>7529</v>
      </c>
      <c r="B3201" s="6" t="s">
        <v>7530</v>
      </c>
      <c r="C3201" s="6" t="s">
        <v>295</v>
      </c>
      <c r="D3201" s="6" t="s">
        <v>7531</v>
      </c>
      <c r="E3201" s="6" t="s">
        <v>2350</v>
      </c>
      <c r="F3201" s="6" t="s">
        <v>170</v>
      </c>
      <c r="G3201" s="7">
        <v>0.09</v>
      </c>
      <c r="H3201" s="6" t="s">
        <v>2219</v>
      </c>
      <c r="I3201" s="6" t="s">
        <v>20</v>
      </c>
      <c r="J3201" s="6">
        <v>2024.0</v>
      </c>
      <c r="K3201" s="10">
        <v>46056.0</v>
      </c>
      <c r="L3201" s="6">
        <v>1.0</v>
      </c>
      <c r="M3201" s="8">
        <f t="shared" si="5"/>
        <v>0.09</v>
      </c>
      <c r="P3201" s="9"/>
    </row>
    <row r="3202">
      <c r="A3202" s="6" t="s">
        <v>7532</v>
      </c>
      <c r="B3202" s="6" t="s">
        <v>6700</v>
      </c>
      <c r="C3202" s="6" t="s">
        <v>1949</v>
      </c>
      <c r="D3202" s="6" t="s">
        <v>7533</v>
      </c>
      <c r="E3202" s="6" t="s">
        <v>2350</v>
      </c>
      <c r="F3202" s="6" t="s">
        <v>170</v>
      </c>
      <c r="G3202" s="7">
        <v>0.48</v>
      </c>
      <c r="H3202" s="6" t="s">
        <v>2141</v>
      </c>
      <c r="I3202" s="6" t="s">
        <v>20</v>
      </c>
      <c r="J3202" s="6">
        <v>2023.0</v>
      </c>
      <c r="K3202" s="10">
        <v>46083.0</v>
      </c>
      <c r="L3202" s="6">
        <v>1.0</v>
      </c>
      <c r="M3202" s="8">
        <f t="shared" si="5"/>
        <v>0.48</v>
      </c>
      <c r="P3202" s="9"/>
    </row>
    <row r="3203">
      <c r="A3203" s="6" t="s">
        <v>7534</v>
      </c>
      <c r="B3203" s="6" t="s">
        <v>2316</v>
      </c>
      <c r="C3203" s="6" t="s">
        <v>295</v>
      </c>
      <c r="D3203" s="6" t="s">
        <v>7535</v>
      </c>
      <c r="E3203" s="6" t="s">
        <v>2342</v>
      </c>
      <c r="F3203" s="6" t="s">
        <v>170</v>
      </c>
      <c r="G3203" s="7">
        <v>0.05</v>
      </c>
      <c r="H3203" s="6" t="s">
        <v>1619</v>
      </c>
      <c r="I3203" s="6" t="s">
        <v>20</v>
      </c>
      <c r="J3203" s="6">
        <v>2022.0</v>
      </c>
      <c r="K3203" s="10">
        <v>46054.0</v>
      </c>
      <c r="L3203" s="6">
        <v>1.0</v>
      </c>
      <c r="M3203" s="8">
        <f t="shared" si="5"/>
        <v>0.05</v>
      </c>
      <c r="P3203" s="9"/>
    </row>
    <row r="3204">
      <c r="A3204" s="6" t="s">
        <v>7536</v>
      </c>
      <c r="B3204" s="6" t="s">
        <v>7537</v>
      </c>
      <c r="C3204" s="6" t="s">
        <v>295</v>
      </c>
      <c r="D3204" s="6" t="s">
        <v>7538</v>
      </c>
      <c r="E3204" s="6" t="s">
        <v>930</v>
      </c>
      <c r="F3204" s="6" t="s">
        <v>170</v>
      </c>
      <c r="G3204" s="7">
        <v>0.04</v>
      </c>
      <c r="H3204" s="6" t="s">
        <v>1619</v>
      </c>
      <c r="I3204" s="6" t="s">
        <v>20</v>
      </c>
      <c r="J3204" s="6">
        <v>2022.0</v>
      </c>
      <c r="K3204" s="10">
        <v>46023.0</v>
      </c>
      <c r="L3204" s="6">
        <v>1.0</v>
      </c>
      <c r="M3204" s="8">
        <f t="shared" si="5"/>
        <v>0.04</v>
      </c>
      <c r="P3204" s="9"/>
    </row>
    <row r="3205">
      <c r="A3205" s="6" t="s">
        <v>7539</v>
      </c>
      <c r="B3205" s="6" t="s">
        <v>7540</v>
      </c>
      <c r="C3205" s="6" t="s">
        <v>295</v>
      </c>
      <c r="D3205" s="6" t="s">
        <v>7541</v>
      </c>
      <c r="E3205" s="6" t="s">
        <v>3216</v>
      </c>
      <c r="F3205" s="6" t="s">
        <v>170</v>
      </c>
      <c r="G3205" s="7">
        <v>0.06</v>
      </c>
      <c r="H3205" s="6" t="s">
        <v>2650</v>
      </c>
      <c r="I3205" s="6" t="s">
        <v>20</v>
      </c>
      <c r="J3205" s="6">
        <v>2021.0</v>
      </c>
      <c r="K3205" s="10">
        <v>46180.0</v>
      </c>
      <c r="L3205" s="6">
        <v>1.0</v>
      </c>
      <c r="M3205" s="8">
        <f t="shared" si="5"/>
        <v>0.06</v>
      </c>
      <c r="P3205" s="9"/>
    </row>
    <row r="3206">
      <c r="A3206" s="6" t="s">
        <v>7542</v>
      </c>
      <c r="B3206" s="6" t="s">
        <v>1896</v>
      </c>
      <c r="C3206" s="6" t="s">
        <v>1949</v>
      </c>
      <c r="D3206" s="6" t="s">
        <v>7543</v>
      </c>
      <c r="E3206" s="6" t="s">
        <v>2342</v>
      </c>
      <c r="F3206" s="6" t="s">
        <v>170</v>
      </c>
      <c r="G3206" s="7">
        <v>0.1</v>
      </c>
      <c r="H3206" s="6" t="s">
        <v>1711</v>
      </c>
      <c r="I3206" s="6" t="s">
        <v>20</v>
      </c>
      <c r="J3206" s="6">
        <v>2022.0</v>
      </c>
      <c r="L3206" s="6">
        <v>1.0</v>
      </c>
      <c r="M3206" s="8">
        <f t="shared" si="5"/>
        <v>0.1</v>
      </c>
      <c r="P3206" s="9"/>
    </row>
    <row r="3207">
      <c r="A3207" s="6" t="s">
        <v>7544</v>
      </c>
      <c r="B3207" s="6" t="s">
        <v>2669</v>
      </c>
      <c r="C3207" s="6" t="s">
        <v>1897</v>
      </c>
      <c r="D3207" s="6" t="s">
        <v>7545</v>
      </c>
      <c r="E3207" s="6" t="s">
        <v>2358</v>
      </c>
      <c r="F3207" s="6" t="s">
        <v>170</v>
      </c>
      <c r="G3207" s="7">
        <v>13.5</v>
      </c>
      <c r="H3207" s="6" t="s">
        <v>2578</v>
      </c>
      <c r="I3207" s="6" t="s">
        <v>20</v>
      </c>
      <c r="J3207" s="6">
        <v>2020.0</v>
      </c>
      <c r="K3207" s="10">
        <v>46179.0</v>
      </c>
      <c r="L3207" s="6">
        <v>1.0</v>
      </c>
      <c r="M3207" s="8">
        <f t="shared" si="5"/>
        <v>13.5</v>
      </c>
      <c r="N3207" s="6" t="s">
        <v>6488</v>
      </c>
      <c r="P3207" s="9"/>
    </row>
    <row r="3208">
      <c r="A3208" s="6" t="s">
        <v>7546</v>
      </c>
      <c r="B3208" s="6" t="s">
        <v>7547</v>
      </c>
      <c r="C3208" s="6" t="s">
        <v>295</v>
      </c>
      <c r="D3208" s="6" t="s">
        <v>7548</v>
      </c>
      <c r="E3208" s="6" t="s">
        <v>2342</v>
      </c>
      <c r="F3208" s="6" t="s">
        <v>170</v>
      </c>
      <c r="G3208" s="7">
        <v>0.06</v>
      </c>
      <c r="H3208" s="6" t="s">
        <v>2650</v>
      </c>
      <c r="I3208" s="6" t="s">
        <v>20</v>
      </c>
      <c r="J3208" s="6">
        <v>2021.0</v>
      </c>
      <c r="K3208" s="10">
        <v>46082.0</v>
      </c>
      <c r="L3208" s="6">
        <v>1.0</v>
      </c>
      <c r="M3208" s="8">
        <f t="shared" si="5"/>
        <v>0.06</v>
      </c>
      <c r="P3208" s="9"/>
    </row>
    <row r="3209">
      <c r="A3209" s="6" t="s">
        <v>7549</v>
      </c>
      <c r="B3209" s="6" t="s">
        <v>7550</v>
      </c>
      <c r="C3209" s="6" t="s">
        <v>295</v>
      </c>
      <c r="D3209" s="6" t="s">
        <v>7551</v>
      </c>
      <c r="E3209" s="6" t="s">
        <v>2350</v>
      </c>
      <c r="F3209" s="6" t="s">
        <v>170</v>
      </c>
      <c r="G3209" s="7">
        <v>0.1</v>
      </c>
      <c r="H3209" s="6" t="s">
        <v>2205</v>
      </c>
      <c r="I3209" s="6" t="s">
        <v>20</v>
      </c>
      <c r="J3209" s="6">
        <v>2023.0</v>
      </c>
      <c r="K3209" s="10">
        <v>46056.0</v>
      </c>
      <c r="L3209" s="6">
        <v>1.0</v>
      </c>
      <c r="M3209" s="8">
        <f t="shared" si="5"/>
        <v>0.1</v>
      </c>
      <c r="P3209" s="9"/>
    </row>
    <row r="3210">
      <c r="A3210" s="6" t="s">
        <v>7552</v>
      </c>
      <c r="B3210" s="6" t="s">
        <v>3110</v>
      </c>
      <c r="C3210" s="6" t="s">
        <v>295</v>
      </c>
      <c r="D3210" s="6" t="s">
        <v>7553</v>
      </c>
      <c r="E3210" s="6" t="s">
        <v>930</v>
      </c>
      <c r="F3210" s="6" t="s">
        <v>170</v>
      </c>
      <c r="G3210" s="7">
        <v>0.69</v>
      </c>
      <c r="H3210" s="6" t="s">
        <v>2205</v>
      </c>
      <c r="I3210" s="6" t="s">
        <v>20</v>
      </c>
      <c r="J3210" s="6">
        <v>2023.0</v>
      </c>
      <c r="K3210" s="10">
        <v>46054.0</v>
      </c>
      <c r="L3210" s="6">
        <v>1.0</v>
      </c>
      <c r="M3210" s="8">
        <f t="shared" si="5"/>
        <v>0.69</v>
      </c>
      <c r="P3210" s="9"/>
    </row>
    <row r="3211">
      <c r="A3211" s="6" t="s">
        <v>3903</v>
      </c>
      <c r="B3211" s="6" t="s">
        <v>2058</v>
      </c>
      <c r="C3211" s="6" t="s">
        <v>295</v>
      </c>
      <c r="D3211" s="6" t="s">
        <v>3904</v>
      </c>
      <c r="E3211" s="6" t="s">
        <v>930</v>
      </c>
      <c r="F3211" s="6" t="s">
        <v>170</v>
      </c>
      <c r="G3211" s="7">
        <v>0.13</v>
      </c>
      <c r="H3211" s="6" t="s">
        <v>4574</v>
      </c>
      <c r="I3211" s="6" t="s">
        <v>20</v>
      </c>
      <c r="J3211" s="6">
        <v>2024.0</v>
      </c>
      <c r="L3211" s="6">
        <v>1.0</v>
      </c>
      <c r="M3211" s="8">
        <f t="shared" si="5"/>
        <v>0.13</v>
      </c>
      <c r="P3211" s="9"/>
    </row>
    <row r="3212">
      <c r="A3212" s="6" t="s">
        <v>3786</v>
      </c>
      <c r="B3212" s="6" t="s">
        <v>378</v>
      </c>
      <c r="C3212" s="6" t="s">
        <v>295</v>
      </c>
      <c r="D3212" s="6" t="s">
        <v>3787</v>
      </c>
      <c r="E3212" s="6" t="s">
        <v>2342</v>
      </c>
      <c r="F3212" s="6" t="s">
        <v>170</v>
      </c>
      <c r="G3212" s="7">
        <v>0.25</v>
      </c>
      <c r="H3212" s="6" t="s">
        <v>2172</v>
      </c>
      <c r="I3212" s="6" t="s">
        <v>20</v>
      </c>
      <c r="J3212" s="6">
        <v>2021.0</v>
      </c>
      <c r="L3212" s="6">
        <v>1.0</v>
      </c>
      <c r="M3212" s="8">
        <f t="shared" si="5"/>
        <v>0.25</v>
      </c>
      <c r="P3212" s="9"/>
    </row>
    <row r="3213">
      <c r="A3213" s="6" t="s">
        <v>7554</v>
      </c>
      <c r="B3213" s="6" t="s">
        <v>2486</v>
      </c>
      <c r="C3213" s="6" t="s">
        <v>295</v>
      </c>
      <c r="D3213" s="6" t="s">
        <v>7555</v>
      </c>
      <c r="E3213" s="6" t="s">
        <v>2342</v>
      </c>
      <c r="F3213" s="6" t="s">
        <v>170</v>
      </c>
      <c r="G3213" s="7">
        <v>18.98</v>
      </c>
      <c r="H3213" s="6" t="s">
        <v>2172</v>
      </c>
      <c r="I3213" s="6" t="s">
        <v>20</v>
      </c>
      <c r="J3213" s="6">
        <v>2021.0</v>
      </c>
      <c r="K3213" s="10">
        <v>46082.0</v>
      </c>
      <c r="L3213" s="6">
        <v>1.0</v>
      </c>
      <c r="M3213" s="8">
        <f t="shared" si="5"/>
        <v>18.98</v>
      </c>
      <c r="N3213" s="6" t="s">
        <v>6488</v>
      </c>
      <c r="P3213" s="9"/>
    </row>
    <row r="3214">
      <c r="A3214" s="6" t="s">
        <v>7556</v>
      </c>
      <c r="B3214" s="6" t="s">
        <v>2469</v>
      </c>
      <c r="C3214" s="6" t="s">
        <v>295</v>
      </c>
      <c r="D3214" s="6" t="s">
        <v>7557</v>
      </c>
      <c r="E3214" s="6" t="s">
        <v>2365</v>
      </c>
      <c r="F3214" s="6" t="s">
        <v>170</v>
      </c>
      <c r="G3214" s="7">
        <v>0.05</v>
      </c>
      <c r="H3214" s="6" t="s">
        <v>2172</v>
      </c>
      <c r="I3214" s="6" t="s">
        <v>20</v>
      </c>
      <c r="J3214" s="6">
        <v>2021.0</v>
      </c>
      <c r="K3214" s="10">
        <v>46175.0</v>
      </c>
      <c r="L3214" s="6">
        <v>1.0</v>
      </c>
      <c r="M3214" s="8">
        <f t="shared" si="5"/>
        <v>0.05</v>
      </c>
      <c r="P3214" s="9"/>
    </row>
    <row r="3215">
      <c r="A3215" s="6" t="s">
        <v>3813</v>
      </c>
      <c r="B3215" s="6" t="s">
        <v>378</v>
      </c>
      <c r="C3215" s="6" t="s">
        <v>295</v>
      </c>
      <c r="D3215" s="6" t="s">
        <v>3814</v>
      </c>
      <c r="E3215" s="6" t="s">
        <v>2342</v>
      </c>
      <c r="F3215" s="6" t="s">
        <v>170</v>
      </c>
      <c r="G3215" s="7">
        <v>0.05</v>
      </c>
      <c r="H3215" s="6" t="s">
        <v>2172</v>
      </c>
      <c r="I3215" s="6" t="s">
        <v>20</v>
      </c>
      <c r="J3215" s="6">
        <v>2021.0</v>
      </c>
      <c r="L3215" s="6">
        <v>1.0</v>
      </c>
      <c r="M3215" s="8">
        <f t="shared" si="5"/>
        <v>0.05</v>
      </c>
      <c r="P3215" s="9"/>
    </row>
    <row r="3216">
      <c r="A3216" s="6" t="s">
        <v>7558</v>
      </c>
      <c r="B3216" s="6" t="s">
        <v>378</v>
      </c>
      <c r="C3216" s="6" t="s">
        <v>295</v>
      </c>
      <c r="D3216" s="6" t="s">
        <v>7559</v>
      </c>
      <c r="E3216" s="6" t="s">
        <v>930</v>
      </c>
      <c r="F3216" s="6" t="s">
        <v>170</v>
      </c>
      <c r="G3216" s="7">
        <v>0.04</v>
      </c>
      <c r="H3216" s="6" t="s">
        <v>2172</v>
      </c>
      <c r="I3216" s="6" t="s">
        <v>20</v>
      </c>
      <c r="J3216" s="6">
        <v>2021.0</v>
      </c>
      <c r="L3216" s="6">
        <v>1.0</v>
      </c>
      <c r="M3216" s="8">
        <f t="shared" si="5"/>
        <v>0.04</v>
      </c>
      <c r="P3216" s="9"/>
    </row>
    <row r="3217">
      <c r="A3217" s="6" t="s">
        <v>5541</v>
      </c>
      <c r="B3217" s="6" t="s">
        <v>5542</v>
      </c>
      <c r="C3217" s="6" t="s">
        <v>295</v>
      </c>
      <c r="D3217" s="6" t="s">
        <v>5543</v>
      </c>
      <c r="E3217" s="6" t="s">
        <v>1761</v>
      </c>
      <c r="F3217" s="6" t="s">
        <v>152</v>
      </c>
      <c r="G3217" s="7">
        <v>0.2</v>
      </c>
      <c r="H3217" s="6" t="s">
        <v>5257</v>
      </c>
      <c r="I3217" s="6" t="s">
        <v>31</v>
      </c>
      <c r="J3217" s="6">
        <v>2026.0</v>
      </c>
      <c r="K3217" s="10">
        <v>46114.0</v>
      </c>
      <c r="L3217" s="6">
        <v>2.0</v>
      </c>
      <c r="M3217" s="8">
        <f t="shared" si="5"/>
        <v>0.4</v>
      </c>
      <c r="P3217" s="9"/>
    </row>
    <row r="3218">
      <c r="A3218" s="6" t="s">
        <v>5541</v>
      </c>
      <c r="B3218" s="6" t="s">
        <v>5542</v>
      </c>
      <c r="C3218" s="6" t="s">
        <v>295</v>
      </c>
      <c r="D3218" s="6" t="s">
        <v>5543</v>
      </c>
      <c r="E3218" s="6" t="s">
        <v>1761</v>
      </c>
      <c r="F3218" s="6" t="s">
        <v>152</v>
      </c>
      <c r="G3218" s="7">
        <v>0.1</v>
      </c>
      <c r="H3218" s="6" t="s">
        <v>5257</v>
      </c>
      <c r="I3218" s="6" t="s">
        <v>20</v>
      </c>
      <c r="J3218" s="6">
        <v>2026.0</v>
      </c>
      <c r="K3218" s="10">
        <v>46114.0</v>
      </c>
      <c r="L3218" s="6">
        <v>3.0</v>
      </c>
      <c r="M3218" s="8">
        <f t="shared" si="5"/>
        <v>0.3</v>
      </c>
      <c r="P3218" s="9"/>
    </row>
    <row r="3219">
      <c r="A3219" s="6" t="s">
        <v>5575</v>
      </c>
      <c r="B3219" s="6" t="s">
        <v>5312</v>
      </c>
      <c r="C3219" s="6" t="s">
        <v>295</v>
      </c>
      <c r="D3219" s="6" t="s">
        <v>5576</v>
      </c>
      <c r="E3219" s="6" t="s">
        <v>1838</v>
      </c>
      <c r="F3219" s="6" t="s">
        <v>152</v>
      </c>
      <c r="G3219" s="7">
        <v>0.1</v>
      </c>
      <c r="H3219" s="6" t="s">
        <v>5257</v>
      </c>
      <c r="I3219" s="6" t="s">
        <v>20</v>
      </c>
      <c r="J3219" s="6">
        <v>2026.0</v>
      </c>
      <c r="K3219" s="10">
        <v>46084.0</v>
      </c>
      <c r="L3219" s="6">
        <v>1.0</v>
      </c>
      <c r="M3219" s="8">
        <f t="shared" si="5"/>
        <v>0.1</v>
      </c>
      <c r="P3219" s="9"/>
    </row>
    <row r="3220">
      <c r="A3220" s="6" t="s">
        <v>7560</v>
      </c>
      <c r="B3220" s="6" t="s">
        <v>5039</v>
      </c>
      <c r="C3220" s="6" t="s">
        <v>295</v>
      </c>
      <c r="D3220" s="6" t="s">
        <v>7561</v>
      </c>
      <c r="E3220" s="6" t="s">
        <v>1743</v>
      </c>
      <c r="F3220" s="6" t="s">
        <v>152</v>
      </c>
      <c r="G3220" s="7">
        <v>0.1</v>
      </c>
      <c r="H3220" s="6" t="s">
        <v>5257</v>
      </c>
      <c r="I3220" s="6" t="s">
        <v>20</v>
      </c>
      <c r="J3220" s="6">
        <v>2026.0</v>
      </c>
      <c r="K3220" s="10">
        <v>46055.0</v>
      </c>
      <c r="L3220" s="6">
        <v>2.0</v>
      </c>
      <c r="M3220" s="8">
        <f t="shared" si="5"/>
        <v>0.2</v>
      </c>
      <c r="P3220" s="9"/>
    </row>
    <row r="3221">
      <c r="A3221" s="6" t="s">
        <v>5577</v>
      </c>
      <c r="B3221" s="6" t="s">
        <v>610</v>
      </c>
      <c r="C3221" s="6" t="s">
        <v>295</v>
      </c>
      <c r="D3221" s="6" t="s">
        <v>5578</v>
      </c>
      <c r="E3221" s="6" t="s">
        <v>1838</v>
      </c>
      <c r="F3221" s="6" t="s">
        <v>152</v>
      </c>
      <c r="G3221" s="7">
        <v>0.1</v>
      </c>
      <c r="H3221" s="6" t="s">
        <v>5257</v>
      </c>
      <c r="I3221" s="6" t="s">
        <v>20</v>
      </c>
      <c r="J3221" s="6">
        <v>2026.0</v>
      </c>
      <c r="L3221" s="6">
        <v>2.0</v>
      </c>
      <c r="M3221" s="8">
        <f t="shared" si="5"/>
        <v>0.2</v>
      </c>
      <c r="P3221" s="9"/>
    </row>
    <row r="3222">
      <c r="A3222" s="6" t="s">
        <v>5560</v>
      </c>
      <c r="B3222" s="6" t="s">
        <v>2822</v>
      </c>
      <c r="C3222" s="6" t="s">
        <v>295</v>
      </c>
      <c r="D3222" s="6" t="s">
        <v>5561</v>
      </c>
      <c r="E3222" s="6" t="s">
        <v>1743</v>
      </c>
      <c r="F3222" s="6" t="s">
        <v>152</v>
      </c>
      <c r="G3222" s="7">
        <v>0.1</v>
      </c>
      <c r="H3222" s="6" t="s">
        <v>5257</v>
      </c>
      <c r="I3222" s="6" t="s">
        <v>20</v>
      </c>
      <c r="J3222" s="6">
        <v>2026.0</v>
      </c>
      <c r="L3222" s="6">
        <v>2.0</v>
      </c>
      <c r="M3222" s="8">
        <f t="shared" si="5"/>
        <v>0.2</v>
      </c>
      <c r="P3222" s="9"/>
    </row>
    <row r="3223">
      <c r="A3223" s="6" t="s">
        <v>5539</v>
      </c>
      <c r="B3223" s="6" t="s">
        <v>5347</v>
      </c>
      <c r="C3223" s="6" t="s">
        <v>295</v>
      </c>
      <c r="D3223" s="6" t="s">
        <v>5540</v>
      </c>
      <c r="E3223" s="6" t="s">
        <v>1743</v>
      </c>
      <c r="F3223" s="6" t="s">
        <v>152</v>
      </c>
      <c r="G3223" s="7">
        <v>0.1</v>
      </c>
      <c r="H3223" s="6" t="s">
        <v>5257</v>
      </c>
      <c r="I3223" s="6" t="s">
        <v>20</v>
      </c>
      <c r="J3223" s="6">
        <v>2026.0</v>
      </c>
      <c r="K3223" s="10">
        <v>46055.0</v>
      </c>
      <c r="L3223" s="6">
        <v>2.0</v>
      </c>
      <c r="M3223" s="8">
        <f t="shared" si="5"/>
        <v>0.2</v>
      </c>
      <c r="P3223" s="9"/>
    </row>
    <row r="3224">
      <c r="A3224" s="6" t="s">
        <v>5554</v>
      </c>
      <c r="B3224" s="6" t="s">
        <v>378</v>
      </c>
      <c r="C3224" s="6" t="s">
        <v>295</v>
      </c>
      <c r="D3224" s="6" t="s">
        <v>5555</v>
      </c>
      <c r="E3224" s="6" t="s">
        <v>1779</v>
      </c>
      <c r="F3224" s="6" t="s">
        <v>152</v>
      </c>
      <c r="G3224" s="7">
        <v>0.05</v>
      </c>
      <c r="H3224" s="6" t="s">
        <v>5257</v>
      </c>
      <c r="I3224" s="6" t="s">
        <v>20</v>
      </c>
      <c r="J3224" s="6">
        <v>2026.0</v>
      </c>
      <c r="L3224" s="6">
        <v>2.0</v>
      </c>
      <c r="M3224" s="8">
        <f t="shared" si="5"/>
        <v>0.1</v>
      </c>
      <c r="P3224" s="9"/>
    </row>
    <row r="3225">
      <c r="A3225" s="6" t="s">
        <v>4909</v>
      </c>
      <c r="B3225" s="6" t="s">
        <v>4910</v>
      </c>
      <c r="C3225" s="6" t="s">
        <v>295</v>
      </c>
      <c r="D3225" s="6" t="s">
        <v>4911</v>
      </c>
      <c r="E3225" s="6" t="s">
        <v>1761</v>
      </c>
      <c r="F3225" s="6" t="s">
        <v>152</v>
      </c>
      <c r="G3225" s="7">
        <v>0.08</v>
      </c>
      <c r="H3225" s="6" t="s">
        <v>4845</v>
      </c>
      <c r="I3225" s="6" t="s">
        <v>20</v>
      </c>
      <c r="J3225" s="6">
        <v>2025.0</v>
      </c>
      <c r="K3225" s="10">
        <v>46084.0</v>
      </c>
      <c r="L3225" s="6">
        <v>9.0</v>
      </c>
      <c r="M3225" s="8">
        <f t="shared" si="5"/>
        <v>0.72</v>
      </c>
      <c r="P3225" s="9"/>
    </row>
    <row r="3226">
      <c r="A3226" s="6" t="s">
        <v>7562</v>
      </c>
      <c r="B3226" s="6" t="s">
        <v>5082</v>
      </c>
      <c r="C3226" s="6" t="s">
        <v>295</v>
      </c>
      <c r="D3226" s="6" t="s">
        <v>7563</v>
      </c>
      <c r="E3226" s="6" t="s">
        <v>1779</v>
      </c>
      <c r="F3226" s="6" t="s">
        <v>152</v>
      </c>
      <c r="G3226" s="7">
        <v>0.05</v>
      </c>
      <c r="H3226" s="6" t="s">
        <v>4845</v>
      </c>
      <c r="I3226" s="6" t="s">
        <v>20</v>
      </c>
      <c r="J3226" s="6">
        <v>2025.0</v>
      </c>
      <c r="K3226" s="10">
        <v>46083.0</v>
      </c>
      <c r="L3226" s="6">
        <v>5.0</v>
      </c>
      <c r="M3226" s="8">
        <f t="shared" si="5"/>
        <v>0.25</v>
      </c>
      <c r="P3226" s="9"/>
    </row>
    <row r="3227">
      <c r="A3227" s="6" t="s">
        <v>4878</v>
      </c>
      <c r="B3227" s="6" t="s">
        <v>4879</v>
      </c>
      <c r="C3227" s="6" t="s">
        <v>295</v>
      </c>
      <c r="D3227" s="6" t="s">
        <v>4880</v>
      </c>
      <c r="E3227" s="6" t="s">
        <v>2426</v>
      </c>
      <c r="F3227" s="6" t="s">
        <v>152</v>
      </c>
      <c r="G3227" s="7">
        <v>0.04</v>
      </c>
      <c r="H3227" s="6" t="s">
        <v>4845</v>
      </c>
      <c r="I3227" s="6" t="s">
        <v>20</v>
      </c>
      <c r="J3227" s="6">
        <v>2025.0</v>
      </c>
      <c r="K3227" s="10">
        <v>46145.0</v>
      </c>
      <c r="L3227" s="6">
        <v>4.0</v>
      </c>
      <c r="M3227" s="8">
        <f t="shared" si="5"/>
        <v>0.16</v>
      </c>
      <c r="P3227" s="9"/>
    </row>
    <row r="3228">
      <c r="A3228" s="6" t="s">
        <v>7564</v>
      </c>
      <c r="B3228" s="6" t="s">
        <v>4885</v>
      </c>
      <c r="C3228" s="6" t="s">
        <v>295</v>
      </c>
      <c r="D3228" s="6" t="s">
        <v>7565</v>
      </c>
      <c r="E3228" s="6" t="s">
        <v>1743</v>
      </c>
      <c r="F3228" s="6" t="s">
        <v>152</v>
      </c>
      <c r="G3228" s="7">
        <v>0.15</v>
      </c>
      <c r="H3228" s="6" t="s">
        <v>7566</v>
      </c>
      <c r="I3228" s="6" t="s">
        <v>20</v>
      </c>
      <c r="J3228" s="6">
        <v>2025.0</v>
      </c>
      <c r="K3228" s="10">
        <v>46055.0</v>
      </c>
      <c r="L3228" s="6">
        <v>2.0</v>
      </c>
      <c r="M3228" s="8">
        <f t="shared" si="5"/>
        <v>0.3</v>
      </c>
      <c r="P3228" s="9"/>
    </row>
    <row r="3229">
      <c r="A3229" s="6" t="s">
        <v>4884</v>
      </c>
      <c r="B3229" s="6" t="s">
        <v>4885</v>
      </c>
      <c r="C3229" s="6" t="s">
        <v>295</v>
      </c>
      <c r="D3229" s="6" t="s">
        <v>4886</v>
      </c>
      <c r="E3229" s="6" t="s">
        <v>1779</v>
      </c>
      <c r="F3229" s="6" t="s">
        <v>152</v>
      </c>
      <c r="G3229" s="7">
        <v>0.05</v>
      </c>
      <c r="H3229" s="6" t="s">
        <v>4845</v>
      </c>
      <c r="I3229" s="6" t="s">
        <v>20</v>
      </c>
      <c r="J3229" s="6">
        <v>2025.0</v>
      </c>
      <c r="K3229" s="10">
        <v>46055.0</v>
      </c>
      <c r="L3229" s="6">
        <v>2.0</v>
      </c>
      <c r="M3229" s="8">
        <f t="shared" si="5"/>
        <v>0.1</v>
      </c>
      <c r="P3229" s="9"/>
    </row>
    <row r="3230">
      <c r="A3230" s="6" t="s">
        <v>4906</v>
      </c>
      <c r="B3230" s="6" t="s">
        <v>4907</v>
      </c>
      <c r="C3230" s="6" t="s">
        <v>295</v>
      </c>
      <c r="D3230" s="6" t="s">
        <v>4908</v>
      </c>
      <c r="E3230" s="6" t="s">
        <v>1743</v>
      </c>
      <c r="F3230" s="6" t="s">
        <v>152</v>
      </c>
      <c r="G3230" s="7">
        <v>0.07</v>
      </c>
      <c r="H3230" s="6" t="s">
        <v>4845</v>
      </c>
      <c r="I3230" s="6" t="s">
        <v>20</v>
      </c>
      <c r="J3230" s="6">
        <v>2025.0</v>
      </c>
      <c r="K3230" s="10">
        <v>46054.0</v>
      </c>
      <c r="L3230" s="6">
        <v>3.0</v>
      </c>
      <c r="M3230" s="8">
        <f t="shared" si="5"/>
        <v>0.21</v>
      </c>
      <c r="P3230" s="9"/>
    </row>
    <row r="3231">
      <c r="A3231" s="6" t="s">
        <v>4881</v>
      </c>
      <c r="B3231" s="6" t="s">
        <v>4882</v>
      </c>
      <c r="C3231" s="6" t="s">
        <v>295</v>
      </c>
      <c r="D3231" s="6" t="s">
        <v>4883</v>
      </c>
      <c r="E3231" s="6" t="s">
        <v>713</v>
      </c>
      <c r="F3231" s="6" t="s">
        <v>152</v>
      </c>
      <c r="G3231" s="7">
        <v>0.05</v>
      </c>
      <c r="H3231" s="6" t="s">
        <v>4845</v>
      </c>
      <c r="I3231" s="6" t="s">
        <v>20</v>
      </c>
      <c r="J3231" s="6">
        <v>2025.0</v>
      </c>
      <c r="K3231" s="10">
        <v>46023.0</v>
      </c>
      <c r="L3231" s="6">
        <v>3.0</v>
      </c>
      <c r="M3231" s="8">
        <f t="shared" si="5"/>
        <v>0.15</v>
      </c>
      <c r="P3231" s="9"/>
    </row>
    <row r="3232">
      <c r="A3232" s="6" t="s">
        <v>7567</v>
      </c>
      <c r="B3232" s="6" t="s">
        <v>378</v>
      </c>
      <c r="C3232" s="6" t="s">
        <v>295</v>
      </c>
      <c r="D3232" s="6" t="s">
        <v>7568</v>
      </c>
      <c r="E3232" s="6" t="s">
        <v>1779</v>
      </c>
      <c r="F3232" s="6" t="s">
        <v>152</v>
      </c>
      <c r="G3232" s="7">
        <v>0.04</v>
      </c>
      <c r="H3232" s="6" t="s">
        <v>1739</v>
      </c>
      <c r="I3232" s="6" t="s">
        <v>20</v>
      </c>
      <c r="J3232" s="6">
        <v>2023.0</v>
      </c>
      <c r="L3232" s="6">
        <v>2.0</v>
      </c>
      <c r="M3232" s="8">
        <f t="shared" si="5"/>
        <v>0.08</v>
      </c>
      <c r="P3232" s="9"/>
    </row>
    <row r="3233">
      <c r="A3233" s="6" t="s">
        <v>4889</v>
      </c>
      <c r="B3233" s="6" t="s">
        <v>2822</v>
      </c>
      <c r="C3233" s="6" t="s">
        <v>295</v>
      </c>
      <c r="D3233" s="6" t="s">
        <v>4890</v>
      </c>
      <c r="E3233" s="6" t="s">
        <v>1743</v>
      </c>
      <c r="F3233" s="6" t="s">
        <v>152</v>
      </c>
      <c r="G3233" s="7">
        <v>0.05</v>
      </c>
      <c r="H3233" s="6" t="s">
        <v>4845</v>
      </c>
      <c r="I3233" s="6" t="s">
        <v>20</v>
      </c>
      <c r="J3233" s="6">
        <v>2025.0</v>
      </c>
      <c r="L3233" s="6">
        <v>3.0</v>
      </c>
      <c r="M3233" s="8">
        <f t="shared" si="5"/>
        <v>0.15</v>
      </c>
      <c r="P3233" s="9"/>
    </row>
    <row r="3234">
      <c r="A3234" s="6" t="s">
        <v>4876</v>
      </c>
      <c r="B3234" s="6" t="s">
        <v>4866</v>
      </c>
      <c r="C3234" s="6" t="s">
        <v>295</v>
      </c>
      <c r="D3234" s="6" t="s">
        <v>4877</v>
      </c>
      <c r="E3234" s="6" t="s">
        <v>1779</v>
      </c>
      <c r="F3234" s="6" t="s">
        <v>152</v>
      </c>
      <c r="G3234" s="7">
        <v>0.1</v>
      </c>
      <c r="H3234" s="6" t="s">
        <v>4845</v>
      </c>
      <c r="I3234" s="6" t="s">
        <v>20</v>
      </c>
      <c r="J3234" s="6">
        <v>2025.0</v>
      </c>
      <c r="L3234" s="6">
        <v>2.0</v>
      </c>
      <c r="M3234" s="8">
        <f t="shared" si="5"/>
        <v>0.2</v>
      </c>
      <c r="P3234" s="9"/>
    </row>
    <row r="3235">
      <c r="A3235" s="6" t="s">
        <v>4912</v>
      </c>
      <c r="B3235" s="6" t="s">
        <v>4892</v>
      </c>
      <c r="C3235" s="6" t="s">
        <v>295</v>
      </c>
      <c r="D3235" s="6" t="s">
        <v>4913</v>
      </c>
      <c r="E3235" s="6" t="s">
        <v>1779</v>
      </c>
      <c r="F3235" s="6" t="s">
        <v>152</v>
      </c>
      <c r="G3235" s="7">
        <v>0.1</v>
      </c>
      <c r="H3235" s="6" t="s">
        <v>4845</v>
      </c>
      <c r="I3235" s="6" t="s">
        <v>20</v>
      </c>
      <c r="J3235" s="6">
        <v>2025.0</v>
      </c>
      <c r="K3235" s="10">
        <v>46084.0</v>
      </c>
      <c r="L3235" s="6">
        <v>2.0</v>
      </c>
      <c r="M3235" s="8">
        <f t="shared" si="5"/>
        <v>0.2</v>
      </c>
      <c r="P3235" s="9"/>
    </row>
    <row r="3236">
      <c r="A3236" s="6" t="s">
        <v>4922</v>
      </c>
      <c r="B3236" s="6" t="s">
        <v>610</v>
      </c>
      <c r="C3236" s="6" t="s">
        <v>295</v>
      </c>
      <c r="D3236" s="6" t="s">
        <v>4923</v>
      </c>
      <c r="E3236" s="6" t="s">
        <v>1743</v>
      </c>
      <c r="F3236" s="6" t="s">
        <v>152</v>
      </c>
      <c r="G3236" s="7">
        <v>0.05</v>
      </c>
      <c r="H3236" s="6" t="s">
        <v>4845</v>
      </c>
      <c r="I3236" s="6" t="s">
        <v>20</v>
      </c>
      <c r="J3236" s="6">
        <v>2025.0</v>
      </c>
      <c r="L3236" s="6">
        <v>2.0</v>
      </c>
      <c r="M3236" s="8">
        <f t="shared" si="5"/>
        <v>0.1</v>
      </c>
      <c r="P3236" s="9"/>
    </row>
    <row r="3237">
      <c r="A3237" s="6" t="s">
        <v>4914</v>
      </c>
      <c r="B3237" s="6" t="s">
        <v>4866</v>
      </c>
      <c r="C3237" s="6" t="s">
        <v>295</v>
      </c>
      <c r="D3237" s="6" t="s">
        <v>4915</v>
      </c>
      <c r="E3237" s="6" t="s">
        <v>713</v>
      </c>
      <c r="F3237" s="6" t="s">
        <v>152</v>
      </c>
      <c r="G3237" s="7">
        <v>0.06</v>
      </c>
      <c r="H3237" s="6" t="s">
        <v>4845</v>
      </c>
      <c r="I3237" s="6" t="s">
        <v>20</v>
      </c>
      <c r="J3237" s="6">
        <v>2025.0</v>
      </c>
      <c r="L3237" s="6">
        <v>3.0</v>
      </c>
      <c r="M3237" s="8">
        <f t="shared" si="5"/>
        <v>0.18</v>
      </c>
      <c r="P3237" s="9"/>
    </row>
    <row r="3238">
      <c r="A3238" s="6" t="s">
        <v>7569</v>
      </c>
      <c r="B3238" s="6" t="s">
        <v>7570</v>
      </c>
      <c r="C3238" s="6" t="s">
        <v>295</v>
      </c>
      <c r="D3238" s="6" t="s">
        <v>7571</v>
      </c>
      <c r="E3238" s="6" t="s">
        <v>1779</v>
      </c>
      <c r="F3238" s="6" t="s">
        <v>152</v>
      </c>
      <c r="G3238" s="7">
        <v>0.15</v>
      </c>
      <c r="H3238" s="6" t="s">
        <v>7566</v>
      </c>
      <c r="I3238" s="6" t="s">
        <v>20</v>
      </c>
      <c r="J3238" s="6">
        <v>2025.0</v>
      </c>
      <c r="K3238" s="10">
        <v>46056.0</v>
      </c>
      <c r="L3238" s="6">
        <v>1.0</v>
      </c>
      <c r="M3238" s="8">
        <f t="shared" si="5"/>
        <v>0.15</v>
      </c>
      <c r="P3238" s="9"/>
    </row>
    <row r="3239">
      <c r="A3239" s="6" t="s">
        <v>6398</v>
      </c>
      <c r="B3239" s="6" t="s">
        <v>6399</v>
      </c>
      <c r="C3239" s="6" t="s">
        <v>295</v>
      </c>
      <c r="D3239" s="6" t="s">
        <v>6400</v>
      </c>
      <c r="E3239" s="6" t="s">
        <v>1743</v>
      </c>
      <c r="F3239" s="6" t="s">
        <v>152</v>
      </c>
      <c r="G3239" s="7">
        <v>0.11</v>
      </c>
      <c r="H3239" s="6" t="s">
        <v>4845</v>
      </c>
      <c r="I3239" s="6" t="s">
        <v>20</v>
      </c>
      <c r="J3239" s="6">
        <v>2025.0</v>
      </c>
      <c r="K3239" s="10">
        <v>46055.0</v>
      </c>
      <c r="L3239" s="6">
        <v>1.0</v>
      </c>
      <c r="M3239" s="8">
        <f t="shared" si="5"/>
        <v>0.11</v>
      </c>
      <c r="P3239" s="9"/>
    </row>
    <row r="3240">
      <c r="A3240" s="6" t="s">
        <v>7572</v>
      </c>
      <c r="B3240" s="6" t="s">
        <v>4866</v>
      </c>
      <c r="C3240" s="6" t="s">
        <v>295</v>
      </c>
      <c r="D3240" s="6" t="s">
        <v>7573</v>
      </c>
      <c r="E3240" s="6" t="s">
        <v>1743</v>
      </c>
      <c r="F3240" s="6" t="s">
        <v>152</v>
      </c>
      <c r="G3240" s="7">
        <v>0.35</v>
      </c>
      <c r="H3240" s="6" t="s">
        <v>7566</v>
      </c>
      <c r="I3240" s="6" t="s">
        <v>20</v>
      </c>
      <c r="J3240" s="6">
        <v>2025.0</v>
      </c>
      <c r="L3240" s="6">
        <v>1.0</v>
      </c>
      <c r="M3240" s="8">
        <f t="shared" si="5"/>
        <v>0.35</v>
      </c>
      <c r="P3240" s="9"/>
    </row>
    <row r="3241">
      <c r="A3241" s="6" t="s">
        <v>7574</v>
      </c>
      <c r="B3241" s="6" t="s">
        <v>378</v>
      </c>
      <c r="C3241" s="6" t="s">
        <v>295</v>
      </c>
      <c r="D3241" s="6" t="s">
        <v>2446</v>
      </c>
      <c r="E3241" s="6" t="s">
        <v>713</v>
      </c>
      <c r="F3241" s="6" t="s">
        <v>152</v>
      </c>
      <c r="G3241" s="7">
        <v>0.15</v>
      </c>
      <c r="H3241" s="6" t="s">
        <v>7566</v>
      </c>
      <c r="I3241" s="6" t="s">
        <v>20</v>
      </c>
      <c r="J3241" s="6">
        <v>2025.0</v>
      </c>
      <c r="L3241" s="6">
        <v>1.0</v>
      </c>
      <c r="M3241" s="8">
        <f t="shared" si="5"/>
        <v>0.15</v>
      </c>
      <c r="P3241" s="9"/>
    </row>
    <row r="3242">
      <c r="A3242" s="6" t="s">
        <v>7575</v>
      </c>
      <c r="B3242" s="6" t="s">
        <v>610</v>
      </c>
      <c r="C3242" s="6" t="s">
        <v>295</v>
      </c>
      <c r="D3242" s="6" t="s">
        <v>7576</v>
      </c>
      <c r="E3242" s="6" t="s">
        <v>1761</v>
      </c>
      <c r="F3242" s="6" t="s">
        <v>152</v>
      </c>
      <c r="G3242" s="7">
        <v>0.1</v>
      </c>
      <c r="H3242" s="6" t="s">
        <v>4845</v>
      </c>
      <c r="I3242" s="6" t="s">
        <v>20</v>
      </c>
      <c r="J3242" s="6">
        <v>2025.0</v>
      </c>
      <c r="L3242" s="6">
        <v>1.0</v>
      </c>
      <c r="M3242" s="8">
        <f t="shared" si="5"/>
        <v>0.1</v>
      </c>
      <c r="P3242" s="9"/>
    </row>
    <row r="3243">
      <c r="A3243" s="6" t="s">
        <v>7577</v>
      </c>
      <c r="B3243" s="6" t="s">
        <v>2058</v>
      </c>
      <c r="C3243" s="6" t="s">
        <v>295</v>
      </c>
      <c r="D3243" s="6" t="s">
        <v>7578</v>
      </c>
      <c r="E3243" s="6" t="s">
        <v>1856</v>
      </c>
      <c r="F3243" s="6" t="s">
        <v>277</v>
      </c>
      <c r="G3243" s="7">
        <v>0.38</v>
      </c>
      <c r="H3243" s="6" t="s">
        <v>2584</v>
      </c>
      <c r="I3243" s="6" t="s">
        <v>20</v>
      </c>
      <c r="J3243" s="6">
        <v>2014.0</v>
      </c>
      <c r="L3243" s="6">
        <v>1.0</v>
      </c>
      <c r="M3243" s="8">
        <f t="shared" si="5"/>
        <v>0.38</v>
      </c>
      <c r="P3243" s="9"/>
    </row>
    <row r="3244">
      <c r="A3244" s="6" t="s">
        <v>7579</v>
      </c>
      <c r="B3244" s="6" t="s">
        <v>3465</v>
      </c>
      <c r="C3244" s="6" t="s">
        <v>1949</v>
      </c>
      <c r="D3244" s="6" t="s">
        <v>7580</v>
      </c>
      <c r="E3244" s="6" t="s">
        <v>1856</v>
      </c>
      <c r="F3244" s="6" t="s">
        <v>277</v>
      </c>
      <c r="G3244" s="7">
        <v>0.07</v>
      </c>
      <c r="H3244" s="6" t="s">
        <v>1708</v>
      </c>
      <c r="I3244" s="6" t="s">
        <v>20</v>
      </c>
      <c r="J3244" s="6">
        <v>2019.0</v>
      </c>
      <c r="K3244" s="10">
        <v>46056.0</v>
      </c>
      <c r="L3244" s="6">
        <v>1.0</v>
      </c>
      <c r="M3244" s="8">
        <f t="shared" si="5"/>
        <v>0.07</v>
      </c>
      <c r="P3244" s="9"/>
    </row>
    <row r="3245">
      <c r="A3245" s="6" t="s">
        <v>7581</v>
      </c>
      <c r="B3245" s="6" t="s">
        <v>378</v>
      </c>
      <c r="C3245" s="6" t="s">
        <v>295</v>
      </c>
      <c r="D3245" s="6" t="s">
        <v>7582</v>
      </c>
      <c r="E3245" s="6" t="s">
        <v>629</v>
      </c>
      <c r="F3245" s="6" t="s">
        <v>277</v>
      </c>
      <c r="G3245" s="7">
        <v>1.25</v>
      </c>
      <c r="H3245" s="6" t="s">
        <v>1625</v>
      </c>
      <c r="I3245" s="6" t="s">
        <v>20</v>
      </c>
      <c r="J3245" s="6">
        <v>2021.0</v>
      </c>
      <c r="L3245" s="6">
        <v>1.0</v>
      </c>
      <c r="M3245" s="8">
        <f t="shared" si="5"/>
        <v>1.25</v>
      </c>
      <c r="N3245" s="6" t="s">
        <v>6488</v>
      </c>
      <c r="P3245" s="9"/>
    </row>
    <row r="3246">
      <c r="A3246" s="6" t="s">
        <v>7583</v>
      </c>
      <c r="B3246" s="6" t="s">
        <v>2061</v>
      </c>
      <c r="C3246" s="6" t="s">
        <v>295</v>
      </c>
      <c r="D3246" s="6" t="s">
        <v>7584</v>
      </c>
      <c r="E3246" s="6" t="s">
        <v>2280</v>
      </c>
      <c r="F3246" s="6" t="s">
        <v>277</v>
      </c>
      <c r="G3246" s="7">
        <v>0.06</v>
      </c>
      <c r="H3246" s="6" t="s">
        <v>1625</v>
      </c>
      <c r="I3246" s="6" t="s">
        <v>20</v>
      </c>
      <c r="J3246" s="6">
        <v>2021.0</v>
      </c>
      <c r="K3246" s="10">
        <v>46055.0</v>
      </c>
      <c r="L3246" s="6">
        <v>1.0</v>
      </c>
      <c r="M3246" s="8">
        <f t="shared" si="5"/>
        <v>0.06</v>
      </c>
      <c r="P3246" s="9"/>
    </row>
    <row r="3247">
      <c r="A3247" s="6" t="s">
        <v>7585</v>
      </c>
      <c r="B3247" s="6" t="s">
        <v>2058</v>
      </c>
      <c r="C3247" s="6" t="s">
        <v>1949</v>
      </c>
      <c r="D3247" s="6" t="s">
        <v>7586</v>
      </c>
      <c r="E3247" s="6" t="s">
        <v>2280</v>
      </c>
      <c r="F3247" s="6" t="s">
        <v>277</v>
      </c>
      <c r="G3247" s="7">
        <v>0.04</v>
      </c>
      <c r="H3247" s="6" t="s">
        <v>1625</v>
      </c>
      <c r="I3247" s="6" t="s">
        <v>20</v>
      </c>
      <c r="J3247" s="6">
        <v>2021.0</v>
      </c>
      <c r="L3247" s="6">
        <v>1.0</v>
      </c>
      <c r="M3247" s="8">
        <f t="shared" si="5"/>
        <v>0.04</v>
      </c>
      <c r="P3247" s="9"/>
    </row>
    <row r="3248">
      <c r="A3248" s="6" t="s">
        <v>7587</v>
      </c>
      <c r="B3248" s="6" t="s">
        <v>5973</v>
      </c>
      <c r="C3248" s="6" t="s">
        <v>295</v>
      </c>
      <c r="D3248" s="6" t="s">
        <v>7588</v>
      </c>
      <c r="E3248" s="6" t="s">
        <v>629</v>
      </c>
      <c r="F3248" s="6" t="s">
        <v>277</v>
      </c>
      <c r="G3248" s="7">
        <v>0.04</v>
      </c>
      <c r="H3248" s="6" t="s">
        <v>3049</v>
      </c>
      <c r="I3248" s="6" t="s">
        <v>20</v>
      </c>
      <c r="J3248" s="6">
        <v>2025.0</v>
      </c>
      <c r="K3248" s="10">
        <v>46054.0</v>
      </c>
      <c r="L3248" s="6">
        <v>1.0</v>
      </c>
      <c r="M3248" s="8">
        <f t="shared" si="5"/>
        <v>0.04</v>
      </c>
      <c r="P3248" s="9"/>
    </row>
    <row r="3249">
      <c r="A3249" s="6" t="s">
        <v>7589</v>
      </c>
      <c r="B3249" s="6" t="s">
        <v>2424</v>
      </c>
      <c r="C3249" s="6" t="s">
        <v>1949</v>
      </c>
      <c r="D3249" s="6" t="s">
        <v>7590</v>
      </c>
      <c r="E3249" s="6" t="s">
        <v>2280</v>
      </c>
      <c r="F3249" s="6" t="s">
        <v>277</v>
      </c>
      <c r="G3249" s="7">
        <v>0.1</v>
      </c>
      <c r="H3249" s="6" t="s">
        <v>3476</v>
      </c>
      <c r="I3249" s="6" t="s">
        <v>20</v>
      </c>
      <c r="J3249" s="6">
        <v>2023.0</v>
      </c>
      <c r="L3249" s="6">
        <v>1.0</v>
      </c>
      <c r="M3249" s="8">
        <f t="shared" si="5"/>
        <v>0.1</v>
      </c>
      <c r="P3249" s="9"/>
    </row>
    <row r="3250">
      <c r="A3250" s="6" t="s">
        <v>7286</v>
      </c>
      <c r="B3250" s="6" t="s">
        <v>3293</v>
      </c>
      <c r="C3250" s="6" t="s">
        <v>295</v>
      </c>
      <c r="D3250" s="6" t="s">
        <v>7287</v>
      </c>
      <c r="E3250" s="6" t="s">
        <v>1856</v>
      </c>
      <c r="F3250" s="6" t="s">
        <v>277</v>
      </c>
      <c r="G3250" s="7">
        <v>0.06</v>
      </c>
      <c r="H3250" s="6" t="s">
        <v>2568</v>
      </c>
      <c r="I3250" s="6" t="s">
        <v>20</v>
      </c>
      <c r="J3250" s="6">
        <v>2012.0</v>
      </c>
      <c r="K3250" s="10">
        <v>46023.0</v>
      </c>
      <c r="L3250" s="6">
        <v>1.0</v>
      </c>
      <c r="M3250" s="8">
        <f t="shared" si="5"/>
        <v>0.06</v>
      </c>
      <c r="P3250" s="9"/>
    </row>
    <row r="3251">
      <c r="A3251" s="6" t="s">
        <v>7591</v>
      </c>
      <c r="B3251" s="6" t="s">
        <v>4239</v>
      </c>
      <c r="C3251" s="6" t="s">
        <v>1949</v>
      </c>
      <c r="D3251" s="6" t="s">
        <v>7592</v>
      </c>
      <c r="E3251" s="6" t="s">
        <v>1856</v>
      </c>
      <c r="F3251" s="6" t="s">
        <v>277</v>
      </c>
      <c r="G3251" s="7">
        <v>0.1</v>
      </c>
      <c r="H3251" s="6" t="s">
        <v>1638</v>
      </c>
      <c r="I3251" s="6" t="s">
        <v>20</v>
      </c>
      <c r="J3251" s="6">
        <v>2024.0</v>
      </c>
      <c r="K3251" s="10">
        <v>46056.0</v>
      </c>
      <c r="L3251" s="6">
        <v>1.0</v>
      </c>
      <c r="M3251" s="8">
        <f t="shared" si="5"/>
        <v>0.1</v>
      </c>
      <c r="P3251" s="9"/>
    </row>
    <row r="3252">
      <c r="A3252" s="6" t="s">
        <v>7286</v>
      </c>
      <c r="B3252" s="6" t="s">
        <v>3293</v>
      </c>
      <c r="C3252" s="6" t="s">
        <v>295</v>
      </c>
      <c r="D3252" s="6" t="s">
        <v>7287</v>
      </c>
      <c r="E3252" s="6" t="s">
        <v>1856</v>
      </c>
      <c r="F3252" s="6" t="s">
        <v>277</v>
      </c>
      <c r="G3252" s="7">
        <v>0.13</v>
      </c>
      <c r="H3252" s="6" t="s">
        <v>3679</v>
      </c>
      <c r="I3252" s="6" t="s">
        <v>20</v>
      </c>
      <c r="J3252" s="6">
        <v>2022.0</v>
      </c>
      <c r="K3252" s="10">
        <v>46023.0</v>
      </c>
      <c r="L3252" s="6">
        <v>1.0</v>
      </c>
      <c r="M3252" s="8">
        <f t="shared" si="5"/>
        <v>0.13</v>
      </c>
      <c r="P3252" s="9"/>
    </row>
    <row r="3253">
      <c r="A3253" s="6" t="s">
        <v>7593</v>
      </c>
      <c r="B3253" s="6" t="s">
        <v>7048</v>
      </c>
      <c r="C3253" s="6" t="s">
        <v>295</v>
      </c>
      <c r="D3253" s="6" t="s">
        <v>7594</v>
      </c>
      <c r="E3253" s="6" t="s">
        <v>2280</v>
      </c>
      <c r="F3253" s="6" t="s">
        <v>277</v>
      </c>
      <c r="G3253" s="7">
        <v>0.04</v>
      </c>
      <c r="H3253" s="6" t="s">
        <v>1965</v>
      </c>
      <c r="I3253" s="6" t="s">
        <v>20</v>
      </c>
      <c r="J3253" s="6">
        <v>2022.0</v>
      </c>
      <c r="L3253" s="6">
        <v>1.0</v>
      </c>
      <c r="M3253" s="8">
        <f t="shared" si="5"/>
        <v>0.04</v>
      </c>
      <c r="P3253" s="9"/>
    </row>
    <row r="3254">
      <c r="A3254" s="6" t="s">
        <v>7595</v>
      </c>
      <c r="B3254" s="6" t="s">
        <v>5852</v>
      </c>
      <c r="C3254" s="6" t="s">
        <v>295</v>
      </c>
      <c r="D3254" s="6" t="s">
        <v>7596</v>
      </c>
      <c r="E3254" s="6" t="s">
        <v>2839</v>
      </c>
      <c r="F3254" s="6" t="s">
        <v>277</v>
      </c>
      <c r="G3254" s="7">
        <v>0.04</v>
      </c>
      <c r="H3254" s="6" t="s">
        <v>2384</v>
      </c>
      <c r="I3254" s="6" t="s">
        <v>20</v>
      </c>
      <c r="J3254" s="6">
        <v>2019.0</v>
      </c>
      <c r="K3254" s="10">
        <v>46055.0</v>
      </c>
      <c r="L3254" s="6">
        <v>1.0</v>
      </c>
      <c r="M3254" s="8">
        <f t="shared" si="5"/>
        <v>0.04</v>
      </c>
      <c r="P3254" s="9"/>
    </row>
    <row r="3255">
      <c r="A3255" s="6" t="s">
        <v>7597</v>
      </c>
      <c r="B3255" s="6" t="s">
        <v>3546</v>
      </c>
      <c r="C3255" s="6" t="s">
        <v>1949</v>
      </c>
      <c r="D3255" s="6" t="s">
        <v>7598</v>
      </c>
      <c r="E3255" s="6" t="s">
        <v>2280</v>
      </c>
      <c r="F3255" s="6" t="s">
        <v>277</v>
      </c>
      <c r="G3255" s="7">
        <v>0.1</v>
      </c>
      <c r="H3255" s="6" t="s">
        <v>1638</v>
      </c>
      <c r="I3255" s="6" t="s">
        <v>20</v>
      </c>
      <c r="J3255" s="6">
        <v>2024.0</v>
      </c>
      <c r="K3255" s="10">
        <v>46023.0</v>
      </c>
      <c r="L3255" s="6">
        <v>1.0</v>
      </c>
      <c r="M3255" s="8">
        <f t="shared" si="5"/>
        <v>0.1</v>
      </c>
      <c r="P3255" s="9"/>
    </row>
    <row r="3256">
      <c r="A3256" s="6" t="s">
        <v>7599</v>
      </c>
      <c r="B3256" s="6" t="s">
        <v>5973</v>
      </c>
      <c r="C3256" s="6" t="s">
        <v>295</v>
      </c>
      <c r="D3256" s="6" t="s">
        <v>7600</v>
      </c>
      <c r="E3256" s="6" t="s">
        <v>629</v>
      </c>
      <c r="F3256" s="6" t="s">
        <v>277</v>
      </c>
      <c r="G3256" s="7">
        <v>0.1</v>
      </c>
      <c r="H3256" s="6" t="s">
        <v>2172</v>
      </c>
      <c r="I3256" s="6" t="s">
        <v>20</v>
      </c>
      <c r="J3256" s="6">
        <v>2021.0</v>
      </c>
      <c r="K3256" s="10">
        <v>46023.0</v>
      </c>
      <c r="L3256" s="6">
        <v>1.0</v>
      </c>
      <c r="M3256" s="8">
        <f t="shared" si="5"/>
        <v>0.1</v>
      </c>
      <c r="P3256" s="9"/>
    </row>
    <row r="3257">
      <c r="A3257" s="6" t="s">
        <v>7601</v>
      </c>
      <c r="B3257" s="6" t="s">
        <v>7602</v>
      </c>
      <c r="C3257" s="6" t="s">
        <v>295</v>
      </c>
      <c r="D3257" s="6" t="s">
        <v>7603</v>
      </c>
      <c r="E3257" s="6" t="s">
        <v>2280</v>
      </c>
      <c r="F3257" s="6" t="s">
        <v>277</v>
      </c>
      <c r="G3257" s="7">
        <v>0.04</v>
      </c>
      <c r="H3257" s="6" t="s">
        <v>2619</v>
      </c>
      <c r="I3257" s="6" t="s">
        <v>20</v>
      </c>
      <c r="J3257" s="6">
        <v>2019.0</v>
      </c>
      <c r="K3257" s="10">
        <v>46054.0</v>
      </c>
      <c r="L3257" s="6">
        <v>1.0</v>
      </c>
      <c r="M3257" s="8">
        <f t="shared" si="5"/>
        <v>0.04</v>
      </c>
      <c r="P3257" s="9"/>
    </row>
    <row r="3258">
      <c r="A3258" s="6" t="s">
        <v>7604</v>
      </c>
      <c r="B3258" s="6" t="s">
        <v>610</v>
      </c>
      <c r="C3258" s="6" t="s">
        <v>295</v>
      </c>
      <c r="D3258" s="6" t="s">
        <v>7605</v>
      </c>
      <c r="E3258" s="6" t="s">
        <v>2839</v>
      </c>
      <c r="F3258" s="6" t="s">
        <v>277</v>
      </c>
      <c r="G3258" s="7">
        <v>0.1</v>
      </c>
      <c r="H3258" s="6" t="s">
        <v>6498</v>
      </c>
      <c r="I3258" s="6" t="s">
        <v>20</v>
      </c>
      <c r="J3258" s="6">
        <v>2025.0</v>
      </c>
      <c r="L3258" s="6">
        <v>2.0</v>
      </c>
      <c r="M3258" s="8">
        <f t="shared" si="5"/>
        <v>0.2</v>
      </c>
      <c r="P3258" s="9"/>
    </row>
    <row r="3259">
      <c r="A3259" s="6" t="s">
        <v>7606</v>
      </c>
      <c r="B3259" s="6" t="s">
        <v>7607</v>
      </c>
      <c r="C3259" s="6" t="s">
        <v>295</v>
      </c>
      <c r="D3259" s="6" t="s">
        <v>7608</v>
      </c>
      <c r="E3259" s="6" t="s">
        <v>2280</v>
      </c>
      <c r="F3259" s="6" t="s">
        <v>277</v>
      </c>
      <c r="G3259" s="7">
        <v>0.08</v>
      </c>
      <c r="H3259" s="6" t="s">
        <v>2219</v>
      </c>
      <c r="I3259" s="6" t="s">
        <v>20</v>
      </c>
      <c r="J3259" s="6">
        <v>2024.0</v>
      </c>
      <c r="K3259" s="10">
        <v>46082.0</v>
      </c>
      <c r="L3259" s="6">
        <v>1.0</v>
      </c>
      <c r="M3259" s="8">
        <f t="shared" si="5"/>
        <v>0.08</v>
      </c>
      <c r="P3259" s="9"/>
    </row>
    <row r="3260">
      <c r="A3260" s="6" t="s">
        <v>7609</v>
      </c>
      <c r="B3260" s="6" t="s">
        <v>6639</v>
      </c>
      <c r="C3260" s="6" t="s">
        <v>1949</v>
      </c>
      <c r="D3260" s="6" t="s">
        <v>7610</v>
      </c>
      <c r="E3260" s="6" t="s">
        <v>7611</v>
      </c>
      <c r="F3260" s="6" t="s">
        <v>277</v>
      </c>
      <c r="G3260" s="7">
        <v>0.15</v>
      </c>
      <c r="H3260" s="6" t="s">
        <v>1959</v>
      </c>
      <c r="I3260" s="6" t="s">
        <v>20</v>
      </c>
      <c r="J3260" s="6">
        <v>2024.0</v>
      </c>
      <c r="L3260" s="6">
        <v>2.0</v>
      </c>
      <c r="M3260" s="8">
        <f t="shared" si="5"/>
        <v>0.3</v>
      </c>
      <c r="P3260" s="9"/>
    </row>
    <row r="3261">
      <c r="A3261" s="6" t="s">
        <v>7612</v>
      </c>
      <c r="B3261" s="6" t="s">
        <v>7613</v>
      </c>
      <c r="C3261" s="6" t="s">
        <v>1949</v>
      </c>
      <c r="D3261" s="6" t="s">
        <v>7614</v>
      </c>
      <c r="E3261" s="6" t="s">
        <v>2287</v>
      </c>
      <c r="F3261" s="6" t="s">
        <v>277</v>
      </c>
      <c r="G3261" s="7">
        <v>0.1</v>
      </c>
      <c r="H3261" s="6" t="s">
        <v>6498</v>
      </c>
      <c r="I3261" s="6" t="s">
        <v>20</v>
      </c>
      <c r="J3261" s="6">
        <v>2025.0</v>
      </c>
      <c r="K3261" s="10">
        <v>46117.0</v>
      </c>
      <c r="L3261" s="6">
        <v>1.0</v>
      </c>
      <c r="M3261" s="8">
        <f t="shared" si="5"/>
        <v>0.1</v>
      </c>
      <c r="P3261" s="9"/>
    </row>
    <row r="3262">
      <c r="A3262" s="6" t="s">
        <v>7615</v>
      </c>
      <c r="B3262" s="6" t="s">
        <v>5148</v>
      </c>
      <c r="C3262" s="6" t="s">
        <v>295</v>
      </c>
      <c r="D3262" s="6" t="s">
        <v>7616</v>
      </c>
      <c r="E3262" s="6" t="s">
        <v>1856</v>
      </c>
      <c r="F3262" s="6" t="s">
        <v>277</v>
      </c>
      <c r="G3262" s="7">
        <v>0.04</v>
      </c>
      <c r="H3262" s="6" t="s">
        <v>1959</v>
      </c>
      <c r="I3262" s="6" t="s">
        <v>20</v>
      </c>
      <c r="J3262" s="6">
        <v>2024.0</v>
      </c>
      <c r="K3262" s="10">
        <v>46026.0</v>
      </c>
      <c r="L3262" s="6">
        <v>1.0</v>
      </c>
      <c r="M3262" s="8">
        <f t="shared" si="5"/>
        <v>0.04</v>
      </c>
      <c r="P3262" s="9"/>
    </row>
    <row r="3263">
      <c r="A3263" s="6" t="s">
        <v>7617</v>
      </c>
      <c r="B3263" s="6" t="s">
        <v>5148</v>
      </c>
      <c r="C3263" s="6" t="s">
        <v>1949</v>
      </c>
      <c r="D3263" s="6" t="s">
        <v>7618</v>
      </c>
      <c r="E3263" s="6" t="s">
        <v>629</v>
      </c>
      <c r="F3263" s="6" t="s">
        <v>277</v>
      </c>
      <c r="G3263" s="7">
        <v>0.1</v>
      </c>
      <c r="H3263" s="6" t="s">
        <v>1959</v>
      </c>
      <c r="I3263" s="6" t="s">
        <v>20</v>
      </c>
      <c r="J3263" s="6">
        <v>2024.0</v>
      </c>
      <c r="K3263" s="10">
        <v>46023.0</v>
      </c>
      <c r="L3263" s="6">
        <v>1.0</v>
      </c>
      <c r="M3263" s="8">
        <f t="shared" si="5"/>
        <v>0.1</v>
      </c>
      <c r="P3263" s="9"/>
    </row>
    <row r="3264">
      <c r="A3264" s="6" t="s">
        <v>7619</v>
      </c>
      <c r="B3264" s="6" t="s">
        <v>2014</v>
      </c>
      <c r="C3264" s="6" t="s">
        <v>295</v>
      </c>
      <c r="D3264" s="6" t="s">
        <v>7620</v>
      </c>
      <c r="E3264" s="6" t="s">
        <v>629</v>
      </c>
      <c r="F3264" s="6" t="s">
        <v>277</v>
      </c>
      <c r="G3264" s="7">
        <v>0.09</v>
      </c>
      <c r="H3264" s="6" t="s">
        <v>2205</v>
      </c>
      <c r="I3264" s="6" t="s">
        <v>20</v>
      </c>
      <c r="J3264" s="6">
        <v>2023.0</v>
      </c>
      <c r="L3264" s="6">
        <v>1.0</v>
      </c>
      <c r="M3264" s="8">
        <f t="shared" si="5"/>
        <v>0.09</v>
      </c>
      <c r="P3264" s="9"/>
    </row>
    <row r="3265">
      <c r="A3265" s="6" t="s">
        <v>7621</v>
      </c>
      <c r="B3265" s="6" t="s">
        <v>1944</v>
      </c>
      <c r="C3265" s="6" t="s">
        <v>1949</v>
      </c>
      <c r="D3265" s="6" t="s">
        <v>7622</v>
      </c>
      <c r="E3265" s="6" t="s">
        <v>1853</v>
      </c>
      <c r="F3265" s="6" t="s">
        <v>277</v>
      </c>
      <c r="G3265" s="7">
        <v>0.15</v>
      </c>
      <c r="H3265" s="6" t="s">
        <v>2238</v>
      </c>
      <c r="I3265" s="6" t="s">
        <v>20</v>
      </c>
      <c r="J3265" s="6">
        <v>2024.0</v>
      </c>
      <c r="L3265" s="6">
        <v>1.0</v>
      </c>
      <c r="M3265" s="8">
        <f t="shared" si="5"/>
        <v>0.15</v>
      </c>
      <c r="P3265" s="9"/>
    </row>
    <row r="3266">
      <c r="A3266" s="6" t="s">
        <v>7623</v>
      </c>
      <c r="B3266" s="6" t="s">
        <v>7624</v>
      </c>
      <c r="C3266" s="6" t="s">
        <v>295</v>
      </c>
      <c r="D3266" s="6" t="s">
        <v>7625</v>
      </c>
      <c r="E3266" s="6" t="s">
        <v>2287</v>
      </c>
      <c r="F3266" s="6" t="s">
        <v>277</v>
      </c>
      <c r="G3266" s="7">
        <v>0.05</v>
      </c>
      <c r="H3266" s="6" t="s">
        <v>6498</v>
      </c>
      <c r="I3266" s="6" t="s">
        <v>20</v>
      </c>
      <c r="J3266" s="6">
        <v>2025.0</v>
      </c>
      <c r="K3266" s="10">
        <v>46084.0</v>
      </c>
      <c r="L3266" s="6">
        <v>1.0</v>
      </c>
      <c r="M3266" s="8">
        <f t="shared" si="5"/>
        <v>0.05</v>
      </c>
      <c r="P3266" s="9"/>
    </row>
    <row r="3267">
      <c r="A3267" s="6" t="s">
        <v>7626</v>
      </c>
      <c r="B3267" s="6" t="s">
        <v>6557</v>
      </c>
      <c r="C3267" s="6" t="s">
        <v>295</v>
      </c>
      <c r="D3267" s="6" t="s">
        <v>7627</v>
      </c>
      <c r="E3267" s="6" t="s">
        <v>1853</v>
      </c>
      <c r="F3267" s="6" t="s">
        <v>277</v>
      </c>
      <c r="G3267" s="7">
        <v>0.04</v>
      </c>
      <c r="H3267" s="6" t="s">
        <v>3934</v>
      </c>
      <c r="I3267" s="6" t="s">
        <v>20</v>
      </c>
      <c r="J3267" s="6">
        <v>2023.0</v>
      </c>
      <c r="K3267" s="10">
        <v>46026.0</v>
      </c>
      <c r="L3267" s="6">
        <v>1.0</v>
      </c>
      <c r="M3267" s="8">
        <f t="shared" si="5"/>
        <v>0.04</v>
      </c>
      <c r="P3267" s="9"/>
    </row>
    <row r="3268">
      <c r="A3268" s="6" t="s">
        <v>7628</v>
      </c>
      <c r="B3268" s="6" t="s">
        <v>7629</v>
      </c>
      <c r="C3268" s="6" t="s">
        <v>1949</v>
      </c>
      <c r="D3268" s="6" t="s">
        <v>7630</v>
      </c>
      <c r="E3268" s="6" t="s">
        <v>1853</v>
      </c>
      <c r="F3268" s="6" t="s">
        <v>277</v>
      </c>
      <c r="G3268" s="7">
        <v>0.14</v>
      </c>
      <c r="H3268" s="6" t="s">
        <v>1965</v>
      </c>
      <c r="I3268" s="6" t="s">
        <v>20</v>
      </c>
      <c r="J3268" s="6">
        <v>2022.0</v>
      </c>
      <c r="K3268" s="10">
        <v>46055.0</v>
      </c>
      <c r="L3268" s="6">
        <v>1.0</v>
      </c>
      <c r="M3268" s="8">
        <f t="shared" si="5"/>
        <v>0.14</v>
      </c>
      <c r="P3268" s="9"/>
    </row>
    <row r="3269">
      <c r="A3269" s="6" t="s">
        <v>5227</v>
      </c>
      <c r="B3269" s="6" t="s">
        <v>4104</v>
      </c>
      <c r="C3269" s="6" t="s">
        <v>1949</v>
      </c>
      <c r="D3269" s="6" t="s">
        <v>5228</v>
      </c>
      <c r="E3269" s="6" t="s">
        <v>5229</v>
      </c>
      <c r="F3269" s="6" t="s">
        <v>277</v>
      </c>
      <c r="G3269" s="7">
        <v>0.15</v>
      </c>
      <c r="H3269" s="6" t="s">
        <v>2186</v>
      </c>
      <c r="I3269" s="6" t="s">
        <v>20</v>
      </c>
      <c r="J3269" s="6">
        <v>2022.0</v>
      </c>
      <c r="K3269" s="10">
        <v>46117.0</v>
      </c>
      <c r="L3269" s="6">
        <v>1.0</v>
      </c>
      <c r="M3269" s="8">
        <f t="shared" si="5"/>
        <v>0.15</v>
      </c>
      <c r="P3269" s="9"/>
    </row>
    <row r="3270">
      <c r="A3270" s="6" t="s">
        <v>5719</v>
      </c>
      <c r="B3270" s="6" t="s">
        <v>5720</v>
      </c>
      <c r="C3270" s="6" t="s">
        <v>295</v>
      </c>
      <c r="D3270" s="6" t="s">
        <v>5721</v>
      </c>
      <c r="E3270" s="6" t="s">
        <v>4252</v>
      </c>
      <c r="F3270" s="6" t="s">
        <v>277</v>
      </c>
      <c r="G3270" s="7">
        <v>0.1</v>
      </c>
      <c r="H3270" s="6" t="s">
        <v>1711</v>
      </c>
      <c r="I3270" s="6" t="s">
        <v>20</v>
      </c>
      <c r="J3270" s="6">
        <v>2022.0</v>
      </c>
      <c r="K3270" s="10">
        <v>46147.0</v>
      </c>
      <c r="L3270" s="6">
        <v>1.0</v>
      </c>
      <c r="M3270" s="8">
        <f t="shared" si="5"/>
        <v>0.1</v>
      </c>
      <c r="P3270" s="9"/>
    </row>
    <row r="3271">
      <c r="A3271" s="6" t="s">
        <v>7631</v>
      </c>
      <c r="B3271" s="6" t="s">
        <v>1896</v>
      </c>
      <c r="C3271" s="6" t="s">
        <v>295</v>
      </c>
      <c r="D3271" s="6" t="s">
        <v>7632</v>
      </c>
      <c r="E3271" s="6" t="s">
        <v>1035</v>
      </c>
      <c r="F3271" s="6" t="s">
        <v>277</v>
      </c>
      <c r="G3271" s="7">
        <v>0.75</v>
      </c>
      <c r="H3271" s="6" t="s">
        <v>3587</v>
      </c>
      <c r="I3271" s="6" t="s">
        <v>20</v>
      </c>
      <c r="J3271" s="6">
        <v>2021.0</v>
      </c>
      <c r="L3271" s="6">
        <v>1.0</v>
      </c>
      <c r="M3271" s="8">
        <f t="shared" si="5"/>
        <v>0.75</v>
      </c>
      <c r="P3271" s="9"/>
    </row>
    <row r="3272">
      <c r="A3272" s="6" t="s">
        <v>7633</v>
      </c>
      <c r="B3272" s="6" t="s">
        <v>7634</v>
      </c>
      <c r="C3272" s="6" t="s">
        <v>295</v>
      </c>
      <c r="D3272" s="6" t="s">
        <v>7635</v>
      </c>
      <c r="E3272" s="6" t="s">
        <v>3548</v>
      </c>
      <c r="F3272" s="6" t="s">
        <v>277</v>
      </c>
      <c r="G3272" s="7">
        <v>0.06</v>
      </c>
      <c r="H3272" s="6" t="s">
        <v>3934</v>
      </c>
      <c r="I3272" s="6" t="s">
        <v>20</v>
      </c>
      <c r="J3272" s="6">
        <v>2023.0</v>
      </c>
      <c r="K3272" s="10">
        <v>46147.0</v>
      </c>
      <c r="L3272" s="6">
        <v>1.0</v>
      </c>
      <c r="M3272" s="8">
        <f t="shared" si="5"/>
        <v>0.06</v>
      </c>
      <c r="P3272" s="9"/>
    </row>
    <row r="3273">
      <c r="A3273" s="6" t="s">
        <v>7636</v>
      </c>
      <c r="B3273" s="6" t="s">
        <v>7637</v>
      </c>
      <c r="C3273" s="6" t="s">
        <v>295</v>
      </c>
      <c r="D3273" s="6" t="s">
        <v>7638</v>
      </c>
      <c r="F3273" s="6" t="s">
        <v>277</v>
      </c>
      <c r="G3273" s="7">
        <v>0.1</v>
      </c>
      <c r="H3273" s="6" t="s">
        <v>3934</v>
      </c>
      <c r="I3273" s="6" t="s">
        <v>20</v>
      </c>
      <c r="J3273" s="6">
        <v>2023.0</v>
      </c>
      <c r="L3273" s="6">
        <v>1.0</v>
      </c>
      <c r="M3273" s="8">
        <f t="shared" si="5"/>
        <v>0.1</v>
      </c>
      <c r="P3273" s="9"/>
    </row>
    <row r="3274">
      <c r="A3274" s="6" t="s">
        <v>7639</v>
      </c>
      <c r="B3274" s="6" t="s">
        <v>378</v>
      </c>
      <c r="C3274" s="6" t="s">
        <v>295</v>
      </c>
      <c r="D3274" s="6" t="s">
        <v>7640</v>
      </c>
      <c r="E3274" s="6" t="s">
        <v>629</v>
      </c>
      <c r="F3274" s="6" t="s">
        <v>277</v>
      </c>
      <c r="G3274" s="7">
        <v>0.19</v>
      </c>
      <c r="H3274" s="6" t="s">
        <v>3934</v>
      </c>
      <c r="I3274" s="6" t="s">
        <v>20</v>
      </c>
      <c r="J3274" s="6">
        <v>2023.0</v>
      </c>
      <c r="L3274" s="6">
        <v>1.0</v>
      </c>
      <c r="M3274" s="8">
        <f t="shared" si="5"/>
        <v>0.19</v>
      </c>
      <c r="P3274" s="9"/>
    </row>
    <row r="3275">
      <c r="A3275" s="6" t="s">
        <v>7641</v>
      </c>
      <c r="B3275" s="6" t="s">
        <v>1896</v>
      </c>
      <c r="C3275" s="6" t="s">
        <v>1949</v>
      </c>
      <c r="D3275" s="6" t="s">
        <v>7642</v>
      </c>
      <c r="E3275" s="6" t="s">
        <v>629</v>
      </c>
      <c r="F3275" s="6" t="s">
        <v>277</v>
      </c>
      <c r="G3275" s="7">
        <v>0.5</v>
      </c>
      <c r="H3275" s="6" t="s">
        <v>3934</v>
      </c>
      <c r="I3275" s="6" t="s">
        <v>20</v>
      </c>
      <c r="J3275" s="6">
        <v>2023.0</v>
      </c>
      <c r="L3275" s="6">
        <v>1.0</v>
      </c>
      <c r="M3275" s="8">
        <f t="shared" si="5"/>
        <v>0.5</v>
      </c>
      <c r="P3275" s="9"/>
    </row>
    <row r="3276">
      <c r="A3276" s="6" t="s">
        <v>7643</v>
      </c>
      <c r="B3276" s="6" t="s">
        <v>7644</v>
      </c>
      <c r="C3276" s="6" t="s">
        <v>295</v>
      </c>
      <c r="D3276" s="6" t="s">
        <v>7645</v>
      </c>
      <c r="E3276" s="6" t="s">
        <v>780</v>
      </c>
      <c r="F3276" s="6" t="s">
        <v>18</v>
      </c>
      <c r="G3276" s="7">
        <v>0.25</v>
      </c>
      <c r="H3276" s="6" t="s">
        <v>1708</v>
      </c>
      <c r="I3276" s="6" t="s">
        <v>31</v>
      </c>
      <c r="J3276" s="6">
        <v>2019.0</v>
      </c>
      <c r="K3276" s="10">
        <v>46023.0</v>
      </c>
      <c r="L3276" s="6">
        <v>1.0</v>
      </c>
      <c r="M3276" s="8">
        <f t="shared" si="5"/>
        <v>0.25</v>
      </c>
      <c r="P3276" s="9"/>
    </row>
    <row r="3277">
      <c r="A3277" s="6" t="s">
        <v>7646</v>
      </c>
      <c r="B3277" s="6" t="s">
        <v>378</v>
      </c>
      <c r="C3277" s="6" t="s">
        <v>295</v>
      </c>
      <c r="D3277" s="6" t="s">
        <v>7647</v>
      </c>
      <c r="E3277" s="6" t="s">
        <v>780</v>
      </c>
      <c r="F3277" s="6" t="s">
        <v>18</v>
      </c>
      <c r="G3277" s="7">
        <v>0.39</v>
      </c>
      <c r="H3277" s="6" t="s">
        <v>2219</v>
      </c>
      <c r="I3277" s="6" t="s">
        <v>31</v>
      </c>
      <c r="J3277" s="6">
        <v>2024.0</v>
      </c>
      <c r="L3277" s="6">
        <v>1.0</v>
      </c>
      <c r="M3277" s="8">
        <f t="shared" si="5"/>
        <v>0.39</v>
      </c>
      <c r="P3277" s="9"/>
    </row>
    <row r="3278">
      <c r="A3278" s="6" t="s">
        <v>7648</v>
      </c>
      <c r="B3278" s="6" t="s">
        <v>7649</v>
      </c>
      <c r="C3278" s="6" t="s">
        <v>295</v>
      </c>
      <c r="D3278" s="6" t="s">
        <v>7650</v>
      </c>
      <c r="E3278" s="6" t="s">
        <v>780</v>
      </c>
      <c r="F3278" s="6" t="s">
        <v>18</v>
      </c>
      <c r="G3278" s="7">
        <v>0.23</v>
      </c>
      <c r="H3278" s="6" t="s">
        <v>6498</v>
      </c>
      <c r="I3278" s="6" t="s">
        <v>31</v>
      </c>
      <c r="J3278" s="6">
        <v>2025.0</v>
      </c>
      <c r="K3278" s="10">
        <v>46023.0</v>
      </c>
      <c r="L3278" s="6">
        <v>1.0</v>
      </c>
      <c r="M3278" s="8">
        <f t="shared" si="5"/>
        <v>0.23</v>
      </c>
      <c r="P3278" s="9"/>
    </row>
    <row r="3279">
      <c r="A3279" s="6" t="s">
        <v>7651</v>
      </c>
      <c r="B3279" s="6" t="s">
        <v>7644</v>
      </c>
      <c r="C3279" s="6" t="s">
        <v>1949</v>
      </c>
      <c r="D3279" s="6" t="s">
        <v>7652</v>
      </c>
      <c r="E3279" s="6" t="s">
        <v>1954</v>
      </c>
      <c r="F3279" s="6" t="s">
        <v>18</v>
      </c>
      <c r="G3279" s="7">
        <v>0.4</v>
      </c>
      <c r="H3279" s="6" t="s">
        <v>3595</v>
      </c>
      <c r="I3279" s="6" t="s">
        <v>20</v>
      </c>
      <c r="J3279" s="6">
        <v>2020.0</v>
      </c>
      <c r="K3279" s="10">
        <v>46055.0</v>
      </c>
      <c r="L3279" s="6">
        <v>1.0</v>
      </c>
      <c r="M3279" s="8">
        <f t="shared" si="5"/>
        <v>0.4</v>
      </c>
      <c r="P3279" s="9"/>
    </row>
    <row r="3280">
      <c r="A3280" s="6" t="s">
        <v>7653</v>
      </c>
      <c r="B3280" s="6" t="s">
        <v>7654</v>
      </c>
      <c r="C3280" s="6" t="s">
        <v>295</v>
      </c>
      <c r="D3280" s="6" t="s">
        <v>7655</v>
      </c>
      <c r="E3280" s="6" t="s">
        <v>5317</v>
      </c>
      <c r="F3280" s="6" t="s">
        <v>18</v>
      </c>
      <c r="G3280" s="7">
        <v>0.15</v>
      </c>
      <c r="H3280" s="6" t="s">
        <v>2141</v>
      </c>
      <c r="I3280" s="6" t="s">
        <v>20</v>
      </c>
      <c r="J3280" s="6">
        <v>2023.0</v>
      </c>
      <c r="K3280" s="10">
        <v>46148.0</v>
      </c>
      <c r="L3280" s="6">
        <v>1.0</v>
      </c>
      <c r="M3280" s="8">
        <f t="shared" si="5"/>
        <v>0.15</v>
      </c>
      <c r="P3280" s="9"/>
    </row>
    <row r="3281">
      <c r="A3281" s="6" t="s">
        <v>7656</v>
      </c>
      <c r="B3281" s="6" t="s">
        <v>2502</v>
      </c>
      <c r="C3281" s="6" t="s">
        <v>295</v>
      </c>
      <c r="D3281" s="6" t="s">
        <v>7657</v>
      </c>
      <c r="E3281" s="6" t="s">
        <v>2503</v>
      </c>
      <c r="F3281" s="6" t="s">
        <v>18</v>
      </c>
      <c r="G3281" s="7">
        <v>0.48</v>
      </c>
      <c r="H3281" s="6" t="s">
        <v>2141</v>
      </c>
      <c r="I3281" s="6" t="s">
        <v>20</v>
      </c>
      <c r="J3281" s="6">
        <v>2023.0</v>
      </c>
      <c r="K3281" s="10">
        <v>46147.0</v>
      </c>
      <c r="L3281" s="6">
        <v>1.0</v>
      </c>
      <c r="M3281" s="8">
        <f t="shared" si="5"/>
        <v>0.48</v>
      </c>
      <c r="P3281" s="9"/>
    </row>
    <row r="3282">
      <c r="A3282" s="6" t="s">
        <v>7658</v>
      </c>
      <c r="B3282" s="6" t="s">
        <v>2301</v>
      </c>
      <c r="C3282" s="6" t="s">
        <v>295</v>
      </c>
      <c r="D3282" s="6" t="s">
        <v>7659</v>
      </c>
      <c r="E3282" s="6" t="s">
        <v>1954</v>
      </c>
      <c r="F3282" s="6" t="s">
        <v>18</v>
      </c>
      <c r="G3282" s="7">
        <v>0.2</v>
      </c>
      <c r="H3282" s="6" t="s">
        <v>2141</v>
      </c>
      <c r="I3282" s="6" t="s">
        <v>20</v>
      </c>
      <c r="J3282" s="6">
        <v>2023.0</v>
      </c>
      <c r="K3282" s="10">
        <v>46023.0</v>
      </c>
      <c r="L3282" s="6">
        <v>1.0</v>
      </c>
      <c r="M3282" s="8">
        <f t="shared" si="5"/>
        <v>0.2</v>
      </c>
      <c r="P3282" s="9"/>
    </row>
    <row r="3283">
      <c r="A3283" s="6" t="s">
        <v>7660</v>
      </c>
      <c r="B3283" s="6" t="s">
        <v>7661</v>
      </c>
      <c r="C3283" s="6" t="s">
        <v>1949</v>
      </c>
      <c r="D3283" s="6" t="s">
        <v>7662</v>
      </c>
      <c r="E3283" s="6" t="s">
        <v>2510</v>
      </c>
      <c r="F3283" s="6" t="s">
        <v>18</v>
      </c>
      <c r="G3283" s="7">
        <v>0.5</v>
      </c>
      <c r="H3283" s="6" t="s">
        <v>2141</v>
      </c>
      <c r="I3283" s="6" t="s">
        <v>20</v>
      </c>
      <c r="J3283" s="6">
        <v>2023.0</v>
      </c>
      <c r="K3283" s="10">
        <v>46146.0</v>
      </c>
      <c r="L3283" s="6">
        <v>1.0</v>
      </c>
      <c r="M3283" s="8">
        <f t="shared" si="5"/>
        <v>0.5</v>
      </c>
      <c r="P3283" s="9"/>
    </row>
    <row r="3284">
      <c r="A3284" s="6" t="s">
        <v>7663</v>
      </c>
      <c r="B3284" s="6" t="s">
        <v>1944</v>
      </c>
      <c r="C3284" s="6" t="s">
        <v>1949</v>
      </c>
      <c r="D3284" s="6" t="s">
        <v>7664</v>
      </c>
      <c r="E3284" s="6" t="s">
        <v>1954</v>
      </c>
      <c r="F3284" s="6" t="s">
        <v>18</v>
      </c>
      <c r="G3284" s="7">
        <v>0.23</v>
      </c>
      <c r="H3284" s="6" t="s">
        <v>2141</v>
      </c>
      <c r="I3284" s="6" t="s">
        <v>20</v>
      </c>
      <c r="J3284" s="6">
        <v>2023.0</v>
      </c>
      <c r="L3284" s="6">
        <v>1.0</v>
      </c>
      <c r="M3284" s="8">
        <f t="shared" si="5"/>
        <v>0.23</v>
      </c>
      <c r="P3284" s="9"/>
    </row>
    <row r="3285">
      <c r="A3285" s="6" t="s">
        <v>7665</v>
      </c>
      <c r="B3285" s="6" t="s">
        <v>1944</v>
      </c>
      <c r="C3285" s="6" t="s">
        <v>1949</v>
      </c>
      <c r="D3285" s="6" t="s">
        <v>7666</v>
      </c>
      <c r="E3285" s="6" t="s">
        <v>2299</v>
      </c>
      <c r="F3285" s="6" t="s">
        <v>18</v>
      </c>
      <c r="G3285" s="7">
        <v>0.23</v>
      </c>
      <c r="H3285" s="6" t="s">
        <v>3476</v>
      </c>
      <c r="I3285" s="6" t="s">
        <v>20</v>
      </c>
      <c r="J3285" s="6">
        <v>2023.0</v>
      </c>
      <c r="L3285" s="6">
        <v>1.0</v>
      </c>
      <c r="M3285" s="8">
        <f t="shared" si="5"/>
        <v>0.23</v>
      </c>
      <c r="P3285" s="9"/>
    </row>
    <row r="3286">
      <c r="A3286" s="6" t="s">
        <v>7667</v>
      </c>
      <c r="B3286" s="6" t="s">
        <v>385</v>
      </c>
      <c r="C3286" s="6" t="s">
        <v>295</v>
      </c>
      <c r="D3286" s="6" t="s">
        <v>7668</v>
      </c>
      <c r="E3286" s="6" t="s">
        <v>1954</v>
      </c>
      <c r="F3286" s="6" t="s">
        <v>18</v>
      </c>
      <c r="G3286" s="7">
        <v>0.05</v>
      </c>
      <c r="H3286" s="6" t="s">
        <v>1959</v>
      </c>
      <c r="I3286" s="6" t="s">
        <v>20</v>
      </c>
      <c r="J3286" s="6">
        <v>2024.0</v>
      </c>
      <c r="L3286" s="6">
        <v>1.0</v>
      </c>
      <c r="M3286" s="8">
        <f t="shared" si="5"/>
        <v>0.05</v>
      </c>
      <c r="P3286" s="9"/>
    </row>
    <row r="3287">
      <c r="A3287" s="6" t="s">
        <v>7669</v>
      </c>
      <c r="B3287" s="6" t="s">
        <v>7670</v>
      </c>
      <c r="C3287" s="6" t="s">
        <v>295</v>
      </c>
      <c r="D3287" s="6" t="s">
        <v>7671</v>
      </c>
      <c r="E3287" s="6" t="s">
        <v>2295</v>
      </c>
      <c r="F3287" s="6" t="s">
        <v>18</v>
      </c>
      <c r="G3287" s="7">
        <v>0.09</v>
      </c>
      <c r="H3287" s="6" t="s">
        <v>2219</v>
      </c>
      <c r="I3287" s="6" t="s">
        <v>20</v>
      </c>
      <c r="J3287" s="6">
        <v>2024.0</v>
      </c>
      <c r="K3287" s="10">
        <v>46084.0</v>
      </c>
      <c r="L3287" s="6">
        <v>1.0</v>
      </c>
      <c r="M3287" s="8">
        <f t="shared" si="5"/>
        <v>0.09</v>
      </c>
      <c r="P3287" s="9"/>
    </row>
    <row r="3288">
      <c r="A3288" s="6" t="s">
        <v>7672</v>
      </c>
      <c r="B3288" s="6" t="s">
        <v>7673</v>
      </c>
      <c r="C3288" s="6" t="s">
        <v>295</v>
      </c>
      <c r="D3288" s="6" t="s">
        <v>7674</v>
      </c>
      <c r="E3288" s="6" t="s">
        <v>1954</v>
      </c>
      <c r="F3288" s="6" t="s">
        <v>18</v>
      </c>
      <c r="G3288" s="7">
        <v>0.05</v>
      </c>
      <c r="H3288" s="6" t="s">
        <v>2219</v>
      </c>
      <c r="I3288" s="6" t="s">
        <v>20</v>
      </c>
      <c r="J3288" s="6">
        <v>2024.0</v>
      </c>
      <c r="K3288" s="10">
        <v>46025.0</v>
      </c>
      <c r="L3288" s="6">
        <v>1.0</v>
      </c>
      <c r="M3288" s="8">
        <f t="shared" si="5"/>
        <v>0.05</v>
      </c>
      <c r="P3288" s="9"/>
    </row>
    <row r="3289">
      <c r="A3289" s="6" t="s">
        <v>7675</v>
      </c>
      <c r="B3289" s="6" t="s">
        <v>5873</v>
      </c>
      <c r="C3289" s="6" t="s">
        <v>295</v>
      </c>
      <c r="D3289" s="6" t="s">
        <v>7676</v>
      </c>
      <c r="E3289" s="6" t="s">
        <v>1954</v>
      </c>
      <c r="F3289" s="6" t="s">
        <v>18</v>
      </c>
      <c r="G3289" s="7">
        <v>0.05</v>
      </c>
      <c r="H3289" s="6" t="s">
        <v>1959</v>
      </c>
      <c r="I3289" s="6" t="s">
        <v>20</v>
      </c>
      <c r="J3289" s="6">
        <v>2024.0</v>
      </c>
      <c r="K3289" s="10">
        <v>46055.0</v>
      </c>
      <c r="L3289" s="6">
        <v>1.0</v>
      </c>
      <c r="M3289" s="8">
        <f t="shared" si="5"/>
        <v>0.05</v>
      </c>
      <c r="P3289" s="9"/>
    </row>
    <row r="3290">
      <c r="A3290" s="6" t="s">
        <v>7677</v>
      </c>
      <c r="B3290" s="6" t="s">
        <v>385</v>
      </c>
      <c r="C3290" s="6" t="s">
        <v>295</v>
      </c>
      <c r="D3290" s="6" t="s">
        <v>7678</v>
      </c>
      <c r="E3290" s="6" t="s">
        <v>1954</v>
      </c>
      <c r="F3290" s="6" t="s">
        <v>18</v>
      </c>
      <c r="G3290" s="7">
        <v>0.15</v>
      </c>
      <c r="H3290" s="6" t="s">
        <v>1959</v>
      </c>
      <c r="I3290" s="6" t="s">
        <v>20</v>
      </c>
      <c r="J3290" s="6">
        <v>2024.0</v>
      </c>
      <c r="L3290" s="6">
        <v>1.0</v>
      </c>
      <c r="M3290" s="8">
        <f t="shared" si="5"/>
        <v>0.15</v>
      </c>
      <c r="P3290" s="9"/>
    </row>
    <row r="3291">
      <c r="A3291" s="6" t="s">
        <v>7679</v>
      </c>
      <c r="B3291" s="6" t="s">
        <v>378</v>
      </c>
      <c r="C3291" s="6" t="s">
        <v>295</v>
      </c>
      <c r="D3291" s="6" t="s">
        <v>7680</v>
      </c>
      <c r="E3291" s="6" t="s">
        <v>1954</v>
      </c>
      <c r="F3291" s="6" t="s">
        <v>18</v>
      </c>
      <c r="G3291" s="7">
        <v>0.05</v>
      </c>
      <c r="H3291" s="6" t="s">
        <v>3049</v>
      </c>
      <c r="I3291" s="6" t="s">
        <v>20</v>
      </c>
      <c r="J3291" s="6">
        <v>2025.0</v>
      </c>
      <c r="L3291" s="6">
        <v>1.0</v>
      </c>
      <c r="M3291" s="8">
        <f t="shared" si="5"/>
        <v>0.05</v>
      </c>
      <c r="P3291" s="9"/>
    </row>
    <row r="3292">
      <c r="A3292" s="6" t="s">
        <v>7681</v>
      </c>
      <c r="B3292" s="6" t="s">
        <v>2576</v>
      </c>
      <c r="C3292" s="6" t="s">
        <v>295</v>
      </c>
      <c r="D3292" s="6" t="s">
        <v>7682</v>
      </c>
      <c r="E3292" s="6" t="s">
        <v>1954</v>
      </c>
      <c r="F3292" s="6" t="s">
        <v>18</v>
      </c>
      <c r="G3292" s="7">
        <v>0.2</v>
      </c>
      <c r="H3292" s="6" t="s">
        <v>2584</v>
      </c>
      <c r="I3292" s="6" t="s">
        <v>20</v>
      </c>
      <c r="J3292" s="6">
        <v>2014.0</v>
      </c>
      <c r="K3292" s="10">
        <v>46024.0</v>
      </c>
      <c r="L3292" s="6">
        <v>1.0</v>
      </c>
      <c r="M3292" s="8">
        <f t="shared" si="5"/>
        <v>0.2</v>
      </c>
      <c r="P3292" s="9"/>
    </row>
    <row r="3293">
      <c r="A3293" s="6" t="s">
        <v>7683</v>
      </c>
      <c r="B3293" s="6" t="s">
        <v>7684</v>
      </c>
      <c r="C3293" s="6" t="s">
        <v>295</v>
      </c>
      <c r="D3293" s="6" t="s">
        <v>7685</v>
      </c>
      <c r="E3293" s="6" t="s">
        <v>2299</v>
      </c>
      <c r="F3293" s="6" t="s">
        <v>18</v>
      </c>
      <c r="G3293" s="7">
        <v>0.05</v>
      </c>
      <c r="H3293" s="6" t="s">
        <v>1959</v>
      </c>
      <c r="I3293" s="6" t="s">
        <v>20</v>
      </c>
      <c r="J3293" s="6">
        <v>2024.0</v>
      </c>
      <c r="K3293" s="10">
        <v>46116.0</v>
      </c>
      <c r="L3293" s="6">
        <v>1.0</v>
      </c>
      <c r="M3293" s="8">
        <f t="shared" si="5"/>
        <v>0.05</v>
      </c>
      <c r="P3293" s="9"/>
    </row>
    <row r="3294">
      <c r="A3294" s="6" t="s">
        <v>7686</v>
      </c>
      <c r="B3294" s="6" t="s">
        <v>2232</v>
      </c>
      <c r="C3294" s="6" t="s">
        <v>1949</v>
      </c>
      <c r="D3294" s="6" t="s">
        <v>7687</v>
      </c>
      <c r="E3294" s="6" t="s">
        <v>1680</v>
      </c>
      <c r="F3294" s="6" t="s">
        <v>80</v>
      </c>
      <c r="G3294" s="7">
        <v>0.1</v>
      </c>
      <c r="H3294" s="6" t="s">
        <v>1638</v>
      </c>
      <c r="I3294" s="6" t="s">
        <v>20</v>
      </c>
      <c r="J3294" s="6">
        <v>2024.0</v>
      </c>
      <c r="K3294" s="10">
        <v>46148.0</v>
      </c>
      <c r="L3294" s="6">
        <v>1.0</v>
      </c>
      <c r="M3294" s="8">
        <f t="shared" si="5"/>
        <v>0.1</v>
      </c>
      <c r="P3294" s="9"/>
    </row>
    <row r="3295">
      <c r="A3295" s="6" t="s">
        <v>7688</v>
      </c>
      <c r="B3295" s="6" t="s">
        <v>1896</v>
      </c>
      <c r="C3295" s="6" t="s">
        <v>295</v>
      </c>
      <c r="D3295" s="6" t="s">
        <v>7689</v>
      </c>
      <c r="E3295" s="6" t="s">
        <v>1035</v>
      </c>
      <c r="F3295" s="6" t="s">
        <v>80</v>
      </c>
      <c r="G3295" s="7">
        <v>1.69</v>
      </c>
      <c r="H3295" s="6" t="s">
        <v>1965</v>
      </c>
      <c r="I3295" s="6" t="s">
        <v>20</v>
      </c>
      <c r="J3295" s="6">
        <v>2022.0</v>
      </c>
      <c r="L3295" s="6">
        <v>1.0</v>
      </c>
      <c r="M3295" s="8">
        <f t="shared" si="5"/>
        <v>1.69</v>
      </c>
      <c r="N3295" s="6" t="s">
        <v>6488</v>
      </c>
      <c r="P3295" s="9"/>
    </row>
    <row r="3296">
      <c r="A3296" s="6" t="s">
        <v>7690</v>
      </c>
      <c r="B3296" s="6" t="s">
        <v>2184</v>
      </c>
      <c r="C3296" s="6" t="s">
        <v>295</v>
      </c>
      <c r="D3296" s="6" t="s">
        <v>7691</v>
      </c>
      <c r="E3296" s="6" t="s">
        <v>1035</v>
      </c>
      <c r="F3296" s="6" t="s">
        <v>80</v>
      </c>
      <c r="G3296" s="7">
        <v>0.05</v>
      </c>
      <c r="H3296" s="6" t="s">
        <v>2219</v>
      </c>
      <c r="I3296" s="6" t="s">
        <v>20</v>
      </c>
      <c r="J3296" s="6">
        <v>2024.0</v>
      </c>
      <c r="K3296" s="6" t="s">
        <v>564</v>
      </c>
      <c r="L3296" s="6">
        <v>1.0</v>
      </c>
      <c r="M3296" s="8">
        <f t="shared" si="5"/>
        <v>0.05</v>
      </c>
      <c r="P3296" s="9"/>
    </row>
    <row r="3297">
      <c r="A3297" s="6" t="s">
        <v>7692</v>
      </c>
      <c r="B3297" s="6" t="s">
        <v>1972</v>
      </c>
      <c r="C3297" s="6" t="s">
        <v>295</v>
      </c>
      <c r="D3297" s="6" t="s">
        <v>7693</v>
      </c>
      <c r="E3297" s="6" t="s">
        <v>1032</v>
      </c>
      <c r="F3297" s="6" t="s">
        <v>80</v>
      </c>
      <c r="G3297" s="7">
        <v>0.05</v>
      </c>
      <c r="H3297" s="6" t="s">
        <v>2172</v>
      </c>
      <c r="I3297" s="6" t="s">
        <v>20</v>
      </c>
      <c r="J3297" s="6">
        <v>2021.0</v>
      </c>
      <c r="K3297" s="10">
        <v>46055.0</v>
      </c>
      <c r="L3297" s="6">
        <v>1.0</v>
      </c>
      <c r="M3297" s="8">
        <f t="shared" si="5"/>
        <v>0.05</v>
      </c>
      <c r="P3297" s="9"/>
    </row>
    <row r="3298">
      <c r="A3298" s="6" t="s">
        <v>7694</v>
      </c>
      <c r="B3298" s="6" t="s">
        <v>6813</v>
      </c>
      <c r="C3298" s="6" t="s">
        <v>295</v>
      </c>
      <c r="D3298" s="6" t="s">
        <v>7695</v>
      </c>
      <c r="E3298" s="6" t="s">
        <v>1032</v>
      </c>
      <c r="F3298" s="6" t="s">
        <v>80</v>
      </c>
      <c r="G3298" s="7">
        <v>0.05</v>
      </c>
      <c r="H3298" s="6" t="s">
        <v>6498</v>
      </c>
      <c r="I3298" s="6" t="s">
        <v>20</v>
      </c>
      <c r="J3298" s="6">
        <v>2025.0</v>
      </c>
      <c r="K3298" s="10">
        <v>46024.0</v>
      </c>
      <c r="L3298" s="6">
        <v>1.0</v>
      </c>
      <c r="M3298" s="8">
        <f t="shared" si="5"/>
        <v>0.05</v>
      </c>
      <c r="P3298" s="9"/>
    </row>
    <row r="3299">
      <c r="A3299" s="6" t="s">
        <v>7696</v>
      </c>
      <c r="B3299" s="6" t="s">
        <v>1896</v>
      </c>
      <c r="C3299" s="6" t="s">
        <v>1949</v>
      </c>
      <c r="D3299" s="6" t="s">
        <v>7697</v>
      </c>
      <c r="E3299" s="6" t="s">
        <v>1269</v>
      </c>
      <c r="F3299" s="6" t="s">
        <v>80</v>
      </c>
      <c r="G3299" s="7">
        <v>0.06</v>
      </c>
      <c r="H3299" s="6" t="s">
        <v>1641</v>
      </c>
      <c r="I3299" s="6" t="s">
        <v>20</v>
      </c>
      <c r="J3299" s="6">
        <v>2019.0</v>
      </c>
      <c r="L3299" s="6">
        <v>1.0</v>
      </c>
      <c r="M3299" s="8">
        <f t="shared" si="5"/>
        <v>0.06</v>
      </c>
      <c r="P3299" s="9"/>
    </row>
    <row r="3300">
      <c r="A3300" s="6" t="s">
        <v>7698</v>
      </c>
      <c r="B3300" s="6" t="s">
        <v>6799</v>
      </c>
      <c r="C3300" s="6" t="s">
        <v>295</v>
      </c>
      <c r="D3300" s="6" t="s">
        <v>7699</v>
      </c>
      <c r="E3300" s="6" t="s">
        <v>1693</v>
      </c>
      <c r="F3300" s="6" t="s">
        <v>80</v>
      </c>
      <c r="G3300" s="7">
        <v>0.03</v>
      </c>
      <c r="H3300" s="6" t="s">
        <v>1959</v>
      </c>
      <c r="I3300" s="6" t="s">
        <v>20</v>
      </c>
      <c r="J3300" s="6">
        <v>2024.0</v>
      </c>
      <c r="K3300" s="10">
        <v>46116.0</v>
      </c>
      <c r="L3300" s="6">
        <v>1.0</v>
      </c>
      <c r="M3300" s="8">
        <f t="shared" si="5"/>
        <v>0.03</v>
      </c>
      <c r="P3300" s="9"/>
    </row>
    <row r="3301">
      <c r="A3301" s="6" t="s">
        <v>7700</v>
      </c>
      <c r="B3301" s="6" t="s">
        <v>7701</v>
      </c>
      <c r="C3301" s="6" t="s">
        <v>1949</v>
      </c>
      <c r="D3301" s="6" t="s">
        <v>7702</v>
      </c>
      <c r="E3301" s="6" t="s">
        <v>1680</v>
      </c>
      <c r="F3301" s="6" t="s">
        <v>80</v>
      </c>
      <c r="G3301" s="7">
        <v>0.15</v>
      </c>
      <c r="H3301" s="6" t="s">
        <v>2182</v>
      </c>
      <c r="I3301" s="6" t="s">
        <v>20</v>
      </c>
      <c r="J3301" s="6">
        <v>2022.0</v>
      </c>
      <c r="K3301" s="6" t="s">
        <v>1256</v>
      </c>
      <c r="L3301" s="6">
        <v>1.0</v>
      </c>
      <c r="M3301" s="8">
        <f t="shared" si="5"/>
        <v>0.15</v>
      </c>
      <c r="P3301" s="9"/>
    </row>
    <row r="3302">
      <c r="A3302" s="6" t="s">
        <v>7703</v>
      </c>
      <c r="B3302" s="6" t="s">
        <v>4871</v>
      </c>
      <c r="C3302" s="6" t="s">
        <v>1949</v>
      </c>
      <c r="D3302" s="6" t="s">
        <v>7704</v>
      </c>
      <c r="E3302" s="6" t="s">
        <v>1032</v>
      </c>
      <c r="F3302" s="6" t="s">
        <v>5281</v>
      </c>
      <c r="G3302" s="7">
        <v>0.15</v>
      </c>
      <c r="H3302" s="6" t="s">
        <v>6498</v>
      </c>
      <c r="I3302" s="6" t="s">
        <v>20</v>
      </c>
      <c r="J3302" s="6">
        <v>2025.0</v>
      </c>
      <c r="K3302" s="10">
        <v>46148.0</v>
      </c>
      <c r="L3302" s="6">
        <v>2.0</v>
      </c>
      <c r="M3302" s="8">
        <f t="shared" si="5"/>
        <v>0.3</v>
      </c>
      <c r="P3302" s="9"/>
    </row>
    <row r="3303">
      <c r="A3303" s="6" t="s">
        <v>7705</v>
      </c>
      <c r="B3303" s="6" t="s">
        <v>7706</v>
      </c>
      <c r="C3303" s="6" t="s">
        <v>295</v>
      </c>
      <c r="D3303" s="6" t="s">
        <v>7707</v>
      </c>
      <c r="E3303" s="6" t="s">
        <v>1035</v>
      </c>
      <c r="F3303" s="6" t="s">
        <v>80</v>
      </c>
      <c r="G3303" s="7">
        <v>0.1</v>
      </c>
      <c r="H3303" s="6" t="s">
        <v>6498</v>
      </c>
      <c r="I3303" s="6" t="s">
        <v>20</v>
      </c>
      <c r="J3303" s="6">
        <v>2025.0</v>
      </c>
      <c r="K3303" s="10">
        <v>46024.0</v>
      </c>
      <c r="L3303" s="6">
        <v>1.0</v>
      </c>
      <c r="M3303" s="8">
        <f t="shared" si="5"/>
        <v>0.1</v>
      </c>
      <c r="P3303" s="9"/>
    </row>
    <row r="3304">
      <c r="A3304" s="6" t="s">
        <v>7708</v>
      </c>
      <c r="B3304" s="6" t="s">
        <v>6874</v>
      </c>
      <c r="C3304" s="6" t="s">
        <v>1949</v>
      </c>
      <c r="D3304" s="6" t="s">
        <v>7709</v>
      </c>
      <c r="E3304" s="6" t="s">
        <v>1035</v>
      </c>
      <c r="F3304" s="6" t="s">
        <v>80</v>
      </c>
      <c r="G3304" s="7">
        <v>0.09</v>
      </c>
      <c r="H3304" s="6" t="s">
        <v>1708</v>
      </c>
      <c r="I3304" s="6" t="s">
        <v>20</v>
      </c>
      <c r="J3304" s="6">
        <v>2019.0</v>
      </c>
      <c r="K3304" s="10">
        <v>46024.0</v>
      </c>
      <c r="L3304" s="6">
        <v>1.0</v>
      </c>
      <c r="M3304" s="8">
        <f t="shared" si="5"/>
        <v>0.09</v>
      </c>
      <c r="P3304" s="9"/>
    </row>
    <row r="3305">
      <c r="A3305" s="6" t="s">
        <v>7710</v>
      </c>
      <c r="B3305" s="6" t="s">
        <v>1972</v>
      </c>
      <c r="C3305" s="6" t="s">
        <v>1949</v>
      </c>
      <c r="D3305" s="6" t="s">
        <v>7711</v>
      </c>
      <c r="E3305" s="6" t="s">
        <v>1032</v>
      </c>
      <c r="F3305" s="6" t="s">
        <v>80</v>
      </c>
      <c r="G3305" s="7">
        <v>0.04</v>
      </c>
      <c r="H3305" s="6" t="s">
        <v>2186</v>
      </c>
      <c r="I3305" s="6" t="s">
        <v>20</v>
      </c>
      <c r="J3305" s="6">
        <v>2022.0</v>
      </c>
      <c r="K3305" s="10">
        <v>46026.0</v>
      </c>
      <c r="L3305" s="6">
        <v>1.0</v>
      </c>
      <c r="M3305" s="8">
        <f t="shared" si="5"/>
        <v>0.04</v>
      </c>
      <c r="P3305" s="9"/>
    </row>
    <row r="3306">
      <c r="A3306" s="6" t="s">
        <v>7712</v>
      </c>
      <c r="B3306" s="6" t="s">
        <v>4668</v>
      </c>
      <c r="C3306" s="6" t="s">
        <v>1949</v>
      </c>
      <c r="D3306" s="6" t="s">
        <v>7713</v>
      </c>
      <c r="E3306" s="6" t="s">
        <v>1743</v>
      </c>
      <c r="F3306" s="6" t="s">
        <v>152</v>
      </c>
      <c r="G3306" s="7">
        <v>0.2</v>
      </c>
      <c r="H3306" s="6" t="s">
        <v>2619</v>
      </c>
      <c r="I3306" s="6" t="s">
        <v>20</v>
      </c>
      <c r="J3306" s="6">
        <v>2019.0</v>
      </c>
      <c r="K3306" s="10">
        <v>46055.0</v>
      </c>
      <c r="L3306" s="6">
        <v>1.0</v>
      </c>
      <c r="M3306" s="8">
        <f t="shared" si="5"/>
        <v>0.2</v>
      </c>
      <c r="P3306" s="9"/>
    </row>
    <row r="3307">
      <c r="A3307" s="6" t="s">
        <v>7714</v>
      </c>
      <c r="B3307" s="6" t="s">
        <v>2058</v>
      </c>
      <c r="C3307" s="6" t="s">
        <v>1897</v>
      </c>
      <c r="D3307" s="6" t="s">
        <v>7715</v>
      </c>
      <c r="E3307" s="6" t="s">
        <v>1755</v>
      </c>
      <c r="F3307" s="6" t="s">
        <v>152</v>
      </c>
      <c r="G3307" s="7">
        <v>0.38</v>
      </c>
      <c r="H3307" s="6" t="s">
        <v>2598</v>
      </c>
      <c r="I3307" s="6" t="s">
        <v>20</v>
      </c>
      <c r="J3307" s="6">
        <v>2017.0</v>
      </c>
      <c r="L3307" s="6">
        <v>2.0</v>
      </c>
      <c r="M3307" s="8">
        <f t="shared" si="5"/>
        <v>0.76</v>
      </c>
      <c r="P3307" s="9"/>
    </row>
    <row r="3308">
      <c r="A3308" s="6" t="s">
        <v>7716</v>
      </c>
      <c r="B3308" s="6" t="s">
        <v>2411</v>
      </c>
      <c r="C3308" s="6" t="s">
        <v>295</v>
      </c>
      <c r="D3308" s="6" t="s">
        <v>7717</v>
      </c>
      <c r="E3308" s="6" t="s">
        <v>1779</v>
      </c>
      <c r="F3308" s="6" t="s">
        <v>152</v>
      </c>
      <c r="G3308" s="7">
        <v>0.75</v>
      </c>
      <c r="H3308" s="6" t="s">
        <v>3679</v>
      </c>
      <c r="I3308" s="6" t="s">
        <v>31</v>
      </c>
      <c r="J3308" s="6">
        <v>2022.0</v>
      </c>
      <c r="K3308" s="10">
        <v>46083.0</v>
      </c>
      <c r="L3308" s="6">
        <v>1.0</v>
      </c>
      <c r="M3308" s="8">
        <f t="shared" si="5"/>
        <v>0.75</v>
      </c>
      <c r="P3308" s="9"/>
    </row>
    <row r="3309">
      <c r="A3309" s="6" t="s">
        <v>7718</v>
      </c>
      <c r="B3309" s="6" t="s">
        <v>2053</v>
      </c>
      <c r="C3309" s="6" t="s">
        <v>1897</v>
      </c>
      <c r="D3309" s="6" t="s">
        <v>7719</v>
      </c>
      <c r="E3309" s="6" t="s">
        <v>1823</v>
      </c>
      <c r="F3309" s="6" t="s">
        <v>152</v>
      </c>
      <c r="G3309" s="7">
        <v>0.3</v>
      </c>
      <c r="H3309" s="6" t="s">
        <v>3827</v>
      </c>
      <c r="I3309" s="6" t="s">
        <v>31</v>
      </c>
      <c r="J3309" s="6">
        <v>2016.0</v>
      </c>
      <c r="K3309" s="10">
        <v>46179.0</v>
      </c>
      <c r="L3309" s="6">
        <v>1.0</v>
      </c>
      <c r="M3309" s="8">
        <f t="shared" si="5"/>
        <v>0.3</v>
      </c>
      <c r="P3309" s="9"/>
    </row>
    <row r="3310">
      <c r="A3310" s="6" t="s">
        <v>7720</v>
      </c>
      <c r="B3310" s="6" t="s">
        <v>1944</v>
      </c>
      <c r="C3310" s="6" t="s">
        <v>1897</v>
      </c>
      <c r="D3310" s="6" t="s">
        <v>7721</v>
      </c>
      <c r="E3310" s="6" t="s">
        <v>1755</v>
      </c>
      <c r="F3310" s="6" t="s">
        <v>152</v>
      </c>
      <c r="G3310" s="7">
        <v>0.77</v>
      </c>
      <c r="H3310" s="6" t="s">
        <v>2552</v>
      </c>
      <c r="I3310" s="6" t="s">
        <v>31</v>
      </c>
      <c r="J3310" s="6">
        <v>2018.0</v>
      </c>
      <c r="L3310" s="6">
        <v>1.0</v>
      </c>
      <c r="M3310" s="8">
        <f t="shared" si="5"/>
        <v>0.77</v>
      </c>
      <c r="N3310" s="6" t="s">
        <v>6488</v>
      </c>
      <c r="P3310" s="9"/>
    </row>
    <row r="3311">
      <c r="A3311" s="6" t="s">
        <v>7722</v>
      </c>
      <c r="B3311" s="6" t="s">
        <v>3465</v>
      </c>
      <c r="C3311" s="6" t="s">
        <v>1897</v>
      </c>
      <c r="D3311" s="6" t="s">
        <v>7723</v>
      </c>
      <c r="E3311" s="6" t="s">
        <v>1779</v>
      </c>
      <c r="F3311" s="6" t="s">
        <v>152</v>
      </c>
      <c r="G3311" s="7">
        <v>0.65</v>
      </c>
      <c r="H3311" s="6" t="s">
        <v>1708</v>
      </c>
      <c r="I3311" s="6" t="s">
        <v>31</v>
      </c>
      <c r="J3311" s="6">
        <v>2019.0</v>
      </c>
      <c r="K3311" s="10">
        <v>46084.0</v>
      </c>
      <c r="L3311" s="6">
        <v>1.0</v>
      </c>
      <c r="M3311" s="8">
        <f t="shared" si="5"/>
        <v>0.65</v>
      </c>
      <c r="P3311" s="9"/>
    </row>
    <row r="3312">
      <c r="A3312" s="6" t="s">
        <v>7724</v>
      </c>
      <c r="B3312" s="6" t="s">
        <v>7725</v>
      </c>
      <c r="C3312" s="6" t="s">
        <v>1949</v>
      </c>
      <c r="D3312" s="6" t="s">
        <v>7726</v>
      </c>
      <c r="E3312" s="6" t="s">
        <v>1743</v>
      </c>
      <c r="F3312" s="6" t="s">
        <v>152</v>
      </c>
      <c r="G3312" s="7">
        <v>1.2</v>
      </c>
      <c r="H3312" s="6" t="s">
        <v>2238</v>
      </c>
      <c r="I3312" s="6" t="s">
        <v>31</v>
      </c>
      <c r="J3312" s="6">
        <v>2024.0</v>
      </c>
      <c r="L3312" s="6">
        <v>1.0</v>
      </c>
      <c r="M3312" s="8">
        <f t="shared" si="5"/>
        <v>1.2</v>
      </c>
      <c r="N3312" s="6" t="s">
        <v>6488</v>
      </c>
      <c r="P3312" s="9"/>
    </row>
    <row r="3313">
      <c r="A3313" s="6" t="s">
        <v>7727</v>
      </c>
      <c r="B3313" s="6" t="s">
        <v>7728</v>
      </c>
      <c r="C3313" s="6" t="s">
        <v>295</v>
      </c>
      <c r="D3313" s="6" t="s">
        <v>7729</v>
      </c>
      <c r="E3313" s="6" t="s">
        <v>1743</v>
      </c>
      <c r="F3313" s="6" t="s">
        <v>152</v>
      </c>
      <c r="G3313" s="7">
        <v>0.1</v>
      </c>
      <c r="H3313" s="6" t="s">
        <v>3679</v>
      </c>
      <c r="I3313" s="6" t="s">
        <v>31</v>
      </c>
      <c r="J3313" s="6">
        <v>2022.0</v>
      </c>
      <c r="K3313" s="10">
        <v>46024.0</v>
      </c>
      <c r="L3313" s="6">
        <v>1.0</v>
      </c>
      <c r="M3313" s="8">
        <f t="shared" si="5"/>
        <v>0.1</v>
      </c>
      <c r="P3313" s="9"/>
    </row>
    <row r="3314">
      <c r="A3314" s="6" t="s">
        <v>7730</v>
      </c>
      <c r="B3314" s="6" t="s">
        <v>3303</v>
      </c>
      <c r="C3314" s="6" t="s">
        <v>295</v>
      </c>
      <c r="D3314" s="6" t="s">
        <v>7731</v>
      </c>
      <c r="E3314" s="6" t="s">
        <v>1743</v>
      </c>
      <c r="F3314" s="6" t="s">
        <v>152</v>
      </c>
      <c r="G3314" s="7">
        <v>0.15</v>
      </c>
      <c r="H3314" s="6" t="s">
        <v>1619</v>
      </c>
      <c r="I3314" s="6" t="s">
        <v>31</v>
      </c>
      <c r="J3314" s="6">
        <v>2022.0</v>
      </c>
      <c r="K3314" s="10">
        <v>46024.0</v>
      </c>
      <c r="L3314" s="6">
        <v>1.0</v>
      </c>
      <c r="M3314" s="8">
        <f t="shared" si="5"/>
        <v>0.15</v>
      </c>
      <c r="P3314" s="9"/>
    </row>
    <row r="3315">
      <c r="A3315" s="6" t="s">
        <v>7732</v>
      </c>
      <c r="B3315" s="6" t="s">
        <v>378</v>
      </c>
      <c r="C3315" s="6" t="s">
        <v>295</v>
      </c>
      <c r="D3315" s="6" t="s">
        <v>7733</v>
      </c>
      <c r="E3315" s="6" t="s">
        <v>1755</v>
      </c>
      <c r="F3315" s="6" t="s">
        <v>152</v>
      </c>
      <c r="G3315" s="7">
        <v>0.13</v>
      </c>
      <c r="H3315" s="6" t="s">
        <v>2238</v>
      </c>
      <c r="I3315" s="6" t="s">
        <v>20</v>
      </c>
      <c r="J3315" s="6">
        <v>2024.0</v>
      </c>
      <c r="L3315" s="6">
        <v>1.0</v>
      </c>
      <c r="M3315" s="8">
        <f t="shared" si="5"/>
        <v>0.13</v>
      </c>
      <c r="P3315" s="9"/>
    </row>
    <row r="3316">
      <c r="A3316" s="6" t="s">
        <v>7734</v>
      </c>
      <c r="B3316" s="6" t="s">
        <v>7735</v>
      </c>
      <c r="C3316" s="6" t="s">
        <v>1949</v>
      </c>
      <c r="D3316" s="6" t="s">
        <v>7736</v>
      </c>
      <c r="E3316" s="6" t="s">
        <v>1885</v>
      </c>
      <c r="F3316" s="6" t="s">
        <v>152</v>
      </c>
      <c r="G3316" s="7">
        <v>0.2</v>
      </c>
      <c r="H3316" s="6" t="s">
        <v>2141</v>
      </c>
      <c r="I3316" s="6" t="s">
        <v>20</v>
      </c>
      <c r="J3316" s="6">
        <v>2023.0</v>
      </c>
      <c r="K3316" s="10">
        <v>46055.0</v>
      </c>
      <c r="L3316" s="6">
        <v>1.0</v>
      </c>
      <c r="M3316" s="8">
        <f t="shared" si="5"/>
        <v>0.2</v>
      </c>
      <c r="P3316" s="9"/>
    </row>
    <row r="3317">
      <c r="A3317" s="6" t="s">
        <v>7737</v>
      </c>
      <c r="B3317" s="6" t="s">
        <v>5148</v>
      </c>
      <c r="C3317" s="6" t="s">
        <v>295</v>
      </c>
      <c r="D3317" s="6" t="s">
        <v>7738</v>
      </c>
      <c r="E3317" s="6" t="s">
        <v>1743</v>
      </c>
      <c r="F3317" s="6" t="s">
        <v>152</v>
      </c>
      <c r="G3317" s="7">
        <v>0.04</v>
      </c>
      <c r="H3317" s="6" t="s">
        <v>1619</v>
      </c>
      <c r="I3317" s="6" t="s">
        <v>20</v>
      </c>
      <c r="J3317" s="6">
        <v>2022.0</v>
      </c>
      <c r="K3317" s="10">
        <v>46082.0</v>
      </c>
      <c r="L3317" s="6">
        <v>1.0</v>
      </c>
      <c r="M3317" s="8">
        <f t="shared" si="5"/>
        <v>0.04</v>
      </c>
      <c r="P3317" s="9"/>
    </row>
    <row r="3318">
      <c r="A3318" s="6" t="s">
        <v>7730</v>
      </c>
      <c r="B3318" s="6" t="s">
        <v>3303</v>
      </c>
      <c r="C3318" s="6" t="s">
        <v>295</v>
      </c>
      <c r="D3318" s="6" t="s">
        <v>7731</v>
      </c>
      <c r="E3318" s="6" t="s">
        <v>1743</v>
      </c>
      <c r="F3318" s="6" t="s">
        <v>152</v>
      </c>
      <c r="G3318" s="7">
        <v>0.06</v>
      </c>
      <c r="H3318" s="6" t="s">
        <v>1619</v>
      </c>
      <c r="I3318" s="6" t="s">
        <v>20</v>
      </c>
      <c r="J3318" s="6">
        <v>2022.0</v>
      </c>
      <c r="K3318" s="10">
        <v>46024.0</v>
      </c>
      <c r="L3318" s="6">
        <v>2.0</v>
      </c>
      <c r="M3318" s="8">
        <f t="shared" si="5"/>
        <v>0.12</v>
      </c>
      <c r="P3318" s="9"/>
    </row>
    <row r="3319">
      <c r="A3319" s="6" t="s">
        <v>7739</v>
      </c>
      <c r="B3319" s="6" t="s">
        <v>7740</v>
      </c>
      <c r="C3319" s="6" t="s">
        <v>1949</v>
      </c>
      <c r="D3319" s="6" t="s">
        <v>7741</v>
      </c>
      <c r="E3319" s="6" t="s">
        <v>2292</v>
      </c>
      <c r="F3319" s="6" t="s">
        <v>18</v>
      </c>
      <c r="G3319" s="7">
        <v>0.25</v>
      </c>
      <c r="H3319" s="6" t="s">
        <v>2141</v>
      </c>
      <c r="I3319" s="6" t="s">
        <v>20</v>
      </c>
      <c r="J3319" s="6">
        <v>2023.0</v>
      </c>
      <c r="K3319" s="10">
        <v>46055.0</v>
      </c>
      <c r="L3319" s="6">
        <v>1.0</v>
      </c>
      <c r="M3319" s="8">
        <f t="shared" si="5"/>
        <v>0.25</v>
      </c>
      <c r="P3319" s="9"/>
    </row>
    <row r="3320">
      <c r="A3320" s="6" t="s">
        <v>7742</v>
      </c>
      <c r="B3320" s="6" t="s">
        <v>7661</v>
      </c>
      <c r="C3320" s="6" t="s">
        <v>1949</v>
      </c>
      <c r="D3320" s="6" t="s">
        <v>7743</v>
      </c>
      <c r="E3320" s="6" t="s">
        <v>2510</v>
      </c>
      <c r="F3320" s="6" t="s">
        <v>18</v>
      </c>
      <c r="G3320" s="7">
        <v>0.68</v>
      </c>
      <c r="H3320" s="6" t="s">
        <v>2141</v>
      </c>
      <c r="I3320" s="6" t="s">
        <v>20</v>
      </c>
      <c r="J3320" s="6">
        <v>2023.0</v>
      </c>
      <c r="K3320" s="10">
        <v>46207.0</v>
      </c>
      <c r="L3320" s="6">
        <v>1.0</v>
      </c>
      <c r="M3320" s="8">
        <f t="shared" si="5"/>
        <v>0.68</v>
      </c>
      <c r="P3320" s="9"/>
    </row>
    <row r="3321">
      <c r="A3321" s="6" t="s">
        <v>7744</v>
      </c>
      <c r="B3321" s="6" t="s">
        <v>7745</v>
      </c>
      <c r="C3321" s="6" t="s">
        <v>1949</v>
      </c>
      <c r="D3321" s="6" t="s">
        <v>7746</v>
      </c>
      <c r="E3321" s="6" t="s">
        <v>2299</v>
      </c>
      <c r="F3321" s="6" t="s">
        <v>18</v>
      </c>
      <c r="G3321" s="7">
        <v>0.25</v>
      </c>
      <c r="H3321" s="6" t="s">
        <v>2141</v>
      </c>
      <c r="I3321" s="6" t="s">
        <v>20</v>
      </c>
      <c r="J3321" s="6">
        <v>2023.0</v>
      </c>
      <c r="K3321" s="10">
        <v>46084.0</v>
      </c>
      <c r="L3321" s="6">
        <v>1.0</v>
      </c>
      <c r="M3321" s="8">
        <f t="shared" si="5"/>
        <v>0.25</v>
      </c>
      <c r="P3321" s="9"/>
    </row>
    <row r="3322">
      <c r="A3322" s="6" t="s">
        <v>7747</v>
      </c>
      <c r="B3322" s="6" t="s">
        <v>3343</v>
      </c>
      <c r="C3322" s="6" t="s">
        <v>1949</v>
      </c>
      <c r="D3322" s="6" t="s">
        <v>7748</v>
      </c>
      <c r="E3322" s="6" t="s">
        <v>780</v>
      </c>
      <c r="F3322" s="6" t="s">
        <v>18</v>
      </c>
      <c r="G3322" s="7">
        <v>0.35</v>
      </c>
      <c r="H3322" s="6" t="s">
        <v>2141</v>
      </c>
      <c r="I3322" s="6" t="s">
        <v>20</v>
      </c>
      <c r="J3322" s="6">
        <v>2023.0</v>
      </c>
      <c r="K3322" s="10">
        <v>46054.0</v>
      </c>
      <c r="L3322" s="6">
        <v>1.0</v>
      </c>
      <c r="M3322" s="8">
        <f t="shared" si="5"/>
        <v>0.35</v>
      </c>
      <c r="P3322" s="9"/>
    </row>
    <row r="3323">
      <c r="A3323" s="6" t="s">
        <v>7749</v>
      </c>
      <c r="B3323" s="6" t="s">
        <v>2508</v>
      </c>
      <c r="C3323" s="6" t="s">
        <v>1949</v>
      </c>
      <c r="D3323" s="6" t="s">
        <v>7750</v>
      </c>
      <c r="E3323" s="6" t="s">
        <v>5317</v>
      </c>
      <c r="F3323" s="6" t="s">
        <v>18</v>
      </c>
      <c r="G3323" s="7">
        <v>1.78</v>
      </c>
      <c r="H3323" s="6" t="s">
        <v>2141</v>
      </c>
      <c r="I3323" s="6" t="s">
        <v>20</v>
      </c>
      <c r="J3323" s="6">
        <v>2023.0</v>
      </c>
      <c r="K3323" s="10">
        <v>46210.0</v>
      </c>
      <c r="L3323" s="6">
        <v>1.0</v>
      </c>
      <c r="M3323" s="8">
        <f t="shared" si="5"/>
        <v>1.78</v>
      </c>
      <c r="N3323" s="6" t="s">
        <v>6488</v>
      </c>
      <c r="P3323" s="9"/>
    </row>
    <row r="3324">
      <c r="A3324" s="6" t="s">
        <v>7751</v>
      </c>
      <c r="B3324" s="6" t="s">
        <v>6300</v>
      </c>
      <c r="C3324" s="6" t="s">
        <v>295</v>
      </c>
      <c r="D3324" s="6" t="s">
        <v>7752</v>
      </c>
      <c r="E3324" s="6" t="s">
        <v>1954</v>
      </c>
      <c r="F3324" s="6" t="s">
        <v>18</v>
      </c>
      <c r="G3324" s="7">
        <v>0.05</v>
      </c>
      <c r="H3324" s="6" t="s">
        <v>6498</v>
      </c>
      <c r="I3324" s="6" t="s">
        <v>20</v>
      </c>
      <c r="J3324" s="6">
        <v>2025.0</v>
      </c>
      <c r="K3324" s="10">
        <v>46055.0</v>
      </c>
      <c r="L3324" s="6">
        <v>1.0</v>
      </c>
      <c r="M3324" s="8">
        <f t="shared" si="5"/>
        <v>0.05</v>
      </c>
      <c r="P3324" s="9"/>
    </row>
    <row r="3325">
      <c r="A3325" s="6" t="s">
        <v>7753</v>
      </c>
      <c r="B3325" s="6" t="s">
        <v>378</v>
      </c>
      <c r="C3325" s="6" t="s">
        <v>1949</v>
      </c>
      <c r="D3325" s="6" t="s">
        <v>7754</v>
      </c>
      <c r="E3325" s="6" t="s">
        <v>780</v>
      </c>
      <c r="F3325" s="6" t="s">
        <v>18</v>
      </c>
      <c r="G3325" s="7">
        <v>0.25</v>
      </c>
      <c r="H3325" s="6" t="s">
        <v>2541</v>
      </c>
      <c r="I3325" s="6" t="s">
        <v>20</v>
      </c>
      <c r="J3325" s="6">
        <v>2017.0</v>
      </c>
      <c r="L3325" s="6">
        <v>1.0</v>
      </c>
      <c r="M3325" s="8">
        <f t="shared" si="5"/>
        <v>0.25</v>
      </c>
      <c r="P3325" s="9"/>
    </row>
    <row r="3326">
      <c r="A3326" s="6" t="s">
        <v>7755</v>
      </c>
      <c r="B3326" s="6" t="s">
        <v>7756</v>
      </c>
      <c r="C3326" s="6" t="s">
        <v>295</v>
      </c>
      <c r="D3326" s="6" t="s">
        <v>7757</v>
      </c>
      <c r="F3326" s="6" t="s">
        <v>80</v>
      </c>
      <c r="G3326" s="7">
        <v>0.04</v>
      </c>
      <c r="H3326" s="6" t="s">
        <v>7758</v>
      </c>
      <c r="I3326" s="6" t="s">
        <v>20</v>
      </c>
      <c r="J3326" s="6">
        <v>2023.0</v>
      </c>
      <c r="L3326" s="6">
        <v>1.0</v>
      </c>
      <c r="M3326" s="8">
        <f t="shared" si="5"/>
        <v>0.04</v>
      </c>
      <c r="P3326" s="9"/>
    </row>
    <row r="3327">
      <c r="A3327" s="6" t="s">
        <v>7759</v>
      </c>
      <c r="B3327" s="6" t="s">
        <v>378</v>
      </c>
      <c r="C3327" s="6" t="s">
        <v>295</v>
      </c>
      <c r="D3327" s="6" t="s">
        <v>5732</v>
      </c>
      <c r="E3327" s="6" t="s">
        <v>1954</v>
      </c>
      <c r="F3327" s="6" t="s">
        <v>18</v>
      </c>
      <c r="G3327" s="7">
        <v>0.2</v>
      </c>
      <c r="H3327" s="6" t="s">
        <v>1619</v>
      </c>
      <c r="I3327" s="6" t="s">
        <v>20</v>
      </c>
      <c r="J3327" s="6">
        <v>2022.0</v>
      </c>
      <c r="L3327" s="6">
        <v>3.0</v>
      </c>
      <c r="M3327" s="8">
        <f t="shared" si="5"/>
        <v>0.6</v>
      </c>
      <c r="P3327" s="9"/>
    </row>
    <row r="3328">
      <c r="A3328" s="6" t="s">
        <v>7760</v>
      </c>
      <c r="B3328" s="6" t="s">
        <v>2058</v>
      </c>
      <c r="C3328" s="6" t="s">
        <v>295</v>
      </c>
      <c r="D3328" s="6" t="s">
        <v>7761</v>
      </c>
      <c r="E3328" s="6" t="s">
        <v>2503</v>
      </c>
      <c r="F3328" s="6" t="s">
        <v>18</v>
      </c>
      <c r="G3328" s="7">
        <v>0.1</v>
      </c>
      <c r="H3328" s="6" t="s">
        <v>2182</v>
      </c>
      <c r="I3328" s="6" t="s">
        <v>20</v>
      </c>
      <c r="J3328" s="6">
        <v>2022.0</v>
      </c>
      <c r="L3328" s="6">
        <v>1.0</v>
      </c>
      <c r="M3328" s="8">
        <f t="shared" si="5"/>
        <v>0.1</v>
      </c>
      <c r="P3328" s="9"/>
    </row>
    <row r="3329">
      <c r="A3329" s="6" t="s">
        <v>7762</v>
      </c>
      <c r="B3329" s="6" t="s">
        <v>7763</v>
      </c>
      <c r="C3329" s="6" t="s">
        <v>1949</v>
      </c>
      <c r="D3329" s="6" t="s">
        <v>7764</v>
      </c>
      <c r="E3329" s="6" t="s">
        <v>713</v>
      </c>
      <c r="F3329" s="6" t="s">
        <v>152</v>
      </c>
      <c r="G3329" s="7">
        <v>0.09</v>
      </c>
      <c r="H3329" s="6" t="s">
        <v>2238</v>
      </c>
      <c r="I3329" s="6" t="s">
        <v>20</v>
      </c>
      <c r="J3329" s="6">
        <v>2024.0</v>
      </c>
      <c r="L3329" s="6">
        <v>1.0</v>
      </c>
      <c r="M3329" s="8">
        <f t="shared" si="5"/>
        <v>0.09</v>
      </c>
      <c r="P3329" s="9"/>
    </row>
    <row r="3330">
      <c r="A3330" s="6" t="s">
        <v>7765</v>
      </c>
      <c r="B3330" s="6" t="s">
        <v>1952</v>
      </c>
      <c r="C3330" s="6" t="s">
        <v>1949</v>
      </c>
      <c r="D3330" s="6" t="s">
        <v>7766</v>
      </c>
      <c r="E3330" s="6" t="s">
        <v>1743</v>
      </c>
      <c r="F3330" s="6" t="s">
        <v>152</v>
      </c>
      <c r="G3330" s="7">
        <v>0.06</v>
      </c>
      <c r="H3330" s="6" t="s">
        <v>1987</v>
      </c>
      <c r="I3330" s="6" t="s">
        <v>20</v>
      </c>
      <c r="J3330" s="6">
        <v>2019.0</v>
      </c>
      <c r="L3330" s="6">
        <v>1.0</v>
      </c>
      <c r="M3330" s="8">
        <f t="shared" si="5"/>
        <v>0.06</v>
      </c>
      <c r="P3330" s="9"/>
    </row>
    <row r="3331">
      <c r="A3331" s="6" t="s">
        <v>7767</v>
      </c>
      <c r="B3331" s="6" t="s">
        <v>610</v>
      </c>
      <c r="C3331" s="6" t="s">
        <v>1949</v>
      </c>
      <c r="D3331" s="6" t="s">
        <v>7768</v>
      </c>
      <c r="E3331" s="6" t="s">
        <v>1743</v>
      </c>
      <c r="F3331" s="6" t="s">
        <v>152</v>
      </c>
      <c r="G3331" s="7">
        <v>0.13</v>
      </c>
      <c r="H3331" s="6" t="s">
        <v>6498</v>
      </c>
      <c r="I3331" s="6" t="s">
        <v>20</v>
      </c>
      <c r="J3331" s="6">
        <v>2025.0</v>
      </c>
      <c r="L3331" s="6">
        <v>1.0</v>
      </c>
      <c r="M3331" s="8">
        <f t="shared" si="5"/>
        <v>0.13</v>
      </c>
      <c r="P3331" s="9"/>
    </row>
    <row r="3332">
      <c r="A3332" s="6" t="s">
        <v>7769</v>
      </c>
      <c r="B3332" s="6" t="s">
        <v>610</v>
      </c>
      <c r="C3332" s="6" t="s">
        <v>295</v>
      </c>
      <c r="D3332" s="6" t="s">
        <v>5578</v>
      </c>
      <c r="E3332" s="6" t="s">
        <v>1838</v>
      </c>
      <c r="F3332" s="6" t="s">
        <v>152</v>
      </c>
      <c r="G3332" s="7">
        <v>0.05</v>
      </c>
      <c r="H3332" s="6" t="s">
        <v>2219</v>
      </c>
      <c r="I3332" s="6" t="s">
        <v>20</v>
      </c>
      <c r="J3332" s="6">
        <v>2024.0</v>
      </c>
      <c r="L3332" s="6">
        <v>1.0</v>
      </c>
      <c r="M3332" s="8">
        <f t="shared" si="5"/>
        <v>0.05</v>
      </c>
      <c r="P3332" s="9"/>
    </row>
    <row r="3333">
      <c r="A3333" s="6" t="s">
        <v>7770</v>
      </c>
      <c r="B3333" s="6" t="s">
        <v>7771</v>
      </c>
      <c r="C3333" s="6" t="s">
        <v>1949</v>
      </c>
      <c r="D3333" s="6" t="s">
        <v>7772</v>
      </c>
      <c r="E3333" s="6" t="s">
        <v>2444</v>
      </c>
      <c r="F3333" s="6" t="s">
        <v>152</v>
      </c>
      <c r="G3333" s="7">
        <v>0.07</v>
      </c>
      <c r="H3333" s="6" t="s">
        <v>1638</v>
      </c>
      <c r="I3333" s="6" t="s">
        <v>20</v>
      </c>
      <c r="J3333" s="6">
        <v>2024.0</v>
      </c>
      <c r="K3333" s="10">
        <v>46207.0</v>
      </c>
      <c r="L3333" s="6">
        <v>1.0</v>
      </c>
      <c r="M3333" s="8">
        <f t="shared" si="5"/>
        <v>0.07</v>
      </c>
      <c r="P3333" s="9"/>
    </row>
    <row r="3334">
      <c r="A3334" s="6" t="s">
        <v>7773</v>
      </c>
      <c r="B3334" s="6" t="s">
        <v>2316</v>
      </c>
      <c r="C3334" s="6" t="s">
        <v>1949</v>
      </c>
      <c r="D3334" s="6" t="s">
        <v>7774</v>
      </c>
      <c r="E3334" s="6" t="s">
        <v>1755</v>
      </c>
      <c r="F3334" s="6" t="s">
        <v>152</v>
      </c>
      <c r="G3334" s="7">
        <v>0.13</v>
      </c>
      <c r="H3334" s="6" t="s">
        <v>4574</v>
      </c>
      <c r="I3334" s="6" t="s">
        <v>20</v>
      </c>
      <c r="J3334" s="6">
        <v>2024.0</v>
      </c>
      <c r="K3334" s="10">
        <v>46055.0</v>
      </c>
      <c r="L3334" s="6">
        <v>1.0</v>
      </c>
      <c r="M3334" s="8">
        <f t="shared" si="5"/>
        <v>0.13</v>
      </c>
      <c r="P3334" s="9"/>
    </row>
    <row r="3335">
      <c r="A3335" s="6" t="s">
        <v>7775</v>
      </c>
      <c r="B3335" s="6" t="s">
        <v>3465</v>
      </c>
      <c r="C3335" s="6" t="s">
        <v>1949</v>
      </c>
      <c r="D3335" s="6" t="s">
        <v>7776</v>
      </c>
      <c r="E3335" s="6" t="s">
        <v>1743</v>
      </c>
      <c r="F3335" s="6" t="s">
        <v>152</v>
      </c>
      <c r="G3335" s="7">
        <v>0.15</v>
      </c>
      <c r="H3335" s="6" t="s">
        <v>1619</v>
      </c>
      <c r="I3335" s="6" t="s">
        <v>20</v>
      </c>
      <c r="J3335" s="6">
        <v>2022.0</v>
      </c>
      <c r="K3335" s="10">
        <v>46055.0</v>
      </c>
      <c r="L3335" s="6">
        <v>1.0</v>
      </c>
      <c r="M3335" s="8">
        <f t="shared" si="5"/>
        <v>0.15</v>
      </c>
      <c r="P3335" s="9"/>
    </row>
    <row r="3336">
      <c r="A3336" s="6" t="s">
        <v>7777</v>
      </c>
      <c r="B3336" s="6" t="s">
        <v>1944</v>
      </c>
      <c r="C3336" s="6" t="s">
        <v>1949</v>
      </c>
      <c r="D3336" s="6" t="s">
        <v>7778</v>
      </c>
      <c r="E3336" s="6" t="s">
        <v>1761</v>
      </c>
      <c r="F3336" s="6" t="s">
        <v>152</v>
      </c>
      <c r="G3336" s="7">
        <v>0.04</v>
      </c>
      <c r="H3336" s="6" t="s">
        <v>1641</v>
      </c>
      <c r="I3336" s="6" t="s">
        <v>20</v>
      </c>
      <c r="J3336" s="6">
        <v>2019.0</v>
      </c>
      <c r="L3336" s="6">
        <v>1.0</v>
      </c>
      <c r="M3336" s="8">
        <f t="shared" si="5"/>
        <v>0.04</v>
      </c>
      <c r="P3336" s="9"/>
    </row>
    <row r="3337">
      <c r="A3337" s="6" t="s">
        <v>7351</v>
      </c>
      <c r="B3337" s="6" t="s">
        <v>2424</v>
      </c>
      <c r="C3337" s="6" t="s">
        <v>1897</v>
      </c>
      <c r="D3337" s="6" t="s">
        <v>7352</v>
      </c>
      <c r="E3337" s="6" t="s">
        <v>2350</v>
      </c>
      <c r="F3337" s="6" t="s">
        <v>170</v>
      </c>
      <c r="G3337" s="7">
        <v>0.39</v>
      </c>
      <c r="H3337" s="6" t="s">
        <v>1664</v>
      </c>
      <c r="I3337" s="6" t="s">
        <v>31</v>
      </c>
      <c r="J3337" s="6">
        <v>2018.0</v>
      </c>
      <c r="L3337" s="6">
        <v>1.0</v>
      </c>
      <c r="M3337" s="8">
        <f t="shared" si="5"/>
        <v>0.39</v>
      </c>
      <c r="P3337" s="9"/>
    </row>
    <row r="3338">
      <c r="A3338" s="6" t="s">
        <v>7779</v>
      </c>
      <c r="B3338" s="6" t="s">
        <v>7780</v>
      </c>
      <c r="C3338" s="6" t="s">
        <v>1897</v>
      </c>
      <c r="D3338" s="6" t="s">
        <v>7781</v>
      </c>
      <c r="E3338" s="6" t="s">
        <v>1954</v>
      </c>
      <c r="F3338" s="6" t="s">
        <v>18</v>
      </c>
      <c r="G3338" s="7">
        <v>1.0</v>
      </c>
      <c r="H3338" s="6" t="s">
        <v>1631</v>
      </c>
      <c r="I3338" s="6" t="s">
        <v>20</v>
      </c>
      <c r="J3338" s="6">
        <v>2024.0</v>
      </c>
      <c r="K3338" s="10">
        <v>46055.0</v>
      </c>
      <c r="L3338" s="6">
        <v>1.0</v>
      </c>
      <c r="M3338" s="8">
        <f t="shared" si="5"/>
        <v>1</v>
      </c>
      <c r="N3338" s="6" t="s">
        <v>6488</v>
      </c>
      <c r="P3338" s="9"/>
    </row>
    <row r="3339">
      <c r="A3339" s="6" t="s">
        <v>2453</v>
      </c>
      <c r="B3339" s="6" t="s">
        <v>2454</v>
      </c>
      <c r="C3339" s="6" t="s">
        <v>295</v>
      </c>
      <c r="D3339" s="6" t="s">
        <v>7782</v>
      </c>
      <c r="E3339" s="6" t="s">
        <v>2305</v>
      </c>
      <c r="F3339" s="6" t="s">
        <v>18</v>
      </c>
      <c r="G3339" s="7">
        <v>4.6</v>
      </c>
      <c r="H3339" s="6" t="s">
        <v>2456</v>
      </c>
      <c r="I3339" s="6" t="s">
        <v>31</v>
      </c>
      <c r="J3339" s="6">
        <v>2024.0</v>
      </c>
      <c r="K3339" s="6" t="s">
        <v>750</v>
      </c>
      <c r="L3339" s="6">
        <v>1.0</v>
      </c>
      <c r="M3339" s="8">
        <f t="shared" si="5"/>
        <v>4.6</v>
      </c>
      <c r="N3339" s="6" t="s">
        <v>6488</v>
      </c>
      <c r="P3339" s="9"/>
    </row>
    <row r="3340">
      <c r="A3340" s="6" t="s">
        <v>7783</v>
      </c>
      <c r="B3340" s="6" t="s">
        <v>7784</v>
      </c>
      <c r="C3340" s="6" t="s">
        <v>295</v>
      </c>
      <c r="D3340" s="6" t="s">
        <v>7785</v>
      </c>
      <c r="E3340" s="6" t="s">
        <v>1954</v>
      </c>
      <c r="F3340" s="6" t="s">
        <v>18</v>
      </c>
      <c r="G3340" s="7">
        <v>0.32</v>
      </c>
      <c r="H3340" s="6" t="s">
        <v>1631</v>
      </c>
      <c r="I3340" s="6" t="s">
        <v>31</v>
      </c>
      <c r="J3340" s="6">
        <v>2024.0</v>
      </c>
      <c r="K3340" s="10">
        <v>46055.0</v>
      </c>
      <c r="L3340" s="6">
        <v>1.0</v>
      </c>
      <c r="M3340" s="8">
        <f t="shared" si="5"/>
        <v>0.32</v>
      </c>
      <c r="P3340" s="9"/>
    </row>
    <row r="3341">
      <c r="A3341" s="6" t="s">
        <v>7786</v>
      </c>
      <c r="B3341" s="6" t="s">
        <v>610</v>
      </c>
      <c r="C3341" s="6" t="s">
        <v>1949</v>
      </c>
      <c r="D3341" s="6" t="s">
        <v>7787</v>
      </c>
      <c r="E3341" s="6" t="s">
        <v>2280</v>
      </c>
      <c r="F3341" s="6" t="s">
        <v>277</v>
      </c>
      <c r="G3341" s="7">
        <v>0.45</v>
      </c>
      <c r="H3341" s="6" t="s">
        <v>1631</v>
      </c>
      <c r="I3341" s="6" t="s">
        <v>20</v>
      </c>
      <c r="J3341" s="6">
        <v>2024.0</v>
      </c>
      <c r="L3341" s="6">
        <v>1.0</v>
      </c>
      <c r="M3341" s="8">
        <f t="shared" si="5"/>
        <v>0.45</v>
      </c>
      <c r="P3341" s="9"/>
    </row>
    <row r="3342">
      <c r="A3342" s="6" t="s">
        <v>7788</v>
      </c>
      <c r="B3342" s="6" t="s">
        <v>2058</v>
      </c>
      <c r="C3342" s="6" t="s">
        <v>1949</v>
      </c>
      <c r="D3342" s="6" t="s">
        <v>7789</v>
      </c>
      <c r="E3342" s="6" t="s">
        <v>2342</v>
      </c>
      <c r="F3342" s="6" t="s">
        <v>170</v>
      </c>
      <c r="G3342" s="7">
        <v>0.7</v>
      </c>
      <c r="H3342" s="6" t="s">
        <v>6726</v>
      </c>
      <c r="I3342" s="6" t="s">
        <v>20</v>
      </c>
      <c r="J3342" s="6">
        <v>2023.0</v>
      </c>
      <c r="L3342" s="6">
        <v>1.0</v>
      </c>
      <c r="M3342" s="8">
        <f t="shared" si="5"/>
        <v>0.7</v>
      </c>
      <c r="P3342" s="9"/>
    </row>
    <row r="3343">
      <c r="A3343" s="6" t="s">
        <v>7239</v>
      </c>
      <c r="B3343" s="6" t="s">
        <v>2058</v>
      </c>
      <c r="C3343" s="6" t="s">
        <v>1949</v>
      </c>
      <c r="D3343" s="6" t="s">
        <v>7240</v>
      </c>
      <c r="E3343" s="6" t="s">
        <v>2326</v>
      </c>
      <c r="F3343" s="6" t="s">
        <v>88</v>
      </c>
      <c r="G3343" s="7">
        <v>0.4</v>
      </c>
      <c r="H3343" s="6" t="s">
        <v>2456</v>
      </c>
      <c r="I3343" s="6" t="s">
        <v>20</v>
      </c>
      <c r="J3343" s="6">
        <v>2024.0</v>
      </c>
      <c r="L3343" s="6">
        <v>1.0</v>
      </c>
      <c r="M3343" s="8">
        <f t="shared" si="5"/>
        <v>0.4</v>
      </c>
      <c r="P3343" s="9"/>
    </row>
    <row r="3344">
      <c r="A3344" s="6" t="s">
        <v>7790</v>
      </c>
      <c r="B3344" s="6" t="s">
        <v>385</v>
      </c>
      <c r="C3344" s="6" t="s">
        <v>1949</v>
      </c>
      <c r="D3344" s="6" t="s">
        <v>7791</v>
      </c>
      <c r="E3344" s="6" t="s">
        <v>629</v>
      </c>
      <c r="F3344" s="6" t="s">
        <v>277</v>
      </c>
      <c r="G3344" s="7">
        <v>0.23</v>
      </c>
      <c r="H3344" s="6" t="s">
        <v>1631</v>
      </c>
      <c r="I3344" s="6" t="s">
        <v>20</v>
      </c>
      <c r="J3344" s="6">
        <v>2024.0</v>
      </c>
      <c r="L3344" s="6">
        <v>1.0</v>
      </c>
      <c r="M3344" s="8">
        <f t="shared" si="5"/>
        <v>0.23</v>
      </c>
      <c r="P3344" s="9"/>
    </row>
    <row r="3345">
      <c r="A3345" s="6" t="s">
        <v>7792</v>
      </c>
      <c r="B3345" s="6" t="s">
        <v>7793</v>
      </c>
      <c r="C3345" s="6" t="s">
        <v>1949</v>
      </c>
      <c r="D3345" s="6" t="s">
        <v>7794</v>
      </c>
      <c r="E3345" s="6" t="s">
        <v>2365</v>
      </c>
      <c r="F3345" s="6" t="s">
        <v>170</v>
      </c>
      <c r="G3345" s="7">
        <v>17.69</v>
      </c>
      <c r="H3345" s="6" t="s">
        <v>2141</v>
      </c>
      <c r="I3345" s="6" t="s">
        <v>20</v>
      </c>
      <c r="J3345" s="6">
        <v>2023.0</v>
      </c>
      <c r="K3345" s="10">
        <v>46055.0</v>
      </c>
      <c r="L3345" s="6">
        <v>1.0</v>
      </c>
      <c r="M3345" s="8">
        <f t="shared" si="5"/>
        <v>17.69</v>
      </c>
      <c r="N3345" s="6" t="s">
        <v>6488</v>
      </c>
      <c r="P3345" s="9"/>
    </row>
    <row r="3346">
      <c r="A3346" s="6" t="s">
        <v>7795</v>
      </c>
      <c r="B3346" s="6" t="s">
        <v>7453</v>
      </c>
      <c r="C3346" s="6" t="s">
        <v>1897</v>
      </c>
      <c r="D3346" s="6" t="s">
        <v>7796</v>
      </c>
      <c r="E3346" s="6" t="s">
        <v>933</v>
      </c>
      <c r="F3346" s="6" t="s">
        <v>170</v>
      </c>
      <c r="G3346" s="7">
        <v>0.68</v>
      </c>
      <c r="H3346" s="6" t="s">
        <v>1664</v>
      </c>
      <c r="I3346" s="6" t="s">
        <v>20</v>
      </c>
      <c r="J3346" s="6">
        <v>2018.0</v>
      </c>
      <c r="L3346" s="6">
        <v>1.0</v>
      </c>
      <c r="M3346" s="8">
        <f t="shared" si="5"/>
        <v>0.68</v>
      </c>
      <c r="P3346" s="9"/>
    </row>
    <row r="3347">
      <c r="A3347" s="6" t="s">
        <v>7483</v>
      </c>
      <c r="B3347" s="6" t="s">
        <v>378</v>
      </c>
      <c r="C3347" s="6" t="s">
        <v>295</v>
      </c>
      <c r="D3347" s="6" t="s">
        <v>7484</v>
      </c>
      <c r="E3347" s="6" t="s">
        <v>2342</v>
      </c>
      <c r="F3347" s="6" t="s">
        <v>170</v>
      </c>
      <c r="G3347" s="7">
        <v>1.25</v>
      </c>
      <c r="H3347" s="6" t="s">
        <v>2141</v>
      </c>
      <c r="I3347" s="6" t="s">
        <v>31</v>
      </c>
      <c r="J3347" s="6">
        <v>2023.0</v>
      </c>
      <c r="L3347" s="6">
        <v>1.0</v>
      </c>
      <c r="M3347" s="8">
        <f t="shared" si="5"/>
        <v>1.25</v>
      </c>
      <c r="P3347" s="9"/>
    </row>
    <row r="3348">
      <c r="A3348" s="6" t="s">
        <v>7556</v>
      </c>
      <c r="B3348" s="6" t="s">
        <v>2469</v>
      </c>
      <c r="C3348" s="6" t="s">
        <v>295</v>
      </c>
      <c r="D3348" s="6" t="s">
        <v>7557</v>
      </c>
      <c r="E3348" s="6" t="s">
        <v>2365</v>
      </c>
      <c r="F3348" s="6" t="s">
        <v>170</v>
      </c>
      <c r="G3348" s="7">
        <v>0.25</v>
      </c>
      <c r="H3348" s="6" t="s">
        <v>2172</v>
      </c>
      <c r="I3348" s="6" t="s">
        <v>31</v>
      </c>
      <c r="J3348" s="6">
        <v>2021.0</v>
      </c>
      <c r="K3348" s="10">
        <v>46175.0</v>
      </c>
      <c r="L3348" s="6">
        <v>1.0</v>
      </c>
      <c r="M3348" s="8">
        <f t="shared" si="5"/>
        <v>0.25</v>
      </c>
      <c r="P3348" s="9"/>
    </row>
    <row r="3349">
      <c r="A3349" s="6" t="s">
        <v>7797</v>
      </c>
      <c r="B3349" s="6" t="s">
        <v>7798</v>
      </c>
      <c r="C3349" s="6" t="s">
        <v>1949</v>
      </c>
      <c r="E3349" s="6" t="s">
        <v>2342</v>
      </c>
      <c r="F3349" s="6" t="s">
        <v>170</v>
      </c>
      <c r="G3349" s="7">
        <v>0.4</v>
      </c>
      <c r="H3349" s="6" t="s">
        <v>6498</v>
      </c>
      <c r="I3349" s="6" t="s">
        <v>31</v>
      </c>
      <c r="J3349" s="6">
        <v>2025.0</v>
      </c>
      <c r="K3349" s="10">
        <v>46026.0</v>
      </c>
      <c r="L3349" s="6">
        <v>1.0</v>
      </c>
      <c r="M3349" s="8">
        <f t="shared" si="5"/>
        <v>0.4</v>
      </c>
      <c r="P3349" s="9"/>
    </row>
    <row r="3350">
      <c r="A3350" s="6" t="s">
        <v>7799</v>
      </c>
      <c r="B3350" s="6" t="s">
        <v>7800</v>
      </c>
      <c r="C3350" s="6" t="s">
        <v>1949</v>
      </c>
      <c r="D3350" s="6" t="s">
        <v>7801</v>
      </c>
      <c r="E3350" s="6" t="s">
        <v>2365</v>
      </c>
      <c r="F3350" s="6" t="s">
        <v>170</v>
      </c>
      <c r="G3350" s="7">
        <v>0.07</v>
      </c>
      <c r="H3350" s="6" t="s">
        <v>3934</v>
      </c>
      <c r="I3350" s="6" t="s">
        <v>31</v>
      </c>
      <c r="J3350" s="6">
        <v>2023.0</v>
      </c>
      <c r="K3350" s="10">
        <v>46057.0</v>
      </c>
      <c r="L3350" s="6">
        <v>1.0</v>
      </c>
      <c r="M3350" s="8">
        <f t="shared" si="5"/>
        <v>0.07</v>
      </c>
      <c r="P3350" s="9"/>
    </row>
    <row r="3351">
      <c r="A3351" s="6" t="s">
        <v>7349</v>
      </c>
      <c r="B3351" s="6" t="s">
        <v>385</v>
      </c>
      <c r="C3351" s="6" t="s">
        <v>295</v>
      </c>
      <c r="D3351" s="6" t="s">
        <v>7350</v>
      </c>
      <c r="E3351" s="6" t="s">
        <v>2342</v>
      </c>
      <c r="F3351" s="6" t="s">
        <v>170</v>
      </c>
      <c r="G3351" s="7">
        <v>9.49</v>
      </c>
      <c r="H3351" s="6" t="s">
        <v>1959</v>
      </c>
      <c r="I3351" s="6" t="s">
        <v>31</v>
      </c>
      <c r="J3351" s="6">
        <v>2024.0</v>
      </c>
      <c r="L3351" s="6">
        <v>1.0</v>
      </c>
      <c r="M3351" s="8">
        <f t="shared" si="5"/>
        <v>9.49</v>
      </c>
      <c r="N3351" s="6" t="s">
        <v>6488</v>
      </c>
      <c r="P3351" s="9"/>
    </row>
    <row r="3352">
      <c r="A3352" s="6" t="s">
        <v>7802</v>
      </c>
      <c r="B3352" s="6" t="s">
        <v>7803</v>
      </c>
      <c r="C3352" s="6" t="s">
        <v>1949</v>
      </c>
      <c r="D3352" s="6" t="s">
        <v>7804</v>
      </c>
      <c r="E3352" s="6" t="s">
        <v>2342</v>
      </c>
      <c r="F3352" s="6" t="s">
        <v>170</v>
      </c>
      <c r="G3352" s="7">
        <v>0.23</v>
      </c>
      <c r="H3352" s="6" t="s">
        <v>1959</v>
      </c>
      <c r="I3352" s="6" t="s">
        <v>31</v>
      </c>
      <c r="J3352" s="6">
        <v>2024.0</v>
      </c>
      <c r="K3352" s="10">
        <v>46055.0</v>
      </c>
      <c r="L3352" s="6">
        <v>1.0</v>
      </c>
      <c r="M3352" s="8">
        <f t="shared" si="5"/>
        <v>0.23</v>
      </c>
      <c r="P3352" s="9"/>
    </row>
    <row r="3353">
      <c r="A3353" s="6" t="s">
        <v>7805</v>
      </c>
      <c r="B3353" s="6" t="s">
        <v>2134</v>
      </c>
      <c r="C3353" s="6" t="s">
        <v>295</v>
      </c>
      <c r="D3353" s="6" t="s">
        <v>7806</v>
      </c>
      <c r="E3353" s="6" t="s">
        <v>2350</v>
      </c>
      <c r="F3353" s="6" t="s">
        <v>170</v>
      </c>
      <c r="G3353" s="7">
        <v>0.75</v>
      </c>
      <c r="H3353" s="6" t="s">
        <v>2456</v>
      </c>
      <c r="I3353" s="6" t="s">
        <v>31</v>
      </c>
      <c r="J3353" s="6">
        <v>2024.0</v>
      </c>
      <c r="K3353" s="10">
        <v>46083.0</v>
      </c>
      <c r="L3353" s="6">
        <v>1.0</v>
      </c>
      <c r="M3353" s="8">
        <f t="shared" si="5"/>
        <v>0.75</v>
      </c>
      <c r="P3353" s="9"/>
    </row>
    <row r="3354">
      <c r="A3354" s="6" t="s">
        <v>7807</v>
      </c>
      <c r="B3354" s="6" t="s">
        <v>2669</v>
      </c>
      <c r="C3354" s="6" t="s">
        <v>295</v>
      </c>
      <c r="D3354" s="6" t="s">
        <v>7808</v>
      </c>
      <c r="E3354" s="6" t="s">
        <v>2358</v>
      </c>
      <c r="F3354" s="6" t="s">
        <v>170</v>
      </c>
      <c r="G3354" s="7">
        <v>0.4</v>
      </c>
      <c r="H3354" s="6" t="s">
        <v>2141</v>
      </c>
      <c r="I3354" s="6" t="s">
        <v>31</v>
      </c>
      <c r="J3354" s="6">
        <v>2023.0</v>
      </c>
      <c r="K3354" s="10">
        <v>46028.0</v>
      </c>
      <c r="L3354" s="6">
        <v>1.0</v>
      </c>
      <c r="M3354" s="8">
        <f t="shared" si="5"/>
        <v>0.4</v>
      </c>
      <c r="P3354" s="9"/>
    </row>
    <row r="3355">
      <c r="A3355" s="6" t="s">
        <v>7809</v>
      </c>
      <c r="B3355" s="6" t="s">
        <v>385</v>
      </c>
      <c r="C3355" s="6" t="s">
        <v>1949</v>
      </c>
      <c r="D3355" s="6" t="s">
        <v>7810</v>
      </c>
      <c r="E3355" s="6" t="s">
        <v>930</v>
      </c>
      <c r="F3355" s="6" t="s">
        <v>170</v>
      </c>
      <c r="G3355" s="7">
        <v>0.23</v>
      </c>
      <c r="H3355" s="6" t="s">
        <v>1959</v>
      </c>
      <c r="I3355" s="6" t="s">
        <v>31</v>
      </c>
      <c r="J3355" s="6">
        <v>2024.0</v>
      </c>
      <c r="L3355" s="6">
        <v>1.0</v>
      </c>
      <c r="M3355" s="8">
        <f t="shared" si="5"/>
        <v>0.23</v>
      </c>
      <c r="P3355" s="9"/>
    </row>
    <row r="3356">
      <c r="A3356" s="6" t="s">
        <v>7532</v>
      </c>
      <c r="B3356" s="6" t="s">
        <v>6700</v>
      </c>
      <c r="C3356" s="6" t="s">
        <v>1949</v>
      </c>
      <c r="D3356" s="6" t="s">
        <v>7533</v>
      </c>
      <c r="E3356" s="6" t="s">
        <v>2350</v>
      </c>
      <c r="F3356" s="6" t="s">
        <v>170</v>
      </c>
      <c r="G3356" s="7">
        <v>0.45</v>
      </c>
      <c r="H3356" s="6" t="s">
        <v>2141</v>
      </c>
      <c r="I3356" s="6" t="s">
        <v>31</v>
      </c>
      <c r="J3356" s="6">
        <v>2023.0</v>
      </c>
      <c r="K3356" s="10">
        <v>46083.0</v>
      </c>
      <c r="L3356" s="6">
        <v>1.0</v>
      </c>
      <c r="M3356" s="8">
        <f t="shared" si="5"/>
        <v>0.45</v>
      </c>
      <c r="P3356" s="9"/>
    </row>
    <row r="3357">
      <c r="A3357" s="6" t="s">
        <v>7811</v>
      </c>
      <c r="B3357" s="6" t="s">
        <v>7812</v>
      </c>
      <c r="C3357" s="6" t="s">
        <v>295</v>
      </c>
      <c r="D3357" s="6" t="s">
        <v>7813</v>
      </c>
      <c r="E3357" s="6" t="s">
        <v>780</v>
      </c>
      <c r="F3357" s="6" t="s">
        <v>18</v>
      </c>
      <c r="G3357" s="7">
        <v>0.24</v>
      </c>
      <c r="H3357" s="6" t="s">
        <v>2950</v>
      </c>
      <c r="I3357" s="6" t="s">
        <v>20</v>
      </c>
      <c r="J3357" s="6">
        <v>2002.0</v>
      </c>
      <c r="K3357" s="10">
        <v>46023.0</v>
      </c>
      <c r="L3357" s="6">
        <v>1.0</v>
      </c>
      <c r="M3357" s="8">
        <f t="shared" si="5"/>
        <v>0.24</v>
      </c>
      <c r="P3357" s="9"/>
    </row>
    <row r="3358">
      <c r="A3358" s="6" t="s">
        <v>7814</v>
      </c>
      <c r="B3358" s="6" t="s">
        <v>378</v>
      </c>
      <c r="C3358" s="6" t="s">
        <v>295</v>
      </c>
      <c r="D3358" s="6" t="s">
        <v>7815</v>
      </c>
      <c r="E3358" s="6" t="s">
        <v>780</v>
      </c>
      <c r="F3358" s="6" t="s">
        <v>18</v>
      </c>
      <c r="G3358" s="7">
        <v>0.11</v>
      </c>
      <c r="H3358" s="6" t="s">
        <v>2456</v>
      </c>
      <c r="I3358" s="6" t="s">
        <v>20</v>
      </c>
      <c r="J3358" s="6">
        <v>2024.0</v>
      </c>
      <c r="L3358" s="6">
        <v>1.0</v>
      </c>
      <c r="M3358" s="8">
        <f t="shared" si="5"/>
        <v>0.11</v>
      </c>
      <c r="P3358" s="9"/>
    </row>
    <row r="3359">
      <c r="A3359" s="6" t="s">
        <v>7816</v>
      </c>
      <c r="B3359" s="6" t="s">
        <v>4787</v>
      </c>
      <c r="C3359" s="6" t="s">
        <v>1949</v>
      </c>
      <c r="D3359" s="6" t="s">
        <v>7817</v>
      </c>
      <c r="E3359" s="6" t="s">
        <v>2556</v>
      </c>
      <c r="F3359" s="6" t="s">
        <v>18</v>
      </c>
      <c r="G3359" s="7">
        <v>0.59</v>
      </c>
      <c r="H3359" s="6" t="s">
        <v>2141</v>
      </c>
      <c r="I3359" s="6" t="s">
        <v>20</v>
      </c>
      <c r="J3359" s="6">
        <v>2023.0</v>
      </c>
      <c r="K3359" s="10">
        <v>46117.0</v>
      </c>
      <c r="L3359" s="6">
        <v>1.0</v>
      </c>
      <c r="M3359" s="8">
        <f t="shared" si="5"/>
        <v>0.59</v>
      </c>
      <c r="P3359" s="9"/>
    </row>
    <row r="3360">
      <c r="A3360" s="6" t="s">
        <v>7818</v>
      </c>
      <c r="B3360" s="6" t="s">
        <v>2486</v>
      </c>
      <c r="C3360" s="6" t="s">
        <v>1949</v>
      </c>
      <c r="D3360" s="6" t="s">
        <v>7819</v>
      </c>
      <c r="E3360" s="6" t="s">
        <v>1954</v>
      </c>
      <c r="F3360" s="6" t="s">
        <v>18</v>
      </c>
      <c r="G3360" s="7">
        <v>0.24</v>
      </c>
      <c r="H3360" s="6" t="s">
        <v>2141</v>
      </c>
      <c r="I3360" s="6" t="s">
        <v>20</v>
      </c>
      <c r="J3360" s="6">
        <v>2023.0</v>
      </c>
      <c r="K3360" s="10">
        <v>46024.0</v>
      </c>
      <c r="L3360" s="6">
        <v>1.0</v>
      </c>
      <c r="M3360" s="8">
        <f t="shared" si="5"/>
        <v>0.24</v>
      </c>
      <c r="P3360" s="9"/>
    </row>
    <row r="3361">
      <c r="A3361" s="6" t="s">
        <v>7820</v>
      </c>
      <c r="B3361" s="6" t="s">
        <v>378</v>
      </c>
      <c r="C3361" s="6" t="s">
        <v>1949</v>
      </c>
      <c r="D3361" s="6" t="s">
        <v>7821</v>
      </c>
      <c r="E3361" s="6" t="s">
        <v>2295</v>
      </c>
      <c r="F3361" s="6" t="s">
        <v>18</v>
      </c>
      <c r="G3361" s="7">
        <v>1.99</v>
      </c>
      <c r="H3361" s="6" t="s">
        <v>2141</v>
      </c>
      <c r="I3361" s="6" t="s">
        <v>20</v>
      </c>
      <c r="J3361" s="6">
        <v>2023.0</v>
      </c>
      <c r="L3361" s="6">
        <v>1.0</v>
      </c>
      <c r="M3361" s="8">
        <f t="shared" si="5"/>
        <v>1.99</v>
      </c>
      <c r="N3361" s="6" t="s">
        <v>6488</v>
      </c>
      <c r="P3361" s="9"/>
    </row>
    <row r="3362">
      <c r="A3362" s="6" t="s">
        <v>7822</v>
      </c>
      <c r="B3362" s="6" t="s">
        <v>2058</v>
      </c>
      <c r="C3362" s="6" t="s">
        <v>1949</v>
      </c>
      <c r="D3362" s="6" t="s">
        <v>7823</v>
      </c>
      <c r="E3362" s="6" t="s">
        <v>2503</v>
      </c>
      <c r="F3362" s="6" t="s">
        <v>18</v>
      </c>
      <c r="G3362" s="7">
        <v>0.15</v>
      </c>
      <c r="H3362" s="6" t="s">
        <v>2141</v>
      </c>
      <c r="I3362" s="6" t="s">
        <v>20</v>
      </c>
      <c r="J3362" s="6">
        <v>2023.0</v>
      </c>
      <c r="L3362" s="6">
        <v>1.0</v>
      </c>
      <c r="M3362" s="8">
        <f t="shared" si="5"/>
        <v>0.15</v>
      </c>
      <c r="P3362" s="9"/>
    </row>
    <row r="3363">
      <c r="A3363" s="6" t="s">
        <v>7824</v>
      </c>
      <c r="B3363" s="6" t="s">
        <v>7825</v>
      </c>
      <c r="C3363" s="6" t="s">
        <v>295</v>
      </c>
      <c r="D3363" s="6" t="s">
        <v>7826</v>
      </c>
      <c r="E3363" s="6" t="s">
        <v>2510</v>
      </c>
      <c r="F3363" s="6" t="s">
        <v>18</v>
      </c>
      <c r="G3363" s="7">
        <v>0.05</v>
      </c>
      <c r="H3363" s="6" t="s">
        <v>1959</v>
      </c>
      <c r="I3363" s="6" t="s">
        <v>20</v>
      </c>
      <c r="J3363" s="6">
        <v>2024.0</v>
      </c>
      <c r="K3363" s="10">
        <v>46180.0</v>
      </c>
      <c r="L3363" s="6">
        <v>1.0</v>
      </c>
      <c r="M3363" s="8">
        <f t="shared" si="5"/>
        <v>0.05</v>
      </c>
      <c r="P3363" s="9"/>
    </row>
    <row r="3364">
      <c r="A3364" s="6" t="s">
        <v>7827</v>
      </c>
      <c r="B3364" s="6" t="s">
        <v>7828</v>
      </c>
      <c r="C3364" s="6" t="s">
        <v>1949</v>
      </c>
      <c r="D3364" s="6" t="s">
        <v>7829</v>
      </c>
      <c r="E3364" s="6" t="s">
        <v>2503</v>
      </c>
      <c r="F3364" s="6" t="s">
        <v>18</v>
      </c>
      <c r="G3364" s="7">
        <v>1.32</v>
      </c>
      <c r="H3364" s="6" t="s">
        <v>2141</v>
      </c>
      <c r="I3364" s="6" t="s">
        <v>20</v>
      </c>
      <c r="J3364" s="6">
        <v>2023.0</v>
      </c>
      <c r="K3364" s="10">
        <v>46116.0</v>
      </c>
      <c r="L3364" s="6">
        <v>1.0</v>
      </c>
      <c r="M3364" s="8">
        <f t="shared" si="5"/>
        <v>1.32</v>
      </c>
      <c r="N3364" s="6" t="s">
        <v>6488</v>
      </c>
      <c r="P3364" s="9"/>
    </row>
    <row r="3365">
      <c r="A3365" s="6" t="s">
        <v>2658</v>
      </c>
      <c r="B3365" s="6" t="s">
        <v>2659</v>
      </c>
      <c r="C3365" s="6" t="s">
        <v>295</v>
      </c>
      <c r="D3365" s="6" t="s">
        <v>7830</v>
      </c>
      <c r="E3365" s="6" t="s">
        <v>1954</v>
      </c>
      <c r="F3365" s="6" t="s">
        <v>18</v>
      </c>
      <c r="G3365" s="7">
        <v>0.09</v>
      </c>
      <c r="H3365" s="6" t="s">
        <v>2238</v>
      </c>
      <c r="I3365" s="6" t="s">
        <v>20</v>
      </c>
      <c r="J3365" s="6">
        <v>2024.0</v>
      </c>
      <c r="K3365" s="10">
        <v>46023.0</v>
      </c>
      <c r="L3365" s="6">
        <v>1.0</v>
      </c>
      <c r="M3365" s="8">
        <f t="shared" si="5"/>
        <v>0.09</v>
      </c>
      <c r="P3365" s="9"/>
    </row>
    <row r="3366">
      <c r="A3366" s="6" t="s">
        <v>7831</v>
      </c>
      <c r="B3366" s="6" t="s">
        <v>378</v>
      </c>
      <c r="C3366" s="6" t="s">
        <v>295</v>
      </c>
      <c r="D3366" s="6" t="s">
        <v>7832</v>
      </c>
      <c r="E3366" s="6" t="s">
        <v>2295</v>
      </c>
      <c r="F3366" s="6" t="s">
        <v>18</v>
      </c>
      <c r="G3366" s="7">
        <v>0.06</v>
      </c>
      <c r="H3366" s="6" t="s">
        <v>2650</v>
      </c>
      <c r="I3366" s="6" t="s">
        <v>20</v>
      </c>
      <c r="J3366" s="6">
        <v>2021.0</v>
      </c>
      <c r="L3366" s="6">
        <v>1.0</v>
      </c>
      <c r="M3366" s="8">
        <f t="shared" si="5"/>
        <v>0.06</v>
      </c>
      <c r="P3366" s="9"/>
    </row>
    <row r="3367">
      <c r="A3367" s="6" t="s">
        <v>7833</v>
      </c>
      <c r="B3367" s="6" t="s">
        <v>378</v>
      </c>
      <c r="C3367" s="6" t="s">
        <v>295</v>
      </c>
      <c r="D3367" s="6" t="s">
        <v>7834</v>
      </c>
      <c r="E3367" s="6" t="s">
        <v>1954</v>
      </c>
      <c r="F3367" s="6" t="s">
        <v>18</v>
      </c>
      <c r="G3367" s="7">
        <v>0.09</v>
      </c>
      <c r="H3367" s="6" t="s">
        <v>4574</v>
      </c>
      <c r="I3367" s="6" t="s">
        <v>20</v>
      </c>
      <c r="J3367" s="6">
        <v>2024.0</v>
      </c>
      <c r="L3367" s="6">
        <v>1.0</v>
      </c>
      <c r="M3367" s="8">
        <f t="shared" si="5"/>
        <v>0.09</v>
      </c>
      <c r="P3367" s="9"/>
    </row>
    <row r="3368">
      <c r="A3368" s="6" t="s">
        <v>7835</v>
      </c>
      <c r="B3368" s="6" t="s">
        <v>5322</v>
      </c>
      <c r="C3368" s="6" t="s">
        <v>295</v>
      </c>
      <c r="D3368" s="6" t="s">
        <v>7836</v>
      </c>
      <c r="E3368" s="6" t="s">
        <v>2510</v>
      </c>
      <c r="F3368" s="6" t="s">
        <v>18</v>
      </c>
      <c r="G3368" s="7">
        <v>0.1</v>
      </c>
      <c r="H3368" s="6" t="s">
        <v>6498</v>
      </c>
      <c r="I3368" s="6" t="s">
        <v>20</v>
      </c>
      <c r="J3368" s="6">
        <v>2025.0</v>
      </c>
      <c r="K3368" s="10">
        <v>46179.0</v>
      </c>
      <c r="L3368" s="6">
        <v>1.0</v>
      </c>
      <c r="M3368" s="8">
        <f t="shared" si="5"/>
        <v>0.1</v>
      </c>
      <c r="P3368" s="9"/>
    </row>
    <row r="3369">
      <c r="A3369" s="6" t="s">
        <v>7837</v>
      </c>
      <c r="B3369" s="6" t="s">
        <v>2058</v>
      </c>
      <c r="C3369" s="6" t="s">
        <v>295</v>
      </c>
      <c r="D3369" s="6" t="s">
        <v>7838</v>
      </c>
      <c r="E3369" s="6" t="s">
        <v>780</v>
      </c>
      <c r="F3369" s="6" t="s">
        <v>18</v>
      </c>
      <c r="G3369" s="7">
        <v>0.15</v>
      </c>
      <c r="H3369" s="6" t="s">
        <v>7367</v>
      </c>
      <c r="I3369" s="6" t="s">
        <v>20</v>
      </c>
      <c r="J3369" s="6">
        <v>2024.0</v>
      </c>
      <c r="L3369" s="6">
        <v>1.0</v>
      </c>
      <c r="M3369" s="8">
        <f t="shared" si="5"/>
        <v>0.15</v>
      </c>
      <c r="P3369" s="9"/>
    </row>
    <row r="3370">
      <c r="A3370" s="6" t="s">
        <v>7839</v>
      </c>
      <c r="B3370" s="6" t="s">
        <v>2058</v>
      </c>
      <c r="C3370" s="6" t="s">
        <v>295</v>
      </c>
      <c r="D3370" s="6" t="s">
        <v>7840</v>
      </c>
      <c r="E3370" s="6" t="s">
        <v>2295</v>
      </c>
      <c r="F3370" s="6" t="s">
        <v>18</v>
      </c>
      <c r="G3370" s="7">
        <v>0.25</v>
      </c>
      <c r="H3370" s="6" t="s">
        <v>2182</v>
      </c>
      <c r="I3370" s="6" t="s">
        <v>20</v>
      </c>
      <c r="J3370" s="6">
        <v>2022.0</v>
      </c>
      <c r="L3370" s="6">
        <v>1.0</v>
      </c>
      <c r="M3370" s="8">
        <f t="shared" si="5"/>
        <v>0.25</v>
      </c>
      <c r="P3370" s="9"/>
    </row>
    <row r="3371">
      <c r="A3371" s="6" t="s">
        <v>7841</v>
      </c>
      <c r="B3371" s="6" t="s">
        <v>2058</v>
      </c>
      <c r="C3371" s="6" t="s">
        <v>295</v>
      </c>
      <c r="D3371" s="6" t="s">
        <v>7842</v>
      </c>
      <c r="E3371" s="6" t="s">
        <v>2299</v>
      </c>
      <c r="F3371" s="6" t="s">
        <v>18</v>
      </c>
      <c r="G3371" s="7">
        <v>0.18</v>
      </c>
      <c r="H3371" s="6" t="s">
        <v>7367</v>
      </c>
      <c r="I3371" s="6" t="s">
        <v>20</v>
      </c>
      <c r="J3371" s="6">
        <v>2024.0</v>
      </c>
      <c r="L3371" s="6">
        <v>1.0</v>
      </c>
      <c r="M3371" s="8">
        <f t="shared" si="5"/>
        <v>0.18</v>
      </c>
      <c r="P3371" s="9"/>
    </row>
    <row r="3372">
      <c r="A3372" s="6" t="s">
        <v>7843</v>
      </c>
      <c r="B3372" s="6" t="s">
        <v>7844</v>
      </c>
      <c r="C3372" s="6" t="s">
        <v>1949</v>
      </c>
      <c r="D3372" s="6" t="s">
        <v>7845</v>
      </c>
      <c r="E3372" s="6" t="s">
        <v>7846</v>
      </c>
      <c r="F3372" s="6" t="s">
        <v>18</v>
      </c>
      <c r="G3372" s="7">
        <v>0.3</v>
      </c>
      <c r="H3372" s="6" t="s">
        <v>1708</v>
      </c>
      <c r="I3372" s="6" t="s">
        <v>31</v>
      </c>
      <c r="J3372" s="6">
        <v>2019.0</v>
      </c>
      <c r="K3372" s="10">
        <v>46054.0</v>
      </c>
      <c r="L3372" s="6">
        <v>1.0</v>
      </c>
      <c r="M3372" s="8">
        <f t="shared" si="5"/>
        <v>0.3</v>
      </c>
      <c r="P3372" s="9"/>
    </row>
    <row r="3373">
      <c r="G3373" s="8"/>
      <c r="M3373" s="8">
        <f t="shared" si="5"/>
        <v>0</v>
      </c>
      <c r="P3373" s="9"/>
    </row>
    <row r="3374">
      <c r="G3374" s="8"/>
      <c r="M3374" s="8">
        <f t="shared" si="5"/>
        <v>0</v>
      </c>
      <c r="P3374" s="9"/>
    </row>
    <row r="3375">
      <c r="G3375" s="8"/>
      <c r="M3375" s="8">
        <f t="shared" si="5"/>
        <v>0</v>
      </c>
      <c r="P3375" s="9"/>
    </row>
    <row r="3376">
      <c r="G3376" s="8"/>
      <c r="M3376" s="8">
        <f t="shared" si="5"/>
        <v>0</v>
      </c>
      <c r="P3376" s="9"/>
    </row>
    <row r="3377">
      <c r="G3377" s="8"/>
      <c r="M3377" s="8">
        <f t="shared" si="5"/>
        <v>0</v>
      </c>
      <c r="P3377" s="9"/>
    </row>
    <row r="3378">
      <c r="G3378" s="8"/>
      <c r="M3378" s="8">
        <f t="shared" si="5"/>
        <v>0</v>
      </c>
      <c r="P3378" s="9"/>
    </row>
    <row r="3379">
      <c r="G3379" s="8"/>
      <c r="M3379" s="8">
        <f t="shared" si="5"/>
        <v>0</v>
      </c>
      <c r="P3379" s="9"/>
    </row>
    <row r="3380">
      <c r="G3380" s="8"/>
      <c r="M3380" s="8">
        <f t="shared" si="5"/>
        <v>0</v>
      </c>
      <c r="P3380" s="9"/>
    </row>
    <row r="3381">
      <c r="G3381" s="8"/>
      <c r="M3381" s="8">
        <f t="shared" si="5"/>
        <v>0</v>
      </c>
      <c r="P3381" s="9"/>
    </row>
    <row r="3382">
      <c r="G3382" s="8"/>
      <c r="M3382" s="8">
        <f t="shared" si="5"/>
        <v>0</v>
      </c>
      <c r="P3382" s="9"/>
    </row>
    <row r="3383">
      <c r="G3383" s="8"/>
      <c r="M3383" s="8">
        <f t="shared" si="5"/>
        <v>0</v>
      </c>
      <c r="P3383" s="9"/>
    </row>
    <row r="3384">
      <c r="G3384" s="8"/>
      <c r="M3384" s="8">
        <f t="shared" si="5"/>
        <v>0</v>
      </c>
      <c r="P3384" s="9"/>
    </row>
    <row r="3385">
      <c r="G3385" s="8"/>
      <c r="M3385" s="8">
        <f t="shared" si="5"/>
        <v>0</v>
      </c>
      <c r="P3385" s="9"/>
    </row>
    <row r="3386">
      <c r="G3386" s="8"/>
      <c r="M3386" s="8">
        <f t="shared" si="5"/>
        <v>0</v>
      </c>
      <c r="P3386" s="9"/>
    </row>
    <row r="3387">
      <c r="G3387" s="8"/>
      <c r="M3387" s="8">
        <f t="shared" si="5"/>
        <v>0</v>
      </c>
      <c r="P3387" s="9"/>
    </row>
    <row r="3388">
      <c r="G3388" s="8"/>
      <c r="M3388" s="8">
        <f t="shared" si="5"/>
        <v>0</v>
      </c>
      <c r="P3388" s="9"/>
    </row>
    <row r="3389">
      <c r="G3389" s="8"/>
      <c r="M3389" s="8">
        <f t="shared" si="5"/>
        <v>0</v>
      </c>
      <c r="P3389" s="9"/>
    </row>
    <row r="3390">
      <c r="G3390" s="8"/>
      <c r="M3390" s="8">
        <f t="shared" si="5"/>
        <v>0</v>
      </c>
      <c r="P3390" s="9"/>
    </row>
    <row r="3391">
      <c r="G3391" s="8"/>
      <c r="M3391" s="8">
        <f t="shared" si="5"/>
        <v>0</v>
      </c>
      <c r="P3391" s="9"/>
    </row>
    <row r="3392">
      <c r="G3392" s="8"/>
      <c r="M3392" s="8">
        <f t="shared" si="5"/>
        <v>0</v>
      </c>
      <c r="P3392" s="9"/>
    </row>
    <row r="3393">
      <c r="G3393" s="8"/>
      <c r="M3393" s="8">
        <f t="shared" si="5"/>
        <v>0</v>
      </c>
      <c r="P3393" s="9"/>
    </row>
    <row r="3394">
      <c r="G3394" s="8"/>
      <c r="M3394" s="8">
        <f t="shared" si="5"/>
        <v>0</v>
      </c>
      <c r="P3394" s="9"/>
    </row>
    <row r="3395">
      <c r="G3395" s="8"/>
      <c r="M3395" s="8">
        <f t="shared" si="5"/>
        <v>0</v>
      </c>
      <c r="P3395" s="9"/>
    </row>
    <row r="3396">
      <c r="G3396" s="8"/>
      <c r="M3396" s="8">
        <f t="shared" si="5"/>
        <v>0</v>
      </c>
      <c r="P3396" s="9"/>
    </row>
    <row r="3397">
      <c r="G3397" s="8"/>
      <c r="M3397" s="8">
        <f t="shared" si="5"/>
        <v>0</v>
      </c>
      <c r="P3397" s="9"/>
    </row>
    <row r="3398">
      <c r="G3398" s="8"/>
      <c r="M3398" s="8">
        <f t="shared" si="5"/>
        <v>0</v>
      </c>
      <c r="P3398" s="9"/>
    </row>
    <row r="3399">
      <c r="G3399" s="8"/>
      <c r="M3399" s="8">
        <f t="shared" si="5"/>
        <v>0</v>
      </c>
      <c r="P3399" s="9"/>
    </row>
    <row r="3400">
      <c r="G3400" s="8"/>
      <c r="M3400" s="8">
        <f t="shared" si="5"/>
        <v>0</v>
      </c>
      <c r="P3400" s="9"/>
    </row>
    <row r="3401">
      <c r="G3401" s="8"/>
      <c r="M3401" s="8">
        <f t="shared" si="5"/>
        <v>0</v>
      </c>
      <c r="P3401" s="9"/>
    </row>
    <row r="3402">
      <c r="G3402" s="8"/>
      <c r="M3402" s="8">
        <f t="shared" si="5"/>
        <v>0</v>
      </c>
      <c r="P3402" s="9"/>
    </row>
    <row r="3403">
      <c r="G3403" s="8"/>
      <c r="M3403" s="8">
        <f t="shared" si="5"/>
        <v>0</v>
      </c>
      <c r="P3403" s="9"/>
    </row>
    <row r="3404">
      <c r="G3404" s="8"/>
      <c r="M3404" s="8">
        <f t="shared" si="5"/>
        <v>0</v>
      </c>
      <c r="P3404" s="9"/>
    </row>
    <row r="3405">
      <c r="G3405" s="8"/>
      <c r="M3405" s="8">
        <f t="shared" si="5"/>
        <v>0</v>
      </c>
      <c r="P3405" s="9"/>
    </row>
    <row r="3406">
      <c r="G3406" s="8"/>
      <c r="M3406" s="8">
        <f t="shared" si="5"/>
        <v>0</v>
      </c>
      <c r="P3406" s="9"/>
    </row>
    <row r="3407">
      <c r="G3407" s="8"/>
      <c r="M3407" s="8">
        <f t="shared" si="5"/>
        <v>0</v>
      </c>
      <c r="P3407" s="9"/>
    </row>
    <row r="3408">
      <c r="G3408" s="8"/>
      <c r="M3408" s="8">
        <f t="shared" si="5"/>
        <v>0</v>
      </c>
      <c r="P3408" s="9"/>
    </row>
    <row r="3409">
      <c r="G3409" s="8"/>
      <c r="M3409" s="8">
        <f t="shared" si="5"/>
        <v>0</v>
      </c>
      <c r="P3409" s="9"/>
    </row>
    <row r="3410">
      <c r="G3410" s="8"/>
      <c r="M3410" s="8">
        <f t="shared" si="5"/>
        <v>0</v>
      </c>
      <c r="P3410" s="9"/>
    </row>
    <row r="3411">
      <c r="G3411" s="8"/>
      <c r="M3411" s="8">
        <f t="shared" si="5"/>
        <v>0</v>
      </c>
      <c r="P3411" s="9"/>
    </row>
    <row r="3412">
      <c r="G3412" s="8"/>
      <c r="M3412" s="8">
        <f t="shared" si="5"/>
        <v>0</v>
      </c>
      <c r="P3412" s="9"/>
    </row>
    <row r="3413">
      <c r="G3413" s="8"/>
      <c r="M3413" s="8">
        <f t="shared" si="5"/>
        <v>0</v>
      </c>
      <c r="P3413" s="9"/>
    </row>
    <row r="3414">
      <c r="G3414" s="8"/>
      <c r="M3414" s="8">
        <f t="shared" si="5"/>
        <v>0</v>
      </c>
      <c r="P3414" s="9"/>
    </row>
    <row r="3415">
      <c r="G3415" s="8"/>
      <c r="M3415" s="8">
        <f t="shared" si="5"/>
        <v>0</v>
      </c>
      <c r="P3415" s="9"/>
    </row>
    <row r="3416">
      <c r="G3416" s="8"/>
      <c r="M3416" s="8">
        <f t="shared" si="5"/>
        <v>0</v>
      </c>
      <c r="P3416" s="9"/>
    </row>
    <row r="3417">
      <c r="G3417" s="8"/>
      <c r="M3417" s="8">
        <f t="shared" si="5"/>
        <v>0</v>
      </c>
      <c r="P3417" s="9"/>
    </row>
    <row r="3418">
      <c r="G3418" s="8"/>
      <c r="M3418" s="8">
        <f t="shared" si="5"/>
        <v>0</v>
      </c>
      <c r="P3418" s="9"/>
    </row>
    <row r="3419">
      <c r="G3419" s="8"/>
      <c r="M3419" s="8">
        <f t="shared" si="5"/>
        <v>0</v>
      </c>
      <c r="P3419" s="9"/>
    </row>
    <row r="3420">
      <c r="G3420" s="8"/>
      <c r="M3420" s="8">
        <f t="shared" si="5"/>
        <v>0</v>
      </c>
      <c r="P3420" s="9"/>
    </row>
    <row r="3421">
      <c r="G3421" s="8"/>
      <c r="M3421" s="8">
        <f t="shared" si="5"/>
        <v>0</v>
      </c>
      <c r="P3421" s="9"/>
    </row>
    <row r="3422">
      <c r="G3422" s="8"/>
      <c r="M3422" s="8">
        <f t="shared" si="5"/>
        <v>0</v>
      </c>
      <c r="P3422" s="9"/>
    </row>
    <row r="3423">
      <c r="G3423" s="8"/>
      <c r="M3423" s="8">
        <f t="shared" si="5"/>
        <v>0</v>
      </c>
      <c r="P3423" s="9"/>
    </row>
    <row r="3424">
      <c r="G3424" s="8"/>
      <c r="M3424" s="8">
        <f t="shared" si="5"/>
        <v>0</v>
      </c>
      <c r="P3424" s="9"/>
    </row>
    <row r="3425">
      <c r="G3425" s="8"/>
      <c r="M3425" s="8">
        <f t="shared" si="5"/>
        <v>0</v>
      </c>
      <c r="P3425" s="9"/>
    </row>
    <row r="3426">
      <c r="G3426" s="8"/>
      <c r="M3426" s="8">
        <f t="shared" si="5"/>
        <v>0</v>
      </c>
      <c r="P3426" s="9"/>
    </row>
    <row r="3427">
      <c r="G3427" s="8"/>
      <c r="M3427" s="8">
        <f t="shared" si="5"/>
        <v>0</v>
      </c>
      <c r="P3427" s="9"/>
    </row>
    <row r="3428">
      <c r="G3428" s="8"/>
      <c r="M3428" s="8">
        <f t="shared" si="5"/>
        <v>0</v>
      </c>
      <c r="P3428" s="9"/>
    </row>
    <row r="3429">
      <c r="G3429" s="8"/>
      <c r="M3429" s="8">
        <f t="shared" si="5"/>
        <v>0</v>
      </c>
      <c r="P3429" s="9"/>
    </row>
    <row r="3430">
      <c r="G3430" s="8"/>
      <c r="M3430" s="8">
        <f t="shared" si="5"/>
        <v>0</v>
      </c>
      <c r="P3430" s="9"/>
    </row>
    <row r="3431">
      <c r="G3431" s="8"/>
      <c r="M3431" s="8">
        <f t="shared" si="5"/>
        <v>0</v>
      </c>
      <c r="P3431" s="9"/>
    </row>
    <row r="3432">
      <c r="G3432" s="8"/>
      <c r="M3432" s="8">
        <f t="shared" si="5"/>
        <v>0</v>
      </c>
      <c r="P3432" s="9"/>
    </row>
    <row r="3433">
      <c r="G3433" s="8"/>
      <c r="M3433" s="8">
        <f t="shared" si="5"/>
        <v>0</v>
      </c>
      <c r="P3433" s="9"/>
    </row>
    <row r="3434">
      <c r="G3434" s="8"/>
      <c r="M3434" s="8">
        <f t="shared" si="5"/>
        <v>0</v>
      </c>
      <c r="P3434" s="9"/>
    </row>
    <row r="3435">
      <c r="G3435" s="8"/>
      <c r="M3435" s="8">
        <f t="shared" si="5"/>
        <v>0</v>
      </c>
      <c r="P3435" s="9"/>
    </row>
    <row r="3436">
      <c r="G3436" s="8"/>
      <c r="M3436" s="8">
        <f t="shared" si="5"/>
        <v>0</v>
      </c>
      <c r="P3436" s="9"/>
    </row>
    <row r="3437">
      <c r="G3437" s="8"/>
      <c r="M3437" s="8">
        <f t="shared" si="5"/>
        <v>0</v>
      </c>
      <c r="P3437" s="9"/>
    </row>
    <row r="3438">
      <c r="G3438" s="8"/>
      <c r="M3438" s="8">
        <f t="shared" si="5"/>
        <v>0</v>
      </c>
      <c r="P3438" s="9"/>
    </row>
    <row r="3439">
      <c r="G3439" s="8"/>
      <c r="M3439" s="8">
        <f t="shared" si="5"/>
        <v>0</v>
      </c>
      <c r="P3439" s="9"/>
    </row>
    <row r="3440">
      <c r="G3440" s="8"/>
      <c r="M3440" s="8">
        <f t="shared" si="5"/>
        <v>0</v>
      </c>
      <c r="P3440" s="9"/>
    </row>
    <row r="3441">
      <c r="G3441" s="8"/>
      <c r="M3441" s="8">
        <f t="shared" si="5"/>
        <v>0</v>
      </c>
      <c r="P3441" s="9"/>
    </row>
    <row r="3442">
      <c r="G3442" s="8"/>
      <c r="M3442" s="8">
        <f t="shared" si="5"/>
        <v>0</v>
      </c>
      <c r="P3442" s="9"/>
    </row>
    <row r="3443">
      <c r="G3443" s="8"/>
      <c r="M3443" s="8">
        <f t="shared" si="5"/>
        <v>0</v>
      </c>
      <c r="P3443" s="9"/>
    </row>
    <row r="3444">
      <c r="G3444" s="8"/>
      <c r="M3444" s="8">
        <f t="shared" si="5"/>
        <v>0</v>
      </c>
      <c r="P3444" s="9"/>
    </row>
    <row r="3445">
      <c r="G3445" s="8"/>
      <c r="M3445" s="8">
        <f t="shared" si="5"/>
        <v>0</v>
      </c>
      <c r="P3445" s="9"/>
    </row>
    <row r="3446">
      <c r="G3446" s="8"/>
      <c r="M3446" s="8">
        <f t="shared" si="5"/>
        <v>0</v>
      </c>
      <c r="P3446" s="9"/>
    </row>
    <row r="3447">
      <c r="G3447" s="8"/>
      <c r="M3447" s="8">
        <f t="shared" si="5"/>
        <v>0</v>
      </c>
      <c r="P3447" s="9"/>
    </row>
    <row r="3448">
      <c r="G3448" s="8"/>
      <c r="M3448" s="8">
        <f t="shared" si="5"/>
        <v>0</v>
      </c>
      <c r="P3448" s="9"/>
    </row>
    <row r="3449">
      <c r="G3449" s="8"/>
      <c r="M3449" s="8">
        <f t="shared" si="5"/>
        <v>0</v>
      </c>
      <c r="P3449" s="9"/>
    </row>
    <row r="3450">
      <c r="G3450" s="8"/>
      <c r="M3450" s="8">
        <f t="shared" si="5"/>
        <v>0</v>
      </c>
      <c r="P3450" s="9"/>
    </row>
    <row r="3451">
      <c r="G3451" s="8"/>
      <c r="M3451" s="8">
        <f t="shared" si="5"/>
        <v>0</v>
      </c>
      <c r="P3451" s="9"/>
    </row>
    <row r="3452">
      <c r="G3452" s="8"/>
      <c r="M3452" s="8">
        <f t="shared" si="5"/>
        <v>0</v>
      </c>
      <c r="P3452" s="9"/>
    </row>
    <row r="3453">
      <c r="G3453" s="8"/>
      <c r="M3453" s="8">
        <f t="shared" si="5"/>
        <v>0</v>
      </c>
      <c r="P3453" s="9"/>
    </row>
    <row r="3454">
      <c r="G3454" s="8"/>
      <c r="M3454" s="8">
        <f t="shared" si="5"/>
        <v>0</v>
      </c>
      <c r="P3454" s="9"/>
    </row>
    <row r="3455">
      <c r="G3455" s="8"/>
      <c r="M3455" s="8">
        <f t="shared" si="5"/>
        <v>0</v>
      </c>
      <c r="P3455" s="9"/>
    </row>
    <row r="3456">
      <c r="G3456" s="8"/>
      <c r="M3456" s="8">
        <f t="shared" si="5"/>
        <v>0</v>
      </c>
      <c r="P3456" s="9"/>
    </row>
    <row r="3457">
      <c r="G3457" s="8"/>
      <c r="M3457" s="8">
        <f t="shared" si="5"/>
        <v>0</v>
      </c>
      <c r="P3457" s="9"/>
    </row>
    <row r="3458">
      <c r="G3458" s="8"/>
      <c r="M3458" s="8">
        <f t="shared" si="5"/>
        <v>0</v>
      </c>
      <c r="P3458" s="9"/>
    </row>
    <row r="3459">
      <c r="G3459" s="8"/>
      <c r="M3459" s="8">
        <f t="shared" si="5"/>
        <v>0</v>
      </c>
      <c r="P3459" s="9"/>
    </row>
    <row r="3460">
      <c r="G3460" s="8"/>
      <c r="M3460" s="8">
        <f t="shared" si="5"/>
        <v>0</v>
      </c>
      <c r="P3460" s="9"/>
    </row>
    <row r="3461">
      <c r="G3461" s="8"/>
      <c r="M3461" s="8">
        <f t="shared" si="5"/>
        <v>0</v>
      </c>
      <c r="P3461" s="9"/>
    </row>
    <row r="3462">
      <c r="G3462" s="8"/>
      <c r="M3462" s="8">
        <f t="shared" si="5"/>
        <v>0</v>
      </c>
      <c r="P3462" s="9"/>
    </row>
    <row r="3463">
      <c r="G3463" s="8"/>
      <c r="M3463" s="8">
        <f t="shared" si="5"/>
        <v>0</v>
      </c>
      <c r="P3463" s="9"/>
    </row>
    <row r="3464">
      <c r="G3464" s="8"/>
      <c r="M3464" s="8">
        <f t="shared" si="5"/>
        <v>0</v>
      </c>
      <c r="P3464" s="9"/>
    </row>
    <row r="3465">
      <c r="G3465" s="8"/>
      <c r="M3465" s="8">
        <f t="shared" si="5"/>
        <v>0</v>
      </c>
      <c r="P3465" s="9"/>
    </row>
    <row r="3466">
      <c r="G3466" s="8"/>
      <c r="M3466" s="8">
        <f t="shared" si="5"/>
        <v>0</v>
      </c>
      <c r="P3466" s="9"/>
    </row>
    <row r="3467">
      <c r="G3467" s="8"/>
      <c r="M3467" s="8">
        <f t="shared" si="5"/>
        <v>0</v>
      </c>
      <c r="P3467" s="9"/>
    </row>
    <row r="3468">
      <c r="G3468" s="8"/>
      <c r="M3468" s="8">
        <f t="shared" si="5"/>
        <v>0</v>
      </c>
      <c r="P3468" s="9"/>
    </row>
    <row r="3469">
      <c r="G3469" s="8"/>
      <c r="M3469" s="8">
        <f t="shared" si="5"/>
        <v>0</v>
      </c>
      <c r="P3469" s="9"/>
    </row>
    <row r="3470">
      <c r="G3470" s="8"/>
      <c r="M3470" s="8">
        <f t="shared" si="5"/>
        <v>0</v>
      </c>
      <c r="P3470" s="9"/>
    </row>
    <row r="3471">
      <c r="G3471" s="8"/>
      <c r="M3471" s="8">
        <f t="shared" si="5"/>
        <v>0</v>
      </c>
      <c r="P3471" s="9"/>
    </row>
    <row r="3472">
      <c r="G3472" s="8"/>
      <c r="M3472" s="8">
        <f t="shared" si="5"/>
        <v>0</v>
      </c>
      <c r="P3472" s="9"/>
    </row>
    <row r="3473">
      <c r="G3473" s="8"/>
      <c r="M3473" s="8">
        <f t="shared" si="5"/>
        <v>0</v>
      </c>
      <c r="P3473" s="9"/>
    </row>
    <row r="3474">
      <c r="G3474" s="8"/>
      <c r="M3474" s="8">
        <f t="shared" si="5"/>
        <v>0</v>
      </c>
      <c r="P3474" s="9"/>
    </row>
    <row r="3475">
      <c r="G3475" s="8"/>
      <c r="M3475" s="8">
        <f t="shared" si="5"/>
        <v>0</v>
      </c>
      <c r="P3475" s="9"/>
    </row>
    <row r="3476">
      <c r="G3476" s="8"/>
      <c r="M3476" s="8">
        <f t="shared" si="5"/>
        <v>0</v>
      </c>
      <c r="P3476" s="9"/>
    </row>
    <row r="3477">
      <c r="G3477" s="8"/>
      <c r="M3477" s="8">
        <f t="shared" si="5"/>
        <v>0</v>
      </c>
      <c r="P3477" s="9"/>
    </row>
    <row r="3478">
      <c r="G3478" s="8"/>
      <c r="M3478" s="8">
        <f t="shared" si="5"/>
        <v>0</v>
      </c>
      <c r="P3478" s="9"/>
    </row>
    <row r="3479">
      <c r="G3479" s="8"/>
      <c r="M3479" s="8">
        <f t="shared" si="5"/>
        <v>0</v>
      </c>
      <c r="P3479" s="9"/>
    </row>
    <row r="3480">
      <c r="G3480" s="8"/>
      <c r="M3480" s="8">
        <f t="shared" si="5"/>
        <v>0</v>
      </c>
      <c r="P3480" s="9"/>
    </row>
    <row r="3481">
      <c r="G3481" s="8"/>
      <c r="M3481" s="8">
        <f t="shared" si="5"/>
        <v>0</v>
      </c>
      <c r="P3481" s="9"/>
    </row>
    <row r="3482">
      <c r="G3482" s="8"/>
      <c r="M3482" s="8">
        <f t="shared" si="5"/>
        <v>0</v>
      </c>
      <c r="P3482" s="9"/>
    </row>
    <row r="3483">
      <c r="G3483" s="8"/>
      <c r="M3483" s="8">
        <f t="shared" si="5"/>
        <v>0</v>
      </c>
      <c r="P3483" s="9"/>
    </row>
    <row r="3484">
      <c r="G3484" s="8"/>
      <c r="M3484" s="8">
        <f t="shared" si="5"/>
        <v>0</v>
      </c>
      <c r="P3484" s="9"/>
    </row>
    <row r="3485">
      <c r="G3485" s="8"/>
      <c r="M3485" s="8">
        <f t="shared" si="5"/>
        <v>0</v>
      </c>
      <c r="P3485" s="9"/>
    </row>
    <row r="3486">
      <c r="G3486" s="8"/>
      <c r="M3486" s="8">
        <f t="shared" si="5"/>
        <v>0</v>
      </c>
      <c r="P3486" s="9"/>
    </row>
    <row r="3487">
      <c r="G3487" s="8"/>
      <c r="M3487" s="8">
        <f t="shared" si="5"/>
        <v>0</v>
      </c>
      <c r="P3487" s="9"/>
    </row>
    <row r="3488">
      <c r="G3488" s="8"/>
      <c r="M3488" s="8">
        <f t="shared" si="5"/>
        <v>0</v>
      </c>
      <c r="P3488" s="9"/>
    </row>
    <row r="3489">
      <c r="G3489" s="8"/>
      <c r="M3489" s="8">
        <f t="shared" si="5"/>
        <v>0</v>
      </c>
      <c r="P3489" s="9"/>
    </row>
    <row r="3490">
      <c r="G3490" s="8"/>
      <c r="M3490" s="8">
        <f t="shared" si="5"/>
        <v>0</v>
      </c>
      <c r="P3490" s="9"/>
    </row>
    <row r="3491">
      <c r="G3491" s="8"/>
      <c r="M3491" s="8">
        <f t="shared" si="5"/>
        <v>0</v>
      </c>
      <c r="P3491" s="9"/>
    </row>
    <row r="3492">
      <c r="G3492" s="8"/>
      <c r="M3492" s="8">
        <f t="shared" si="5"/>
        <v>0</v>
      </c>
      <c r="P3492" s="9"/>
    </row>
    <row r="3493">
      <c r="G3493" s="8"/>
      <c r="M3493" s="8">
        <f t="shared" si="5"/>
        <v>0</v>
      </c>
      <c r="P3493" s="9"/>
    </row>
    <row r="3494">
      <c r="G3494" s="8"/>
      <c r="M3494" s="8">
        <f t="shared" si="5"/>
        <v>0</v>
      </c>
      <c r="P3494" s="9"/>
    </row>
    <row r="3495">
      <c r="G3495" s="8"/>
      <c r="M3495" s="8">
        <f t="shared" si="5"/>
        <v>0</v>
      </c>
      <c r="P3495" s="9"/>
    </row>
    <row r="3496">
      <c r="G3496" s="8"/>
      <c r="M3496" s="8">
        <f t="shared" si="5"/>
        <v>0</v>
      </c>
      <c r="P3496" s="9"/>
    </row>
    <row r="3497">
      <c r="G3497" s="8"/>
      <c r="M3497" s="8">
        <f t="shared" si="5"/>
        <v>0</v>
      </c>
      <c r="P3497" s="9"/>
    </row>
    <row r="3498">
      <c r="G3498" s="8"/>
      <c r="M3498" s="8">
        <f t="shared" si="5"/>
        <v>0</v>
      </c>
      <c r="P3498" s="9"/>
    </row>
    <row r="3499">
      <c r="G3499" s="8"/>
      <c r="M3499" s="8">
        <f t="shared" si="5"/>
        <v>0</v>
      </c>
      <c r="P3499" s="9"/>
    </row>
    <row r="3500">
      <c r="G3500" s="8"/>
      <c r="M3500" s="8">
        <f t="shared" si="5"/>
        <v>0</v>
      </c>
      <c r="P3500" s="9"/>
    </row>
    <row r="3501">
      <c r="G3501" s="8"/>
      <c r="M3501" s="8">
        <f t="shared" si="5"/>
        <v>0</v>
      </c>
      <c r="P3501" s="9"/>
    </row>
    <row r="3502">
      <c r="G3502" s="8"/>
      <c r="M3502" s="8">
        <f t="shared" si="5"/>
        <v>0</v>
      </c>
      <c r="P3502" s="9"/>
    </row>
    <row r="3503">
      <c r="G3503" s="8"/>
      <c r="M3503" s="8">
        <f t="shared" si="5"/>
        <v>0</v>
      </c>
      <c r="P3503" s="9"/>
    </row>
    <row r="3504">
      <c r="G3504" s="8"/>
      <c r="M3504" s="8">
        <f t="shared" si="5"/>
        <v>0</v>
      </c>
      <c r="P3504" s="9"/>
    </row>
    <row r="3505">
      <c r="G3505" s="8"/>
      <c r="M3505" s="8">
        <f t="shared" si="5"/>
        <v>0</v>
      </c>
      <c r="P3505" s="9"/>
    </row>
    <row r="3506">
      <c r="G3506" s="8"/>
      <c r="M3506" s="8">
        <f t="shared" si="5"/>
        <v>0</v>
      </c>
      <c r="P3506" s="9"/>
    </row>
    <row r="3507">
      <c r="G3507" s="8"/>
      <c r="M3507" s="8">
        <f t="shared" si="5"/>
        <v>0</v>
      </c>
      <c r="P3507" s="9"/>
    </row>
    <row r="3508">
      <c r="G3508" s="8"/>
      <c r="M3508" s="8">
        <f t="shared" si="5"/>
        <v>0</v>
      </c>
      <c r="P3508" s="9"/>
    </row>
    <row r="3509">
      <c r="G3509" s="8"/>
      <c r="M3509" s="8">
        <f t="shared" si="5"/>
        <v>0</v>
      </c>
      <c r="P3509" s="9"/>
    </row>
    <row r="3510">
      <c r="G3510" s="8"/>
      <c r="M3510" s="8">
        <f t="shared" si="5"/>
        <v>0</v>
      </c>
      <c r="P3510" s="9"/>
    </row>
    <row r="3511">
      <c r="G3511" s="8"/>
      <c r="M3511" s="8">
        <f t="shared" si="5"/>
        <v>0</v>
      </c>
      <c r="P3511" s="9"/>
    </row>
    <row r="3512">
      <c r="G3512" s="8"/>
      <c r="M3512" s="8">
        <f t="shared" si="5"/>
        <v>0</v>
      </c>
      <c r="P3512" s="9"/>
    </row>
    <row r="3513">
      <c r="G3513" s="8"/>
      <c r="M3513" s="8">
        <f t="shared" si="5"/>
        <v>0</v>
      </c>
      <c r="P3513" s="9"/>
    </row>
    <row r="3514">
      <c r="G3514" s="8"/>
      <c r="M3514" s="8">
        <f t="shared" si="5"/>
        <v>0</v>
      </c>
      <c r="P3514" s="9"/>
    </row>
    <row r="3515">
      <c r="G3515" s="8"/>
      <c r="M3515" s="8">
        <f t="shared" si="5"/>
        <v>0</v>
      </c>
      <c r="P3515" s="9"/>
    </row>
    <row r="3516">
      <c r="G3516" s="8"/>
      <c r="M3516" s="8">
        <f t="shared" si="5"/>
        <v>0</v>
      </c>
      <c r="P3516" s="9"/>
    </row>
    <row r="3517">
      <c r="G3517" s="8"/>
      <c r="M3517" s="8">
        <f t="shared" si="5"/>
        <v>0</v>
      </c>
      <c r="P3517" s="9"/>
    </row>
    <row r="3518">
      <c r="G3518" s="8"/>
      <c r="M3518" s="8">
        <f t="shared" si="5"/>
        <v>0</v>
      </c>
      <c r="P3518" s="9"/>
    </row>
    <row r="3519">
      <c r="G3519" s="8"/>
      <c r="M3519" s="8">
        <f t="shared" si="5"/>
        <v>0</v>
      </c>
      <c r="P3519" s="9"/>
    </row>
    <row r="3520">
      <c r="G3520" s="8"/>
      <c r="M3520" s="8">
        <f t="shared" si="5"/>
        <v>0</v>
      </c>
      <c r="P3520" s="9"/>
    </row>
    <row r="3521">
      <c r="G3521" s="8"/>
      <c r="M3521" s="8">
        <f t="shared" si="5"/>
        <v>0</v>
      </c>
      <c r="P3521" s="9"/>
    </row>
    <row r="3522">
      <c r="G3522" s="8"/>
      <c r="M3522" s="8">
        <f t="shared" si="5"/>
        <v>0</v>
      </c>
      <c r="P3522" s="9"/>
    </row>
    <row r="3523">
      <c r="G3523" s="8"/>
      <c r="M3523" s="8">
        <f t="shared" si="5"/>
        <v>0</v>
      </c>
      <c r="P3523" s="9"/>
    </row>
    <row r="3524">
      <c r="G3524" s="8"/>
      <c r="M3524" s="8">
        <f t="shared" si="5"/>
        <v>0</v>
      </c>
      <c r="P3524" s="9"/>
    </row>
    <row r="3525">
      <c r="G3525" s="8"/>
      <c r="M3525" s="8">
        <f t="shared" si="5"/>
        <v>0</v>
      </c>
      <c r="P3525" s="9"/>
    </row>
    <row r="3526">
      <c r="G3526" s="8"/>
      <c r="M3526" s="8">
        <f t="shared" si="5"/>
        <v>0</v>
      </c>
      <c r="P3526" s="9"/>
    </row>
    <row r="3527">
      <c r="G3527" s="8"/>
      <c r="M3527" s="8">
        <f t="shared" si="5"/>
        <v>0</v>
      </c>
      <c r="P3527" s="9"/>
    </row>
    <row r="3528">
      <c r="G3528" s="8"/>
      <c r="M3528" s="8">
        <f t="shared" si="5"/>
        <v>0</v>
      </c>
      <c r="P3528" s="9"/>
    </row>
    <row r="3529">
      <c r="G3529" s="8"/>
      <c r="M3529" s="8">
        <f t="shared" si="5"/>
        <v>0</v>
      </c>
      <c r="P3529" s="9"/>
    </row>
    <row r="3530">
      <c r="G3530" s="8"/>
      <c r="M3530" s="8">
        <f t="shared" si="5"/>
        <v>0</v>
      </c>
      <c r="P3530" s="9"/>
    </row>
    <row r="3531">
      <c r="G3531" s="8"/>
      <c r="M3531" s="8">
        <f t="shared" si="5"/>
        <v>0</v>
      </c>
      <c r="P3531" s="9"/>
    </row>
    <row r="3532">
      <c r="G3532" s="8"/>
      <c r="M3532" s="8">
        <f t="shared" si="5"/>
        <v>0</v>
      </c>
      <c r="P3532" s="9"/>
    </row>
    <row r="3533">
      <c r="G3533" s="8"/>
      <c r="M3533" s="8">
        <f t="shared" si="5"/>
        <v>0</v>
      </c>
      <c r="P3533" s="9"/>
    </row>
    <row r="3534">
      <c r="G3534" s="8"/>
      <c r="M3534" s="8">
        <f t="shared" si="5"/>
        <v>0</v>
      </c>
      <c r="P3534" s="9"/>
    </row>
    <row r="3535">
      <c r="G3535" s="8"/>
      <c r="M3535" s="8">
        <f t="shared" si="5"/>
        <v>0</v>
      </c>
      <c r="P3535" s="9"/>
    </row>
    <row r="3536">
      <c r="G3536" s="8"/>
      <c r="M3536" s="8">
        <f t="shared" si="5"/>
        <v>0</v>
      </c>
      <c r="P3536" s="9"/>
    </row>
    <row r="3537">
      <c r="G3537" s="8"/>
      <c r="M3537" s="8">
        <f t="shared" si="5"/>
        <v>0</v>
      </c>
      <c r="P3537" s="9"/>
    </row>
    <row r="3538">
      <c r="G3538" s="8"/>
      <c r="M3538" s="8">
        <f t="shared" si="5"/>
        <v>0</v>
      </c>
      <c r="P3538" s="9"/>
    </row>
    <row r="3539">
      <c r="G3539" s="8"/>
      <c r="M3539" s="8">
        <f t="shared" si="5"/>
        <v>0</v>
      </c>
      <c r="P3539" s="9"/>
    </row>
    <row r="3540">
      <c r="G3540" s="8"/>
      <c r="M3540" s="8">
        <f t="shared" si="5"/>
        <v>0</v>
      </c>
      <c r="P3540" s="9"/>
    </row>
    <row r="3541">
      <c r="G3541" s="8"/>
      <c r="M3541" s="8">
        <f t="shared" si="5"/>
        <v>0</v>
      </c>
      <c r="P3541" s="9"/>
    </row>
    <row r="3542">
      <c r="G3542" s="8"/>
      <c r="M3542" s="8">
        <f t="shared" si="5"/>
        <v>0</v>
      </c>
      <c r="P3542" s="9"/>
    </row>
    <row r="3543">
      <c r="G3543" s="8"/>
      <c r="M3543" s="8">
        <f t="shared" si="5"/>
        <v>0</v>
      </c>
      <c r="P3543" s="9"/>
    </row>
    <row r="3544">
      <c r="G3544" s="8"/>
      <c r="M3544" s="8">
        <f t="shared" si="5"/>
        <v>0</v>
      </c>
      <c r="P3544" s="9"/>
    </row>
    <row r="3545">
      <c r="G3545" s="8"/>
      <c r="M3545" s="8">
        <f t="shared" si="5"/>
        <v>0</v>
      </c>
      <c r="P3545" s="9"/>
    </row>
    <row r="3546">
      <c r="G3546" s="8"/>
      <c r="M3546" s="8">
        <f t="shared" si="5"/>
        <v>0</v>
      </c>
      <c r="P3546" s="9"/>
    </row>
    <row r="3547">
      <c r="G3547" s="8"/>
      <c r="M3547" s="8">
        <f t="shared" si="5"/>
        <v>0</v>
      </c>
      <c r="P3547" s="9"/>
    </row>
    <row r="3548">
      <c r="G3548" s="8"/>
      <c r="M3548" s="8">
        <f t="shared" si="5"/>
        <v>0</v>
      </c>
      <c r="P3548" s="9"/>
    </row>
    <row r="3549">
      <c r="G3549" s="8"/>
      <c r="M3549" s="8">
        <f t="shared" si="5"/>
        <v>0</v>
      </c>
      <c r="P3549" s="9"/>
    </row>
    <row r="3550">
      <c r="G3550" s="8"/>
      <c r="M3550" s="8">
        <f t="shared" si="5"/>
        <v>0</v>
      </c>
      <c r="P3550" s="9"/>
    </row>
    <row r="3551">
      <c r="G3551" s="8"/>
      <c r="M3551" s="8">
        <f t="shared" si="5"/>
        <v>0</v>
      </c>
      <c r="P3551" s="9"/>
    </row>
    <row r="3552">
      <c r="G3552" s="8"/>
      <c r="M3552" s="8">
        <f t="shared" si="5"/>
        <v>0</v>
      </c>
      <c r="P3552" s="9"/>
    </row>
    <row r="3553">
      <c r="G3553" s="8"/>
      <c r="M3553" s="8">
        <f t="shared" si="5"/>
        <v>0</v>
      </c>
      <c r="P3553" s="9"/>
    </row>
    <row r="3554">
      <c r="G3554" s="8"/>
      <c r="M3554" s="8">
        <f t="shared" si="5"/>
        <v>0</v>
      </c>
      <c r="P3554" s="9"/>
    </row>
    <row r="3555">
      <c r="G3555" s="8"/>
      <c r="M3555" s="8">
        <f t="shared" si="5"/>
        <v>0</v>
      </c>
      <c r="P3555" s="9"/>
    </row>
    <row r="3556">
      <c r="G3556" s="8"/>
      <c r="M3556" s="8">
        <f t="shared" si="5"/>
        <v>0</v>
      </c>
      <c r="P3556" s="9"/>
    </row>
    <row r="3557">
      <c r="G3557" s="8"/>
      <c r="M3557" s="8">
        <f t="shared" si="5"/>
        <v>0</v>
      </c>
      <c r="P3557" s="9"/>
    </row>
    <row r="3558">
      <c r="G3558" s="8"/>
      <c r="M3558" s="8">
        <f t="shared" si="5"/>
        <v>0</v>
      </c>
      <c r="P3558" s="9"/>
    </row>
    <row r="3559">
      <c r="G3559" s="8"/>
      <c r="M3559" s="8">
        <f t="shared" si="5"/>
        <v>0</v>
      </c>
      <c r="P3559" s="9"/>
    </row>
    <row r="3560">
      <c r="G3560" s="8"/>
      <c r="M3560" s="8">
        <f t="shared" si="5"/>
        <v>0</v>
      </c>
      <c r="P3560" s="9"/>
    </row>
    <row r="3561">
      <c r="G3561" s="8"/>
      <c r="M3561" s="8">
        <f t="shared" si="5"/>
        <v>0</v>
      </c>
      <c r="P3561" s="9"/>
    </row>
    <row r="3562">
      <c r="G3562" s="8"/>
      <c r="M3562" s="8">
        <f t="shared" si="5"/>
        <v>0</v>
      </c>
      <c r="P3562" s="9"/>
    </row>
    <row r="3563">
      <c r="G3563" s="8"/>
      <c r="M3563" s="8">
        <f t="shared" si="5"/>
        <v>0</v>
      </c>
      <c r="P3563" s="9"/>
    </row>
    <row r="3564">
      <c r="G3564" s="8"/>
      <c r="M3564" s="8">
        <f t="shared" si="5"/>
        <v>0</v>
      </c>
      <c r="P3564" s="9"/>
    </row>
    <row r="3565">
      <c r="G3565" s="8"/>
      <c r="M3565" s="8">
        <f t="shared" si="5"/>
        <v>0</v>
      </c>
      <c r="P3565" s="9"/>
    </row>
    <row r="3566">
      <c r="G3566" s="8"/>
      <c r="M3566" s="8">
        <f t="shared" si="5"/>
        <v>0</v>
      </c>
      <c r="P3566" s="9"/>
    </row>
    <row r="3567">
      <c r="G3567" s="8"/>
      <c r="M3567" s="8">
        <f t="shared" si="5"/>
        <v>0</v>
      </c>
      <c r="P3567" s="9"/>
    </row>
    <row r="3568">
      <c r="G3568" s="8"/>
      <c r="M3568" s="8">
        <f t="shared" si="5"/>
        <v>0</v>
      </c>
      <c r="P3568" s="9"/>
    </row>
    <row r="3569">
      <c r="G3569" s="8"/>
      <c r="M3569" s="8">
        <f t="shared" si="5"/>
        <v>0</v>
      </c>
      <c r="P3569" s="9"/>
    </row>
    <row r="3570">
      <c r="G3570" s="8"/>
      <c r="M3570" s="8">
        <f t="shared" si="5"/>
        <v>0</v>
      </c>
      <c r="P3570" s="9"/>
    </row>
    <row r="3571">
      <c r="G3571" s="8"/>
      <c r="M3571" s="8">
        <f t="shared" si="5"/>
        <v>0</v>
      </c>
      <c r="P3571" s="9"/>
    </row>
    <row r="3572">
      <c r="G3572" s="8"/>
      <c r="M3572" s="8">
        <f t="shared" si="5"/>
        <v>0</v>
      </c>
      <c r="P3572" s="9"/>
    </row>
    <row r="3573">
      <c r="G3573" s="8"/>
      <c r="M3573" s="8">
        <f t="shared" si="5"/>
        <v>0</v>
      </c>
      <c r="P3573" s="9"/>
    </row>
    <row r="3574">
      <c r="G3574" s="8"/>
      <c r="M3574" s="8">
        <f t="shared" si="5"/>
        <v>0</v>
      </c>
      <c r="P3574" s="9"/>
    </row>
    <row r="3575">
      <c r="G3575" s="8"/>
      <c r="M3575" s="8">
        <f t="shared" si="5"/>
        <v>0</v>
      </c>
      <c r="P3575" s="9"/>
    </row>
    <row r="3576">
      <c r="G3576" s="8"/>
      <c r="M3576" s="8">
        <f t="shared" si="5"/>
        <v>0</v>
      </c>
      <c r="P3576" s="9"/>
    </row>
    <row r="3577">
      <c r="G3577" s="8"/>
      <c r="M3577" s="8">
        <f t="shared" si="5"/>
        <v>0</v>
      </c>
      <c r="P3577" s="9"/>
    </row>
    <row r="3578">
      <c r="G3578" s="8"/>
      <c r="M3578" s="8">
        <f t="shared" si="5"/>
        <v>0</v>
      </c>
      <c r="P3578" s="9"/>
    </row>
    <row r="3579">
      <c r="G3579" s="8"/>
      <c r="M3579" s="8">
        <f t="shared" si="5"/>
        <v>0</v>
      </c>
      <c r="P3579" s="9"/>
    </row>
    <row r="3580">
      <c r="G3580" s="8"/>
      <c r="M3580" s="8">
        <f t="shared" si="5"/>
        <v>0</v>
      </c>
      <c r="P3580" s="9"/>
    </row>
    <row r="3581">
      <c r="G3581" s="8"/>
      <c r="M3581" s="8">
        <f t="shared" si="5"/>
        <v>0</v>
      </c>
      <c r="P3581" s="9"/>
    </row>
    <row r="3582">
      <c r="G3582" s="8"/>
      <c r="M3582" s="8">
        <f t="shared" si="5"/>
        <v>0</v>
      </c>
      <c r="P3582" s="9"/>
    </row>
    <row r="3583">
      <c r="G3583" s="8"/>
      <c r="M3583" s="8">
        <f t="shared" si="5"/>
        <v>0</v>
      </c>
      <c r="P3583" s="9"/>
    </row>
    <row r="3584">
      <c r="G3584" s="8"/>
      <c r="M3584" s="8">
        <f t="shared" si="5"/>
        <v>0</v>
      </c>
      <c r="P3584" s="9"/>
    </row>
    <row r="3585">
      <c r="G3585" s="8"/>
      <c r="M3585" s="8">
        <f t="shared" si="5"/>
        <v>0</v>
      </c>
      <c r="P3585" s="9"/>
    </row>
    <row r="3586">
      <c r="G3586" s="8"/>
      <c r="M3586" s="8">
        <f t="shared" si="5"/>
        <v>0</v>
      </c>
      <c r="P3586" s="9"/>
    </row>
    <row r="3587">
      <c r="G3587" s="8"/>
      <c r="M3587" s="8">
        <f t="shared" si="5"/>
        <v>0</v>
      </c>
      <c r="P3587" s="9"/>
    </row>
    <row r="3588">
      <c r="G3588" s="8"/>
      <c r="M3588" s="8">
        <f t="shared" si="5"/>
        <v>0</v>
      </c>
      <c r="P3588" s="9"/>
    </row>
    <row r="3589">
      <c r="G3589" s="8"/>
      <c r="M3589" s="8">
        <f t="shared" si="5"/>
        <v>0</v>
      </c>
      <c r="P3589" s="9"/>
    </row>
    <row r="3590">
      <c r="G3590" s="8"/>
      <c r="M3590" s="8">
        <f t="shared" si="5"/>
        <v>0</v>
      </c>
      <c r="P3590" s="9"/>
    </row>
    <row r="3591">
      <c r="G3591" s="8"/>
      <c r="M3591" s="8">
        <f t="shared" si="5"/>
        <v>0</v>
      </c>
      <c r="P3591" s="9"/>
    </row>
    <row r="3592">
      <c r="G3592" s="8"/>
      <c r="M3592" s="8">
        <f t="shared" si="5"/>
        <v>0</v>
      </c>
      <c r="P3592" s="9"/>
    </row>
    <row r="3593">
      <c r="G3593" s="8"/>
      <c r="M3593" s="8">
        <f t="shared" si="5"/>
        <v>0</v>
      </c>
      <c r="P3593" s="9"/>
    </row>
    <row r="3594">
      <c r="G3594" s="8"/>
      <c r="M3594" s="8">
        <f t="shared" si="5"/>
        <v>0</v>
      </c>
      <c r="P3594" s="9"/>
    </row>
    <row r="3595">
      <c r="G3595" s="8"/>
      <c r="M3595" s="8">
        <f t="shared" si="5"/>
        <v>0</v>
      </c>
      <c r="P3595" s="9"/>
    </row>
    <row r="3596">
      <c r="G3596" s="8"/>
      <c r="M3596" s="8">
        <f t="shared" si="5"/>
        <v>0</v>
      </c>
      <c r="P3596" s="9"/>
    </row>
    <row r="3597">
      <c r="G3597" s="8"/>
      <c r="M3597" s="8">
        <f t="shared" si="5"/>
        <v>0</v>
      </c>
      <c r="P3597" s="9"/>
    </row>
    <row r="3598">
      <c r="G3598" s="8"/>
      <c r="M3598" s="8">
        <f t="shared" si="5"/>
        <v>0</v>
      </c>
      <c r="P3598" s="9"/>
    </row>
    <row r="3599">
      <c r="G3599" s="8"/>
      <c r="M3599" s="8">
        <f t="shared" si="5"/>
        <v>0</v>
      </c>
      <c r="P3599" s="9"/>
    </row>
    <row r="3600">
      <c r="G3600" s="8"/>
      <c r="M3600" s="8">
        <f t="shared" si="5"/>
        <v>0</v>
      </c>
      <c r="P3600" s="9"/>
    </row>
    <row r="3601">
      <c r="G3601" s="8"/>
      <c r="M3601" s="8">
        <f t="shared" si="5"/>
        <v>0</v>
      </c>
      <c r="P3601" s="9"/>
    </row>
    <row r="3602">
      <c r="G3602" s="8"/>
      <c r="M3602" s="8">
        <f t="shared" si="5"/>
        <v>0</v>
      </c>
      <c r="P3602" s="9"/>
    </row>
    <row r="3603">
      <c r="G3603" s="8"/>
      <c r="M3603" s="8">
        <f t="shared" si="5"/>
        <v>0</v>
      </c>
      <c r="P3603" s="9"/>
    </row>
    <row r="3604">
      <c r="G3604" s="8"/>
      <c r="M3604" s="8">
        <f t="shared" si="5"/>
        <v>0</v>
      </c>
      <c r="P3604" s="9"/>
    </row>
    <row r="3605">
      <c r="G3605" s="8"/>
      <c r="M3605" s="8">
        <f t="shared" si="5"/>
        <v>0</v>
      </c>
      <c r="P3605" s="9"/>
    </row>
    <row r="3606">
      <c r="G3606" s="8"/>
      <c r="M3606" s="8">
        <f t="shared" si="5"/>
        <v>0</v>
      </c>
      <c r="P3606" s="9"/>
    </row>
    <row r="3607">
      <c r="G3607" s="8"/>
      <c r="M3607" s="8">
        <f t="shared" si="5"/>
        <v>0</v>
      </c>
      <c r="P3607" s="9"/>
    </row>
    <row r="3608">
      <c r="G3608" s="8"/>
      <c r="M3608" s="8">
        <f t="shared" si="5"/>
        <v>0</v>
      </c>
      <c r="P3608" s="9"/>
    </row>
    <row r="3609">
      <c r="G3609" s="8"/>
      <c r="M3609" s="8">
        <f t="shared" si="5"/>
        <v>0</v>
      </c>
      <c r="P3609" s="9"/>
    </row>
    <row r="3610">
      <c r="G3610" s="8"/>
      <c r="M3610" s="8">
        <f t="shared" si="5"/>
        <v>0</v>
      </c>
      <c r="P3610" s="9"/>
    </row>
    <row r="3611">
      <c r="G3611" s="8"/>
      <c r="M3611" s="8">
        <f t="shared" si="5"/>
        <v>0</v>
      </c>
      <c r="P3611" s="9"/>
    </row>
    <row r="3612">
      <c r="G3612" s="8"/>
      <c r="M3612" s="8">
        <f t="shared" si="5"/>
        <v>0</v>
      </c>
      <c r="P3612" s="9"/>
    </row>
    <row r="3613">
      <c r="G3613" s="8"/>
      <c r="M3613" s="8">
        <f t="shared" si="5"/>
        <v>0</v>
      </c>
      <c r="P3613" s="9"/>
    </row>
    <row r="3614">
      <c r="G3614" s="8"/>
      <c r="M3614" s="8">
        <f t="shared" si="5"/>
        <v>0</v>
      </c>
      <c r="P3614" s="9"/>
    </row>
    <row r="3615">
      <c r="G3615" s="8"/>
      <c r="M3615" s="8">
        <f t="shared" si="5"/>
        <v>0</v>
      </c>
      <c r="P3615" s="9"/>
    </row>
    <row r="3616">
      <c r="G3616" s="8"/>
      <c r="M3616" s="8">
        <f t="shared" si="5"/>
        <v>0</v>
      </c>
      <c r="P3616" s="9"/>
    </row>
    <row r="3617">
      <c r="G3617" s="8"/>
      <c r="M3617" s="8">
        <f t="shared" si="5"/>
        <v>0</v>
      </c>
      <c r="P3617" s="9"/>
    </row>
    <row r="3618">
      <c r="G3618" s="8"/>
      <c r="M3618" s="8">
        <f t="shared" si="5"/>
        <v>0</v>
      </c>
      <c r="P3618" s="9"/>
    </row>
    <row r="3619">
      <c r="G3619" s="8"/>
      <c r="M3619" s="8">
        <f t="shared" si="5"/>
        <v>0</v>
      </c>
      <c r="P3619" s="9"/>
    </row>
    <row r="3620">
      <c r="G3620" s="8"/>
      <c r="M3620" s="8">
        <f t="shared" si="5"/>
        <v>0</v>
      </c>
      <c r="P3620" s="9"/>
    </row>
    <row r="3621">
      <c r="G3621" s="8"/>
      <c r="M3621" s="8">
        <f t="shared" si="5"/>
        <v>0</v>
      </c>
      <c r="P3621" s="9"/>
    </row>
    <row r="3622">
      <c r="G3622" s="8"/>
      <c r="M3622" s="8">
        <f t="shared" si="5"/>
        <v>0</v>
      </c>
      <c r="P3622" s="9"/>
    </row>
    <row r="3623">
      <c r="G3623" s="8"/>
      <c r="M3623" s="8">
        <f t="shared" si="5"/>
        <v>0</v>
      </c>
      <c r="P3623" s="9"/>
    </row>
    <row r="3624">
      <c r="G3624" s="8"/>
      <c r="M3624" s="8">
        <f t="shared" si="5"/>
        <v>0</v>
      </c>
      <c r="P3624" s="9"/>
    </row>
    <row r="3625">
      <c r="G3625" s="8"/>
      <c r="M3625" s="8">
        <f t="shared" si="5"/>
        <v>0</v>
      </c>
      <c r="P3625" s="9"/>
    </row>
    <row r="3626">
      <c r="G3626" s="8"/>
      <c r="M3626" s="8">
        <f t="shared" si="5"/>
        <v>0</v>
      </c>
      <c r="P3626" s="9"/>
    </row>
    <row r="3627">
      <c r="G3627" s="8"/>
      <c r="M3627" s="8">
        <f t="shared" si="5"/>
        <v>0</v>
      </c>
      <c r="P3627" s="9"/>
    </row>
    <row r="3628">
      <c r="G3628" s="8"/>
      <c r="M3628" s="8">
        <f t="shared" si="5"/>
        <v>0</v>
      </c>
      <c r="P3628" s="9"/>
    </row>
    <row r="3629">
      <c r="G3629" s="8"/>
      <c r="M3629" s="8">
        <f t="shared" si="5"/>
        <v>0</v>
      </c>
      <c r="P3629" s="9"/>
    </row>
    <row r="3630">
      <c r="G3630" s="8"/>
      <c r="M3630" s="8">
        <f t="shared" si="5"/>
        <v>0</v>
      </c>
      <c r="P3630" s="9"/>
    </row>
    <row r="3631">
      <c r="G3631" s="8"/>
      <c r="M3631" s="8">
        <f t="shared" si="5"/>
        <v>0</v>
      </c>
      <c r="P3631" s="9"/>
    </row>
    <row r="3632">
      <c r="G3632" s="8"/>
      <c r="M3632" s="8">
        <f t="shared" si="5"/>
        <v>0</v>
      </c>
      <c r="P3632" s="9"/>
    </row>
    <row r="3633">
      <c r="G3633" s="8"/>
      <c r="M3633" s="8">
        <f t="shared" si="5"/>
        <v>0</v>
      </c>
      <c r="P3633" s="9"/>
    </row>
    <row r="3634">
      <c r="G3634" s="8"/>
      <c r="M3634" s="8">
        <f t="shared" si="5"/>
        <v>0</v>
      </c>
      <c r="P3634" s="9"/>
    </row>
    <row r="3635">
      <c r="G3635" s="8"/>
      <c r="M3635" s="8">
        <f t="shared" si="5"/>
        <v>0</v>
      </c>
      <c r="P3635" s="9"/>
    </row>
    <row r="3636">
      <c r="G3636" s="8"/>
      <c r="M3636" s="8">
        <f t="shared" si="5"/>
        <v>0</v>
      </c>
      <c r="P3636" s="9"/>
    </row>
    <row r="3637">
      <c r="G3637" s="8"/>
      <c r="M3637" s="8">
        <f t="shared" si="5"/>
        <v>0</v>
      </c>
      <c r="P3637" s="9"/>
    </row>
    <row r="3638">
      <c r="G3638" s="8"/>
      <c r="M3638" s="8">
        <f t="shared" si="5"/>
        <v>0</v>
      </c>
      <c r="P3638" s="9"/>
    </row>
    <row r="3639">
      <c r="G3639" s="8"/>
      <c r="M3639" s="8">
        <f t="shared" si="5"/>
        <v>0</v>
      </c>
      <c r="P3639" s="9"/>
    </row>
    <row r="3640">
      <c r="G3640" s="8"/>
      <c r="M3640" s="8">
        <f t="shared" si="5"/>
        <v>0</v>
      </c>
      <c r="P3640" s="9"/>
    </row>
    <row r="3641">
      <c r="G3641" s="8"/>
      <c r="M3641" s="8">
        <f t="shared" si="5"/>
        <v>0</v>
      </c>
      <c r="P3641" s="9"/>
    </row>
    <row r="3642">
      <c r="G3642" s="8"/>
      <c r="M3642" s="8">
        <f t="shared" si="5"/>
        <v>0</v>
      </c>
      <c r="P3642" s="9"/>
    </row>
    <row r="3643">
      <c r="G3643" s="8"/>
      <c r="M3643" s="8">
        <f t="shared" si="5"/>
        <v>0</v>
      </c>
      <c r="P3643" s="9"/>
    </row>
    <row r="3644">
      <c r="G3644" s="8"/>
      <c r="M3644" s="8">
        <f t="shared" si="5"/>
        <v>0</v>
      </c>
      <c r="P3644" s="9"/>
    </row>
    <row r="3645">
      <c r="G3645" s="8"/>
      <c r="M3645" s="8">
        <f t="shared" si="5"/>
        <v>0</v>
      </c>
      <c r="P3645" s="9"/>
    </row>
    <row r="3646">
      <c r="G3646" s="8"/>
      <c r="M3646" s="8">
        <f t="shared" si="5"/>
        <v>0</v>
      </c>
      <c r="P3646" s="9"/>
    </row>
    <row r="3647">
      <c r="G3647" s="8"/>
      <c r="M3647" s="8">
        <f t="shared" si="5"/>
        <v>0</v>
      </c>
      <c r="P3647" s="9"/>
    </row>
    <row r="3648">
      <c r="G3648" s="8"/>
      <c r="M3648" s="8">
        <f t="shared" si="5"/>
        <v>0</v>
      </c>
      <c r="P3648" s="9"/>
    </row>
    <row r="3649">
      <c r="G3649" s="8"/>
      <c r="M3649" s="8">
        <f t="shared" si="5"/>
        <v>0</v>
      </c>
      <c r="P3649" s="9"/>
    </row>
    <row r="3650">
      <c r="G3650" s="8"/>
      <c r="M3650" s="8">
        <f t="shared" si="5"/>
        <v>0</v>
      </c>
      <c r="P3650" s="9"/>
    </row>
    <row r="3651">
      <c r="G3651" s="8"/>
      <c r="M3651" s="8">
        <f t="shared" si="5"/>
        <v>0</v>
      </c>
      <c r="P3651" s="9"/>
    </row>
    <row r="3652">
      <c r="G3652" s="8"/>
      <c r="M3652" s="8">
        <f t="shared" si="5"/>
        <v>0</v>
      </c>
      <c r="P3652" s="9"/>
    </row>
    <row r="3653">
      <c r="G3653" s="8"/>
      <c r="M3653" s="8">
        <f t="shared" si="5"/>
        <v>0</v>
      </c>
      <c r="P3653" s="9"/>
    </row>
    <row r="3654">
      <c r="G3654" s="8"/>
      <c r="M3654" s="8">
        <f t="shared" si="5"/>
        <v>0</v>
      </c>
      <c r="P3654" s="9"/>
    </row>
    <row r="3655">
      <c r="G3655" s="8"/>
      <c r="M3655" s="8">
        <f t="shared" si="5"/>
        <v>0</v>
      </c>
      <c r="P3655" s="9"/>
    </row>
    <row r="3656">
      <c r="G3656" s="8"/>
      <c r="M3656" s="8">
        <f t="shared" si="5"/>
        <v>0</v>
      </c>
      <c r="P3656" s="9"/>
    </row>
    <row r="3657">
      <c r="G3657" s="8"/>
      <c r="M3657" s="8">
        <f t="shared" si="5"/>
        <v>0</v>
      </c>
      <c r="P3657" s="9"/>
    </row>
    <row r="3658">
      <c r="G3658" s="8"/>
      <c r="M3658" s="8">
        <f t="shared" si="5"/>
        <v>0</v>
      </c>
      <c r="P3658" s="9"/>
    </row>
    <row r="3659">
      <c r="G3659" s="8"/>
      <c r="M3659" s="8">
        <f t="shared" si="5"/>
        <v>0</v>
      </c>
      <c r="P3659" s="9"/>
    </row>
    <row r="3660">
      <c r="G3660" s="8"/>
      <c r="M3660" s="8">
        <f t="shared" si="5"/>
        <v>0</v>
      </c>
      <c r="P3660" s="9"/>
    </row>
    <row r="3661">
      <c r="G3661" s="8"/>
      <c r="M3661" s="8">
        <f t="shared" si="5"/>
        <v>0</v>
      </c>
      <c r="P3661" s="9"/>
    </row>
    <row r="3662">
      <c r="G3662" s="8"/>
      <c r="M3662" s="8">
        <f t="shared" si="5"/>
        <v>0</v>
      </c>
      <c r="P3662" s="9"/>
    </row>
    <row r="3663">
      <c r="G3663" s="8"/>
      <c r="M3663" s="8">
        <f t="shared" si="5"/>
        <v>0</v>
      </c>
      <c r="P3663" s="9"/>
    </row>
    <row r="3664">
      <c r="G3664" s="8"/>
      <c r="M3664" s="8">
        <f t="shared" si="5"/>
        <v>0</v>
      </c>
      <c r="P3664" s="9"/>
    </row>
    <row r="3665">
      <c r="G3665" s="8"/>
      <c r="M3665" s="8">
        <f t="shared" si="5"/>
        <v>0</v>
      </c>
      <c r="P3665" s="9"/>
    </row>
    <row r="3666">
      <c r="G3666" s="8"/>
      <c r="M3666" s="8">
        <f t="shared" si="5"/>
        <v>0</v>
      </c>
      <c r="P3666" s="9"/>
    </row>
    <row r="3667">
      <c r="G3667" s="8"/>
      <c r="M3667" s="8">
        <f t="shared" si="5"/>
        <v>0</v>
      </c>
      <c r="P3667" s="9"/>
    </row>
    <row r="3668">
      <c r="G3668" s="8"/>
      <c r="M3668" s="8">
        <f t="shared" si="5"/>
        <v>0</v>
      </c>
      <c r="P3668" s="9"/>
    </row>
    <row r="3669">
      <c r="G3669" s="8"/>
      <c r="M3669" s="8">
        <f t="shared" si="5"/>
        <v>0</v>
      </c>
      <c r="P3669" s="9"/>
    </row>
    <row r="3670">
      <c r="G3670" s="8"/>
      <c r="M3670" s="8">
        <f t="shared" si="5"/>
        <v>0</v>
      </c>
      <c r="P3670" s="9"/>
    </row>
    <row r="3671">
      <c r="G3671" s="8"/>
      <c r="M3671" s="8">
        <f t="shared" si="5"/>
        <v>0</v>
      </c>
      <c r="P3671" s="9"/>
    </row>
    <row r="3672">
      <c r="G3672" s="8"/>
      <c r="M3672" s="8">
        <f t="shared" si="5"/>
        <v>0</v>
      </c>
      <c r="P3672" s="9"/>
    </row>
    <row r="3673">
      <c r="G3673" s="8"/>
      <c r="M3673" s="8">
        <f t="shared" si="5"/>
        <v>0</v>
      </c>
      <c r="P3673" s="9"/>
    </row>
    <row r="3674">
      <c r="G3674" s="8"/>
      <c r="M3674" s="8">
        <f t="shared" si="5"/>
        <v>0</v>
      </c>
      <c r="P3674" s="9"/>
    </row>
    <row r="3675">
      <c r="G3675" s="8"/>
      <c r="M3675" s="8">
        <f t="shared" si="5"/>
        <v>0</v>
      </c>
      <c r="P3675" s="9"/>
    </row>
    <row r="3676">
      <c r="G3676" s="8"/>
      <c r="M3676" s="8">
        <f t="shared" si="5"/>
        <v>0</v>
      </c>
      <c r="P3676" s="9"/>
    </row>
    <row r="3677">
      <c r="G3677" s="8"/>
      <c r="M3677" s="8">
        <f t="shared" si="5"/>
        <v>0</v>
      </c>
      <c r="P3677" s="9"/>
    </row>
    <row r="3678">
      <c r="G3678" s="8"/>
      <c r="M3678" s="8">
        <f t="shared" si="5"/>
        <v>0</v>
      </c>
      <c r="P3678" s="9"/>
    </row>
    <row r="3679">
      <c r="G3679" s="8"/>
      <c r="M3679" s="8">
        <f t="shared" si="5"/>
        <v>0</v>
      </c>
      <c r="P3679" s="9"/>
    </row>
    <row r="3680">
      <c r="G3680" s="8"/>
      <c r="M3680" s="8">
        <f t="shared" si="5"/>
        <v>0</v>
      </c>
      <c r="P3680" s="9"/>
    </row>
    <row r="3681">
      <c r="G3681" s="8"/>
      <c r="M3681" s="8">
        <f t="shared" si="5"/>
        <v>0</v>
      </c>
      <c r="P3681" s="9"/>
    </row>
    <row r="3682">
      <c r="G3682" s="8"/>
      <c r="M3682" s="8">
        <f t="shared" si="5"/>
        <v>0</v>
      </c>
      <c r="P3682" s="9"/>
    </row>
    <row r="3683">
      <c r="G3683" s="8"/>
      <c r="M3683" s="8">
        <f t="shared" si="5"/>
        <v>0</v>
      </c>
      <c r="P3683" s="9"/>
    </row>
    <row r="3684">
      <c r="G3684" s="8"/>
      <c r="M3684" s="8">
        <f t="shared" si="5"/>
        <v>0</v>
      </c>
      <c r="P3684" s="9"/>
    </row>
    <row r="3685">
      <c r="G3685" s="8"/>
      <c r="M3685" s="8">
        <f t="shared" si="5"/>
        <v>0</v>
      </c>
      <c r="P3685" s="9"/>
    </row>
    <row r="3686">
      <c r="G3686" s="8"/>
      <c r="M3686" s="8">
        <f t="shared" si="5"/>
        <v>0</v>
      </c>
      <c r="P3686" s="9"/>
    </row>
    <row r="3687">
      <c r="G3687" s="8"/>
      <c r="M3687" s="8">
        <f t="shared" si="5"/>
        <v>0</v>
      </c>
      <c r="P3687" s="9"/>
    </row>
    <row r="3688">
      <c r="G3688" s="8"/>
      <c r="M3688" s="8">
        <f t="shared" si="5"/>
        <v>0</v>
      </c>
      <c r="P3688" s="9"/>
    </row>
    <row r="3689">
      <c r="G3689" s="8"/>
      <c r="M3689" s="8">
        <f t="shared" si="5"/>
        <v>0</v>
      </c>
      <c r="P3689" s="9"/>
    </row>
    <row r="3690">
      <c r="G3690" s="8"/>
      <c r="M3690" s="8">
        <f t="shared" si="5"/>
        <v>0</v>
      </c>
      <c r="P3690" s="9"/>
    </row>
    <row r="3691">
      <c r="G3691" s="8"/>
      <c r="M3691" s="8">
        <f t="shared" si="5"/>
        <v>0</v>
      </c>
      <c r="P3691" s="9"/>
    </row>
    <row r="3692">
      <c r="G3692" s="8"/>
      <c r="M3692" s="8">
        <f t="shared" si="5"/>
        <v>0</v>
      </c>
      <c r="P3692" s="9"/>
    </row>
    <row r="3693">
      <c r="G3693" s="8"/>
      <c r="M3693" s="8">
        <f t="shared" si="5"/>
        <v>0</v>
      </c>
      <c r="P3693" s="9"/>
    </row>
    <row r="3694">
      <c r="G3694" s="8"/>
      <c r="M3694" s="8">
        <f t="shared" si="5"/>
        <v>0</v>
      </c>
      <c r="P3694" s="9"/>
    </row>
    <row r="3695">
      <c r="G3695" s="8"/>
      <c r="M3695" s="8">
        <f t="shared" si="5"/>
        <v>0</v>
      </c>
      <c r="P3695" s="9"/>
    </row>
    <row r="3696">
      <c r="G3696" s="8"/>
      <c r="M3696" s="8">
        <f t="shared" si="5"/>
        <v>0</v>
      </c>
      <c r="P3696" s="9"/>
    </row>
    <row r="3697">
      <c r="G3697" s="8"/>
      <c r="M3697" s="8">
        <f t="shared" si="5"/>
        <v>0</v>
      </c>
      <c r="P3697" s="9"/>
    </row>
    <row r="3698">
      <c r="G3698" s="8"/>
      <c r="M3698" s="8">
        <f t="shared" si="5"/>
        <v>0</v>
      </c>
      <c r="P3698" s="9"/>
    </row>
    <row r="3699">
      <c r="G3699" s="8"/>
      <c r="M3699" s="8">
        <f t="shared" si="5"/>
        <v>0</v>
      </c>
      <c r="P3699" s="9"/>
    </row>
    <row r="3700">
      <c r="G3700" s="8"/>
      <c r="M3700" s="8">
        <f t="shared" si="5"/>
        <v>0</v>
      </c>
      <c r="P3700" s="9"/>
    </row>
    <row r="3701">
      <c r="G3701" s="8"/>
      <c r="M3701" s="8">
        <f t="shared" si="5"/>
        <v>0</v>
      </c>
      <c r="P3701" s="9"/>
    </row>
    <row r="3702">
      <c r="G3702" s="8"/>
      <c r="M3702" s="8">
        <f t="shared" si="5"/>
        <v>0</v>
      </c>
      <c r="P3702" s="9"/>
    </row>
    <row r="3703">
      <c r="G3703" s="8"/>
      <c r="M3703" s="8">
        <f t="shared" si="5"/>
        <v>0</v>
      </c>
      <c r="P3703" s="9"/>
    </row>
    <row r="3704">
      <c r="G3704" s="8"/>
      <c r="M3704" s="8">
        <f t="shared" si="5"/>
        <v>0</v>
      </c>
      <c r="P3704" s="9"/>
    </row>
    <row r="3705">
      <c r="G3705" s="8"/>
      <c r="M3705" s="8">
        <f t="shared" si="5"/>
        <v>0</v>
      </c>
      <c r="P3705" s="9"/>
    </row>
    <row r="3706">
      <c r="G3706" s="8"/>
      <c r="M3706" s="8">
        <f t="shared" si="5"/>
        <v>0</v>
      </c>
      <c r="P3706" s="9"/>
    </row>
    <row r="3707">
      <c r="G3707" s="8"/>
      <c r="M3707" s="8">
        <f t="shared" si="5"/>
        <v>0</v>
      </c>
      <c r="P3707" s="9"/>
    </row>
    <row r="3708">
      <c r="G3708" s="8"/>
      <c r="M3708" s="8">
        <f t="shared" si="5"/>
        <v>0</v>
      </c>
      <c r="P3708" s="9"/>
    </row>
    <row r="3709">
      <c r="G3709" s="8"/>
      <c r="M3709" s="8">
        <f t="shared" si="5"/>
        <v>0</v>
      </c>
      <c r="P3709" s="9"/>
    </row>
    <row r="3710">
      <c r="G3710" s="8"/>
      <c r="M3710" s="8">
        <f t="shared" si="5"/>
        <v>0</v>
      </c>
      <c r="P3710" s="9"/>
    </row>
    <row r="3711">
      <c r="G3711" s="8"/>
      <c r="M3711" s="8">
        <f t="shared" si="5"/>
        <v>0</v>
      </c>
      <c r="P3711" s="9"/>
    </row>
    <row r="3712">
      <c r="G3712" s="8"/>
      <c r="M3712" s="8">
        <f t="shared" si="5"/>
        <v>0</v>
      </c>
      <c r="P3712" s="9"/>
    </row>
    <row r="3713">
      <c r="G3713" s="8"/>
      <c r="M3713" s="8">
        <f t="shared" si="5"/>
        <v>0</v>
      </c>
      <c r="P3713" s="9"/>
    </row>
    <row r="3714">
      <c r="G3714" s="8"/>
      <c r="M3714" s="8">
        <f t="shared" si="5"/>
        <v>0</v>
      </c>
      <c r="P3714" s="9"/>
    </row>
    <row r="3715">
      <c r="G3715" s="8"/>
      <c r="M3715" s="8">
        <f t="shared" si="5"/>
        <v>0</v>
      </c>
      <c r="P3715" s="9"/>
    </row>
    <row r="3716">
      <c r="G3716" s="8"/>
      <c r="M3716" s="8">
        <f t="shared" si="5"/>
        <v>0</v>
      </c>
      <c r="P3716" s="9"/>
    </row>
    <row r="3717">
      <c r="G3717" s="8"/>
      <c r="M3717" s="8">
        <f t="shared" si="5"/>
        <v>0</v>
      </c>
      <c r="P3717" s="9"/>
    </row>
    <row r="3718">
      <c r="G3718" s="8"/>
      <c r="M3718" s="8">
        <f t="shared" si="5"/>
        <v>0</v>
      </c>
      <c r="P3718" s="9"/>
    </row>
    <row r="3719">
      <c r="G3719" s="8"/>
      <c r="M3719" s="8">
        <f t="shared" si="5"/>
        <v>0</v>
      </c>
      <c r="P3719" s="9"/>
    </row>
    <row r="3720">
      <c r="G3720" s="8"/>
      <c r="M3720" s="8">
        <f t="shared" si="5"/>
        <v>0</v>
      </c>
      <c r="P3720" s="9"/>
    </row>
    <row r="3721">
      <c r="G3721" s="8"/>
      <c r="M3721" s="8">
        <f t="shared" si="5"/>
        <v>0</v>
      </c>
      <c r="P3721" s="9"/>
    </row>
    <row r="3722">
      <c r="G3722" s="8"/>
      <c r="M3722" s="8">
        <f t="shared" si="5"/>
        <v>0</v>
      </c>
      <c r="P3722" s="9"/>
    </row>
    <row r="3723">
      <c r="G3723" s="8"/>
      <c r="M3723" s="8">
        <f t="shared" si="5"/>
        <v>0</v>
      </c>
      <c r="P3723" s="9"/>
    </row>
    <row r="3724">
      <c r="G3724" s="8"/>
      <c r="M3724" s="8">
        <f t="shared" si="5"/>
        <v>0</v>
      </c>
      <c r="P3724" s="9"/>
    </row>
    <row r="3725">
      <c r="G3725" s="8"/>
      <c r="M3725" s="8">
        <f t="shared" si="5"/>
        <v>0</v>
      </c>
      <c r="P3725" s="9"/>
    </row>
    <row r="3726">
      <c r="G3726" s="8"/>
      <c r="M3726" s="8">
        <f t="shared" si="5"/>
        <v>0</v>
      </c>
      <c r="P3726" s="9"/>
    </row>
    <row r="3727">
      <c r="G3727" s="8"/>
      <c r="M3727" s="8">
        <f t="shared" si="5"/>
        <v>0</v>
      </c>
      <c r="P3727" s="9"/>
    </row>
    <row r="3728">
      <c r="G3728" s="8"/>
      <c r="M3728" s="8">
        <f t="shared" si="5"/>
        <v>0</v>
      </c>
      <c r="P3728" s="9"/>
    </row>
    <row r="3729">
      <c r="G3729" s="8"/>
      <c r="M3729" s="8">
        <f t="shared" si="5"/>
        <v>0</v>
      </c>
      <c r="P3729" s="9"/>
    </row>
    <row r="3730">
      <c r="G3730" s="8"/>
      <c r="M3730" s="8">
        <f t="shared" si="5"/>
        <v>0</v>
      </c>
      <c r="P3730" s="9"/>
    </row>
    <row r="3731">
      <c r="G3731" s="8"/>
      <c r="M3731" s="8">
        <f t="shared" si="5"/>
        <v>0</v>
      </c>
      <c r="P3731" s="9"/>
    </row>
    <row r="3732">
      <c r="G3732" s="8"/>
      <c r="M3732" s="8">
        <f t="shared" si="5"/>
        <v>0</v>
      </c>
      <c r="P3732" s="9"/>
    </row>
    <row r="3733">
      <c r="G3733" s="8"/>
      <c r="M3733" s="8">
        <f t="shared" si="5"/>
        <v>0</v>
      </c>
      <c r="P3733" s="9"/>
    </row>
    <row r="3734">
      <c r="G3734" s="8"/>
      <c r="M3734" s="8">
        <f t="shared" si="5"/>
        <v>0</v>
      </c>
      <c r="P3734" s="9"/>
    </row>
    <row r="3735">
      <c r="G3735" s="8"/>
      <c r="M3735" s="8">
        <f t="shared" si="5"/>
        <v>0</v>
      </c>
      <c r="P3735" s="9"/>
    </row>
    <row r="3736">
      <c r="G3736" s="8"/>
      <c r="M3736" s="8">
        <f t="shared" si="5"/>
        <v>0</v>
      </c>
      <c r="P3736" s="9"/>
    </row>
    <row r="3737">
      <c r="G3737" s="8"/>
      <c r="M3737" s="8">
        <f t="shared" si="5"/>
        <v>0</v>
      </c>
      <c r="P3737" s="9"/>
    </row>
    <row r="3738">
      <c r="G3738" s="8"/>
      <c r="M3738" s="8">
        <f t="shared" si="5"/>
        <v>0</v>
      </c>
      <c r="P3738" s="9"/>
    </row>
    <row r="3739">
      <c r="G3739" s="8"/>
      <c r="M3739" s="8">
        <f t="shared" si="5"/>
        <v>0</v>
      </c>
      <c r="P3739" s="9"/>
    </row>
    <row r="3740">
      <c r="G3740" s="8"/>
      <c r="M3740" s="8">
        <f t="shared" si="5"/>
        <v>0</v>
      </c>
      <c r="P3740" s="9"/>
    </row>
    <row r="3741">
      <c r="G3741" s="8"/>
      <c r="M3741" s="8">
        <f t="shared" si="5"/>
        <v>0</v>
      </c>
      <c r="P3741" s="9"/>
    </row>
    <row r="3742">
      <c r="G3742" s="8"/>
      <c r="M3742" s="8">
        <f t="shared" si="5"/>
        <v>0</v>
      </c>
      <c r="P3742" s="9"/>
    </row>
    <row r="3743">
      <c r="G3743" s="8"/>
      <c r="M3743" s="8">
        <f t="shared" si="5"/>
        <v>0</v>
      </c>
      <c r="P3743" s="9"/>
    </row>
    <row r="3744">
      <c r="G3744" s="8"/>
      <c r="M3744" s="8">
        <f t="shared" si="5"/>
        <v>0</v>
      </c>
      <c r="P3744" s="9"/>
    </row>
    <row r="3745">
      <c r="G3745" s="8"/>
      <c r="M3745" s="8">
        <f t="shared" si="5"/>
        <v>0</v>
      </c>
      <c r="P3745" s="9"/>
    </row>
    <row r="3746">
      <c r="G3746" s="8"/>
      <c r="M3746" s="8">
        <f t="shared" si="5"/>
        <v>0</v>
      </c>
      <c r="P3746" s="9"/>
    </row>
    <row r="3747">
      <c r="G3747" s="8"/>
      <c r="M3747" s="8">
        <f t="shared" si="5"/>
        <v>0</v>
      </c>
      <c r="P3747" s="9"/>
    </row>
    <row r="3748">
      <c r="G3748" s="8"/>
      <c r="M3748" s="8">
        <f t="shared" si="5"/>
        <v>0</v>
      </c>
      <c r="P3748" s="9"/>
    </row>
    <row r="3749">
      <c r="G3749" s="8"/>
      <c r="M3749" s="8">
        <f t="shared" si="5"/>
        <v>0</v>
      </c>
      <c r="P3749" s="9"/>
    </row>
    <row r="3750">
      <c r="G3750" s="8"/>
      <c r="M3750" s="8">
        <f t="shared" si="5"/>
        <v>0</v>
      </c>
      <c r="P3750" s="9"/>
    </row>
    <row r="3751">
      <c r="G3751" s="8"/>
      <c r="M3751" s="8">
        <f t="shared" si="5"/>
        <v>0</v>
      </c>
      <c r="P3751" s="9"/>
    </row>
    <row r="3752">
      <c r="G3752" s="8"/>
      <c r="M3752" s="8">
        <f t="shared" si="5"/>
        <v>0</v>
      </c>
      <c r="P3752" s="9"/>
    </row>
    <row r="3753">
      <c r="G3753" s="8"/>
      <c r="M3753" s="8">
        <f t="shared" si="5"/>
        <v>0</v>
      </c>
      <c r="P3753" s="9"/>
    </row>
    <row r="3754">
      <c r="G3754" s="8"/>
      <c r="M3754" s="8">
        <f t="shared" si="5"/>
        <v>0</v>
      </c>
      <c r="P3754" s="9"/>
    </row>
    <row r="3755">
      <c r="G3755" s="8"/>
      <c r="M3755" s="8">
        <f t="shared" si="5"/>
        <v>0</v>
      </c>
      <c r="P3755" s="9"/>
    </row>
    <row r="3756">
      <c r="G3756" s="8"/>
      <c r="M3756" s="8">
        <f t="shared" si="5"/>
        <v>0</v>
      </c>
      <c r="P3756" s="9"/>
    </row>
    <row r="3757">
      <c r="G3757" s="8"/>
      <c r="M3757" s="8">
        <f t="shared" si="5"/>
        <v>0</v>
      </c>
      <c r="P3757" s="9"/>
    </row>
    <row r="3758">
      <c r="G3758" s="8"/>
      <c r="M3758" s="8">
        <f t="shared" si="5"/>
        <v>0</v>
      </c>
      <c r="P3758" s="9"/>
    </row>
    <row r="3759">
      <c r="G3759" s="8"/>
      <c r="M3759" s="8">
        <f t="shared" si="5"/>
        <v>0</v>
      </c>
      <c r="P3759" s="9"/>
    </row>
    <row r="3760">
      <c r="G3760" s="8"/>
      <c r="M3760" s="8">
        <f t="shared" si="5"/>
        <v>0</v>
      </c>
      <c r="P3760" s="9"/>
    </row>
    <row r="3761">
      <c r="G3761" s="8"/>
      <c r="M3761" s="8">
        <f t="shared" si="5"/>
        <v>0</v>
      </c>
      <c r="P3761" s="9"/>
    </row>
    <row r="3762">
      <c r="G3762" s="8"/>
      <c r="M3762" s="8">
        <f t="shared" si="5"/>
        <v>0</v>
      </c>
      <c r="P3762" s="9"/>
    </row>
    <row r="3763">
      <c r="G3763" s="8"/>
      <c r="M3763" s="8">
        <f t="shared" si="5"/>
        <v>0</v>
      </c>
      <c r="P3763" s="9"/>
    </row>
    <row r="3764">
      <c r="G3764" s="8"/>
      <c r="M3764" s="8">
        <f t="shared" si="5"/>
        <v>0</v>
      </c>
      <c r="P3764" s="9"/>
    </row>
    <row r="3765">
      <c r="G3765" s="8"/>
      <c r="M3765" s="8">
        <f t="shared" si="5"/>
        <v>0</v>
      </c>
      <c r="P3765" s="9"/>
    </row>
    <row r="3766">
      <c r="G3766" s="8"/>
      <c r="M3766" s="8">
        <f t="shared" si="5"/>
        <v>0</v>
      </c>
      <c r="P3766" s="9"/>
    </row>
    <row r="3767">
      <c r="G3767" s="8"/>
      <c r="M3767" s="8">
        <f t="shared" si="5"/>
        <v>0</v>
      </c>
      <c r="P3767" s="9"/>
    </row>
    <row r="3768">
      <c r="G3768" s="8"/>
      <c r="M3768" s="8">
        <f t="shared" si="5"/>
        <v>0</v>
      </c>
      <c r="P3768" s="9"/>
    </row>
    <row r="3769">
      <c r="G3769" s="8"/>
      <c r="M3769" s="8">
        <f t="shared" si="5"/>
        <v>0</v>
      </c>
      <c r="P3769" s="9"/>
    </row>
    <row r="3770">
      <c r="G3770" s="8"/>
      <c r="M3770" s="8">
        <f t="shared" si="5"/>
        <v>0</v>
      </c>
      <c r="P3770" s="9"/>
    </row>
    <row r="3771">
      <c r="G3771" s="8"/>
      <c r="M3771" s="8">
        <f t="shared" si="5"/>
        <v>0</v>
      </c>
      <c r="P3771" s="9"/>
    </row>
    <row r="3772">
      <c r="G3772" s="8"/>
      <c r="M3772" s="8">
        <f t="shared" si="5"/>
        <v>0</v>
      </c>
      <c r="P3772" s="9"/>
    </row>
    <row r="3773">
      <c r="G3773" s="8"/>
      <c r="M3773" s="8">
        <f t="shared" si="5"/>
        <v>0</v>
      </c>
      <c r="P3773" s="9"/>
    </row>
    <row r="3774">
      <c r="G3774" s="8"/>
      <c r="M3774" s="8">
        <f t="shared" si="5"/>
        <v>0</v>
      </c>
      <c r="P3774" s="9"/>
    </row>
    <row r="3775">
      <c r="G3775" s="8"/>
      <c r="M3775" s="8">
        <f t="shared" si="5"/>
        <v>0</v>
      </c>
      <c r="P3775" s="9"/>
    </row>
    <row r="3776">
      <c r="G3776" s="8"/>
      <c r="M3776" s="8">
        <f t="shared" si="5"/>
        <v>0</v>
      </c>
      <c r="P3776" s="9"/>
    </row>
    <row r="3777">
      <c r="G3777" s="8"/>
      <c r="M3777" s="8">
        <f t="shared" si="5"/>
        <v>0</v>
      </c>
      <c r="P3777" s="9"/>
    </row>
    <row r="3778">
      <c r="G3778" s="8"/>
      <c r="M3778" s="8">
        <f t="shared" si="5"/>
        <v>0</v>
      </c>
      <c r="P3778" s="9"/>
    </row>
    <row r="3779">
      <c r="G3779" s="8"/>
      <c r="M3779" s="8">
        <f t="shared" si="5"/>
        <v>0</v>
      </c>
      <c r="P3779" s="9"/>
    </row>
    <row r="3780">
      <c r="G3780" s="8"/>
      <c r="M3780" s="8">
        <f t="shared" si="5"/>
        <v>0</v>
      </c>
      <c r="P3780" s="9"/>
    </row>
    <row r="3781">
      <c r="G3781" s="8"/>
      <c r="M3781" s="8">
        <f t="shared" si="5"/>
        <v>0</v>
      </c>
      <c r="P3781" s="9"/>
    </row>
    <row r="3782">
      <c r="G3782" s="8"/>
      <c r="M3782" s="8">
        <f t="shared" si="5"/>
        <v>0</v>
      </c>
      <c r="P3782" s="9"/>
    </row>
    <row r="3783">
      <c r="G3783" s="8"/>
      <c r="M3783" s="8">
        <f t="shared" si="5"/>
        <v>0</v>
      </c>
      <c r="P3783" s="9"/>
    </row>
    <row r="3784">
      <c r="G3784" s="8"/>
      <c r="M3784" s="8">
        <f t="shared" si="5"/>
        <v>0</v>
      </c>
      <c r="P3784" s="9"/>
    </row>
    <row r="3785">
      <c r="G3785" s="8"/>
      <c r="M3785" s="8">
        <f t="shared" si="5"/>
        <v>0</v>
      </c>
      <c r="P3785" s="9"/>
    </row>
    <row r="3786">
      <c r="G3786" s="8"/>
      <c r="M3786" s="8">
        <f t="shared" si="5"/>
        <v>0</v>
      </c>
      <c r="P3786" s="9"/>
    </row>
    <row r="3787">
      <c r="G3787" s="8"/>
      <c r="M3787" s="8">
        <f t="shared" si="5"/>
        <v>0</v>
      </c>
      <c r="P3787" s="9"/>
    </row>
    <row r="3788">
      <c r="G3788" s="8"/>
      <c r="M3788" s="8">
        <f t="shared" si="5"/>
        <v>0</v>
      </c>
      <c r="P3788" s="9"/>
    </row>
    <row r="3789">
      <c r="G3789" s="8"/>
      <c r="M3789" s="8">
        <f t="shared" si="5"/>
        <v>0</v>
      </c>
      <c r="P3789" s="9"/>
    </row>
    <row r="3790">
      <c r="G3790" s="8"/>
      <c r="M3790" s="8">
        <f t="shared" si="5"/>
        <v>0</v>
      </c>
      <c r="P3790" s="9"/>
    </row>
    <row r="3791">
      <c r="G3791" s="8"/>
      <c r="M3791" s="8">
        <f t="shared" si="5"/>
        <v>0</v>
      </c>
      <c r="P3791" s="9"/>
    </row>
    <row r="3792">
      <c r="G3792" s="8"/>
      <c r="M3792" s="8">
        <f t="shared" si="5"/>
        <v>0</v>
      </c>
      <c r="P3792" s="9"/>
    </row>
    <row r="3793">
      <c r="G3793" s="8"/>
      <c r="M3793" s="8">
        <f t="shared" si="5"/>
        <v>0</v>
      </c>
      <c r="P3793" s="9"/>
    </row>
    <row r="3794">
      <c r="G3794" s="8"/>
      <c r="M3794" s="8">
        <f t="shared" si="5"/>
        <v>0</v>
      </c>
      <c r="P3794" s="9"/>
    </row>
    <row r="3795">
      <c r="G3795" s="8"/>
      <c r="M3795" s="8">
        <f t="shared" si="5"/>
        <v>0</v>
      </c>
      <c r="P3795" s="9"/>
    </row>
    <row r="3796">
      <c r="G3796" s="8"/>
      <c r="M3796" s="8">
        <f t="shared" si="5"/>
        <v>0</v>
      </c>
      <c r="P3796" s="9"/>
    </row>
    <row r="3797">
      <c r="G3797" s="8"/>
      <c r="M3797" s="8">
        <f t="shared" si="5"/>
        <v>0</v>
      </c>
      <c r="P3797" s="9"/>
    </row>
    <row r="3798">
      <c r="G3798" s="8"/>
      <c r="M3798" s="8">
        <f t="shared" si="5"/>
        <v>0</v>
      </c>
      <c r="P3798" s="9"/>
    </row>
    <row r="3799">
      <c r="G3799" s="8"/>
      <c r="M3799" s="8">
        <f t="shared" si="5"/>
        <v>0</v>
      </c>
      <c r="P3799" s="9"/>
    </row>
    <row r="3800">
      <c r="G3800" s="8"/>
      <c r="M3800" s="8">
        <f t="shared" si="5"/>
        <v>0</v>
      </c>
      <c r="P3800" s="9"/>
    </row>
    <row r="3801">
      <c r="G3801" s="8"/>
      <c r="M3801" s="8">
        <f t="shared" si="5"/>
        <v>0</v>
      </c>
      <c r="P3801" s="9"/>
    </row>
    <row r="3802">
      <c r="G3802" s="8"/>
      <c r="M3802" s="8">
        <f t="shared" si="5"/>
        <v>0</v>
      </c>
      <c r="P3802" s="9"/>
    </row>
    <row r="3803">
      <c r="G3803" s="8"/>
      <c r="M3803" s="8">
        <f t="shared" si="5"/>
        <v>0</v>
      </c>
      <c r="P3803" s="9"/>
    </row>
    <row r="3804">
      <c r="G3804" s="8"/>
      <c r="M3804" s="8">
        <f t="shared" si="5"/>
        <v>0</v>
      </c>
      <c r="P3804" s="9"/>
    </row>
    <row r="3805">
      <c r="G3805" s="8"/>
      <c r="M3805" s="8">
        <f t="shared" si="5"/>
        <v>0</v>
      </c>
      <c r="P3805" s="9"/>
    </row>
    <row r="3806">
      <c r="G3806" s="8"/>
      <c r="M3806" s="8">
        <f t="shared" si="5"/>
        <v>0</v>
      </c>
      <c r="P3806" s="9"/>
    </row>
    <row r="3807">
      <c r="G3807" s="8"/>
      <c r="M3807" s="8">
        <f t="shared" si="5"/>
        <v>0</v>
      </c>
      <c r="P3807" s="9"/>
    </row>
    <row r="3808">
      <c r="G3808" s="8"/>
      <c r="M3808" s="8">
        <f t="shared" si="5"/>
        <v>0</v>
      </c>
      <c r="P3808" s="9"/>
    </row>
    <row r="3809">
      <c r="G3809" s="8"/>
      <c r="M3809" s="8">
        <f t="shared" si="5"/>
        <v>0</v>
      </c>
      <c r="P3809" s="9"/>
    </row>
    <row r="3810">
      <c r="G3810" s="8"/>
      <c r="M3810" s="8">
        <f t="shared" si="5"/>
        <v>0</v>
      </c>
      <c r="P3810" s="9"/>
    </row>
    <row r="3811">
      <c r="G3811" s="8"/>
      <c r="M3811" s="8">
        <f t="shared" si="5"/>
        <v>0</v>
      </c>
      <c r="P3811" s="9"/>
    </row>
    <row r="3812">
      <c r="G3812" s="8"/>
      <c r="M3812" s="8">
        <f t="shared" si="5"/>
        <v>0</v>
      </c>
      <c r="P3812" s="9"/>
    </row>
    <row r="3813">
      <c r="G3813" s="8"/>
      <c r="M3813" s="8">
        <f t="shared" si="5"/>
        <v>0</v>
      </c>
      <c r="P3813" s="9"/>
    </row>
    <row r="3814">
      <c r="G3814" s="8"/>
      <c r="M3814" s="8">
        <f t="shared" si="5"/>
        <v>0</v>
      </c>
      <c r="P3814" s="9"/>
    </row>
    <row r="3815">
      <c r="G3815" s="8"/>
      <c r="M3815" s="8">
        <f t="shared" si="5"/>
        <v>0</v>
      </c>
      <c r="P3815" s="9"/>
    </row>
    <row r="3816">
      <c r="G3816" s="8"/>
      <c r="M3816" s="8">
        <f t="shared" si="5"/>
        <v>0</v>
      </c>
      <c r="P3816" s="9"/>
    </row>
    <row r="3817">
      <c r="G3817" s="8"/>
      <c r="M3817" s="8">
        <f t="shared" si="5"/>
        <v>0</v>
      </c>
      <c r="P3817" s="9"/>
    </row>
    <row r="3818">
      <c r="G3818" s="8"/>
      <c r="M3818" s="8">
        <f t="shared" si="5"/>
        <v>0</v>
      </c>
      <c r="P3818" s="9"/>
    </row>
    <row r="3819">
      <c r="G3819" s="8"/>
      <c r="M3819" s="8">
        <f t="shared" si="5"/>
        <v>0</v>
      </c>
      <c r="P3819" s="9"/>
    </row>
    <row r="3820">
      <c r="G3820" s="8"/>
      <c r="M3820" s="8">
        <f t="shared" si="5"/>
        <v>0</v>
      </c>
      <c r="P3820" s="9"/>
    </row>
    <row r="3821">
      <c r="G3821" s="8"/>
      <c r="M3821" s="8">
        <f t="shared" si="5"/>
        <v>0</v>
      </c>
      <c r="P3821" s="9"/>
    </row>
    <row r="3822">
      <c r="G3822" s="8"/>
      <c r="M3822" s="8">
        <f t="shared" si="5"/>
        <v>0</v>
      </c>
      <c r="P3822" s="9"/>
    </row>
    <row r="3823">
      <c r="G3823" s="8"/>
      <c r="M3823" s="8">
        <f t="shared" si="5"/>
        <v>0</v>
      </c>
      <c r="P3823" s="9"/>
    </row>
    <row r="3824">
      <c r="G3824" s="8"/>
      <c r="M3824" s="8">
        <f t="shared" si="5"/>
        <v>0</v>
      </c>
      <c r="P3824" s="9"/>
    </row>
    <row r="3825">
      <c r="G3825" s="8"/>
      <c r="M3825" s="8">
        <f t="shared" si="5"/>
        <v>0</v>
      </c>
      <c r="P3825" s="9"/>
    </row>
    <row r="3826">
      <c r="G3826" s="8"/>
      <c r="M3826" s="8">
        <f t="shared" si="5"/>
        <v>0</v>
      </c>
      <c r="P3826" s="9"/>
    </row>
    <row r="3827">
      <c r="G3827" s="8"/>
      <c r="M3827" s="8">
        <f t="shared" si="5"/>
        <v>0</v>
      </c>
      <c r="P3827" s="9"/>
    </row>
    <row r="3828">
      <c r="G3828" s="8"/>
      <c r="M3828" s="8">
        <f t="shared" si="5"/>
        <v>0</v>
      </c>
      <c r="P3828" s="9"/>
    </row>
    <row r="3829">
      <c r="G3829" s="8"/>
      <c r="M3829" s="8">
        <f t="shared" si="5"/>
        <v>0</v>
      </c>
      <c r="P3829" s="9"/>
    </row>
    <row r="3830">
      <c r="G3830" s="8"/>
      <c r="M3830" s="8">
        <f t="shared" si="5"/>
        <v>0</v>
      </c>
      <c r="P3830" s="9"/>
    </row>
    <row r="3831">
      <c r="G3831" s="8"/>
      <c r="M3831" s="8">
        <f t="shared" si="5"/>
        <v>0</v>
      </c>
      <c r="P3831" s="9"/>
    </row>
    <row r="3832">
      <c r="G3832" s="8"/>
      <c r="M3832" s="8">
        <f t="shared" si="5"/>
        <v>0</v>
      </c>
      <c r="P3832" s="9"/>
    </row>
    <row r="3833">
      <c r="G3833" s="8"/>
      <c r="M3833" s="8">
        <f t="shared" si="5"/>
        <v>0</v>
      </c>
      <c r="P3833" s="9"/>
    </row>
    <row r="3834">
      <c r="G3834" s="8"/>
      <c r="M3834" s="8">
        <f t="shared" si="5"/>
        <v>0</v>
      </c>
      <c r="P3834" s="9"/>
    </row>
    <row r="3835">
      <c r="G3835" s="8"/>
      <c r="M3835" s="8">
        <f t="shared" si="5"/>
        <v>0</v>
      </c>
      <c r="P3835" s="9"/>
    </row>
    <row r="3836">
      <c r="G3836" s="8"/>
      <c r="M3836" s="8">
        <f t="shared" si="5"/>
        <v>0</v>
      </c>
      <c r="P3836" s="9"/>
    </row>
    <row r="3837">
      <c r="G3837" s="8"/>
      <c r="M3837" s="8">
        <f t="shared" si="5"/>
        <v>0</v>
      </c>
      <c r="P3837" s="9"/>
    </row>
    <row r="3838">
      <c r="G3838" s="8"/>
      <c r="M3838" s="8">
        <f t="shared" si="5"/>
        <v>0</v>
      </c>
      <c r="P3838" s="9"/>
    </row>
    <row r="3839">
      <c r="G3839" s="8"/>
      <c r="M3839" s="8">
        <f t="shared" si="5"/>
        <v>0</v>
      </c>
      <c r="P3839" s="9"/>
    </row>
    <row r="3840">
      <c r="G3840" s="8"/>
      <c r="M3840" s="8">
        <f t="shared" si="5"/>
        <v>0</v>
      </c>
      <c r="P3840" s="9"/>
    </row>
    <row r="3841">
      <c r="G3841" s="8"/>
      <c r="M3841" s="8">
        <f t="shared" si="5"/>
        <v>0</v>
      </c>
      <c r="P3841" s="9"/>
    </row>
    <row r="3842">
      <c r="G3842" s="8"/>
      <c r="M3842" s="8">
        <f t="shared" si="5"/>
        <v>0</v>
      </c>
      <c r="P3842" s="9"/>
    </row>
    <row r="3843">
      <c r="G3843" s="8"/>
      <c r="M3843" s="8">
        <f t="shared" si="5"/>
        <v>0</v>
      </c>
      <c r="P3843" s="9"/>
    </row>
    <row r="3844">
      <c r="G3844" s="8"/>
      <c r="M3844" s="8">
        <f t="shared" si="5"/>
        <v>0</v>
      </c>
      <c r="P3844" s="9"/>
    </row>
    <row r="3845">
      <c r="G3845" s="8"/>
      <c r="M3845" s="8">
        <f t="shared" si="5"/>
        <v>0</v>
      </c>
      <c r="P3845" s="9"/>
    </row>
    <row r="3846">
      <c r="G3846" s="8"/>
      <c r="M3846" s="8">
        <f t="shared" si="5"/>
        <v>0</v>
      </c>
      <c r="P3846" s="9"/>
    </row>
    <row r="3847">
      <c r="G3847" s="8"/>
      <c r="M3847" s="8">
        <f t="shared" si="5"/>
        <v>0</v>
      </c>
      <c r="P3847" s="9"/>
    </row>
    <row r="3848">
      <c r="G3848" s="8"/>
      <c r="M3848" s="8">
        <f t="shared" si="5"/>
        <v>0</v>
      </c>
      <c r="P3848" s="9"/>
    </row>
    <row r="3849">
      <c r="G3849" s="8"/>
      <c r="M3849" s="8">
        <f t="shared" si="5"/>
        <v>0</v>
      </c>
      <c r="P3849" s="9"/>
    </row>
    <row r="3850">
      <c r="G3850" s="8"/>
      <c r="M3850" s="8">
        <f t="shared" si="5"/>
        <v>0</v>
      </c>
      <c r="P3850" s="9"/>
    </row>
    <row r="3851">
      <c r="G3851" s="8"/>
      <c r="M3851" s="8">
        <f t="shared" si="5"/>
        <v>0</v>
      </c>
      <c r="P3851" s="9"/>
    </row>
    <row r="3852">
      <c r="G3852" s="8"/>
      <c r="M3852" s="8">
        <f t="shared" si="5"/>
        <v>0</v>
      </c>
      <c r="P3852" s="9"/>
    </row>
    <row r="3853">
      <c r="G3853" s="8"/>
      <c r="M3853" s="8">
        <f t="shared" si="5"/>
        <v>0</v>
      </c>
      <c r="P3853" s="9"/>
    </row>
    <row r="3854">
      <c r="G3854" s="8"/>
      <c r="M3854" s="8">
        <f t="shared" si="5"/>
        <v>0</v>
      </c>
      <c r="P3854" s="9"/>
    </row>
    <row r="3855">
      <c r="G3855" s="8"/>
      <c r="M3855" s="8">
        <f t="shared" si="5"/>
        <v>0</v>
      </c>
      <c r="P3855" s="9"/>
    </row>
    <row r="3856">
      <c r="G3856" s="8"/>
      <c r="M3856" s="8">
        <f t="shared" si="5"/>
        <v>0</v>
      </c>
      <c r="P3856" s="9"/>
    </row>
    <row r="3857">
      <c r="G3857" s="8"/>
      <c r="M3857" s="8">
        <f t="shared" si="5"/>
        <v>0</v>
      </c>
      <c r="P3857" s="9"/>
    </row>
    <row r="3858">
      <c r="G3858" s="8"/>
      <c r="M3858" s="8">
        <f t="shared" si="5"/>
        <v>0</v>
      </c>
      <c r="P3858" s="9"/>
    </row>
    <row r="3859">
      <c r="G3859" s="8"/>
      <c r="M3859" s="8">
        <f t="shared" si="5"/>
        <v>0</v>
      </c>
      <c r="P3859" s="9"/>
    </row>
    <row r="3860">
      <c r="G3860" s="8"/>
      <c r="M3860" s="8">
        <f t="shared" si="5"/>
        <v>0</v>
      </c>
      <c r="P3860" s="9"/>
    </row>
    <row r="3861">
      <c r="G3861" s="8"/>
      <c r="M3861" s="8">
        <f t="shared" si="5"/>
        <v>0</v>
      </c>
      <c r="P3861" s="9"/>
    </row>
    <row r="3862">
      <c r="G3862" s="8"/>
      <c r="M3862" s="8">
        <f t="shared" si="5"/>
        <v>0</v>
      </c>
      <c r="P3862" s="9"/>
    </row>
    <row r="3863">
      <c r="G3863" s="8"/>
      <c r="M3863" s="8">
        <f t="shared" si="5"/>
        <v>0</v>
      </c>
      <c r="P3863" s="9"/>
    </row>
    <row r="3864">
      <c r="G3864" s="8"/>
      <c r="M3864" s="8">
        <f t="shared" si="5"/>
        <v>0</v>
      </c>
      <c r="P3864" s="9"/>
    </row>
    <row r="3865">
      <c r="G3865" s="8"/>
      <c r="M3865" s="8">
        <f t="shared" si="5"/>
        <v>0</v>
      </c>
      <c r="P3865" s="9"/>
    </row>
    <row r="3866">
      <c r="G3866" s="8"/>
      <c r="M3866" s="8">
        <f t="shared" si="5"/>
        <v>0</v>
      </c>
      <c r="P3866" s="9"/>
    </row>
    <row r="3867">
      <c r="G3867" s="8"/>
      <c r="M3867" s="8">
        <f t="shared" si="5"/>
        <v>0</v>
      </c>
      <c r="P3867" s="9"/>
    </row>
    <row r="3868">
      <c r="G3868" s="8"/>
      <c r="M3868" s="8">
        <f t="shared" si="5"/>
        <v>0</v>
      </c>
      <c r="P3868" s="9"/>
    </row>
    <row r="3869">
      <c r="G3869" s="8"/>
      <c r="M3869" s="8">
        <f t="shared" si="5"/>
        <v>0</v>
      </c>
      <c r="P3869" s="9"/>
    </row>
    <row r="3870">
      <c r="G3870" s="8"/>
      <c r="M3870" s="8">
        <f t="shared" si="5"/>
        <v>0</v>
      </c>
      <c r="P3870" s="9"/>
    </row>
    <row r="3871">
      <c r="G3871" s="8"/>
      <c r="M3871" s="8">
        <f t="shared" si="5"/>
        <v>0</v>
      </c>
      <c r="P3871" s="9"/>
    </row>
    <row r="3872">
      <c r="G3872" s="8"/>
      <c r="M3872" s="8">
        <f t="shared" si="5"/>
        <v>0</v>
      </c>
      <c r="P3872" s="9"/>
    </row>
    <row r="3873">
      <c r="G3873" s="8"/>
      <c r="M3873" s="8">
        <f t="shared" si="5"/>
        <v>0</v>
      </c>
      <c r="P3873" s="9"/>
    </row>
    <row r="3874">
      <c r="G3874" s="8"/>
      <c r="M3874" s="8">
        <f t="shared" si="5"/>
        <v>0</v>
      </c>
      <c r="P3874" s="9"/>
    </row>
    <row r="3875">
      <c r="G3875" s="8"/>
      <c r="M3875" s="8">
        <f t="shared" si="5"/>
        <v>0</v>
      </c>
      <c r="P3875" s="9"/>
    </row>
    <row r="3876">
      <c r="G3876" s="8"/>
      <c r="M3876" s="8">
        <f t="shared" si="5"/>
        <v>0</v>
      </c>
      <c r="P3876" s="9"/>
    </row>
    <row r="3877">
      <c r="G3877" s="8"/>
      <c r="M3877" s="8">
        <f t="shared" si="5"/>
        <v>0</v>
      </c>
      <c r="P3877" s="9"/>
    </row>
    <row r="3878">
      <c r="G3878" s="8"/>
      <c r="M3878" s="8">
        <f t="shared" si="5"/>
        <v>0</v>
      </c>
      <c r="P3878" s="9"/>
    </row>
    <row r="3879">
      <c r="G3879" s="8"/>
      <c r="M3879" s="8">
        <f t="shared" si="5"/>
        <v>0</v>
      </c>
      <c r="P3879" s="9"/>
    </row>
    <row r="3880">
      <c r="G3880" s="8"/>
      <c r="M3880" s="8">
        <f t="shared" si="5"/>
        <v>0</v>
      </c>
      <c r="P3880" s="9"/>
    </row>
    <row r="3881">
      <c r="G3881" s="8"/>
      <c r="M3881" s="8">
        <f t="shared" si="5"/>
        <v>0</v>
      </c>
      <c r="P3881" s="9"/>
    </row>
    <row r="3882">
      <c r="G3882" s="8"/>
      <c r="M3882" s="8">
        <f t="shared" si="5"/>
        <v>0</v>
      </c>
      <c r="P3882" s="9"/>
    </row>
    <row r="3883">
      <c r="G3883" s="8"/>
      <c r="M3883" s="8">
        <f t="shared" si="5"/>
        <v>0</v>
      </c>
      <c r="P3883" s="9"/>
    </row>
    <row r="3884">
      <c r="G3884" s="8"/>
      <c r="M3884" s="8">
        <f t="shared" si="5"/>
        <v>0</v>
      </c>
      <c r="P3884" s="9"/>
    </row>
    <row r="3885">
      <c r="G3885" s="8"/>
      <c r="M3885" s="8">
        <f t="shared" si="5"/>
        <v>0</v>
      </c>
      <c r="P3885" s="9"/>
    </row>
    <row r="3886">
      <c r="G3886" s="8"/>
      <c r="M3886" s="8">
        <f t="shared" si="5"/>
        <v>0</v>
      </c>
      <c r="P3886" s="9"/>
    </row>
    <row r="3887">
      <c r="G3887" s="8"/>
      <c r="M3887" s="8">
        <f t="shared" si="5"/>
        <v>0</v>
      </c>
      <c r="P3887" s="9"/>
    </row>
    <row r="3888">
      <c r="G3888" s="8"/>
      <c r="M3888" s="8">
        <f t="shared" si="5"/>
        <v>0</v>
      </c>
      <c r="P3888" s="9"/>
    </row>
    <row r="3889">
      <c r="G3889" s="8"/>
      <c r="M3889" s="8">
        <f t="shared" si="5"/>
        <v>0</v>
      </c>
      <c r="P3889" s="9"/>
    </row>
    <row r="3890">
      <c r="G3890" s="8"/>
      <c r="M3890" s="8">
        <f t="shared" si="5"/>
        <v>0</v>
      </c>
      <c r="P3890" s="9"/>
    </row>
    <row r="3891">
      <c r="G3891" s="8"/>
      <c r="M3891" s="8">
        <f t="shared" si="5"/>
        <v>0</v>
      </c>
      <c r="P3891" s="9"/>
    </row>
    <row r="3892">
      <c r="G3892" s="8"/>
      <c r="M3892" s="8">
        <f t="shared" si="5"/>
        <v>0</v>
      </c>
      <c r="P3892" s="9"/>
    </row>
    <row r="3893">
      <c r="G3893" s="8"/>
      <c r="M3893" s="8">
        <f t="shared" si="5"/>
        <v>0</v>
      </c>
      <c r="P3893" s="9"/>
    </row>
    <row r="3894">
      <c r="G3894" s="8"/>
      <c r="M3894" s="8">
        <f t="shared" si="5"/>
        <v>0</v>
      </c>
      <c r="P3894" s="9"/>
    </row>
    <row r="3895">
      <c r="G3895" s="8"/>
      <c r="M3895" s="8">
        <f t="shared" si="5"/>
        <v>0</v>
      </c>
      <c r="P3895" s="9"/>
    </row>
    <row r="3896">
      <c r="G3896" s="8"/>
      <c r="M3896" s="8">
        <f t="shared" si="5"/>
        <v>0</v>
      </c>
      <c r="P3896" s="9"/>
    </row>
    <row r="3897">
      <c r="G3897" s="8"/>
      <c r="M3897" s="8">
        <f t="shared" si="5"/>
        <v>0</v>
      </c>
      <c r="P3897" s="9"/>
    </row>
    <row r="3898">
      <c r="G3898" s="8"/>
      <c r="M3898" s="8">
        <f t="shared" si="5"/>
        <v>0</v>
      </c>
      <c r="P3898" s="9"/>
    </row>
    <row r="3899">
      <c r="G3899" s="8"/>
      <c r="M3899" s="8">
        <f t="shared" si="5"/>
        <v>0</v>
      </c>
      <c r="P3899" s="9"/>
    </row>
    <row r="3900">
      <c r="G3900" s="8"/>
      <c r="M3900" s="8">
        <f t="shared" si="5"/>
        <v>0</v>
      </c>
      <c r="P3900" s="9"/>
    </row>
    <row r="3901">
      <c r="G3901" s="8"/>
      <c r="M3901" s="8">
        <f t="shared" si="5"/>
        <v>0</v>
      </c>
      <c r="P3901" s="9"/>
    </row>
    <row r="3902">
      <c r="G3902" s="8"/>
      <c r="M3902" s="8">
        <f t="shared" si="5"/>
        <v>0</v>
      </c>
      <c r="P3902" s="9"/>
    </row>
    <row r="3903">
      <c r="G3903" s="8"/>
      <c r="M3903" s="8">
        <f t="shared" si="5"/>
        <v>0</v>
      </c>
      <c r="P3903" s="9"/>
    </row>
    <row r="3904">
      <c r="G3904" s="8"/>
      <c r="M3904" s="8">
        <f t="shared" si="5"/>
        <v>0</v>
      </c>
      <c r="P3904" s="9"/>
    </row>
    <row r="3905">
      <c r="G3905" s="8"/>
      <c r="M3905" s="8">
        <f t="shared" si="5"/>
        <v>0</v>
      </c>
      <c r="P3905" s="9"/>
    </row>
    <row r="3906">
      <c r="G3906" s="8"/>
      <c r="M3906" s="8">
        <f t="shared" si="5"/>
        <v>0</v>
      </c>
      <c r="P3906" s="9"/>
    </row>
    <row r="3907">
      <c r="G3907" s="8"/>
      <c r="M3907" s="8">
        <f t="shared" si="5"/>
        <v>0</v>
      </c>
      <c r="P3907" s="9"/>
    </row>
    <row r="3908">
      <c r="G3908" s="8"/>
      <c r="M3908" s="8">
        <f t="shared" si="5"/>
        <v>0</v>
      </c>
      <c r="P3908" s="9"/>
    </row>
    <row r="3909">
      <c r="G3909" s="8"/>
      <c r="M3909" s="8">
        <f t="shared" si="5"/>
        <v>0</v>
      </c>
      <c r="P3909" s="9"/>
    </row>
    <row r="3910">
      <c r="G3910" s="8"/>
      <c r="M3910" s="8">
        <f t="shared" si="5"/>
        <v>0</v>
      </c>
      <c r="P3910" s="9"/>
    </row>
    <row r="3911">
      <c r="G3911" s="8"/>
      <c r="M3911" s="8">
        <f t="shared" si="5"/>
        <v>0</v>
      </c>
      <c r="P3911" s="9"/>
    </row>
    <row r="3912">
      <c r="G3912" s="8"/>
      <c r="M3912" s="8">
        <f t="shared" si="5"/>
        <v>0</v>
      </c>
      <c r="P3912" s="9"/>
    </row>
    <row r="3913">
      <c r="G3913" s="8"/>
      <c r="M3913" s="8">
        <f t="shared" si="5"/>
        <v>0</v>
      </c>
      <c r="P3913" s="9"/>
    </row>
    <row r="3914">
      <c r="G3914" s="8"/>
      <c r="M3914" s="8">
        <f t="shared" si="5"/>
        <v>0</v>
      </c>
      <c r="P3914" s="9"/>
    </row>
    <row r="3915">
      <c r="G3915" s="8"/>
      <c r="M3915" s="8">
        <f t="shared" si="5"/>
        <v>0</v>
      </c>
      <c r="P3915" s="9"/>
    </row>
    <row r="3916">
      <c r="G3916" s="8"/>
      <c r="M3916" s="8">
        <f t="shared" si="5"/>
        <v>0</v>
      </c>
      <c r="P3916" s="9"/>
    </row>
    <row r="3917">
      <c r="G3917" s="8"/>
      <c r="M3917" s="8">
        <f t="shared" si="5"/>
        <v>0</v>
      </c>
      <c r="P3917" s="9"/>
    </row>
    <row r="3918">
      <c r="G3918" s="8"/>
      <c r="M3918" s="8">
        <f t="shared" si="5"/>
        <v>0</v>
      </c>
      <c r="P3918" s="9"/>
    </row>
    <row r="3919">
      <c r="G3919" s="8"/>
      <c r="M3919" s="8">
        <f t="shared" si="5"/>
        <v>0</v>
      </c>
      <c r="P3919" s="9"/>
    </row>
    <row r="3920">
      <c r="G3920" s="8"/>
      <c r="M3920" s="8">
        <f t="shared" si="5"/>
        <v>0</v>
      </c>
      <c r="P3920" s="9"/>
    </row>
    <row r="3921">
      <c r="G3921" s="8"/>
      <c r="M3921" s="8">
        <f t="shared" si="5"/>
        <v>0</v>
      </c>
      <c r="P3921" s="9"/>
    </row>
    <row r="3922">
      <c r="G3922" s="8"/>
      <c r="M3922" s="8">
        <f t="shared" si="5"/>
        <v>0</v>
      </c>
      <c r="P3922" s="9"/>
    </row>
    <row r="3923">
      <c r="G3923" s="8"/>
      <c r="M3923" s="8">
        <f t="shared" si="5"/>
        <v>0</v>
      </c>
      <c r="P3923" s="9"/>
    </row>
    <row r="3924">
      <c r="G3924" s="8"/>
      <c r="M3924" s="8">
        <f t="shared" si="5"/>
        <v>0</v>
      </c>
      <c r="P3924" s="9"/>
    </row>
    <row r="3925">
      <c r="G3925" s="8"/>
      <c r="M3925" s="8">
        <f t="shared" si="5"/>
        <v>0</v>
      </c>
      <c r="P3925" s="9"/>
    </row>
    <row r="3926">
      <c r="G3926" s="8"/>
      <c r="M3926" s="8">
        <f t="shared" si="5"/>
        <v>0</v>
      </c>
      <c r="P3926" s="9"/>
    </row>
    <row r="3927">
      <c r="G3927" s="8"/>
      <c r="M3927" s="8">
        <f t="shared" si="5"/>
        <v>0</v>
      </c>
      <c r="P3927" s="9"/>
    </row>
    <row r="3928">
      <c r="G3928" s="8"/>
      <c r="M3928" s="8">
        <f t="shared" si="5"/>
        <v>0</v>
      </c>
      <c r="P3928" s="9"/>
    </row>
    <row r="3929">
      <c r="G3929" s="8"/>
      <c r="M3929" s="8">
        <f t="shared" si="5"/>
        <v>0</v>
      </c>
      <c r="P3929" s="9"/>
    </row>
    <row r="3930">
      <c r="G3930" s="8"/>
      <c r="M3930" s="8">
        <f t="shared" si="5"/>
        <v>0</v>
      </c>
      <c r="P3930" s="9"/>
    </row>
    <row r="3931">
      <c r="G3931" s="8"/>
      <c r="M3931" s="8">
        <f t="shared" si="5"/>
        <v>0</v>
      </c>
      <c r="P3931" s="9"/>
    </row>
    <row r="3932">
      <c r="G3932" s="8"/>
      <c r="M3932" s="8">
        <f t="shared" si="5"/>
        <v>0</v>
      </c>
      <c r="P3932" s="9"/>
    </row>
    <row r="3933">
      <c r="G3933" s="8"/>
      <c r="M3933" s="8">
        <f t="shared" si="5"/>
        <v>0</v>
      </c>
      <c r="P3933" s="9"/>
    </row>
    <row r="3934">
      <c r="G3934" s="8"/>
      <c r="M3934" s="8">
        <f t="shared" si="5"/>
        <v>0</v>
      </c>
      <c r="P3934" s="9"/>
    </row>
    <row r="3935">
      <c r="G3935" s="8"/>
      <c r="M3935" s="8">
        <f t="shared" si="5"/>
        <v>0</v>
      </c>
      <c r="P3935" s="9"/>
    </row>
    <row r="3936">
      <c r="G3936" s="8"/>
      <c r="M3936" s="8">
        <f t="shared" si="5"/>
        <v>0</v>
      </c>
      <c r="P3936" s="9"/>
    </row>
    <row r="3937">
      <c r="G3937" s="8"/>
      <c r="M3937" s="8">
        <f t="shared" si="5"/>
        <v>0</v>
      </c>
      <c r="P3937" s="9"/>
    </row>
    <row r="3938">
      <c r="G3938" s="8"/>
      <c r="M3938" s="8">
        <f t="shared" si="5"/>
        <v>0</v>
      </c>
      <c r="P3938" s="9"/>
    </row>
    <row r="3939">
      <c r="G3939" s="8"/>
      <c r="M3939" s="8">
        <f t="shared" si="5"/>
        <v>0</v>
      </c>
      <c r="P3939" s="9"/>
    </row>
    <row r="3940">
      <c r="G3940" s="8"/>
      <c r="M3940" s="8">
        <f t="shared" si="5"/>
        <v>0</v>
      </c>
      <c r="P3940" s="9"/>
    </row>
    <row r="3941">
      <c r="G3941" s="8"/>
      <c r="M3941" s="8">
        <f t="shared" si="5"/>
        <v>0</v>
      </c>
      <c r="P3941" s="9"/>
    </row>
    <row r="3942">
      <c r="G3942" s="8"/>
      <c r="M3942" s="8">
        <f t="shared" si="5"/>
        <v>0</v>
      </c>
      <c r="P3942" s="9"/>
    </row>
    <row r="3943">
      <c r="G3943" s="8"/>
      <c r="M3943" s="8">
        <f t="shared" si="5"/>
        <v>0</v>
      </c>
      <c r="P3943" s="9"/>
    </row>
    <row r="3944">
      <c r="G3944" s="8"/>
      <c r="M3944" s="8">
        <f t="shared" si="5"/>
        <v>0</v>
      </c>
      <c r="P3944" s="9"/>
    </row>
    <row r="3945">
      <c r="G3945" s="8"/>
      <c r="M3945" s="8">
        <f t="shared" si="5"/>
        <v>0</v>
      </c>
      <c r="P3945" s="9"/>
    </row>
    <row r="3946">
      <c r="G3946" s="8"/>
      <c r="M3946" s="8">
        <f t="shared" si="5"/>
        <v>0</v>
      </c>
      <c r="P3946" s="9"/>
    </row>
    <row r="3947">
      <c r="G3947" s="8"/>
      <c r="M3947" s="8">
        <f t="shared" si="5"/>
        <v>0</v>
      </c>
      <c r="P3947" s="9"/>
    </row>
    <row r="3948">
      <c r="G3948" s="8"/>
      <c r="M3948" s="8">
        <f t="shared" si="5"/>
        <v>0</v>
      </c>
      <c r="P3948" s="9"/>
    </row>
    <row r="3949">
      <c r="G3949" s="8"/>
      <c r="M3949" s="8">
        <f t="shared" si="5"/>
        <v>0</v>
      </c>
      <c r="P3949" s="9"/>
    </row>
    <row r="3950">
      <c r="G3950" s="8"/>
      <c r="M3950" s="8">
        <f t="shared" si="5"/>
        <v>0</v>
      </c>
      <c r="P3950" s="9"/>
    </row>
    <row r="3951">
      <c r="G3951" s="8"/>
      <c r="M3951" s="8">
        <f t="shared" si="5"/>
        <v>0</v>
      </c>
      <c r="P3951" s="9"/>
    </row>
    <row r="3952">
      <c r="G3952" s="8"/>
      <c r="M3952" s="8">
        <f t="shared" si="5"/>
        <v>0</v>
      </c>
      <c r="P3952" s="9"/>
    </row>
    <row r="3953">
      <c r="G3953" s="8"/>
      <c r="M3953" s="8">
        <f t="shared" si="5"/>
        <v>0</v>
      </c>
      <c r="P3953" s="9"/>
    </row>
    <row r="3954">
      <c r="G3954" s="8"/>
      <c r="M3954" s="8">
        <f t="shared" si="5"/>
        <v>0</v>
      </c>
      <c r="P3954" s="9"/>
    </row>
    <row r="3955">
      <c r="G3955" s="8"/>
      <c r="M3955" s="8">
        <f t="shared" si="5"/>
        <v>0</v>
      </c>
      <c r="P3955" s="9"/>
    </row>
    <row r="3956">
      <c r="G3956" s="8"/>
      <c r="M3956" s="8">
        <f t="shared" si="5"/>
        <v>0</v>
      </c>
      <c r="P3956" s="9"/>
    </row>
    <row r="3957">
      <c r="G3957" s="8"/>
      <c r="M3957" s="8">
        <f t="shared" si="5"/>
        <v>0</v>
      </c>
      <c r="P3957" s="9"/>
    </row>
    <row r="3958">
      <c r="G3958" s="8"/>
      <c r="M3958" s="8">
        <f t="shared" si="5"/>
        <v>0</v>
      </c>
      <c r="P3958" s="9"/>
    </row>
    <row r="3959">
      <c r="G3959" s="8"/>
      <c r="M3959" s="8">
        <f t="shared" si="5"/>
        <v>0</v>
      </c>
      <c r="P3959" s="9"/>
    </row>
    <row r="3960">
      <c r="G3960" s="8"/>
      <c r="M3960" s="8">
        <f t="shared" si="5"/>
        <v>0</v>
      </c>
      <c r="P3960" s="9"/>
    </row>
    <row r="3961">
      <c r="G3961" s="8"/>
      <c r="M3961" s="8">
        <f t="shared" si="5"/>
        <v>0</v>
      </c>
      <c r="P3961" s="9"/>
    </row>
    <row r="3962">
      <c r="G3962" s="8"/>
      <c r="M3962" s="8">
        <f t="shared" si="5"/>
        <v>0</v>
      </c>
      <c r="P3962" s="9"/>
    </row>
    <row r="3963">
      <c r="G3963" s="8"/>
      <c r="M3963" s="8">
        <f t="shared" si="5"/>
        <v>0</v>
      </c>
      <c r="P3963" s="9"/>
    </row>
    <row r="3964">
      <c r="G3964" s="8"/>
      <c r="M3964" s="8">
        <f t="shared" si="5"/>
        <v>0</v>
      </c>
      <c r="P3964" s="9"/>
    </row>
    <row r="3965">
      <c r="G3965" s="8"/>
      <c r="M3965" s="8">
        <f t="shared" si="5"/>
        <v>0</v>
      </c>
      <c r="P3965" s="9"/>
    </row>
    <row r="3966">
      <c r="G3966" s="8"/>
      <c r="M3966" s="8">
        <f t="shared" si="5"/>
        <v>0</v>
      </c>
      <c r="P3966" s="9"/>
    </row>
    <row r="3967">
      <c r="G3967" s="8"/>
      <c r="M3967" s="8">
        <f t="shared" si="5"/>
        <v>0</v>
      </c>
      <c r="P3967" s="9"/>
    </row>
    <row r="3968">
      <c r="G3968" s="8"/>
      <c r="M3968" s="8">
        <f t="shared" si="5"/>
        <v>0</v>
      </c>
      <c r="P3968" s="9"/>
    </row>
    <row r="3969">
      <c r="G3969" s="8"/>
      <c r="M3969" s="8">
        <f t="shared" si="5"/>
        <v>0</v>
      </c>
      <c r="P3969" s="9"/>
    </row>
    <row r="3970">
      <c r="G3970" s="8"/>
      <c r="M3970" s="8">
        <f t="shared" si="5"/>
        <v>0</v>
      </c>
      <c r="P3970" s="9"/>
    </row>
    <row r="3971">
      <c r="G3971" s="8"/>
      <c r="M3971" s="8">
        <f t="shared" si="5"/>
        <v>0</v>
      </c>
      <c r="P3971" s="9"/>
    </row>
    <row r="3972">
      <c r="G3972" s="8"/>
      <c r="M3972" s="8">
        <f t="shared" si="5"/>
        <v>0</v>
      </c>
      <c r="P3972" s="9"/>
    </row>
    <row r="3973">
      <c r="G3973" s="8"/>
      <c r="M3973" s="8">
        <f t="shared" si="5"/>
        <v>0</v>
      </c>
      <c r="P3973" s="9"/>
    </row>
    <row r="3974">
      <c r="G3974" s="8"/>
      <c r="M3974" s="8">
        <f t="shared" si="5"/>
        <v>0</v>
      </c>
      <c r="P3974" s="9"/>
    </row>
    <row r="3975">
      <c r="G3975" s="8"/>
      <c r="M3975" s="8">
        <f t="shared" si="5"/>
        <v>0</v>
      </c>
      <c r="P3975" s="9"/>
    </row>
    <row r="3976">
      <c r="G3976" s="8"/>
      <c r="M3976" s="8">
        <f t="shared" si="5"/>
        <v>0</v>
      </c>
      <c r="P3976" s="9"/>
    </row>
    <row r="3977">
      <c r="G3977" s="8"/>
      <c r="M3977" s="8">
        <f t="shared" si="5"/>
        <v>0</v>
      </c>
      <c r="P3977" s="9"/>
    </row>
    <row r="3978">
      <c r="G3978" s="8"/>
      <c r="M3978" s="8">
        <f t="shared" si="5"/>
        <v>0</v>
      </c>
      <c r="P3978" s="9"/>
    </row>
    <row r="3979">
      <c r="G3979" s="8"/>
      <c r="M3979" s="8">
        <f t="shared" si="5"/>
        <v>0</v>
      </c>
      <c r="P3979" s="9"/>
    </row>
    <row r="3980">
      <c r="G3980" s="8"/>
      <c r="M3980" s="8">
        <f t="shared" si="5"/>
        <v>0</v>
      </c>
      <c r="P3980" s="9"/>
    </row>
    <row r="3981">
      <c r="G3981" s="8"/>
      <c r="M3981" s="8">
        <f t="shared" si="5"/>
        <v>0</v>
      </c>
      <c r="P3981" s="9"/>
    </row>
    <row r="3982">
      <c r="G3982" s="8"/>
      <c r="M3982" s="8">
        <f t="shared" si="5"/>
        <v>0</v>
      </c>
      <c r="P3982" s="9"/>
    </row>
    <row r="3983">
      <c r="G3983" s="8"/>
      <c r="M3983" s="8">
        <f t="shared" si="5"/>
        <v>0</v>
      </c>
      <c r="P3983" s="9"/>
    </row>
    <row r="3984">
      <c r="G3984" s="8"/>
      <c r="M3984" s="8">
        <f t="shared" si="5"/>
        <v>0</v>
      </c>
      <c r="P3984" s="9"/>
    </row>
    <row r="3985">
      <c r="G3985" s="8"/>
      <c r="M3985" s="8">
        <f t="shared" si="5"/>
        <v>0</v>
      </c>
      <c r="P3985" s="9"/>
    </row>
    <row r="3986">
      <c r="G3986" s="8"/>
      <c r="M3986" s="8">
        <f t="shared" si="5"/>
        <v>0</v>
      </c>
      <c r="P3986" s="9"/>
    </row>
    <row r="3987">
      <c r="G3987" s="8"/>
      <c r="M3987" s="8">
        <f t="shared" si="5"/>
        <v>0</v>
      </c>
      <c r="P3987" s="9"/>
    </row>
    <row r="3988">
      <c r="G3988" s="8"/>
      <c r="M3988" s="8">
        <f t="shared" si="5"/>
        <v>0</v>
      </c>
      <c r="P3988" s="9"/>
    </row>
    <row r="3989">
      <c r="G3989" s="8"/>
      <c r="M3989" s="8">
        <f t="shared" si="5"/>
        <v>0</v>
      </c>
      <c r="P3989" s="9"/>
    </row>
    <row r="3990">
      <c r="G3990" s="8"/>
      <c r="M3990" s="8">
        <f t="shared" si="5"/>
        <v>0</v>
      </c>
      <c r="P3990" s="9"/>
    </row>
    <row r="3991">
      <c r="G3991" s="8"/>
      <c r="M3991" s="8">
        <f t="shared" si="5"/>
        <v>0</v>
      </c>
      <c r="P3991" s="9"/>
    </row>
    <row r="3992">
      <c r="G3992" s="8"/>
      <c r="M3992" s="8">
        <f t="shared" si="5"/>
        <v>0</v>
      </c>
      <c r="P3992" s="9"/>
    </row>
    <row r="3993">
      <c r="G3993" s="8"/>
      <c r="M3993" s="8">
        <f t="shared" si="5"/>
        <v>0</v>
      </c>
      <c r="P3993" s="9"/>
    </row>
    <row r="3994">
      <c r="G3994" s="8"/>
      <c r="M3994" s="8">
        <f t="shared" si="5"/>
        <v>0</v>
      </c>
      <c r="P3994" s="9"/>
    </row>
    <row r="3995">
      <c r="G3995" s="8"/>
      <c r="M3995" s="8">
        <f t="shared" si="5"/>
        <v>0</v>
      </c>
      <c r="P3995" s="9"/>
    </row>
    <row r="3996">
      <c r="G3996" s="8"/>
      <c r="M3996" s="8">
        <f t="shared" si="5"/>
        <v>0</v>
      </c>
      <c r="P3996" s="9"/>
    </row>
    <row r="3997">
      <c r="G3997" s="8"/>
      <c r="M3997" s="8">
        <f t="shared" si="5"/>
        <v>0</v>
      </c>
      <c r="P3997" s="9"/>
    </row>
    <row r="3998">
      <c r="G3998" s="8"/>
      <c r="M3998" s="8">
        <f t="shared" si="5"/>
        <v>0</v>
      </c>
      <c r="P3998" s="9"/>
    </row>
    <row r="3999">
      <c r="G3999" s="8"/>
      <c r="M3999" s="8">
        <f t="shared" si="5"/>
        <v>0</v>
      </c>
      <c r="P3999" s="9"/>
    </row>
    <row r="4000">
      <c r="G4000" s="8"/>
      <c r="M4000" s="8">
        <f t="shared" si="5"/>
        <v>0</v>
      </c>
      <c r="P4000" s="9"/>
    </row>
    <row r="4001">
      <c r="G4001" s="8"/>
      <c r="M4001" s="8">
        <f t="shared" si="5"/>
        <v>0</v>
      </c>
      <c r="P4001" s="9"/>
    </row>
    <row r="4002">
      <c r="G4002" s="8"/>
      <c r="M4002" s="8">
        <f t="shared" si="5"/>
        <v>0</v>
      </c>
      <c r="P4002" s="9"/>
    </row>
    <row r="4003">
      <c r="G4003" s="8"/>
      <c r="M4003" s="8">
        <f t="shared" si="5"/>
        <v>0</v>
      </c>
      <c r="P4003" s="9"/>
    </row>
    <row r="4004">
      <c r="G4004" s="8"/>
      <c r="M4004" s="8">
        <f t="shared" si="5"/>
        <v>0</v>
      </c>
      <c r="P4004" s="9"/>
    </row>
    <row r="4005">
      <c r="G4005" s="8"/>
      <c r="M4005" s="8">
        <f t="shared" si="5"/>
        <v>0</v>
      </c>
      <c r="P4005" s="9"/>
    </row>
    <row r="4006">
      <c r="G4006" s="8"/>
      <c r="M4006" s="8">
        <f t="shared" si="5"/>
        <v>0</v>
      </c>
      <c r="P4006" s="9"/>
    </row>
    <row r="4007">
      <c r="G4007" s="8"/>
      <c r="M4007" s="8">
        <f t="shared" si="5"/>
        <v>0</v>
      </c>
      <c r="P4007" s="9"/>
    </row>
    <row r="4008">
      <c r="G4008" s="8"/>
      <c r="M4008" s="8">
        <f t="shared" si="5"/>
        <v>0</v>
      </c>
      <c r="P4008" s="9"/>
    </row>
    <row r="4009">
      <c r="G4009" s="8"/>
      <c r="M4009" s="8">
        <f t="shared" si="5"/>
        <v>0</v>
      </c>
      <c r="P4009" s="9"/>
    </row>
    <row r="4010">
      <c r="G4010" s="8"/>
      <c r="M4010" s="8">
        <f t="shared" si="5"/>
        <v>0</v>
      </c>
      <c r="P4010" s="9"/>
    </row>
    <row r="4011">
      <c r="G4011" s="8"/>
      <c r="M4011" s="8">
        <f t="shared" si="5"/>
        <v>0</v>
      </c>
      <c r="P4011" s="9"/>
    </row>
    <row r="4012">
      <c r="G4012" s="8"/>
      <c r="M4012" s="8">
        <f t="shared" si="5"/>
        <v>0</v>
      </c>
      <c r="P4012" s="9"/>
    </row>
    <row r="4013">
      <c r="G4013" s="8"/>
      <c r="M4013" s="8">
        <f t="shared" si="5"/>
        <v>0</v>
      </c>
      <c r="P4013" s="9"/>
    </row>
    <row r="4014">
      <c r="G4014" s="8"/>
      <c r="M4014" s="8">
        <f t="shared" si="5"/>
        <v>0</v>
      </c>
      <c r="P4014" s="9"/>
    </row>
    <row r="4015">
      <c r="G4015" s="8"/>
      <c r="M4015" s="8">
        <f t="shared" si="5"/>
        <v>0</v>
      </c>
      <c r="P4015" s="9"/>
    </row>
    <row r="4016">
      <c r="G4016" s="8"/>
      <c r="M4016" s="8">
        <f t="shared" si="5"/>
        <v>0</v>
      </c>
      <c r="P4016" s="9"/>
    </row>
    <row r="4017">
      <c r="G4017" s="8"/>
      <c r="M4017" s="8">
        <f t="shared" si="5"/>
        <v>0</v>
      </c>
      <c r="P4017" s="9"/>
    </row>
    <row r="4018">
      <c r="G4018" s="8"/>
      <c r="M4018" s="8">
        <f t="shared" si="5"/>
        <v>0</v>
      </c>
      <c r="P4018" s="9"/>
    </row>
    <row r="4019">
      <c r="G4019" s="8"/>
      <c r="M4019" s="8">
        <f t="shared" si="5"/>
        <v>0</v>
      </c>
      <c r="P4019" s="9"/>
    </row>
    <row r="4020">
      <c r="G4020" s="8"/>
      <c r="M4020" s="8">
        <f t="shared" si="5"/>
        <v>0</v>
      </c>
      <c r="P4020" s="9"/>
    </row>
    <row r="4021">
      <c r="G4021" s="8"/>
      <c r="M4021" s="8">
        <f t="shared" si="5"/>
        <v>0</v>
      </c>
      <c r="P4021" s="9"/>
    </row>
    <row r="4022">
      <c r="G4022" s="8"/>
      <c r="M4022" s="8">
        <f t="shared" si="5"/>
        <v>0</v>
      </c>
      <c r="P4022" s="9"/>
    </row>
    <row r="4023">
      <c r="G4023" s="8"/>
      <c r="M4023" s="8">
        <f t="shared" si="5"/>
        <v>0</v>
      </c>
      <c r="P4023" s="9"/>
    </row>
    <row r="4024">
      <c r="G4024" s="8"/>
      <c r="M4024" s="8">
        <f t="shared" si="5"/>
        <v>0</v>
      </c>
      <c r="P4024" s="9"/>
    </row>
    <row r="4025">
      <c r="G4025" s="8"/>
      <c r="M4025" s="8">
        <f t="shared" si="5"/>
        <v>0</v>
      </c>
      <c r="P4025" s="9"/>
    </row>
    <row r="4026">
      <c r="G4026" s="8"/>
      <c r="M4026" s="8">
        <f t="shared" si="5"/>
        <v>0</v>
      </c>
      <c r="P4026" s="9"/>
    </row>
    <row r="4027">
      <c r="G4027" s="8"/>
      <c r="M4027" s="8">
        <f t="shared" si="5"/>
        <v>0</v>
      </c>
      <c r="P4027" s="9"/>
    </row>
    <row r="4028">
      <c r="G4028" s="8"/>
      <c r="M4028" s="8">
        <f t="shared" si="5"/>
        <v>0</v>
      </c>
      <c r="P4028" s="9"/>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7847</v>
      </c>
      <c r="B1" s="6">
        <v>95.06</v>
      </c>
      <c r="C1" s="6">
        <f>161.28+0.08</f>
        <v>161.36</v>
      </c>
      <c r="D1" s="6">
        <v>111.07</v>
      </c>
      <c r="E1" s="6">
        <v>22.35</v>
      </c>
      <c r="F1" s="6">
        <v>54.76</v>
      </c>
    </row>
    <row r="2">
      <c r="A2" s="6" t="s">
        <v>7848</v>
      </c>
      <c r="B2" s="11">
        <f>39.93-0.5</f>
        <v>39.43</v>
      </c>
      <c r="C2" s="6">
        <v>8.35</v>
      </c>
      <c r="D2" s="6">
        <f>111.46+0.05+0.05+0.04</f>
        <v>111.6</v>
      </c>
    </row>
    <row r="3">
      <c r="A3" s="6" t="s">
        <v>7849</v>
      </c>
      <c r="B3" s="6">
        <v>0.5</v>
      </c>
      <c r="C3" s="6">
        <v>6.81</v>
      </c>
    </row>
    <row r="4">
      <c r="A4" s="6" t="s">
        <v>7850</v>
      </c>
      <c r="B4" s="6">
        <v>5.36</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 t="s">
        <v>0</v>
      </c>
      <c r="B1" s="1" t="s">
        <v>1</v>
      </c>
      <c r="C1" s="1" t="s">
        <v>2</v>
      </c>
      <c r="D1" s="1" t="s">
        <v>3</v>
      </c>
      <c r="E1" s="1" t="s">
        <v>4</v>
      </c>
      <c r="F1" s="1" t="s">
        <v>5</v>
      </c>
      <c r="G1" s="2" t="s">
        <v>6</v>
      </c>
      <c r="H1" s="1" t="s">
        <v>7</v>
      </c>
      <c r="I1" s="1" t="s">
        <v>8</v>
      </c>
      <c r="J1" s="1" t="s">
        <v>9</v>
      </c>
      <c r="K1" s="1" t="s">
        <v>10</v>
      </c>
      <c r="L1" s="1" t="s">
        <v>11</v>
      </c>
      <c r="M1" s="3">
        <f>Sum(G:G)</f>
        <v>4.75</v>
      </c>
      <c r="N1" s="4">
        <f>sum(L:L)</f>
        <v>53</v>
      </c>
      <c r="O1" s="3">
        <f>M1/N1</f>
        <v>0.08962264151</v>
      </c>
      <c r="P1" s="3"/>
      <c r="Q1" s="4"/>
      <c r="R1" s="4"/>
      <c r="S1" s="4"/>
      <c r="T1" s="4"/>
      <c r="U1" s="4"/>
      <c r="V1" s="4"/>
      <c r="W1" s="4"/>
      <c r="X1" s="4"/>
      <c r="Y1" s="4"/>
    </row>
    <row r="2">
      <c r="A2" s="6" t="s">
        <v>5579</v>
      </c>
      <c r="B2" s="6" t="s">
        <v>5580</v>
      </c>
      <c r="C2" s="6" t="s">
        <v>295</v>
      </c>
      <c r="D2" s="6" t="s">
        <v>5581</v>
      </c>
      <c r="F2" s="6" t="s">
        <v>152</v>
      </c>
      <c r="G2" s="7">
        <v>0.45</v>
      </c>
      <c r="H2" s="6" t="s">
        <v>6000</v>
      </c>
      <c r="I2" s="6" t="s">
        <v>31</v>
      </c>
      <c r="J2" s="6">
        <v>2020.0</v>
      </c>
      <c r="L2" s="6">
        <v>1.0</v>
      </c>
      <c r="M2" s="8">
        <f t="shared" ref="M2:M54" si="1">L2*G2</f>
        <v>0.45</v>
      </c>
      <c r="N2" s="6" t="s">
        <v>6001</v>
      </c>
    </row>
    <row r="3">
      <c r="A3" s="6" t="s">
        <v>6002</v>
      </c>
      <c r="B3" s="6" t="s">
        <v>378</v>
      </c>
      <c r="C3" s="6" t="s">
        <v>295</v>
      </c>
      <c r="D3" s="6" t="s">
        <v>6003</v>
      </c>
      <c r="E3" s="6" t="s">
        <v>380</v>
      </c>
      <c r="F3" s="6" t="s">
        <v>88</v>
      </c>
      <c r="G3" s="7">
        <v>0.43</v>
      </c>
      <c r="H3" s="6" t="s">
        <v>2003</v>
      </c>
      <c r="I3" s="6" t="s">
        <v>31</v>
      </c>
      <c r="J3" s="6">
        <v>2020.0</v>
      </c>
      <c r="L3" s="6">
        <v>1.0</v>
      </c>
      <c r="M3" s="8">
        <f t="shared" si="1"/>
        <v>0.43</v>
      </c>
      <c r="N3" s="6" t="s">
        <v>6001</v>
      </c>
    </row>
    <row r="4">
      <c r="A4" s="6" t="s">
        <v>3372</v>
      </c>
      <c r="B4" s="6" t="s">
        <v>1944</v>
      </c>
      <c r="C4" s="6" t="s">
        <v>1897</v>
      </c>
      <c r="D4" s="6" t="s">
        <v>3373</v>
      </c>
      <c r="E4" s="6" t="s">
        <v>3374</v>
      </c>
      <c r="F4" s="6" t="s">
        <v>3114</v>
      </c>
      <c r="G4" s="7">
        <v>0.25</v>
      </c>
      <c r="H4" s="6" t="s">
        <v>6004</v>
      </c>
      <c r="I4" s="6" t="s">
        <v>20</v>
      </c>
      <c r="J4" s="6">
        <v>2021.0</v>
      </c>
      <c r="L4" s="6">
        <v>1.0</v>
      </c>
      <c r="M4" s="8">
        <f t="shared" si="1"/>
        <v>0.25</v>
      </c>
      <c r="N4" s="6" t="s">
        <v>6001</v>
      </c>
    </row>
    <row r="5">
      <c r="A5" s="6" t="s">
        <v>6005</v>
      </c>
      <c r="B5" s="6" t="s">
        <v>378</v>
      </c>
      <c r="C5" s="6" t="s">
        <v>1949</v>
      </c>
      <c r="D5" s="6" t="s">
        <v>6006</v>
      </c>
      <c r="E5" s="6" t="s">
        <v>6007</v>
      </c>
      <c r="F5" s="6" t="s">
        <v>3450</v>
      </c>
      <c r="G5" s="7">
        <v>0.09</v>
      </c>
      <c r="H5" s="6" t="s">
        <v>2202</v>
      </c>
      <c r="I5" s="6" t="s">
        <v>20</v>
      </c>
      <c r="J5" s="6">
        <v>2014.0</v>
      </c>
      <c r="L5" s="6">
        <v>1.0</v>
      </c>
      <c r="M5" s="8">
        <f t="shared" si="1"/>
        <v>0.09</v>
      </c>
      <c r="N5" s="6" t="s">
        <v>6001</v>
      </c>
    </row>
    <row r="6">
      <c r="A6" s="6" t="s">
        <v>6008</v>
      </c>
      <c r="B6" s="6" t="s">
        <v>2491</v>
      </c>
      <c r="C6" s="6" t="s">
        <v>295</v>
      </c>
      <c r="D6" s="6" t="s">
        <v>6009</v>
      </c>
      <c r="E6" s="6" t="s">
        <v>1838</v>
      </c>
      <c r="F6" s="6" t="s">
        <v>152</v>
      </c>
      <c r="G6" s="7">
        <v>0.03</v>
      </c>
      <c r="H6" s="6" t="s">
        <v>1644</v>
      </c>
      <c r="I6" s="6" t="s">
        <v>20</v>
      </c>
      <c r="J6" s="6">
        <v>2018.0</v>
      </c>
      <c r="K6" s="10">
        <v>46084.0</v>
      </c>
      <c r="L6" s="6">
        <v>1.0</v>
      </c>
      <c r="M6" s="8">
        <f t="shared" si="1"/>
        <v>0.03</v>
      </c>
      <c r="N6" s="6" t="s">
        <v>6001</v>
      </c>
    </row>
    <row r="7">
      <c r="A7" s="6" t="s">
        <v>6010</v>
      </c>
      <c r="B7" s="6" t="s">
        <v>2014</v>
      </c>
      <c r="C7" s="6" t="s">
        <v>295</v>
      </c>
      <c r="D7" s="6" t="s">
        <v>6011</v>
      </c>
      <c r="E7" s="6" t="s">
        <v>1954</v>
      </c>
      <c r="F7" s="6" t="s">
        <v>18</v>
      </c>
      <c r="G7" s="7">
        <v>0.03</v>
      </c>
      <c r="H7" s="6" t="s">
        <v>1644</v>
      </c>
      <c r="I7" s="6" t="s">
        <v>20</v>
      </c>
      <c r="J7" s="6">
        <v>2018.0</v>
      </c>
      <c r="L7" s="6">
        <v>1.0</v>
      </c>
      <c r="M7" s="8">
        <f t="shared" si="1"/>
        <v>0.03</v>
      </c>
      <c r="N7" s="6" t="s">
        <v>6001</v>
      </c>
    </row>
    <row r="8">
      <c r="A8" s="6" t="s">
        <v>3410</v>
      </c>
      <c r="B8" s="6" t="s">
        <v>3411</v>
      </c>
      <c r="C8" s="6" t="s">
        <v>1949</v>
      </c>
      <c r="D8" s="6" t="s">
        <v>3412</v>
      </c>
      <c r="E8" s="6" t="s">
        <v>3413</v>
      </c>
      <c r="F8" s="6" t="s">
        <v>3114</v>
      </c>
      <c r="G8" s="7">
        <v>0.09</v>
      </c>
      <c r="H8" s="6" t="s">
        <v>1641</v>
      </c>
      <c r="I8" s="6" t="s">
        <v>20</v>
      </c>
      <c r="J8" s="6">
        <v>2019.0</v>
      </c>
      <c r="L8" s="6">
        <v>1.0</v>
      </c>
      <c r="M8" s="8">
        <f t="shared" si="1"/>
        <v>0.09</v>
      </c>
      <c r="N8" s="6" t="s">
        <v>6001</v>
      </c>
    </row>
    <row r="9">
      <c r="A9" s="6" t="s">
        <v>6012</v>
      </c>
      <c r="B9" s="6" t="s">
        <v>6013</v>
      </c>
      <c r="C9" s="6" t="s">
        <v>295</v>
      </c>
      <c r="D9" s="6" t="s">
        <v>6014</v>
      </c>
      <c r="E9" s="6" t="s">
        <v>1743</v>
      </c>
      <c r="F9" s="6" t="s">
        <v>152</v>
      </c>
      <c r="G9" s="7">
        <v>0.06</v>
      </c>
      <c r="H9" s="6" t="s">
        <v>3779</v>
      </c>
      <c r="I9" s="6" t="s">
        <v>20</v>
      </c>
      <c r="J9" s="6">
        <v>2021.0</v>
      </c>
      <c r="K9" s="10">
        <v>46023.0</v>
      </c>
      <c r="L9" s="6">
        <v>1.0</v>
      </c>
      <c r="M9" s="8">
        <f t="shared" si="1"/>
        <v>0.06</v>
      </c>
      <c r="N9" s="6" t="s">
        <v>6001</v>
      </c>
    </row>
    <row r="10">
      <c r="A10" s="6" t="s">
        <v>6015</v>
      </c>
      <c r="B10" s="6" t="s">
        <v>3465</v>
      </c>
      <c r="C10" s="6" t="s">
        <v>295</v>
      </c>
      <c r="D10" s="6" t="s">
        <v>6016</v>
      </c>
      <c r="E10" s="6" t="s">
        <v>1743</v>
      </c>
      <c r="F10" s="6" t="s">
        <v>152</v>
      </c>
      <c r="G10" s="7">
        <v>0.09</v>
      </c>
      <c r="H10" s="6" t="s">
        <v>3779</v>
      </c>
      <c r="I10" s="6" t="s">
        <v>20</v>
      </c>
      <c r="J10" s="6">
        <v>2021.0</v>
      </c>
      <c r="K10" s="10">
        <v>46055.0</v>
      </c>
      <c r="L10" s="6">
        <v>1.0</v>
      </c>
      <c r="M10" s="8">
        <f t="shared" si="1"/>
        <v>0.09</v>
      </c>
      <c r="N10" s="6" t="s">
        <v>6001</v>
      </c>
    </row>
    <row r="11">
      <c r="A11" s="6" t="s">
        <v>6017</v>
      </c>
      <c r="B11" s="6" t="s">
        <v>2058</v>
      </c>
      <c r="C11" s="6" t="s">
        <v>1949</v>
      </c>
      <c r="D11" s="6" t="s">
        <v>6018</v>
      </c>
      <c r="E11" s="6" t="s">
        <v>1856</v>
      </c>
      <c r="F11" s="6" t="s">
        <v>277</v>
      </c>
      <c r="G11" s="7">
        <v>0.08</v>
      </c>
      <c r="H11" s="6" t="s">
        <v>3092</v>
      </c>
      <c r="I11" s="6" t="s">
        <v>20</v>
      </c>
      <c r="J11" s="6">
        <v>2015.0</v>
      </c>
      <c r="L11" s="6">
        <v>1.0</v>
      </c>
      <c r="M11" s="8">
        <f t="shared" si="1"/>
        <v>0.08</v>
      </c>
      <c r="N11" s="6" t="s">
        <v>6001</v>
      </c>
    </row>
    <row r="12">
      <c r="A12" s="6" t="s">
        <v>6019</v>
      </c>
      <c r="B12" s="6" t="s">
        <v>2014</v>
      </c>
      <c r="C12" s="6" t="s">
        <v>295</v>
      </c>
      <c r="D12" s="6" t="s">
        <v>6020</v>
      </c>
      <c r="E12" s="6" t="s">
        <v>915</v>
      </c>
      <c r="F12" s="6" t="s">
        <v>88</v>
      </c>
      <c r="G12" s="7">
        <v>0.03</v>
      </c>
      <c r="H12" s="6" t="s">
        <v>1708</v>
      </c>
      <c r="I12" s="6" t="s">
        <v>20</v>
      </c>
      <c r="J12" s="6">
        <v>2019.0</v>
      </c>
      <c r="L12" s="6">
        <v>1.0</v>
      </c>
      <c r="M12" s="8">
        <f t="shared" si="1"/>
        <v>0.03</v>
      </c>
      <c r="N12" s="6" t="s">
        <v>6001</v>
      </c>
    </row>
    <row r="13">
      <c r="A13" s="6" t="s">
        <v>6021</v>
      </c>
      <c r="B13" s="6" t="s">
        <v>378</v>
      </c>
      <c r="C13" s="6" t="s">
        <v>1949</v>
      </c>
      <c r="D13" s="6" t="s">
        <v>6022</v>
      </c>
      <c r="E13" s="6" t="s">
        <v>380</v>
      </c>
      <c r="F13" s="6" t="s">
        <v>88</v>
      </c>
      <c r="G13" s="7">
        <v>0.06</v>
      </c>
      <c r="H13" s="6" t="s">
        <v>2467</v>
      </c>
      <c r="I13" s="6" t="s">
        <v>20</v>
      </c>
      <c r="J13" s="6">
        <v>2017.0</v>
      </c>
      <c r="L13" s="6">
        <v>1.0</v>
      </c>
      <c r="M13" s="8">
        <f t="shared" si="1"/>
        <v>0.06</v>
      </c>
      <c r="N13" s="6" t="s">
        <v>6001</v>
      </c>
    </row>
    <row r="14">
      <c r="A14" s="6" t="s">
        <v>6023</v>
      </c>
      <c r="B14" s="6" t="s">
        <v>2143</v>
      </c>
      <c r="C14" s="6" t="s">
        <v>295</v>
      </c>
      <c r="E14" s="6" t="s">
        <v>1032</v>
      </c>
      <c r="F14" s="6" t="s">
        <v>80</v>
      </c>
      <c r="G14" s="7">
        <v>0.05</v>
      </c>
      <c r="H14" s="6" t="s">
        <v>3827</v>
      </c>
      <c r="I14" s="6" t="s">
        <v>20</v>
      </c>
      <c r="J14" s="6">
        <v>2016.0</v>
      </c>
      <c r="K14" s="10">
        <v>46025.0</v>
      </c>
      <c r="L14" s="6">
        <v>1.0</v>
      </c>
      <c r="M14" s="8">
        <f t="shared" si="1"/>
        <v>0.05</v>
      </c>
      <c r="N14" s="6" t="s">
        <v>6001</v>
      </c>
    </row>
    <row r="15">
      <c r="A15" s="6" t="s">
        <v>1963</v>
      </c>
      <c r="B15" s="6" t="s">
        <v>1896</v>
      </c>
      <c r="C15" s="6" t="s">
        <v>295</v>
      </c>
      <c r="D15" s="6" t="s">
        <v>6024</v>
      </c>
      <c r="E15" s="6" t="s">
        <v>1269</v>
      </c>
      <c r="F15" s="6" t="s">
        <v>80</v>
      </c>
      <c r="G15" s="7">
        <v>0.03</v>
      </c>
      <c r="H15" s="6" t="s">
        <v>2598</v>
      </c>
      <c r="I15" s="6" t="s">
        <v>20</v>
      </c>
      <c r="J15" s="6">
        <v>2017.0</v>
      </c>
      <c r="L15" s="6">
        <v>1.0</v>
      </c>
      <c r="M15" s="8">
        <f t="shared" si="1"/>
        <v>0.03</v>
      </c>
      <c r="N15" s="6" t="s">
        <v>6001</v>
      </c>
    </row>
    <row r="16">
      <c r="A16" s="6" t="s">
        <v>6025</v>
      </c>
      <c r="B16" s="6" t="s">
        <v>294</v>
      </c>
      <c r="C16" s="6" t="s">
        <v>1949</v>
      </c>
      <c r="D16" s="6" t="s">
        <v>6026</v>
      </c>
      <c r="F16" s="6" t="s">
        <v>3114</v>
      </c>
      <c r="G16" s="7">
        <v>0.19</v>
      </c>
      <c r="H16" s="6" t="s">
        <v>1995</v>
      </c>
      <c r="I16" s="6" t="s">
        <v>20</v>
      </c>
      <c r="J16" s="6">
        <v>2016.0</v>
      </c>
      <c r="L16" s="6">
        <v>1.0</v>
      </c>
      <c r="M16" s="8">
        <f t="shared" si="1"/>
        <v>0.19</v>
      </c>
      <c r="N16" s="6" t="s">
        <v>6001</v>
      </c>
    </row>
    <row r="17">
      <c r="A17" s="6" t="s">
        <v>6027</v>
      </c>
      <c r="B17" s="6" t="s">
        <v>3332</v>
      </c>
      <c r="C17" s="6" t="s">
        <v>295</v>
      </c>
      <c r="D17" s="6" t="s">
        <v>6028</v>
      </c>
      <c r="E17" s="6" t="s">
        <v>380</v>
      </c>
      <c r="F17" s="6" t="s">
        <v>88</v>
      </c>
      <c r="G17" s="7">
        <v>0.12</v>
      </c>
      <c r="H17" s="6" t="s">
        <v>3779</v>
      </c>
      <c r="I17" s="6" t="s">
        <v>20</v>
      </c>
      <c r="J17" s="6">
        <v>2021.0</v>
      </c>
      <c r="K17" s="10">
        <v>46024.0</v>
      </c>
      <c r="L17" s="6">
        <v>1.0</v>
      </c>
      <c r="M17" s="8">
        <f t="shared" si="1"/>
        <v>0.12</v>
      </c>
      <c r="N17" s="6" t="s">
        <v>6001</v>
      </c>
    </row>
    <row r="18">
      <c r="A18" s="6" t="s">
        <v>6029</v>
      </c>
      <c r="B18" s="6" t="s">
        <v>2476</v>
      </c>
      <c r="C18" s="6" t="s">
        <v>295</v>
      </c>
      <c r="D18" s="6" t="s">
        <v>6030</v>
      </c>
      <c r="E18" s="6" t="s">
        <v>2754</v>
      </c>
      <c r="F18" s="6" t="s">
        <v>170</v>
      </c>
      <c r="G18" s="7">
        <v>0.08</v>
      </c>
      <c r="H18" s="6" t="s">
        <v>3779</v>
      </c>
      <c r="I18" s="6" t="s">
        <v>20</v>
      </c>
      <c r="J18" s="6">
        <v>2021.0</v>
      </c>
      <c r="K18" s="10">
        <v>46026.0</v>
      </c>
      <c r="L18" s="6">
        <v>1.0</v>
      </c>
      <c r="M18" s="8">
        <f t="shared" si="1"/>
        <v>0.08</v>
      </c>
      <c r="N18" s="6" t="s">
        <v>6001</v>
      </c>
    </row>
    <row r="19">
      <c r="A19" s="6" t="s">
        <v>6031</v>
      </c>
      <c r="B19" s="6" t="s">
        <v>2014</v>
      </c>
      <c r="C19" s="6" t="s">
        <v>295</v>
      </c>
      <c r="D19" s="6" t="s">
        <v>6032</v>
      </c>
      <c r="E19" s="6" t="s">
        <v>1954</v>
      </c>
      <c r="F19" s="6" t="s">
        <v>18</v>
      </c>
      <c r="G19" s="7">
        <v>0.13</v>
      </c>
      <c r="H19" s="6" t="s">
        <v>3779</v>
      </c>
      <c r="I19" s="6" t="s">
        <v>20</v>
      </c>
      <c r="J19" s="6">
        <v>2021.0</v>
      </c>
      <c r="L19" s="6">
        <v>1.0</v>
      </c>
      <c r="M19" s="8">
        <f t="shared" si="1"/>
        <v>0.13</v>
      </c>
      <c r="N19" s="6" t="s">
        <v>6001</v>
      </c>
    </row>
    <row r="20">
      <c r="A20" s="6" t="s">
        <v>6033</v>
      </c>
      <c r="B20" s="6" t="s">
        <v>378</v>
      </c>
      <c r="C20" s="6" t="s">
        <v>1949</v>
      </c>
      <c r="D20" s="6" t="s">
        <v>6034</v>
      </c>
      <c r="E20" s="6" t="s">
        <v>2292</v>
      </c>
      <c r="F20" s="6" t="s">
        <v>18</v>
      </c>
      <c r="G20" s="7">
        <v>0.05</v>
      </c>
      <c r="H20" s="6" t="s">
        <v>1641</v>
      </c>
      <c r="I20" s="6" t="s">
        <v>20</v>
      </c>
      <c r="J20" s="6">
        <v>2019.0</v>
      </c>
      <c r="L20" s="6">
        <v>1.0</v>
      </c>
      <c r="M20" s="8">
        <f t="shared" si="1"/>
        <v>0.05</v>
      </c>
      <c r="N20" s="6" t="s">
        <v>6001</v>
      </c>
    </row>
    <row r="21">
      <c r="A21" s="6" t="s">
        <v>6035</v>
      </c>
      <c r="B21" s="6" t="s">
        <v>2748</v>
      </c>
      <c r="C21" s="6" t="s">
        <v>1949</v>
      </c>
      <c r="D21" s="6" t="s">
        <v>6036</v>
      </c>
      <c r="E21" s="6" t="s">
        <v>6037</v>
      </c>
      <c r="F21" s="6" t="s">
        <v>3169</v>
      </c>
      <c r="G21" s="7">
        <v>0.08</v>
      </c>
      <c r="H21" s="6" t="s">
        <v>1995</v>
      </c>
      <c r="I21" s="6" t="s">
        <v>20</v>
      </c>
      <c r="J21" s="6">
        <v>2016.0</v>
      </c>
      <c r="K21" s="10">
        <v>46055.0</v>
      </c>
      <c r="L21" s="6">
        <v>1.0</v>
      </c>
      <c r="M21" s="8">
        <f t="shared" si="1"/>
        <v>0.08</v>
      </c>
      <c r="N21" s="6" t="s">
        <v>6001</v>
      </c>
    </row>
    <row r="22">
      <c r="A22" s="6" t="s">
        <v>6038</v>
      </c>
      <c r="B22" s="6" t="s">
        <v>1896</v>
      </c>
      <c r="C22" s="6" t="s">
        <v>295</v>
      </c>
      <c r="D22" s="6" t="s">
        <v>6039</v>
      </c>
      <c r="E22" s="6" t="s">
        <v>1032</v>
      </c>
      <c r="F22" s="6" t="s">
        <v>80</v>
      </c>
      <c r="G22" s="7">
        <v>0.03</v>
      </c>
      <c r="H22" s="6" t="s">
        <v>2598</v>
      </c>
      <c r="I22" s="6" t="s">
        <v>20</v>
      </c>
      <c r="J22" s="6">
        <v>2017.0</v>
      </c>
      <c r="L22" s="6">
        <v>1.0</v>
      </c>
      <c r="M22" s="8">
        <f t="shared" si="1"/>
        <v>0.03</v>
      </c>
      <c r="N22" s="6" t="s">
        <v>6001</v>
      </c>
    </row>
    <row r="23">
      <c r="A23" s="6" t="s">
        <v>6040</v>
      </c>
      <c r="B23" s="6" t="s">
        <v>1896</v>
      </c>
      <c r="C23" s="6" t="s">
        <v>295</v>
      </c>
      <c r="D23" s="6" t="s">
        <v>6041</v>
      </c>
      <c r="E23" s="6" t="s">
        <v>1032</v>
      </c>
      <c r="F23" s="6" t="s">
        <v>80</v>
      </c>
      <c r="G23" s="7">
        <v>0.5</v>
      </c>
      <c r="H23" s="6" t="s">
        <v>6042</v>
      </c>
      <c r="I23" s="6" t="s">
        <v>20</v>
      </c>
      <c r="J23" s="6">
        <v>2019.0</v>
      </c>
      <c r="L23" s="6">
        <v>1.0</v>
      </c>
      <c r="M23" s="8">
        <f t="shared" si="1"/>
        <v>0.5</v>
      </c>
      <c r="N23" s="6" t="s">
        <v>6001</v>
      </c>
    </row>
    <row r="24">
      <c r="A24" s="6" t="s">
        <v>6043</v>
      </c>
      <c r="B24" s="6" t="s">
        <v>1896</v>
      </c>
      <c r="C24" s="6" t="s">
        <v>295</v>
      </c>
      <c r="D24" s="6" t="s">
        <v>6044</v>
      </c>
      <c r="E24" s="6" t="s">
        <v>1269</v>
      </c>
      <c r="F24" s="6" t="s">
        <v>80</v>
      </c>
      <c r="G24" s="7">
        <v>0.06</v>
      </c>
      <c r="H24" s="6" t="s">
        <v>1956</v>
      </c>
      <c r="I24" s="6" t="s">
        <v>20</v>
      </c>
      <c r="J24" s="6">
        <v>2021.0</v>
      </c>
      <c r="L24" s="6">
        <v>1.0</v>
      </c>
      <c r="M24" s="8">
        <f t="shared" si="1"/>
        <v>0.06</v>
      </c>
      <c r="N24" s="6" t="s">
        <v>6001</v>
      </c>
    </row>
    <row r="25">
      <c r="A25" s="6" t="s">
        <v>6045</v>
      </c>
      <c r="B25" s="6" t="s">
        <v>2014</v>
      </c>
      <c r="C25" s="6" t="s">
        <v>1949</v>
      </c>
      <c r="D25" s="6" t="s">
        <v>6046</v>
      </c>
      <c r="E25" s="6" t="s">
        <v>713</v>
      </c>
      <c r="F25" s="6" t="s">
        <v>152</v>
      </c>
      <c r="G25" s="7">
        <v>0.03</v>
      </c>
      <c r="H25" s="6" t="s">
        <v>1641</v>
      </c>
      <c r="I25" s="6" t="s">
        <v>20</v>
      </c>
      <c r="J25" s="6">
        <v>2019.0</v>
      </c>
      <c r="L25" s="6">
        <v>1.0</v>
      </c>
      <c r="M25" s="8">
        <f t="shared" si="1"/>
        <v>0.03</v>
      </c>
      <c r="N25" s="6" t="s">
        <v>6001</v>
      </c>
    </row>
    <row r="26">
      <c r="A26" s="6" t="s">
        <v>6047</v>
      </c>
      <c r="B26" s="6" t="s">
        <v>6048</v>
      </c>
      <c r="C26" s="6" t="s">
        <v>295</v>
      </c>
      <c r="D26" s="6" t="s">
        <v>6049</v>
      </c>
      <c r="E26" s="6" t="s">
        <v>1856</v>
      </c>
      <c r="F26" s="6" t="s">
        <v>277</v>
      </c>
      <c r="G26" s="7">
        <v>0.06</v>
      </c>
      <c r="H26" s="6" t="s">
        <v>3779</v>
      </c>
      <c r="I26" s="6" t="s">
        <v>20</v>
      </c>
      <c r="J26" s="6">
        <v>2021.0</v>
      </c>
      <c r="K26" s="10">
        <v>46055.0</v>
      </c>
      <c r="L26" s="6">
        <v>1.0</v>
      </c>
      <c r="M26" s="8">
        <f t="shared" si="1"/>
        <v>0.06</v>
      </c>
      <c r="N26" s="6" t="s">
        <v>6001</v>
      </c>
    </row>
    <row r="27">
      <c r="A27" s="6" t="s">
        <v>6050</v>
      </c>
      <c r="B27" s="6" t="s">
        <v>4204</v>
      </c>
      <c r="C27" s="6" t="s">
        <v>1949</v>
      </c>
      <c r="D27" s="6" t="s">
        <v>6051</v>
      </c>
      <c r="E27" s="6" t="s">
        <v>1853</v>
      </c>
      <c r="F27" s="6" t="s">
        <v>277</v>
      </c>
      <c r="G27" s="7">
        <v>0.05</v>
      </c>
      <c r="H27" s="6" t="s">
        <v>2202</v>
      </c>
      <c r="I27" s="6" t="s">
        <v>20</v>
      </c>
      <c r="J27" s="6">
        <v>2014.0</v>
      </c>
      <c r="K27" s="10">
        <v>46146.0</v>
      </c>
      <c r="L27" s="6">
        <v>1.0</v>
      </c>
      <c r="M27" s="8">
        <f t="shared" si="1"/>
        <v>0.05</v>
      </c>
      <c r="N27" s="6" t="s">
        <v>6001</v>
      </c>
    </row>
    <row r="28">
      <c r="A28" s="6" t="s">
        <v>6052</v>
      </c>
      <c r="B28" s="6" t="s">
        <v>1944</v>
      </c>
      <c r="C28" s="6" t="s">
        <v>1949</v>
      </c>
      <c r="D28" s="6" t="s">
        <v>6053</v>
      </c>
      <c r="E28" s="6" t="s">
        <v>380</v>
      </c>
      <c r="F28" s="6" t="s">
        <v>88</v>
      </c>
      <c r="G28" s="7">
        <v>0.06</v>
      </c>
      <c r="H28" s="6" t="s">
        <v>1644</v>
      </c>
      <c r="I28" s="6" t="s">
        <v>20</v>
      </c>
      <c r="J28" s="6">
        <v>2018.0</v>
      </c>
      <c r="L28" s="6">
        <v>1.0</v>
      </c>
      <c r="M28" s="8">
        <f t="shared" si="1"/>
        <v>0.06</v>
      </c>
      <c r="N28" s="6" t="s">
        <v>6001</v>
      </c>
    </row>
    <row r="29">
      <c r="A29" s="6" t="s">
        <v>6054</v>
      </c>
      <c r="B29" s="6" t="s">
        <v>2014</v>
      </c>
      <c r="C29" s="6" t="s">
        <v>295</v>
      </c>
      <c r="D29" s="6" t="s">
        <v>6055</v>
      </c>
      <c r="E29" s="6" t="s">
        <v>915</v>
      </c>
      <c r="F29" s="6" t="s">
        <v>88</v>
      </c>
      <c r="G29" s="7">
        <v>0.04</v>
      </c>
      <c r="H29" s="6" t="s">
        <v>1689</v>
      </c>
      <c r="I29" s="6" t="s">
        <v>20</v>
      </c>
      <c r="J29" s="6">
        <v>2020.0</v>
      </c>
      <c r="L29" s="6">
        <v>1.0</v>
      </c>
      <c r="M29" s="8">
        <f t="shared" si="1"/>
        <v>0.04</v>
      </c>
      <c r="N29" s="6" t="s">
        <v>6001</v>
      </c>
    </row>
    <row r="30">
      <c r="A30" s="6" t="s">
        <v>4381</v>
      </c>
      <c r="B30" s="6" t="s">
        <v>378</v>
      </c>
      <c r="C30" s="6" t="s">
        <v>295</v>
      </c>
      <c r="D30" s="6" t="s">
        <v>4382</v>
      </c>
      <c r="E30" s="6" t="s">
        <v>380</v>
      </c>
      <c r="F30" s="6" t="s">
        <v>88</v>
      </c>
      <c r="G30" s="7">
        <v>0.04</v>
      </c>
      <c r="H30" s="6" t="s">
        <v>1641</v>
      </c>
      <c r="I30" s="6" t="s">
        <v>20</v>
      </c>
      <c r="J30" s="6">
        <v>2019.0</v>
      </c>
      <c r="L30" s="6">
        <v>1.0</v>
      </c>
      <c r="M30" s="8">
        <f t="shared" si="1"/>
        <v>0.04</v>
      </c>
      <c r="N30" s="6" t="s">
        <v>6001</v>
      </c>
    </row>
    <row r="31">
      <c r="A31" s="6" t="s">
        <v>6056</v>
      </c>
      <c r="B31" s="6" t="s">
        <v>6057</v>
      </c>
      <c r="C31" s="6" t="s">
        <v>1949</v>
      </c>
      <c r="D31" s="6" t="s">
        <v>6058</v>
      </c>
      <c r="E31" s="6" t="s">
        <v>2365</v>
      </c>
      <c r="F31" s="6" t="s">
        <v>170</v>
      </c>
      <c r="G31" s="7">
        <v>0.03</v>
      </c>
      <c r="H31" s="6" t="s">
        <v>1641</v>
      </c>
      <c r="I31" s="6" t="s">
        <v>20</v>
      </c>
      <c r="J31" s="6">
        <v>2019.0</v>
      </c>
      <c r="K31" s="10">
        <v>46083.0</v>
      </c>
      <c r="L31" s="6">
        <v>1.0</v>
      </c>
      <c r="M31" s="8">
        <f t="shared" si="1"/>
        <v>0.03</v>
      </c>
      <c r="N31" s="6" t="s">
        <v>6001</v>
      </c>
    </row>
    <row r="32">
      <c r="A32" s="6" t="s">
        <v>6059</v>
      </c>
      <c r="B32" s="6" t="s">
        <v>378</v>
      </c>
      <c r="C32" s="6" t="s">
        <v>295</v>
      </c>
      <c r="D32" s="6" t="s">
        <v>6060</v>
      </c>
      <c r="E32" s="6" t="s">
        <v>1954</v>
      </c>
      <c r="F32" s="6" t="s">
        <v>18</v>
      </c>
      <c r="G32" s="7">
        <v>0.08</v>
      </c>
      <c r="H32" s="6" t="s">
        <v>3779</v>
      </c>
      <c r="I32" s="6" t="s">
        <v>20</v>
      </c>
      <c r="J32" s="6">
        <v>2021.0</v>
      </c>
      <c r="L32" s="6">
        <v>1.0</v>
      </c>
      <c r="M32" s="8">
        <f t="shared" si="1"/>
        <v>0.08</v>
      </c>
      <c r="N32" s="6" t="s">
        <v>6001</v>
      </c>
    </row>
    <row r="33">
      <c r="A33" s="6" t="s">
        <v>6061</v>
      </c>
      <c r="B33" s="6" t="s">
        <v>378</v>
      </c>
      <c r="C33" s="6" t="s">
        <v>295</v>
      </c>
      <c r="D33" s="6" t="s">
        <v>6062</v>
      </c>
      <c r="E33" s="6" t="s">
        <v>1954</v>
      </c>
      <c r="F33" s="6" t="s">
        <v>18</v>
      </c>
      <c r="G33" s="7">
        <v>0.06</v>
      </c>
      <c r="H33" s="6" t="s">
        <v>1641</v>
      </c>
      <c r="I33" s="6" t="s">
        <v>20</v>
      </c>
      <c r="J33" s="6">
        <v>2019.0</v>
      </c>
      <c r="L33" s="6">
        <v>1.0</v>
      </c>
      <c r="M33" s="8">
        <f t="shared" si="1"/>
        <v>0.06</v>
      </c>
      <c r="N33" s="6" t="s">
        <v>6001</v>
      </c>
    </row>
    <row r="34">
      <c r="A34" s="6" t="s">
        <v>4198</v>
      </c>
      <c r="B34" s="6" t="s">
        <v>2736</v>
      </c>
      <c r="C34" s="6" t="s">
        <v>295</v>
      </c>
      <c r="D34" s="6" t="s">
        <v>4199</v>
      </c>
      <c r="F34" s="6" t="s">
        <v>3177</v>
      </c>
      <c r="G34" s="7">
        <v>0.09</v>
      </c>
      <c r="H34" s="6" t="s">
        <v>3295</v>
      </c>
      <c r="I34" s="6" t="s">
        <v>20</v>
      </c>
      <c r="J34" s="6">
        <v>2013.0</v>
      </c>
      <c r="L34" s="6">
        <v>1.0</v>
      </c>
      <c r="M34" s="8">
        <f t="shared" si="1"/>
        <v>0.09</v>
      </c>
      <c r="N34" s="6" t="s">
        <v>6001</v>
      </c>
    </row>
    <row r="35">
      <c r="A35" s="6" t="s">
        <v>6063</v>
      </c>
      <c r="B35" s="6" t="s">
        <v>1952</v>
      </c>
      <c r="C35" s="6" t="s">
        <v>295</v>
      </c>
      <c r="D35" s="6" t="s">
        <v>6064</v>
      </c>
      <c r="E35" s="6" t="s">
        <v>1269</v>
      </c>
      <c r="F35" s="6" t="s">
        <v>80</v>
      </c>
      <c r="G35" s="7">
        <v>0.05</v>
      </c>
      <c r="H35" s="6" t="s">
        <v>3827</v>
      </c>
      <c r="I35" s="6" t="s">
        <v>20</v>
      </c>
      <c r="J35" s="6">
        <v>2016.0</v>
      </c>
      <c r="L35" s="6">
        <v>1.0</v>
      </c>
      <c r="M35" s="8">
        <f t="shared" si="1"/>
        <v>0.05</v>
      </c>
      <c r="N35" s="6" t="s">
        <v>6001</v>
      </c>
    </row>
    <row r="36">
      <c r="A36" s="6" t="s">
        <v>6065</v>
      </c>
      <c r="B36" s="6" t="s">
        <v>1896</v>
      </c>
      <c r="C36" s="6" t="s">
        <v>1949</v>
      </c>
      <c r="D36" s="6" t="s">
        <v>6066</v>
      </c>
      <c r="E36" s="6" t="s">
        <v>1269</v>
      </c>
      <c r="F36" s="6" t="s">
        <v>80</v>
      </c>
      <c r="G36" s="7">
        <v>0.03</v>
      </c>
      <c r="H36" s="6" t="s">
        <v>1644</v>
      </c>
      <c r="I36" s="6" t="s">
        <v>20</v>
      </c>
      <c r="J36" s="6">
        <v>2018.0</v>
      </c>
      <c r="L36" s="6">
        <v>1.0</v>
      </c>
      <c r="M36" s="8">
        <f t="shared" si="1"/>
        <v>0.03</v>
      </c>
      <c r="N36" s="6" t="s">
        <v>6001</v>
      </c>
    </row>
    <row r="37">
      <c r="A37" s="6" t="s">
        <v>6067</v>
      </c>
      <c r="B37" s="6" t="s">
        <v>2058</v>
      </c>
      <c r="C37" s="6" t="s">
        <v>295</v>
      </c>
      <c r="D37" s="6" t="s">
        <v>6068</v>
      </c>
      <c r="E37" s="6" t="s">
        <v>1779</v>
      </c>
      <c r="F37" s="6" t="s">
        <v>152</v>
      </c>
      <c r="G37" s="7">
        <v>0.05</v>
      </c>
      <c r="H37" s="6" t="s">
        <v>3827</v>
      </c>
      <c r="I37" s="6" t="s">
        <v>20</v>
      </c>
      <c r="J37" s="6">
        <v>2016.0</v>
      </c>
      <c r="L37" s="6">
        <v>1.0</v>
      </c>
      <c r="M37" s="8">
        <f t="shared" si="1"/>
        <v>0.05</v>
      </c>
      <c r="N37" s="6" t="s">
        <v>6001</v>
      </c>
    </row>
    <row r="38">
      <c r="A38" s="6" t="s">
        <v>6069</v>
      </c>
      <c r="B38" s="6" t="s">
        <v>2411</v>
      </c>
      <c r="C38" s="6" t="s">
        <v>295</v>
      </c>
      <c r="D38" s="6" t="s">
        <v>6070</v>
      </c>
      <c r="E38" s="6" t="s">
        <v>1755</v>
      </c>
      <c r="F38" s="6" t="s">
        <v>152</v>
      </c>
      <c r="G38" s="7">
        <v>0.06</v>
      </c>
      <c r="H38" s="6" t="s">
        <v>2769</v>
      </c>
      <c r="I38" s="6" t="s">
        <v>20</v>
      </c>
      <c r="J38" s="6">
        <v>2015.0</v>
      </c>
      <c r="K38" s="10">
        <v>46084.0</v>
      </c>
      <c r="L38" s="6">
        <v>1.0</v>
      </c>
      <c r="M38" s="8">
        <f t="shared" si="1"/>
        <v>0.06</v>
      </c>
      <c r="N38" s="6" t="s">
        <v>6001</v>
      </c>
    </row>
    <row r="39">
      <c r="A39" s="6" t="s">
        <v>6071</v>
      </c>
      <c r="B39" s="6" t="s">
        <v>2058</v>
      </c>
      <c r="C39" s="6" t="s">
        <v>1949</v>
      </c>
      <c r="D39" s="6" t="s">
        <v>6072</v>
      </c>
      <c r="E39" s="6" t="s">
        <v>2350</v>
      </c>
      <c r="F39" s="6" t="s">
        <v>170</v>
      </c>
      <c r="G39" s="7">
        <v>0.06</v>
      </c>
      <c r="H39" s="6" t="s">
        <v>2500</v>
      </c>
      <c r="I39" s="6" t="s">
        <v>20</v>
      </c>
      <c r="J39" s="6">
        <v>2015.0</v>
      </c>
      <c r="L39" s="6">
        <v>1.0</v>
      </c>
      <c r="M39" s="8">
        <f t="shared" si="1"/>
        <v>0.06</v>
      </c>
      <c r="N39" s="6" t="s">
        <v>6001</v>
      </c>
    </row>
    <row r="40">
      <c r="A40" s="6" t="s">
        <v>2498</v>
      </c>
      <c r="B40" s="6" t="s">
        <v>2411</v>
      </c>
      <c r="C40" s="6" t="s">
        <v>295</v>
      </c>
      <c r="D40" s="6" t="s">
        <v>6073</v>
      </c>
      <c r="E40" s="6" t="s">
        <v>780</v>
      </c>
      <c r="F40" s="6" t="s">
        <v>18</v>
      </c>
      <c r="G40" s="7">
        <v>0.08</v>
      </c>
      <c r="H40" s="6" t="s">
        <v>2500</v>
      </c>
      <c r="I40" s="6" t="s">
        <v>20</v>
      </c>
      <c r="J40" s="6">
        <v>2015.0</v>
      </c>
      <c r="K40" s="6" t="s">
        <v>1256</v>
      </c>
      <c r="L40" s="6">
        <v>1.0</v>
      </c>
      <c r="M40" s="8">
        <f t="shared" si="1"/>
        <v>0.08</v>
      </c>
      <c r="N40" s="6" t="s">
        <v>6001</v>
      </c>
    </row>
    <row r="41">
      <c r="A41" s="6" t="s">
        <v>6074</v>
      </c>
      <c r="B41" s="6" t="s">
        <v>4466</v>
      </c>
      <c r="C41" s="6" t="s">
        <v>1949</v>
      </c>
      <c r="D41" s="6" t="s">
        <v>6075</v>
      </c>
      <c r="E41" s="6" t="s">
        <v>1838</v>
      </c>
      <c r="F41" s="6" t="s">
        <v>152</v>
      </c>
      <c r="G41" s="7">
        <v>0.06</v>
      </c>
      <c r="H41" s="6" t="s">
        <v>2500</v>
      </c>
      <c r="I41" s="6" t="s">
        <v>20</v>
      </c>
      <c r="J41" s="6">
        <v>2015.0</v>
      </c>
      <c r="K41" s="10">
        <v>46084.0</v>
      </c>
      <c r="L41" s="6">
        <v>1.0</v>
      </c>
      <c r="M41" s="8">
        <f t="shared" si="1"/>
        <v>0.06</v>
      </c>
      <c r="N41" s="6" t="s">
        <v>6001</v>
      </c>
    </row>
    <row r="42">
      <c r="A42" s="6" t="s">
        <v>6076</v>
      </c>
      <c r="B42" s="6" t="s">
        <v>2058</v>
      </c>
      <c r="C42" s="6" t="s">
        <v>1949</v>
      </c>
      <c r="D42" s="6" t="s">
        <v>6077</v>
      </c>
      <c r="E42" s="6" t="s">
        <v>2299</v>
      </c>
      <c r="F42" s="6" t="s">
        <v>18</v>
      </c>
      <c r="G42" s="7">
        <v>0.05</v>
      </c>
      <c r="H42" s="6" t="s">
        <v>2202</v>
      </c>
      <c r="I42" s="6" t="s">
        <v>20</v>
      </c>
      <c r="J42" s="6">
        <v>2014.0</v>
      </c>
      <c r="L42" s="6">
        <v>1.0</v>
      </c>
      <c r="M42" s="8">
        <f t="shared" si="1"/>
        <v>0.05</v>
      </c>
      <c r="N42" s="6" t="s">
        <v>6001</v>
      </c>
    </row>
    <row r="43">
      <c r="A43" s="6" t="s">
        <v>6078</v>
      </c>
      <c r="B43" s="6" t="s">
        <v>2058</v>
      </c>
      <c r="C43" s="6" t="s">
        <v>295</v>
      </c>
      <c r="D43" s="6" t="s">
        <v>6079</v>
      </c>
      <c r="E43" s="6" t="s">
        <v>3548</v>
      </c>
      <c r="F43" s="6" t="s">
        <v>277</v>
      </c>
      <c r="G43" s="7">
        <v>0.09</v>
      </c>
      <c r="H43" s="6" t="s">
        <v>3779</v>
      </c>
      <c r="I43" s="6" t="s">
        <v>20</v>
      </c>
      <c r="J43" s="6">
        <v>2021.0</v>
      </c>
      <c r="L43" s="6">
        <v>1.0</v>
      </c>
      <c r="M43" s="8">
        <f t="shared" si="1"/>
        <v>0.09</v>
      </c>
      <c r="N43" s="6" t="s">
        <v>6001</v>
      </c>
    </row>
    <row r="44">
      <c r="A44" s="6" t="s">
        <v>6080</v>
      </c>
      <c r="B44" s="6" t="s">
        <v>2502</v>
      </c>
      <c r="C44" s="6" t="s">
        <v>1949</v>
      </c>
      <c r="D44" s="6" t="s">
        <v>6081</v>
      </c>
      <c r="E44" s="6" t="s">
        <v>1856</v>
      </c>
      <c r="F44" s="6" t="s">
        <v>277</v>
      </c>
      <c r="G44" s="7">
        <v>0.03</v>
      </c>
      <c r="H44" s="6" t="s">
        <v>1641</v>
      </c>
      <c r="I44" s="6" t="s">
        <v>20</v>
      </c>
      <c r="J44" s="6">
        <v>2019.0</v>
      </c>
      <c r="K44" s="10">
        <v>46024.0</v>
      </c>
      <c r="L44" s="6">
        <v>1.0</v>
      </c>
      <c r="M44" s="8">
        <f t="shared" si="1"/>
        <v>0.03</v>
      </c>
      <c r="N44" s="6" t="s">
        <v>6001</v>
      </c>
    </row>
    <row r="45">
      <c r="A45" s="6" t="s">
        <v>6082</v>
      </c>
      <c r="B45" s="6" t="s">
        <v>1952</v>
      </c>
      <c r="C45" s="6" t="s">
        <v>295</v>
      </c>
      <c r="D45" s="6" t="s">
        <v>6083</v>
      </c>
      <c r="E45" s="6" t="s">
        <v>1035</v>
      </c>
      <c r="F45" s="6" t="s">
        <v>80</v>
      </c>
      <c r="G45" s="7">
        <v>0.03</v>
      </c>
      <c r="H45" s="6" t="s">
        <v>2552</v>
      </c>
      <c r="I45" s="6" t="s">
        <v>20</v>
      </c>
      <c r="J45" s="6">
        <v>2018.0</v>
      </c>
      <c r="L45" s="6">
        <v>1.0</v>
      </c>
      <c r="M45" s="8">
        <f t="shared" si="1"/>
        <v>0.03</v>
      </c>
      <c r="N45" s="6" t="s">
        <v>6001</v>
      </c>
    </row>
    <row r="46">
      <c r="A46" s="6" t="s">
        <v>6084</v>
      </c>
      <c r="B46" s="6" t="s">
        <v>3996</v>
      </c>
      <c r="C46" s="6" t="s">
        <v>1949</v>
      </c>
      <c r="D46" s="6" t="s">
        <v>6085</v>
      </c>
      <c r="E46" s="6" t="s">
        <v>629</v>
      </c>
      <c r="F46" s="6" t="s">
        <v>277</v>
      </c>
      <c r="G46" s="7">
        <v>0.06</v>
      </c>
      <c r="H46" s="6" t="s">
        <v>1644</v>
      </c>
      <c r="I46" s="6" t="s">
        <v>20</v>
      </c>
      <c r="J46" s="6">
        <v>2018.0</v>
      </c>
      <c r="K46" s="10">
        <v>46023.0</v>
      </c>
      <c r="L46" s="6">
        <v>1.0</v>
      </c>
      <c r="M46" s="8">
        <f t="shared" si="1"/>
        <v>0.06</v>
      </c>
      <c r="N46" s="6" t="s">
        <v>6001</v>
      </c>
    </row>
    <row r="47">
      <c r="A47" s="6" t="s">
        <v>6086</v>
      </c>
      <c r="B47" s="6" t="s">
        <v>6087</v>
      </c>
      <c r="C47" s="6" t="s">
        <v>295</v>
      </c>
      <c r="D47" s="6" t="s">
        <v>6088</v>
      </c>
      <c r="E47" s="6" t="s">
        <v>2326</v>
      </c>
      <c r="F47" s="6" t="s">
        <v>88</v>
      </c>
      <c r="G47" s="7">
        <v>0.1</v>
      </c>
      <c r="H47" s="6" t="s">
        <v>3779</v>
      </c>
      <c r="I47" s="6" t="s">
        <v>20</v>
      </c>
      <c r="J47" s="6">
        <v>2021.0</v>
      </c>
      <c r="K47" s="10">
        <v>46082.0</v>
      </c>
      <c r="L47" s="6">
        <v>1.0</v>
      </c>
      <c r="M47" s="8">
        <f t="shared" si="1"/>
        <v>0.1</v>
      </c>
      <c r="N47" s="6" t="s">
        <v>6001</v>
      </c>
    </row>
    <row r="48">
      <c r="A48" s="6" t="s">
        <v>6089</v>
      </c>
      <c r="B48" s="6" t="s">
        <v>378</v>
      </c>
      <c r="C48" s="6" t="s">
        <v>295</v>
      </c>
      <c r="D48" s="6" t="s">
        <v>6090</v>
      </c>
      <c r="E48" s="6" t="s">
        <v>2779</v>
      </c>
      <c r="F48" s="6" t="s">
        <v>170</v>
      </c>
      <c r="G48" s="7">
        <v>0.04</v>
      </c>
      <c r="H48" s="6" t="s">
        <v>1694</v>
      </c>
      <c r="I48" s="6" t="s">
        <v>20</v>
      </c>
      <c r="J48" s="6">
        <v>2004.0</v>
      </c>
      <c r="L48" s="6">
        <v>1.0</v>
      </c>
      <c r="M48" s="8">
        <f t="shared" si="1"/>
        <v>0.04</v>
      </c>
      <c r="N48" s="6" t="s">
        <v>6001</v>
      </c>
    </row>
    <row r="49">
      <c r="A49" s="6" t="s">
        <v>6091</v>
      </c>
      <c r="B49" s="6" t="s">
        <v>1896</v>
      </c>
      <c r="C49" s="6" t="s">
        <v>295</v>
      </c>
      <c r="D49" s="6" t="s">
        <v>6092</v>
      </c>
      <c r="E49" s="6" t="s">
        <v>1032</v>
      </c>
      <c r="F49" s="6" t="s">
        <v>6093</v>
      </c>
      <c r="G49" s="7">
        <v>0.08</v>
      </c>
      <c r="H49" s="6" t="s">
        <v>2202</v>
      </c>
      <c r="I49" s="6" t="s">
        <v>20</v>
      </c>
      <c r="J49" s="6">
        <v>2014.0</v>
      </c>
      <c r="L49" s="6">
        <v>1.0</v>
      </c>
      <c r="M49" s="8">
        <f t="shared" si="1"/>
        <v>0.08</v>
      </c>
      <c r="N49" s="6" t="s">
        <v>6001</v>
      </c>
    </row>
    <row r="50">
      <c r="A50" s="6" t="s">
        <v>6094</v>
      </c>
      <c r="B50" s="6" t="s">
        <v>6095</v>
      </c>
      <c r="C50" s="6" t="s">
        <v>1949</v>
      </c>
      <c r="D50" s="6" t="s">
        <v>6096</v>
      </c>
      <c r="E50" s="6" t="s">
        <v>2287</v>
      </c>
      <c r="F50" s="6" t="s">
        <v>277</v>
      </c>
      <c r="G50" s="7">
        <v>0.08</v>
      </c>
      <c r="H50" s="6" t="s">
        <v>2500</v>
      </c>
      <c r="I50" s="6" t="s">
        <v>20</v>
      </c>
      <c r="J50" s="6">
        <v>2015.0</v>
      </c>
      <c r="K50" s="10">
        <v>46176.0</v>
      </c>
      <c r="L50" s="6">
        <v>1.0</v>
      </c>
      <c r="M50" s="8">
        <f t="shared" si="1"/>
        <v>0.08</v>
      </c>
      <c r="N50" s="6" t="s">
        <v>6001</v>
      </c>
    </row>
    <row r="51">
      <c r="A51" s="6" t="s">
        <v>3431</v>
      </c>
      <c r="B51" s="6" t="s">
        <v>3411</v>
      </c>
      <c r="C51" s="6" t="s">
        <v>1949</v>
      </c>
      <c r="D51" s="6" t="s">
        <v>3432</v>
      </c>
      <c r="E51" s="6" t="s">
        <v>3433</v>
      </c>
      <c r="F51" s="6" t="s">
        <v>3177</v>
      </c>
      <c r="G51" s="7">
        <v>0.1</v>
      </c>
      <c r="H51" s="6" t="s">
        <v>1641</v>
      </c>
      <c r="I51" s="6" t="s">
        <v>20</v>
      </c>
      <c r="J51" s="6">
        <v>2019.0</v>
      </c>
      <c r="L51" s="6">
        <v>1.0</v>
      </c>
      <c r="M51" s="8">
        <f t="shared" si="1"/>
        <v>0.1</v>
      </c>
      <c r="N51" s="6" t="s">
        <v>6001</v>
      </c>
    </row>
    <row r="52">
      <c r="A52" s="6" t="s">
        <v>6097</v>
      </c>
      <c r="B52" s="6" t="s">
        <v>378</v>
      </c>
      <c r="C52" s="6" t="s">
        <v>295</v>
      </c>
      <c r="D52" s="6" t="s">
        <v>6098</v>
      </c>
      <c r="E52" s="6" t="s">
        <v>930</v>
      </c>
      <c r="F52" s="6" t="s">
        <v>170</v>
      </c>
      <c r="G52" s="7">
        <v>0.06</v>
      </c>
      <c r="H52" s="6" t="s">
        <v>2474</v>
      </c>
      <c r="I52" s="6" t="s">
        <v>20</v>
      </c>
      <c r="J52" s="6">
        <v>2017.0</v>
      </c>
      <c r="L52" s="6">
        <v>1.0</v>
      </c>
      <c r="M52" s="8">
        <f t="shared" si="1"/>
        <v>0.06</v>
      </c>
      <c r="N52" s="6" t="s">
        <v>6001</v>
      </c>
    </row>
    <row r="53">
      <c r="A53" s="6" t="s">
        <v>6099</v>
      </c>
      <c r="B53" s="6" t="s">
        <v>2014</v>
      </c>
      <c r="C53" s="6" t="s">
        <v>1949</v>
      </c>
      <c r="D53" s="6" t="s">
        <v>6100</v>
      </c>
      <c r="E53" s="6" t="s">
        <v>2365</v>
      </c>
      <c r="F53" s="6" t="s">
        <v>170</v>
      </c>
      <c r="G53" s="7">
        <v>0.03</v>
      </c>
      <c r="H53" s="6" t="s">
        <v>2598</v>
      </c>
      <c r="I53" s="6" t="s">
        <v>20</v>
      </c>
      <c r="J53" s="6">
        <v>2017.0</v>
      </c>
      <c r="L53" s="6">
        <v>1.0</v>
      </c>
      <c r="M53" s="8">
        <f t="shared" si="1"/>
        <v>0.03</v>
      </c>
      <c r="N53" s="6" t="s">
        <v>6001</v>
      </c>
    </row>
    <row r="54">
      <c r="A54" s="6" t="s">
        <v>6101</v>
      </c>
      <c r="B54" s="6" t="s">
        <v>2382</v>
      </c>
      <c r="C54" s="6" t="s">
        <v>295</v>
      </c>
      <c r="D54" s="6" t="s">
        <v>6102</v>
      </c>
      <c r="E54" s="6" t="s">
        <v>2342</v>
      </c>
      <c r="F54" s="6" t="s">
        <v>170</v>
      </c>
      <c r="G54" s="7">
        <v>0.06</v>
      </c>
      <c r="H54" s="6" t="s">
        <v>2175</v>
      </c>
      <c r="I54" s="6" t="s">
        <v>20</v>
      </c>
      <c r="J54" s="6">
        <v>2018.0</v>
      </c>
      <c r="K54" s="10">
        <v>46084.0</v>
      </c>
      <c r="L54" s="6">
        <v>1.0</v>
      </c>
      <c r="M54" s="8">
        <f t="shared" si="1"/>
        <v>0.06</v>
      </c>
      <c r="N54" s="6" t="s">
        <v>6001</v>
      </c>
    </row>
    <row r="56">
      <c r="A56" s="12" t="s">
        <v>7851</v>
      </c>
      <c r="B56" s="12" t="s">
        <v>7852</v>
      </c>
      <c r="D56" s="12" t="s">
        <v>2</v>
      </c>
      <c r="E56" s="12" t="s">
        <v>7852</v>
      </c>
      <c r="G56" s="12" t="s">
        <v>7853</v>
      </c>
      <c r="H56" s="12" t="s">
        <v>7852</v>
      </c>
    </row>
    <row r="57">
      <c r="A57" s="6" t="s">
        <v>7854</v>
      </c>
      <c r="B57" s="13">
        <v>53.0</v>
      </c>
      <c r="D57" s="6" t="s">
        <v>15</v>
      </c>
      <c r="E57" s="13">
        <v>32.0</v>
      </c>
      <c r="G57" s="6" t="s">
        <v>277</v>
      </c>
      <c r="H57" s="13">
        <v>14.0</v>
      </c>
    </row>
    <row r="58">
      <c r="A58" s="6" t="s">
        <v>7855</v>
      </c>
      <c r="B58" s="13">
        <v>53.0</v>
      </c>
      <c r="D58" s="6" t="s">
        <v>22</v>
      </c>
      <c r="E58" s="13">
        <v>20.0</v>
      </c>
      <c r="G58" s="6" t="s">
        <v>170</v>
      </c>
      <c r="H58" s="13">
        <v>12.0</v>
      </c>
    </row>
    <row r="59">
      <c r="A59" s="6" t="s">
        <v>7856</v>
      </c>
      <c r="B59" s="13">
        <v>2.0</v>
      </c>
      <c r="D59" s="6" t="s">
        <v>101</v>
      </c>
      <c r="E59" s="13">
        <v>1.0</v>
      </c>
      <c r="G59" s="6" t="s">
        <v>152</v>
      </c>
      <c r="H59" s="13">
        <v>11.0</v>
      </c>
    </row>
    <row r="60">
      <c r="A60" s="6" t="s">
        <v>7857</v>
      </c>
      <c r="B60" s="13">
        <v>51.0</v>
      </c>
      <c r="G60" s="6" t="s">
        <v>88</v>
      </c>
      <c r="H60" s="13">
        <v>10.0</v>
      </c>
    </row>
    <row r="61">
      <c r="A61" s="6" t="s">
        <v>7858</v>
      </c>
      <c r="B61" s="13" t="s">
        <v>7859</v>
      </c>
      <c r="G61" s="6" t="s">
        <v>18</v>
      </c>
      <c r="H61" s="13">
        <v>8.0</v>
      </c>
    </row>
    <row r="62">
      <c r="A62" s="6" t="s">
        <v>7860</v>
      </c>
      <c r="B62" s="13" t="s">
        <v>7861</v>
      </c>
      <c r="G62" s="6" t="s">
        <v>80</v>
      </c>
      <c r="H62" s="13">
        <v>8.0</v>
      </c>
    </row>
    <row r="63">
      <c r="A63" s="6" t="s">
        <v>7862</v>
      </c>
      <c r="B63" s="13">
        <v>1.0</v>
      </c>
    </row>
    <row r="64">
      <c r="A64" s="6" t="s">
        <v>7863</v>
      </c>
      <c r="B64" s="13">
        <v>0.0</v>
      </c>
    </row>
    <row r="66">
      <c r="A66" s="12" t="s">
        <v>1</v>
      </c>
      <c r="B66" s="12" t="s">
        <v>7852</v>
      </c>
      <c r="D66" s="12" t="s">
        <v>7864</v>
      </c>
      <c r="E66" s="14" t="s">
        <v>7852</v>
      </c>
    </row>
    <row r="67">
      <c r="A67" s="6" t="s">
        <v>7865</v>
      </c>
      <c r="B67" s="13">
        <v>18.0</v>
      </c>
      <c r="D67" s="6" t="s">
        <v>88</v>
      </c>
      <c r="E67" s="13">
        <v>8.0</v>
      </c>
    </row>
    <row r="68">
      <c r="A68" s="6" t="s">
        <v>7866</v>
      </c>
      <c r="B68" s="13">
        <v>11.0</v>
      </c>
      <c r="D68" s="6" t="s">
        <v>152</v>
      </c>
      <c r="E68" s="13">
        <v>8.0</v>
      </c>
    </row>
    <row r="69">
      <c r="A69" s="6" t="s">
        <v>82</v>
      </c>
      <c r="B69" s="13">
        <v>9.0</v>
      </c>
      <c r="D69" s="6" t="s">
        <v>80</v>
      </c>
      <c r="E69" s="13">
        <v>8.0</v>
      </c>
    </row>
    <row r="70">
      <c r="A70" s="6" t="s">
        <v>63</v>
      </c>
      <c r="B70" s="13">
        <v>8.0</v>
      </c>
      <c r="D70" s="6" t="s">
        <v>277</v>
      </c>
      <c r="E70" s="13">
        <v>7.0</v>
      </c>
    </row>
    <row r="71">
      <c r="A71" s="6" t="s">
        <v>68</v>
      </c>
      <c r="B71" s="13">
        <v>7.0</v>
      </c>
      <c r="D71" s="6" t="s">
        <v>18</v>
      </c>
      <c r="E71" s="13">
        <v>7.0</v>
      </c>
    </row>
    <row r="72">
      <c r="A72" s="6" t="s">
        <v>190</v>
      </c>
      <c r="B72" s="13">
        <v>3.0</v>
      </c>
      <c r="D72" s="6" t="s">
        <v>170</v>
      </c>
      <c r="E72" s="13">
        <v>7.0</v>
      </c>
    </row>
    <row r="73">
      <c r="D73" s="6" t="s">
        <v>3114</v>
      </c>
      <c r="E73" s="13">
        <v>3.0</v>
      </c>
    </row>
    <row r="74">
      <c r="D74" s="6" t="s">
        <v>3177</v>
      </c>
      <c r="E74" s="13">
        <v>2.0</v>
      </c>
    </row>
    <row r="75">
      <c r="D75" s="6" t="s">
        <v>3169</v>
      </c>
      <c r="E75" s="13">
        <v>1.0</v>
      </c>
    </row>
    <row r="76">
      <c r="D76" s="6" t="s">
        <v>6093</v>
      </c>
      <c r="E76" s="13">
        <v>1.0</v>
      </c>
    </row>
    <row r="77">
      <c r="D77" s="6" t="s">
        <v>3450</v>
      </c>
      <c r="E77" s="13">
        <v>1.0</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6.75"/>
    <col customWidth="1" min="2" max="2" width="30.63"/>
    <col customWidth="1" min="3" max="3" width="17.75"/>
    <col customWidth="1" min="5" max="5" width="10.5"/>
    <col customWidth="1" min="6" max="6" width="18.38"/>
    <col customWidth="1" min="7" max="7" width="12.0"/>
    <col customWidth="1" min="8" max="8" width="31.63"/>
    <col customWidth="1" min="9" max="9" width="6.13"/>
    <col customWidth="1" min="10" max="10" width="4.75"/>
    <col customWidth="1" min="11" max="11" width="5.75"/>
    <col customWidth="1" min="12" max="12" width="3.88"/>
    <col customWidth="1" min="13" max="13" width="8.5"/>
    <col customWidth="1" min="14" max="14" width="3.75"/>
    <col customWidth="1" min="15" max="16" width="6.88"/>
  </cols>
  <sheetData>
    <row r="1">
      <c r="A1" s="1" t="s">
        <v>0</v>
      </c>
      <c r="B1" s="1" t="s">
        <v>1</v>
      </c>
      <c r="C1" s="1" t="s">
        <v>2</v>
      </c>
      <c r="D1" s="1" t="s">
        <v>3</v>
      </c>
      <c r="E1" s="1" t="s">
        <v>4</v>
      </c>
      <c r="F1" s="1" t="s">
        <v>5</v>
      </c>
      <c r="G1" s="2" t="s">
        <v>6</v>
      </c>
      <c r="H1" s="1" t="s">
        <v>7</v>
      </c>
      <c r="I1" s="1" t="s">
        <v>8</v>
      </c>
      <c r="J1" s="1" t="s">
        <v>9</v>
      </c>
      <c r="K1" s="1" t="s">
        <v>10</v>
      </c>
      <c r="L1" s="1" t="s">
        <v>11</v>
      </c>
      <c r="M1" s="3">
        <f>Sum(G:G)</f>
        <v>668.68</v>
      </c>
      <c r="N1" s="4">
        <f>sum(L:L)</f>
        <v>100</v>
      </c>
      <c r="O1" s="3">
        <f>M1/N1</f>
        <v>6.6868</v>
      </c>
      <c r="P1" s="3"/>
      <c r="Q1" s="4"/>
      <c r="R1" s="4"/>
      <c r="S1" s="4"/>
      <c r="T1" s="4"/>
      <c r="U1" s="4"/>
      <c r="V1" s="4"/>
      <c r="W1" s="4"/>
      <c r="X1" s="4"/>
      <c r="Y1" s="4"/>
    </row>
    <row r="2">
      <c r="A2" s="6" t="s">
        <v>7867</v>
      </c>
      <c r="B2" s="6" t="s">
        <v>7868</v>
      </c>
      <c r="C2" s="6" t="s">
        <v>1897</v>
      </c>
      <c r="D2" s="6" t="s">
        <v>7869</v>
      </c>
      <c r="E2" s="6" t="s">
        <v>380</v>
      </c>
      <c r="F2" s="6" t="s">
        <v>88</v>
      </c>
      <c r="G2" s="6">
        <v>6.56</v>
      </c>
      <c r="H2" s="6" t="s">
        <v>7870</v>
      </c>
      <c r="I2" s="6" t="s">
        <v>20</v>
      </c>
      <c r="J2" s="6">
        <v>2026.0</v>
      </c>
      <c r="K2" s="10">
        <v>46024.0</v>
      </c>
      <c r="L2" s="6">
        <v>1.0</v>
      </c>
    </row>
    <row r="3">
      <c r="A3" s="6" t="s">
        <v>7871</v>
      </c>
      <c r="B3" s="6" t="s">
        <v>2058</v>
      </c>
      <c r="C3" s="6" t="s">
        <v>1897</v>
      </c>
      <c r="D3" s="6" t="s">
        <v>7872</v>
      </c>
      <c r="E3" s="6" t="s">
        <v>1802</v>
      </c>
      <c r="F3" s="6" t="s">
        <v>152</v>
      </c>
      <c r="G3" s="6">
        <v>2.76</v>
      </c>
      <c r="H3" s="6" t="s">
        <v>7870</v>
      </c>
      <c r="I3" s="6" t="s">
        <v>20</v>
      </c>
      <c r="J3" s="6">
        <v>2026.0</v>
      </c>
      <c r="L3" s="6">
        <v>1.0</v>
      </c>
    </row>
    <row r="4">
      <c r="A4" s="15" t="s">
        <v>7873</v>
      </c>
      <c r="B4" s="15" t="s">
        <v>7874</v>
      </c>
      <c r="C4" s="15" t="s">
        <v>160</v>
      </c>
      <c r="D4" s="15" t="s">
        <v>7875</v>
      </c>
      <c r="E4" s="15" t="s">
        <v>7876</v>
      </c>
      <c r="F4" s="15" t="s">
        <v>7877</v>
      </c>
      <c r="G4" s="15">
        <v>19.99</v>
      </c>
      <c r="H4" s="15" t="s">
        <v>7870</v>
      </c>
      <c r="I4" s="15" t="s">
        <v>31</v>
      </c>
      <c r="J4" s="15">
        <v>2026.0</v>
      </c>
      <c r="K4" s="16">
        <v>46084.0</v>
      </c>
      <c r="L4" s="15">
        <v>1.0</v>
      </c>
      <c r="M4" s="17"/>
      <c r="N4" s="17"/>
      <c r="O4" s="17"/>
      <c r="P4" s="17"/>
      <c r="Q4" s="17"/>
      <c r="R4" s="17"/>
      <c r="S4" s="17"/>
      <c r="T4" s="17"/>
      <c r="U4" s="17"/>
      <c r="V4" s="17"/>
      <c r="W4" s="17"/>
      <c r="X4" s="17"/>
      <c r="Y4" s="17"/>
      <c r="Z4" s="17"/>
    </row>
    <row r="5">
      <c r="A5" s="6" t="s">
        <v>7878</v>
      </c>
      <c r="B5" s="6" t="s">
        <v>7879</v>
      </c>
      <c r="C5" s="6" t="s">
        <v>1897</v>
      </c>
      <c r="D5" s="6" t="s">
        <v>7880</v>
      </c>
      <c r="E5" s="6" t="s">
        <v>1718</v>
      </c>
      <c r="F5" s="6" t="s">
        <v>80</v>
      </c>
      <c r="G5" s="6">
        <v>11.4</v>
      </c>
      <c r="H5" s="6" t="s">
        <v>7870</v>
      </c>
      <c r="I5" s="6" t="s">
        <v>20</v>
      </c>
      <c r="J5" s="6">
        <v>2026.0</v>
      </c>
      <c r="K5" s="10">
        <v>46084.0</v>
      </c>
      <c r="L5" s="6">
        <v>1.0</v>
      </c>
    </row>
    <row r="6">
      <c r="A6" s="6" t="s">
        <v>7881</v>
      </c>
      <c r="B6" s="6" t="s">
        <v>294</v>
      </c>
      <c r="C6" s="6" t="s">
        <v>1897</v>
      </c>
      <c r="D6" s="6" t="s">
        <v>7882</v>
      </c>
      <c r="F6" s="6" t="s">
        <v>80</v>
      </c>
      <c r="G6" s="6">
        <v>1.38</v>
      </c>
      <c r="H6" s="6" t="s">
        <v>7870</v>
      </c>
      <c r="I6" s="6" t="s">
        <v>20</v>
      </c>
      <c r="J6" s="6">
        <v>2026.0</v>
      </c>
      <c r="L6" s="6">
        <v>1.0</v>
      </c>
    </row>
    <row r="7">
      <c r="A7" s="6" t="s">
        <v>7883</v>
      </c>
      <c r="B7" s="6" t="s">
        <v>2058</v>
      </c>
      <c r="C7" s="6" t="s">
        <v>1949</v>
      </c>
      <c r="D7" s="6" t="s">
        <v>7884</v>
      </c>
      <c r="E7" s="6" t="s">
        <v>3365</v>
      </c>
      <c r="F7" s="6" t="s">
        <v>3188</v>
      </c>
      <c r="G7" s="6">
        <v>0.49</v>
      </c>
      <c r="H7" s="6" t="s">
        <v>7870</v>
      </c>
      <c r="I7" s="6" t="s">
        <v>20</v>
      </c>
      <c r="J7" s="6">
        <v>2026.0</v>
      </c>
      <c r="L7" s="6">
        <v>1.0</v>
      </c>
    </row>
    <row r="8">
      <c r="A8" s="6" t="s">
        <v>7885</v>
      </c>
      <c r="B8" s="6" t="s">
        <v>2411</v>
      </c>
      <c r="C8" s="6" t="s">
        <v>1897</v>
      </c>
      <c r="D8" s="6" t="s">
        <v>7886</v>
      </c>
      <c r="E8" s="6" t="s">
        <v>1779</v>
      </c>
      <c r="F8" s="6" t="s">
        <v>152</v>
      </c>
      <c r="G8" s="6">
        <v>2.76</v>
      </c>
      <c r="H8" s="6" t="s">
        <v>7870</v>
      </c>
      <c r="I8" s="6" t="s">
        <v>20</v>
      </c>
      <c r="J8" s="6">
        <v>2026.0</v>
      </c>
      <c r="K8" s="10">
        <v>46084.0</v>
      </c>
      <c r="L8" s="6">
        <v>1.0</v>
      </c>
    </row>
    <row r="9">
      <c r="A9" s="6" t="s">
        <v>7887</v>
      </c>
      <c r="B9" s="6" t="s">
        <v>7888</v>
      </c>
      <c r="C9" s="6" t="s">
        <v>295</v>
      </c>
      <c r="F9" s="6" t="s">
        <v>677</v>
      </c>
      <c r="G9" s="6">
        <v>0.25</v>
      </c>
      <c r="H9" s="6" t="s">
        <v>7870</v>
      </c>
      <c r="I9" s="6" t="s">
        <v>20</v>
      </c>
      <c r="J9" s="6">
        <v>2026.0</v>
      </c>
      <c r="L9" s="6">
        <v>3.0</v>
      </c>
    </row>
    <row r="10">
      <c r="A10" s="6" t="s">
        <v>7889</v>
      </c>
      <c r="B10" s="6" t="s">
        <v>7048</v>
      </c>
      <c r="C10" s="6" t="s">
        <v>160</v>
      </c>
      <c r="D10" s="6" t="s">
        <v>7890</v>
      </c>
      <c r="E10" s="6" t="s">
        <v>1743</v>
      </c>
      <c r="F10" s="6" t="s">
        <v>152</v>
      </c>
      <c r="G10" s="6">
        <v>20.81</v>
      </c>
      <c r="H10" s="6" t="s">
        <v>7870</v>
      </c>
      <c r="I10" s="6" t="s">
        <v>20</v>
      </c>
      <c r="J10" s="6">
        <v>2026.0</v>
      </c>
      <c r="L10" s="6">
        <v>1.0</v>
      </c>
    </row>
    <row r="11">
      <c r="A11" s="6" t="s">
        <v>7891</v>
      </c>
      <c r="B11" s="6" t="s">
        <v>7892</v>
      </c>
      <c r="C11" s="6" t="s">
        <v>1897</v>
      </c>
      <c r="D11" s="6" t="s">
        <v>7893</v>
      </c>
      <c r="F11" s="6" t="s">
        <v>80</v>
      </c>
      <c r="G11" s="6">
        <v>2.88</v>
      </c>
      <c r="H11" s="6" t="s">
        <v>7870</v>
      </c>
      <c r="I11" s="6" t="s">
        <v>20</v>
      </c>
      <c r="J11" s="6">
        <v>2026.0</v>
      </c>
      <c r="L11" s="6">
        <v>1.0</v>
      </c>
    </row>
    <row r="12">
      <c r="A12" s="6" t="s">
        <v>7894</v>
      </c>
      <c r="B12" s="6" t="s">
        <v>7895</v>
      </c>
      <c r="C12" s="6" t="s">
        <v>1897</v>
      </c>
      <c r="D12" s="6" t="s">
        <v>7896</v>
      </c>
      <c r="F12" s="6" t="s">
        <v>3196</v>
      </c>
      <c r="G12" s="6">
        <v>3.3</v>
      </c>
      <c r="H12" s="6" t="s">
        <v>7870</v>
      </c>
      <c r="I12" s="6" t="s">
        <v>20</v>
      </c>
      <c r="J12" s="6">
        <v>2026.0</v>
      </c>
      <c r="L12" s="6">
        <v>1.0</v>
      </c>
    </row>
    <row r="13">
      <c r="A13" s="6" t="s">
        <v>7897</v>
      </c>
      <c r="B13" s="6" t="s">
        <v>7898</v>
      </c>
      <c r="C13" s="6" t="s">
        <v>1897</v>
      </c>
      <c r="D13" s="6" t="s">
        <v>7899</v>
      </c>
      <c r="E13" s="6" t="s">
        <v>5620</v>
      </c>
      <c r="F13" s="6" t="s">
        <v>3196</v>
      </c>
      <c r="G13" s="6">
        <v>5.64</v>
      </c>
      <c r="H13" s="6" t="s">
        <v>7870</v>
      </c>
      <c r="I13" s="6" t="s">
        <v>20</v>
      </c>
      <c r="J13" s="6">
        <v>2026.0</v>
      </c>
      <c r="K13" s="10">
        <v>46084.0</v>
      </c>
      <c r="L13" s="6">
        <v>1.0</v>
      </c>
    </row>
    <row r="14">
      <c r="A14" s="6" t="s">
        <v>7900</v>
      </c>
      <c r="B14" s="6" t="s">
        <v>294</v>
      </c>
      <c r="C14" s="6" t="s">
        <v>1949</v>
      </c>
      <c r="D14" s="6" t="s">
        <v>7901</v>
      </c>
      <c r="F14" s="6" t="s">
        <v>80</v>
      </c>
      <c r="G14" s="6">
        <v>1.78</v>
      </c>
      <c r="H14" s="6" t="s">
        <v>7870</v>
      </c>
      <c r="I14" s="6" t="s">
        <v>20</v>
      </c>
      <c r="J14" s="6">
        <v>2026.0</v>
      </c>
      <c r="L14" s="6">
        <v>1.0</v>
      </c>
    </row>
    <row r="15">
      <c r="A15" s="6" t="s">
        <v>7902</v>
      </c>
      <c r="B15" s="6" t="s">
        <v>7903</v>
      </c>
      <c r="C15" s="6" t="s">
        <v>1949</v>
      </c>
      <c r="D15" s="6" t="s">
        <v>7904</v>
      </c>
      <c r="E15" s="6" t="s">
        <v>1838</v>
      </c>
      <c r="F15" s="6" t="s">
        <v>152</v>
      </c>
      <c r="G15" s="6">
        <v>0.25</v>
      </c>
      <c r="H15" s="6" t="s">
        <v>7905</v>
      </c>
      <c r="I15" s="6" t="s">
        <v>20</v>
      </c>
      <c r="J15" s="6">
        <v>2026.0</v>
      </c>
      <c r="K15" s="10">
        <v>46116.0</v>
      </c>
      <c r="L15" s="6">
        <v>1.0</v>
      </c>
    </row>
    <row r="16">
      <c r="A16" s="6" t="s">
        <v>298</v>
      </c>
      <c r="B16" s="6" t="s">
        <v>294</v>
      </c>
      <c r="C16" s="6" t="s">
        <v>1949</v>
      </c>
      <c r="D16" s="6" t="s">
        <v>7906</v>
      </c>
      <c r="F16" s="6" t="s">
        <v>7877</v>
      </c>
      <c r="G16" s="6">
        <v>0.4</v>
      </c>
      <c r="H16" s="6" t="s">
        <v>7870</v>
      </c>
      <c r="I16" s="6" t="s">
        <v>20</v>
      </c>
      <c r="J16" s="6">
        <v>2026.0</v>
      </c>
      <c r="L16" s="6">
        <v>1.0</v>
      </c>
    </row>
    <row r="17">
      <c r="A17" s="6" t="s">
        <v>7907</v>
      </c>
      <c r="B17" s="6" t="s">
        <v>7908</v>
      </c>
      <c r="C17" s="6" t="s">
        <v>1897</v>
      </c>
      <c r="D17" s="6" t="s">
        <v>7909</v>
      </c>
      <c r="E17" s="6" t="s">
        <v>3424</v>
      </c>
      <c r="F17" s="6" t="s">
        <v>170</v>
      </c>
      <c r="G17" s="6">
        <v>18.75</v>
      </c>
      <c r="H17" s="6" t="s">
        <v>7870</v>
      </c>
      <c r="I17" s="6" t="s">
        <v>20</v>
      </c>
      <c r="J17" s="6">
        <v>2026.0</v>
      </c>
      <c r="K17" s="10">
        <v>46116.0</v>
      </c>
      <c r="L17" s="6">
        <v>1.0</v>
      </c>
    </row>
    <row r="18">
      <c r="A18" s="6" t="s">
        <v>7910</v>
      </c>
      <c r="B18" s="6" t="s">
        <v>4871</v>
      </c>
      <c r="C18" s="6" t="s">
        <v>1897</v>
      </c>
      <c r="D18" s="6" t="s">
        <v>7911</v>
      </c>
      <c r="E18" s="6" t="s">
        <v>1680</v>
      </c>
      <c r="F18" s="6" t="s">
        <v>80</v>
      </c>
      <c r="G18" s="6">
        <v>2.72</v>
      </c>
      <c r="H18" s="6" t="s">
        <v>7870</v>
      </c>
      <c r="I18" s="6" t="s">
        <v>20</v>
      </c>
      <c r="J18" s="6">
        <v>2026.0</v>
      </c>
      <c r="K18" s="10">
        <v>46116.0</v>
      </c>
      <c r="L18" s="6">
        <v>1.0</v>
      </c>
    </row>
    <row r="19">
      <c r="A19" s="6" t="s">
        <v>7912</v>
      </c>
      <c r="B19" s="6" t="s">
        <v>7913</v>
      </c>
      <c r="C19" s="6" t="s">
        <v>1897</v>
      </c>
      <c r="D19" s="6" t="s">
        <v>7914</v>
      </c>
      <c r="E19" s="6" t="s">
        <v>1718</v>
      </c>
      <c r="F19" s="6" t="s">
        <v>80</v>
      </c>
      <c r="G19" s="6">
        <v>9.4</v>
      </c>
      <c r="H19" s="6" t="s">
        <v>7870</v>
      </c>
      <c r="I19" s="6" t="s">
        <v>20</v>
      </c>
      <c r="J19" s="6">
        <v>2026.0</v>
      </c>
      <c r="L19" s="6">
        <v>1.0</v>
      </c>
    </row>
    <row r="20">
      <c r="A20" s="6" t="s">
        <v>7915</v>
      </c>
      <c r="B20" s="6" t="s">
        <v>7916</v>
      </c>
      <c r="C20" s="6" t="s">
        <v>295</v>
      </c>
      <c r="D20" s="6" t="s">
        <v>7917</v>
      </c>
      <c r="F20" s="6" t="s">
        <v>170</v>
      </c>
      <c r="G20" s="6">
        <v>0.25</v>
      </c>
      <c r="H20" s="6" t="s">
        <v>7905</v>
      </c>
      <c r="I20" s="6" t="s">
        <v>20</v>
      </c>
      <c r="J20" s="6">
        <v>2026.0</v>
      </c>
      <c r="L20" s="6">
        <v>5.0</v>
      </c>
    </row>
    <row r="21">
      <c r="A21" s="6" t="s">
        <v>7918</v>
      </c>
      <c r="B21" s="6" t="s">
        <v>294</v>
      </c>
      <c r="C21" s="6" t="s">
        <v>1897</v>
      </c>
      <c r="D21" s="6" t="s">
        <v>7919</v>
      </c>
      <c r="F21" s="6" t="s">
        <v>3183</v>
      </c>
      <c r="G21" s="6">
        <v>1.68</v>
      </c>
      <c r="H21" s="6" t="s">
        <v>7870</v>
      </c>
      <c r="I21" s="6" t="s">
        <v>20</v>
      </c>
      <c r="J21" s="6">
        <v>2026.0</v>
      </c>
      <c r="L21" s="6">
        <v>1.0</v>
      </c>
    </row>
    <row r="22">
      <c r="A22" s="6" t="s">
        <v>7920</v>
      </c>
      <c r="B22" s="6" t="s">
        <v>1896</v>
      </c>
      <c r="C22" s="6" t="s">
        <v>1949</v>
      </c>
      <c r="D22" s="6" t="s">
        <v>7921</v>
      </c>
      <c r="E22" s="6" t="s">
        <v>1035</v>
      </c>
      <c r="F22" s="6" t="s">
        <v>80</v>
      </c>
      <c r="G22" s="6">
        <v>8.09</v>
      </c>
      <c r="H22" s="6" t="s">
        <v>7870</v>
      </c>
      <c r="I22" s="6" t="s">
        <v>20</v>
      </c>
      <c r="J22" s="6">
        <v>2026.0</v>
      </c>
      <c r="L22" s="6">
        <v>1.0</v>
      </c>
    </row>
    <row r="23">
      <c r="A23" s="6" t="s">
        <v>7922</v>
      </c>
      <c r="B23" s="6" t="s">
        <v>7879</v>
      </c>
      <c r="C23" s="6" t="s">
        <v>1897</v>
      </c>
      <c r="D23" s="6" t="s">
        <v>7923</v>
      </c>
      <c r="E23" s="6" t="s">
        <v>1032</v>
      </c>
      <c r="F23" s="6" t="s">
        <v>80</v>
      </c>
      <c r="G23" s="6">
        <v>9.36</v>
      </c>
      <c r="H23" s="6" t="s">
        <v>7870</v>
      </c>
      <c r="I23" s="6" t="s">
        <v>20</v>
      </c>
      <c r="J23" s="6">
        <v>2026.0</v>
      </c>
      <c r="K23" s="10">
        <v>46055.0</v>
      </c>
      <c r="L23" s="6">
        <v>1.0</v>
      </c>
    </row>
    <row r="24">
      <c r="A24" s="6" t="s">
        <v>7924</v>
      </c>
      <c r="B24" s="6" t="s">
        <v>2058</v>
      </c>
      <c r="C24" s="6" t="s">
        <v>1897</v>
      </c>
      <c r="D24" s="6" t="s">
        <v>7925</v>
      </c>
      <c r="E24" s="6" t="s">
        <v>2321</v>
      </c>
      <c r="F24" s="6" t="s">
        <v>88</v>
      </c>
      <c r="G24" s="6">
        <v>51.75</v>
      </c>
      <c r="H24" s="6" t="s">
        <v>7870</v>
      </c>
      <c r="I24" s="6" t="s">
        <v>20</v>
      </c>
      <c r="J24" s="6">
        <v>2026.0</v>
      </c>
      <c r="L24" s="6">
        <v>1.0</v>
      </c>
    </row>
    <row r="25">
      <c r="A25" s="6" t="s">
        <v>5579</v>
      </c>
      <c r="B25" s="6" t="s">
        <v>5580</v>
      </c>
      <c r="C25" s="6" t="s">
        <v>295</v>
      </c>
      <c r="D25" s="6" t="s">
        <v>5581</v>
      </c>
      <c r="F25" s="6" t="s">
        <v>152</v>
      </c>
      <c r="G25" s="6">
        <v>0.25</v>
      </c>
      <c r="H25" s="6" t="s">
        <v>7905</v>
      </c>
      <c r="I25" s="6" t="s">
        <v>20</v>
      </c>
      <c r="J25" s="6">
        <v>2026.0</v>
      </c>
      <c r="L25" s="6">
        <v>1.0</v>
      </c>
    </row>
    <row r="26">
      <c r="A26" s="6" t="s">
        <v>7926</v>
      </c>
      <c r="B26" s="6" t="s">
        <v>7927</v>
      </c>
      <c r="C26" s="6" t="s">
        <v>1897</v>
      </c>
      <c r="D26" s="6" t="s">
        <v>7928</v>
      </c>
      <c r="E26" s="6" t="s">
        <v>6451</v>
      </c>
      <c r="F26" s="6" t="s">
        <v>3183</v>
      </c>
      <c r="G26" s="6">
        <v>5.4</v>
      </c>
      <c r="H26" s="6" t="s">
        <v>7870</v>
      </c>
      <c r="I26" s="6" t="s">
        <v>20</v>
      </c>
      <c r="J26" s="6">
        <v>2026.0</v>
      </c>
      <c r="K26" s="10">
        <v>46055.0</v>
      </c>
      <c r="L26" s="6">
        <v>1.0</v>
      </c>
    </row>
    <row r="27">
      <c r="A27" s="6" t="s">
        <v>7929</v>
      </c>
      <c r="B27" s="6" t="s">
        <v>1896</v>
      </c>
      <c r="C27" s="6" t="s">
        <v>1897</v>
      </c>
      <c r="D27" s="6" t="s">
        <v>7930</v>
      </c>
      <c r="E27" s="6" t="s">
        <v>1718</v>
      </c>
      <c r="F27" s="6" t="s">
        <v>80</v>
      </c>
      <c r="G27" s="6">
        <v>13.61</v>
      </c>
      <c r="H27" s="6" t="s">
        <v>7870</v>
      </c>
      <c r="I27" s="6" t="s">
        <v>20</v>
      </c>
      <c r="J27" s="6">
        <v>2026.0</v>
      </c>
      <c r="L27" s="6">
        <v>1.0</v>
      </c>
    </row>
    <row r="28">
      <c r="A28" s="6" t="s">
        <v>7931</v>
      </c>
      <c r="B28" s="6" t="s">
        <v>294</v>
      </c>
      <c r="C28" s="6" t="s">
        <v>1897</v>
      </c>
      <c r="D28" s="6" t="s">
        <v>7932</v>
      </c>
      <c r="F28" s="6" t="s">
        <v>3183</v>
      </c>
      <c r="G28" s="6">
        <v>2.92</v>
      </c>
      <c r="H28" s="6" t="s">
        <v>7870</v>
      </c>
      <c r="I28" s="6" t="s">
        <v>20</v>
      </c>
      <c r="J28" s="6">
        <v>2026.0</v>
      </c>
      <c r="L28" s="6">
        <v>1.0</v>
      </c>
    </row>
    <row r="29">
      <c r="A29" s="6" t="s">
        <v>7933</v>
      </c>
      <c r="B29" s="6" t="s">
        <v>7934</v>
      </c>
      <c r="C29" s="6" t="s">
        <v>1897</v>
      </c>
      <c r="D29" s="6" t="s">
        <v>7935</v>
      </c>
      <c r="E29" s="6" t="s">
        <v>1035</v>
      </c>
      <c r="F29" s="6" t="s">
        <v>80</v>
      </c>
      <c r="G29" s="6">
        <v>1.77</v>
      </c>
      <c r="H29" s="6" t="s">
        <v>7870</v>
      </c>
      <c r="I29" s="6" t="s">
        <v>20</v>
      </c>
      <c r="J29" s="6">
        <v>2026.0</v>
      </c>
      <c r="L29" s="6">
        <v>1.0</v>
      </c>
    </row>
    <row r="30">
      <c r="A30" s="6" t="s">
        <v>7936</v>
      </c>
      <c r="B30" s="6" t="s">
        <v>2058</v>
      </c>
      <c r="C30" s="6" t="s">
        <v>1897</v>
      </c>
      <c r="D30" s="6" t="s">
        <v>7937</v>
      </c>
      <c r="E30" s="6" t="s">
        <v>1779</v>
      </c>
      <c r="F30" s="6" t="s">
        <v>152</v>
      </c>
      <c r="G30" s="6">
        <v>1.42</v>
      </c>
      <c r="H30" s="6" t="s">
        <v>7870</v>
      </c>
      <c r="I30" s="6" t="s">
        <v>20</v>
      </c>
      <c r="J30" s="6">
        <v>2026.0</v>
      </c>
      <c r="L30" s="6">
        <v>1.0</v>
      </c>
    </row>
    <row r="31">
      <c r="A31" s="6" t="s">
        <v>7938</v>
      </c>
      <c r="B31" s="6" t="s">
        <v>7939</v>
      </c>
      <c r="C31" s="6" t="s">
        <v>1949</v>
      </c>
      <c r="D31" s="6" t="s">
        <v>7940</v>
      </c>
      <c r="E31" s="6" t="s">
        <v>380</v>
      </c>
      <c r="F31" s="6" t="s">
        <v>88</v>
      </c>
      <c r="G31" s="6">
        <v>0.85</v>
      </c>
      <c r="H31" s="6" t="s">
        <v>7870</v>
      </c>
      <c r="I31" s="6" t="s">
        <v>20</v>
      </c>
      <c r="J31" s="6">
        <v>2026.0</v>
      </c>
      <c r="K31" s="10">
        <v>46024.0</v>
      </c>
      <c r="L31" s="6">
        <v>1.0</v>
      </c>
    </row>
    <row r="32">
      <c r="A32" s="6" t="s">
        <v>7941</v>
      </c>
      <c r="B32" s="6" t="s">
        <v>294</v>
      </c>
      <c r="C32" s="6" t="s">
        <v>295</v>
      </c>
      <c r="D32" s="6" t="s">
        <v>7942</v>
      </c>
      <c r="F32" s="6" t="s">
        <v>80</v>
      </c>
      <c r="G32" s="6">
        <v>1.96</v>
      </c>
      <c r="H32" s="6" t="s">
        <v>7870</v>
      </c>
      <c r="I32" s="6" t="s">
        <v>20</v>
      </c>
      <c r="J32" s="6">
        <v>2026.0</v>
      </c>
      <c r="L32" s="6">
        <v>1.0</v>
      </c>
    </row>
    <row r="33">
      <c r="A33" s="6" t="s">
        <v>7943</v>
      </c>
      <c r="B33" s="6" t="s">
        <v>7944</v>
      </c>
      <c r="C33" s="6" t="s">
        <v>1897</v>
      </c>
      <c r="D33" s="6" t="s">
        <v>7945</v>
      </c>
      <c r="E33" s="6" t="s">
        <v>3653</v>
      </c>
      <c r="F33" s="6" t="s">
        <v>3196</v>
      </c>
      <c r="G33" s="6">
        <v>9.34</v>
      </c>
      <c r="H33" s="6" t="s">
        <v>7870</v>
      </c>
      <c r="I33" s="6" t="s">
        <v>20</v>
      </c>
      <c r="J33" s="6">
        <v>2026.0</v>
      </c>
      <c r="K33" s="10">
        <v>46115.0</v>
      </c>
      <c r="L33" s="6">
        <v>1.0</v>
      </c>
    </row>
    <row r="34">
      <c r="A34" s="6" t="s">
        <v>5554</v>
      </c>
      <c r="B34" s="6" t="s">
        <v>378</v>
      </c>
      <c r="C34" s="6" t="s">
        <v>295</v>
      </c>
      <c r="D34" s="6" t="s">
        <v>5555</v>
      </c>
      <c r="E34" s="6" t="s">
        <v>1779</v>
      </c>
      <c r="F34" s="6" t="s">
        <v>152</v>
      </c>
      <c r="G34" s="6">
        <v>0.14</v>
      </c>
      <c r="H34" s="6" t="s">
        <v>7870</v>
      </c>
      <c r="I34" s="6" t="s">
        <v>20</v>
      </c>
      <c r="J34" s="6">
        <v>2026.0</v>
      </c>
      <c r="L34" s="6">
        <v>1.0</v>
      </c>
    </row>
    <row r="35">
      <c r="A35" s="6" t="s">
        <v>7946</v>
      </c>
      <c r="B35" s="6" t="s">
        <v>7947</v>
      </c>
      <c r="C35" s="6" t="s">
        <v>295</v>
      </c>
      <c r="D35" s="6" t="s">
        <v>7948</v>
      </c>
      <c r="F35" s="6" t="s">
        <v>88</v>
      </c>
      <c r="G35" s="6">
        <v>0.25</v>
      </c>
      <c r="H35" s="6" t="s">
        <v>7905</v>
      </c>
      <c r="I35" s="6" t="s">
        <v>20</v>
      </c>
      <c r="J35" s="6">
        <v>2026.0</v>
      </c>
      <c r="L35" s="6">
        <v>5.0</v>
      </c>
    </row>
    <row r="36">
      <c r="A36" s="6" t="s">
        <v>5579</v>
      </c>
      <c r="B36" s="6" t="s">
        <v>5580</v>
      </c>
      <c r="C36" s="6" t="s">
        <v>295</v>
      </c>
      <c r="D36" s="6" t="s">
        <v>5581</v>
      </c>
      <c r="F36" s="6" t="s">
        <v>152</v>
      </c>
      <c r="G36" s="6">
        <v>0.25</v>
      </c>
      <c r="H36" s="6" t="s">
        <v>7905</v>
      </c>
      <c r="I36" s="6" t="s">
        <v>20</v>
      </c>
      <c r="J36" s="6">
        <v>2026.0</v>
      </c>
      <c r="L36" s="6">
        <v>2.0</v>
      </c>
    </row>
    <row r="37">
      <c r="A37" s="6" t="s">
        <v>7949</v>
      </c>
      <c r="B37" s="6" t="s">
        <v>294</v>
      </c>
      <c r="C37" s="6" t="s">
        <v>1949</v>
      </c>
      <c r="D37" s="6" t="s">
        <v>7950</v>
      </c>
      <c r="F37" s="6" t="s">
        <v>80</v>
      </c>
      <c r="G37" s="6">
        <v>7.9</v>
      </c>
      <c r="H37" s="6" t="s">
        <v>7870</v>
      </c>
      <c r="I37" s="6" t="s">
        <v>20</v>
      </c>
      <c r="J37" s="6">
        <v>2026.0</v>
      </c>
      <c r="L37" s="6">
        <v>1.0</v>
      </c>
    </row>
    <row r="38">
      <c r="A38" s="6" t="s">
        <v>7951</v>
      </c>
      <c r="B38" s="6" t="s">
        <v>1753</v>
      </c>
      <c r="C38" s="6" t="s">
        <v>1897</v>
      </c>
      <c r="D38" s="6" t="s">
        <v>7952</v>
      </c>
      <c r="E38" s="6" t="s">
        <v>2396</v>
      </c>
      <c r="F38" s="6" t="s">
        <v>3196</v>
      </c>
      <c r="G38" s="6">
        <v>7.95</v>
      </c>
      <c r="H38" s="6" t="s">
        <v>7870</v>
      </c>
      <c r="I38" s="6" t="s">
        <v>20</v>
      </c>
      <c r="J38" s="6">
        <v>2026.0</v>
      </c>
      <c r="L38" s="6">
        <v>1.0</v>
      </c>
    </row>
    <row r="39">
      <c r="A39" s="6" t="s">
        <v>7953</v>
      </c>
      <c r="B39" s="6" t="s">
        <v>2014</v>
      </c>
      <c r="C39" s="6" t="s">
        <v>1897</v>
      </c>
      <c r="D39" s="6" t="s">
        <v>7954</v>
      </c>
      <c r="E39" s="6" t="s">
        <v>1779</v>
      </c>
      <c r="F39" s="6" t="s">
        <v>152</v>
      </c>
      <c r="G39" s="6">
        <v>3.75</v>
      </c>
      <c r="H39" s="6" t="s">
        <v>7870</v>
      </c>
      <c r="I39" s="6" t="s">
        <v>20</v>
      </c>
      <c r="J39" s="6">
        <v>2026.0</v>
      </c>
      <c r="L39" s="6">
        <v>1.0</v>
      </c>
    </row>
    <row r="40">
      <c r="A40" s="6" t="s">
        <v>7955</v>
      </c>
      <c r="B40" s="6" t="s">
        <v>294</v>
      </c>
      <c r="C40" s="6" t="s">
        <v>295</v>
      </c>
      <c r="D40" s="6" t="s">
        <v>7956</v>
      </c>
      <c r="F40" s="6" t="s">
        <v>80</v>
      </c>
      <c r="G40" s="6">
        <v>0.59</v>
      </c>
      <c r="H40" s="6" t="s">
        <v>7870</v>
      </c>
      <c r="I40" s="6" t="s">
        <v>20</v>
      </c>
      <c r="J40" s="6">
        <v>2026.0</v>
      </c>
      <c r="L40" s="6">
        <v>1.0</v>
      </c>
    </row>
    <row r="41">
      <c r="A41" s="6" t="s">
        <v>7957</v>
      </c>
      <c r="B41" s="6" t="s">
        <v>294</v>
      </c>
      <c r="C41" s="6" t="s">
        <v>1897</v>
      </c>
      <c r="D41" s="6" t="s">
        <v>7958</v>
      </c>
      <c r="F41" s="6" t="s">
        <v>3196</v>
      </c>
      <c r="G41" s="6">
        <v>1.78</v>
      </c>
      <c r="H41" s="6" t="s">
        <v>7870</v>
      </c>
      <c r="I41" s="6" t="s">
        <v>20</v>
      </c>
      <c r="J41" s="6">
        <v>2026.0</v>
      </c>
      <c r="L41" s="6">
        <v>1.0</v>
      </c>
    </row>
    <row r="42">
      <c r="A42" s="6" t="s">
        <v>7959</v>
      </c>
      <c r="B42" s="6" t="s">
        <v>7868</v>
      </c>
      <c r="C42" s="6" t="s">
        <v>1897</v>
      </c>
      <c r="D42" s="6" t="s">
        <v>7960</v>
      </c>
      <c r="E42" s="6" t="s">
        <v>2365</v>
      </c>
      <c r="F42" s="6" t="s">
        <v>170</v>
      </c>
      <c r="G42" s="6">
        <v>2.82</v>
      </c>
      <c r="H42" s="6" t="s">
        <v>7870</v>
      </c>
      <c r="I42" s="6" t="s">
        <v>20</v>
      </c>
      <c r="J42" s="6">
        <v>2026.0</v>
      </c>
      <c r="K42" s="10">
        <v>46114.0</v>
      </c>
      <c r="L42" s="6">
        <v>1.0</v>
      </c>
    </row>
    <row r="43">
      <c r="A43" s="6" t="s">
        <v>7961</v>
      </c>
      <c r="B43" s="6" t="s">
        <v>7962</v>
      </c>
      <c r="C43" s="6" t="s">
        <v>1897</v>
      </c>
      <c r="D43" s="6" t="s">
        <v>7963</v>
      </c>
      <c r="E43" s="6" t="s">
        <v>5620</v>
      </c>
      <c r="F43" s="6" t="s">
        <v>3196</v>
      </c>
      <c r="G43" s="6">
        <v>2.67</v>
      </c>
      <c r="H43" s="6" t="s">
        <v>7870</v>
      </c>
      <c r="I43" s="6" t="s">
        <v>20</v>
      </c>
      <c r="J43" s="6">
        <v>2026.0</v>
      </c>
      <c r="K43" s="10">
        <v>46115.0</v>
      </c>
      <c r="L43" s="6">
        <v>1.0</v>
      </c>
    </row>
    <row r="44">
      <c r="A44" s="6" t="s">
        <v>7964</v>
      </c>
      <c r="B44" s="6" t="s">
        <v>378</v>
      </c>
      <c r="C44" s="6" t="s">
        <v>1949</v>
      </c>
      <c r="D44" s="6" t="s">
        <v>7965</v>
      </c>
      <c r="E44" s="6" t="s">
        <v>713</v>
      </c>
      <c r="F44" s="6" t="s">
        <v>152</v>
      </c>
      <c r="G44" s="6">
        <v>12.46</v>
      </c>
      <c r="H44" s="6" t="s">
        <v>7870</v>
      </c>
      <c r="I44" s="6" t="s">
        <v>20</v>
      </c>
      <c r="J44" s="6">
        <v>2026.0</v>
      </c>
      <c r="L44" s="6">
        <v>1.0</v>
      </c>
    </row>
    <row r="45">
      <c r="A45" s="6" t="s">
        <v>7966</v>
      </c>
      <c r="B45" s="6" t="s">
        <v>7967</v>
      </c>
      <c r="C45" s="6" t="s">
        <v>1897</v>
      </c>
      <c r="D45" s="6" t="s">
        <v>7968</v>
      </c>
      <c r="F45" s="6" t="s">
        <v>3188</v>
      </c>
      <c r="G45" s="6">
        <v>2.91</v>
      </c>
      <c r="H45" s="6" t="s">
        <v>7870</v>
      </c>
      <c r="I45" s="6" t="s">
        <v>20</v>
      </c>
      <c r="J45" s="6">
        <v>2026.0</v>
      </c>
      <c r="L45" s="6">
        <v>1.0</v>
      </c>
    </row>
    <row r="46">
      <c r="A46" s="6" t="s">
        <v>7969</v>
      </c>
      <c r="B46" s="6" t="s">
        <v>1896</v>
      </c>
      <c r="C46" s="6" t="s">
        <v>1949</v>
      </c>
      <c r="D46" s="6" t="s">
        <v>7970</v>
      </c>
      <c r="E46" s="6" t="s">
        <v>1035</v>
      </c>
      <c r="F46" s="6" t="s">
        <v>3183</v>
      </c>
      <c r="G46" s="6">
        <v>5.63</v>
      </c>
      <c r="H46" s="6" t="s">
        <v>7870</v>
      </c>
      <c r="I46" s="6" t="s">
        <v>20</v>
      </c>
      <c r="J46" s="6">
        <v>2026.0</v>
      </c>
      <c r="L46" s="6">
        <v>1.0</v>
      </c>
    </row>
    <row r="47">
      <c r="A47" s="6" t="s">
        <v>7971</v>
      </c>
      <c r="B47" s="6" t="s">
        <v>7972</v>
      </c>
      <c r="C47" s="6" t="s">
        <v>160</v>
      </c>
      <c r="D47" s="6" t="s">
        <v>7973</v>
      </c>
      <c r="E47" s="6" t="s">
        <v>7974</v>
      </c>
      <c r="F47" s="6" t="s">
        <v>7877</v>
      </c>
      <c r="G47" s="6">
        <v>7.51</v>
      </c>
      <c r="H47" s="6" t="s">
        <v>7870</v>
      </c>
      <c r="I47" s="6" t="s">
        <v>20</v>
      </c>
      <c r="J47" s="6">
        <v>2026.0</v>
      </c>
      <c r="K47" s="10">
        <v>46114.0</v>
      </c>
      <c r="L47" s="6">
        <v>1.0</v>
      </c>
    </row>
    <row r="48">
      <c r="A48" s="6" t="s">
        <v>7975</v>
      </c>
      <c r="B48" s="6" t="s">
        <v>7895</v>
      </c>
      <c r="C48" s="6" t="s">
        <v>1897</v>
      </c>
      <c r="D48" s="6" t="s">
        <v>7976</v>
      </c>
      <c r="F48" s="6" t="s">
        <v>3196</v>
      </c>
      <c r="G48" s="6">
        <v>8.0</v>
      </c>
      <c r="H48" s="6" t="s">
        <v>7870</v>
      </c>
      <c r="I48" s="6" t="s">
        <v>20</v>
      </c>
      <c r="J48" s="6">
        <v>2026.0</v>
      </c>
      <c r="L48" s="6">
        <v>1.0</v>
      </c>
    </row>
    <row r="49">
      <c r="A49" s="6" t="s">
        <v>7949</v>
      </c>
      <c r="B49" s="6" t="s">
        <v>294</v>
      </c>
      <c r="C49" s="6" t="s">
        <v>1949</v>
      </c>
      <c r="D49" s="6" t="s">
        <v>7950</v>
      </c>
      <c r="F49" s="6" t="s">
        <v>80</v>
      </c>
      <c r="G49" s="6">
        <v>1.8</v>
      </c>
      <c r="H49" s="6" t="s">
        <v>7870</v>
      </c>
      <c r="I49" s="6" t="s">
        <v>20</v>
      </c>
      <c r="J49" s="6">
        <v>2026.0</v>
      </c>
      <c r="L49" s="6">
        <v>1.0</v>
      </c>
    </row>
    <row r="50">
      <c r="A50" s="6" t="s">
        <v>4836</v>
      </c>
      <c r="B50" s="6" t="s">
        <v>378</v>
      </c>
      <c r="C50" s="6" t="s">
        <v>295</v>
      </c>
      <c r="D50" s="6" t="s">
        <v>4837</v>
      </c>
      <c r="E50" s="6" t="s">
        <v>1743</v>
      </c>
      <c r="F50" s="6" t="s">
        <v>152</v>
      </c>
      <c r="G50" s="6">
        <v>1.22</v>
      </c>
      <c r="H50" s="6" t="s">
        <v>7870</v>
      </c>
      <c r="I50" s="6" t="s">
        <v>20</v>
      </c>
      <c r="J50" s="6">
        <v>2026.0</v>
      </c>
      <c r="L50" s="6">
        <v>1.0</v>
      </c>
    </row>
    <row r="51">
      <c r="A51" s="6" t="s">
        <v>7977</v>
      </c>
      <c r="B51" s="6" t="s">
        <v>294</v>
      </c>
      <c r="C51" s="6" t="s">
        <v>1897</v>
      </c>
      <c r="D51" s="6" t="s">
        <v>7978</v>
      </c>
      <c r="F51" s="6" t="s">
        <v>3188</v>
      </c>
      <c r="G51" s="6">
        <v>1.44</v>
      </c>
      <c r="H51" s="6" t="s">
        <v>7870</v>
      </c>
      <c r="I51" s="6" t="s">
        <v>20</v>
      </c>
      <c r="J51" s="6">
        <v>2026.0</v>
      </c>
      <c r="L51" s="6">
        <v>1.0</v>
      </c>
    </row>
    <row r="52">
      <c r="A52" s="6" t="s">
        <v>7979</v>
      </c>
      <c r="B52" s="6" t="s">
        <v>7980</v>
      </c>
      <c r="C52" s="6" t="s">
        <v>1897</v>
      </c>
      <c r="D52" s="6" t="s">
        <v>7981</v>
      </c>
      <c r="E52" s="6" t="s">
        <v>7982</v>
      </c>
      <c r="F52" s="6" t="s">
        <v>3188</v>
      </c>
      <c r="G52" s="6">
        <v>4.5</v>
      </c>
      <c r="H52" s="6" t="s">
        <v>7870</v>
      </c>
      <c r="I52" s="6" t="s">
        <v>20</v>
      </c>
      <c r="J52" s="6">
        <v>2026.0</v>
      </c>
      <c r="K52" s="10">
        <v>46116.0</v>
      </c>
      <c r="L52" s="6">
        <v>1.0</v>
      </c>
    </row>
    <row r="53">
      <c r="A53" s="6" t="s">
        <v>7983</v>
      </c>
      <c r="B53" s="6" t="s">
        <v>7972</v>
      </c>
      <c r="C53" s="6" t="s">
        <v>1897</v>
      </c>
      <c r="D53" s="6" t="s">
        <v>7984</v>
      </c>
      <c r="E53" s="6" t="s">
        <v>6561</v>
      </c>
      <c r="F53" s="6" t="s">
        <v>3188</v>
      </c>
      <c r="G53" s="6">
        <v>76.9</v>
      </c>
      <c r="H53" s="6" t="s">
        <v>7870</v>
      </c>
      <c r="I53" s="6" t="s">
        <v>20</v>
      </c>
      <c r="J53" s="6">
        <v>2026.0</v>
      </c>
      <c r="K53" s="10">
        <v>46055.0</v>
      </c>
      <c r="L53" s="6">
        <v>1.0</v>
      </c>
    </row>
    <row r="54">
      <c r="A54" s="6" t="s">
        <v>7985</v>
      </c>
      <c r="B54" s="6" t="s">
        <v>7986</v>
      </c>
      <c r="C54" s="6" t="s">
        <v>1897</v>
      </c>
      <c r="D54" s="6" t="s">
        <v>7987</v>
      </c>
      <c r="E54" s="6" t="s">
        <v>2396</v>
      </c>
      <c r="F54" s="6" t="s">
        <v>3196</v>
      </c>
      <c r="G54" s="6">
        <v>3.5</v>
      </c>
      <c r="H54" s="6" t="s">
        <v>7870</v>
      </c>
      <c r="I54" s="6" t="s">
        <v>20</v>
      </c>
      <c r="J54" s="6">
        <v>2026.0</v>
      </c>
      <c r="K54" s="10">
        <v>46054.0</v>
      </c>
      <c r="L54" s="6">
        <v>1.0</v>
      </c>
    </row>
    <row r="55">
      <c r="A55" s="6" t="s">
        <v>7988</v>
      </c>
      <c r="B55" s="6" t="s">
        <v>7989</v>
      </c>
      <c r="C55" s="6" t="s">
        <v>1897</v>
      </c>
      <c r="D55" s="6" t="s">
        <v>7990</v>
      </c>
      <c r="F55" s="6" t="s">
        <v>3183</v>
      </c>
      <c r="G55" s="6">
        <v>1.44</v>
      </c>
      <c r="H55" s="6" t="s">
        <v>7870</v>
      </c>
      <c r="I55" s="6" t="s">
        <v>20</v>
      </c>
      <c r="J55" s="6">
        <v>2026.0</v>
      </c>
      <c r="L55" s="6">
        <v>1.0</v>
      </c>
    </row>
    <row r="56">
      <c r="A56" s="6" t="s">
        <v>7991</v>
      </c>
      <c r="B56" s="6" t="s">
        <v>378</v>
      </c>
      <c r="C56" s="6" t="s">
        <v>295</v>
      </c>
      <c r="D56" s="6" t="s">
        <v>7992</v>
      </c>
      <c r="E56" s="6" t="s">
        <v>380</v>
      </c>
      <c r="F56" s="6" t="s">
        <v>88</v>
      </c>
      <c r="G56" s="6">
        <v>11.25</v>
      </c>
      <c r="H56" s="6" t="s">
        <v>7870</v>
      </c>
      <c r="I56" s="6" t="s">
        <v>20</v>
      </c>
      <c r="J56" s="6">
        <v>2026.0</v>
      </c>
      <c r="L56" s="6">
        <v>1.0</v>
      </c>
    </row>
    <row r="57">
      <c r="A57" s="6" t="s">
        <v>7993</v>
      </c>
      <c r="B57" s="6" t="s">
        <v>1813</v>
      </c>
      <c r="C57" s="6" t="s">
        <v>1949</v>
      </c>
      <c r="D57" s="6" t="s">
        <v>7994</v>
      </c>
      <c r="F57" s="6" t="s">
        <v>80</v>
      </c>
      <c r="G57" s="6">
        <v>0.25</v>
      </c>
      <c r="H57" s="6" t="s">
        <v>7905</v>
      </c>
      <c r="I57" s="6" t="s">
        <v>20</v>
      </c>
      <c r="J57" s="6">
        <v>2026.0</v>
      </c>
      <c r="L57" s="6">
        <v>1.0</v>
      </c>
    </row>
    <row r="58">
      <c r="A58" s="6" t="s">
        <v>7995</v>
      </c>
      <c r="B58" s="6" t="s">
        <v>7939</v>
      </c>
      <c r="C58" s="6" t="s">
        <v>1897</v>
      </c>
      <c r="D58" s="6" t="s">
        <v>7996</v>
      </c>
      <c r="E58" s="6" t="s">
        <v>2754</v>
      </c>
      <c r="F58" s="6" t="s">
        <v>170</v>
      </c>
      <c r="G58" s="6">
        <v>2.6</v>
      </c>
      <c r="H58" s="6" t="s">
        <v>7870</v>
      </c>
      <c r="I58" s="6" t="s">
        <v>20</v>
      </c>
      <c r="J58" s="6">
        <v>2026.0</v>
      </c>
      <c r="K58" s="10">
        <v>46145.0</v>
      </c>
      <c r="L58" s="6">
        <v>1.0</v>
      </c>
    </row>
    <row r="59">
      <c r="A59" s="6" t="s">
        <v>7997</v>
      </c>
      <c r="B59" s="6" t="s">
        <v>1944</v>
      </c>
      <c r="C59" s="6" t="s">
        <v>1897</v>
      </c>
      <c r="D59" s="6" t="s">
        <v>7998</v>
      </c>
      <c r="E59" s="6" t="s">
        <v>2809</v>
      </c>
      <c r="F59" s="6" t="s">
        <v>88</v>
      </c>
      <c r="G59" s="6">
        <v>44.9</v>
      </c>
      <c r="H59" s="6" t="s">
        <v>7870</v>
      </c>
      <c r="I59" s="6" t="s">
        <v>20</v>
      </c>
      <c r="J59" s="6">
        <v>2026.0</v>
      </c>
      <c r="L59" s="6">
        <v>1.0</v>
      </c>
    </row>
    <row r="60">
      <c r="A60" s="6" t="s">
        <v>7999</v>
      </c>
      <c r="B60" s="6" t="s">
        <v>8000</v>
      </c>
      <c r="C60" s="6" t="s">
        <v>1897</v>
      </c>
      <c r="D60" s="6" t="s">
        <v>8001</v>
      </c>
      <c r="E60" s="6" t="s">
        <v>2358</v>
      </c>
      <c r="F60" s="6" t="s">
        <v>170</v>
      </c>
      <c r="G60" s="6">
        <v>2.5</v>
      </c>
      <c r="H60" s="6" t="s">
        <v>7870</v>
      </c>
      <c r="I60" s="6" t="s">
        <v>20</v>
      </c>
      <c r="J60" s="6">
        <v>2026.0</v>
      </c>
      <c r="K60" s="10">
        <v>46147.0</v>
      </c>
      <c r="L60" s="6">
        <v>1.0</v>
      </c>
    </row>
    <row r="61">
      <c r="A61" s="6" t="s">
        <v>8002</v>
      </c>
      <c r="B61" s="6" t="s">
        <v>1896</v>
      </c>
      <c r="C61" s="6" t="s">
        <v>1949</v>
      </c>
      <c r="D61" s="6" t="s">
        <v>7942</v>
      </c>
      <c r="E61" s="6" t="s">
        <v>1035</v>
      </c>
      <c r="F61" s="6" t="s">
        <v>80</v>
      </c>
      <c r="G61" s="6">
        <v>4.95</v>
      </c>
      <c r="H61" s="6" t="s">
        <v>7870</v>
      </c>
      <c r="I61" s="6" t="s">
        <v>20</v>
      </c>
      <c r="J61" s="6">
        <v>2026.0</v>
      </c>
      <c r="L61" s="6">
        <v>1.0</v>
      </c>
    </row>
    <row r="62">
      <c r="A62" s="6" t="s">
        <v>8003</v>
      </c>
      <c r="B62" s="6" t="s">
        <v>294</v>
      </c>
      <c r="C62" s="6" t="s">
        <v>1897</v>
      </c>
      <c r="D62" s="6" t="s">
        <v>8004</v>
      </c>
      <c r="F62" s="6" t="s">
        <v>3188</v>
      </c>
      <c r="G62" s="6">
        <v>3.0</v>
      </c>
      <c r="H62" s="6" t="s">
        <v>7870</v>
      </c>
      <c r="I62" s="6" t="s">
        <v>20</v>
      </c>
      <c r="J62" s="6">
        <v>2026.0</v>
      </c>
      <c r="L62" s="6">
        <v>1.0</v>
      </c>
    </row>
    <row r="63">
      <c r="A63" s="6" t="s">
        <v>8005</v>
      </c>
      <c r="B63" s="6" t="s">
        <v>8006</v>
      </c>
      <c r="C63" s="6" t="s">
        <v>1897</v>
      </c>
      <c r="D63" s="6" t="s">
        <v>8007</v>
      </c>
      <c r="E63" s="6" t="s">
        <v>2350</v>
      </c>
      <c r="F63" s="6" t="s">
        <v>170</v>
      </c>
      <c r="G63" s="6">
        <v>1.7</v>
      </c>
      <c r="H63" s="6" t="s">
        <v>7870</v>
      </c>
      <c r="I63" s="6" t="s">
        <v>20</v>
      </c>
      <c r="J63" s="6">
        <v>2026.0</v>
      </c>
      <c r="K63" s="10">
        <v>46082.0</v>
      </c>
      <c r="L63" s="6">
        <v>1.0</v>
      </c>
    </row>
    <row r="64">
      <c r="A64" s="6" t="s">
        <v>8008</v>
      </c>
      <c r="B64" s="6" t="s">
        <v>1896</v>
      </c>
      <c r="C64" s="6" t="s">
        <v>1949</v>
      </c>
      <c r="D64" s="6" t="s">
        <v>8009</v>
      </c>
      <c r="E64" s="6" t="s">
        <v>1032</v>
      </c>
      <c r="F64" s="6" t="s">
        <v>80</v>
      </c>
      <c r="G64" s="6">
        <v>8.45</v>
      </c>
      <c r="H64" s="6" t="s">
        <v>7870</v>
      </c>
      <c r="I64" s="6" t="s">
        <v>20</v>
      </c>
      <c r="J64" s="6">
        <v>2026.0</v>
      </c>
      <c r="L64" s="6">
        <v>1.0</v>
      </c>
    </row>
    <row r="65">
      <c r="A65" s="6" t="s">
        <v>8010</v>
      </c>
      <c r="B65" s="6" t="s">
        <v>385</v>
      </c>
      <c r="C65" s="6" t="s">
        <v>1897</v>
      </c>
      <c r="D65" s="6" t="s">
        <v>8011</v>
      </c>
      <c r="E65" s="6" t="s">
        <v>4526</v>
      </c>
      <c r="F65" s="6" t="s">
        <v>88</v>
      </c>
      <c r="G65" s="6">
        <v>5.49</v>
      </c>
      <c r="H65" s="6" t="s">
        <v>7870</v>
      </c>
      <c r="I65" s="6" t="s">
        <v>20</v>
      </c>
      <c r="J65" s="6">
        <v>2026.0</v>
      </c>
      <c r="L65" s="6">
        <v>1.0</v>
      </c>
    </row>
    <row r="66">
      <c r="A66" s="6" t="s">
        <v>8012</v>
      </c>
      <c r="B66" s="6" t="s">
        <v>2229</v>
      </c>
      <c r="C66" s="6" t="s">
        <v>1897</v>
      </c>
      <c r="D66" s="6" t="s">
        <v>8013</v>
      </c>
      <c r="E66" s="6" t="s">
        <v>1035</v>
      </c>
      <c r="F66" s="6" t="s">
        <v>80</v>
      </c>
      <c r="G66" s="6">
        <v>5.64</v>
      </c>
      <c r="H66" s="6" t="s">
        <v>7870</v>
      </c>
      <c r="I66" s="6" t="s">
        <v>20</v>
      </c>
      <c r="J66" s="6">
        <v>2026.0</v>
      </c>
      <c r="K66" s="10">
        <v>46024.0</v>
      </c>
      <c r="L66" s="6">
        <v>1.0</v>
      </c>
    </row>
    <row r="67">
      <c r="A67" s="6" t="s">
        <v>8014</v>
      </c>
      <c r="B67" s="6" t="s">
        <v>294</v>
      </c>
      <c r="C67" s="6" t="s">
        <v>1897</v>
      </c>
      <c r="D67" s="6" t="s">
        <v>8015</v>
      </c>
      <c r="F67" s="6" t="s">
        <v>3188</v>
      </c>
      <c r="G67" s="6">
        <v>44.95</v>
      </c>
      <c r="H67" s="6" t="s">
        <v>7870</v>
      </c>
      <c r="I67" s="6" t="s">
        <v>20</v>
      </c>
      <c r="J67" s="6">
        <v>2026.0</v>
      </c>
      <c r="L67" s="6">
        <v>1.0</v>
      </c>
    </row>
    <row r="68">
      <c r="A68" s="6" t="s">
        <v>8016</v>
      </c>
      <c r="B68" s="6" t="s">
        <v>8017</v>
      </c>
      <c r="C68" s="6" t="s">
        <v>1897</v>
      </c>
      <c r="D68" s="6" t="s">
        <v>8018</v>
      </c>
      <c r="E68" s="6" t="s">
        <v>4321</v>
      </c>
      <c r="F68" s="6" t="s">
        <v>88</v>
      </c>
      <c r="G68" s="6">
        <v>6.3</v>
      </c>
      <c r="H68" s="6" t="s">
        <v>7870</v>
      </c>
      <c r="I68" s="6" t="s">
        <v>20</v>
      </c>
      <c r="J68" s="6">
        <v>2026.0</v>
      </c>
      <c r="K68" s="10">
        <v>46179.0</v>
      </c>
      <c r="L68" s="6">
        <v>1.0</v>
      </c>
    </row>
    <row r="69">
      <c r="A69" s="6" t="s">
        <v>8019</v>
      </c>
      <c r="B69" s="6" t="s">
        <v>294</v>
      </c>
      <c r="C69" s="6" t="s">
        <v>1897</v>
      </c>
      <c r="D69" s="6" t="s">
        <v>8020</v>
      </c>
      <c r="F69" s="6" t="s">
        <v>3196</v>
      </c>
      <c r="G69" s="6">
        <v>4.25</v>
      </c>
      <c r="H69" s="6" t="s">
        <v>7870</v>
      </c>
      <c r="I69" s="6" t="s">
        <v>20</v>
      </c>
      <c r="J69" s="6">
        <v>2026.0</v>
      </c>
      <c r="L69" s="6">
        <v>1.0</v>
      </c>
    </row>
    <row r="70">
      <c r="A70" s="6" t="s">
        <v>8021</v>
      </c>
      <c r="B70" s="6" t="s">
        <v>1944</v>
      </c>
      <c r="C70" s="6" t="s">
        <v>1949</v>
      </c>
      <c r="D70" s="6" t="s">
        <v>8022</v>
      </c>
      <c r="E70" s="6" t="s">
        <v>4288</v>
      </c>
      <c r="F70" s="6" t="s">
        <v>88</v>
      </c>
      <c r="G70" s="6">
        <v>3.5</v>
      </c>
      <c r="H70" s="6" t="s">
        <v>7870</v>
      </c>
      <c r="I70" s="6" t="s">
        <v>20</v>
      </c>
      <c r="J70" s="6">
        <v>2026.0</v>
      </c>
      <c r="L70" s="6">
        <v>1.0</v>
      </c>
    </row>
    <row r="71">
      <c r="A71" s="6" t="s">
        <v>8023</v>
      </c>
      <c r="B71" s="6" t="s">
        <v>4936</v>
      </c>
      <c r="C71" s="6" t="s">
        <v>1897</v>
      </c>
      <c r="D71" s="6" t="s">
        <v>8024</v>
      </c>
      <c r="E71" s="6" t="s">
        <v>2318</v>
      </c>
      <c r="F71" s="6" t="s">
        <v>88</v>
      </c>
      <c r="G71" s="6">
        <v>5.25</v>
      </c>
      <c r="H71" s="6" t="s">
        <v>7870</v>
      </c>
      <c r="I71" s="6" t="s">
        <v>20</v>
      </c>
      <c r="J71" s="6">
        <v>2026.0</v>
      </c>
      <c r="K71" s="10">
        <v>46113.0</v>
      </c>
      <c r="L71" s="6">
        <v>1.0</v>
      </c>
    </row>
    <row r="72">
      <c r="A72" s="6" t="s">
        <v>8025</v>
      </c>
      <c r="B72" s="6" t="s">
        <v>7944</v>
      </c>
      <c r="C72" s="6" t="s">
        <v>1949</v>
      </c>
      <c r="D72" s="6" t="s">
        <v>8026</v>
      </c>
      <c r="E72" s="6" t="s">
        <v>2342</v>
      </c>
      <c r="F72" s="6" t="s">
        <v>170</v>
      </c>
      <c r="G72" s="6">
        <v>0.22</v>
      </c>
      <c r="H72" s="6" t="s">
        <v>7905</v>
      </c>
      <c r="I72" s="6" t="s">
        <v>31</v>
      </c>
      <c r="J72" s="6">
        <v>2026.0</v>
      </c>
      <c r="K72" s="10">
        <v>46055.0</v>
      </c>
      <c r="L72" s="6">
        <v>1.0</v>
      </c>
    </row>
    <row r="73">
      <c r="A73" s="6" t="s">
        <v>8027</v>
      </c>
      <c r="B73" s="6" t="s">
        <v>7939</v>
      </c>
      <c r="C73" s="6" t="s">
        <v>1897</v>
      </c>
      <c r="D73" s="6" t="s">
        <v>8028</v>
      </c>
      <c r="E73" s="6" t="s">
        <v>2326</v>
      </c>
      <c r="F73" s="6" t="s">
        <v>88</v>
      </c>
      <c r="G73" s="6">
        <v>13.0</v>
      </c>
      <c r="H73" s="6" t="s">
        <v>7870</v>
      </c>
      <c r="I73" s="6" t="s">
        <v>20</v>
      </c>
      <c r="J73" s="6">
        <v>2026.0</v>
      </c>
      <c r="K73" s="10">
        <v>46055.0</v>
      </c>
      <c r="L73" s="6">
        <v>1.0</v>
      </c>
    </row>
    <row r="74">
      <c r="A74" s="6" t="s">
        <v>8029</v>
      </c>
      <c r="B74" s="6" t="s">
        <v>7967</v>
      </c>
      <c r="C74" s="6" t="s">
        <v>1897</v>
      </c>
      <c r="D74" s="6" t="s">
        <v>8030</v>
      </c>
      <c r="F74" s="6" t="s">
        <v>3188</v>
      </c>
      <c r="G74" s="6">
        <v>5.0</v>
      </c>
      <c r="H74" s="6" t="s">
        <v>7870</v>
      </c>
      <c r="I74" s="6" t="s">
        <v>20</v>
      </c>
      <c r="J74" s="6">
        <v>2026.0</v>
      </c>
      <c r="L74" s="6">
        <v>1.0</v>
      </c>
    </row>
    <row r="75">
      <c r="A75" s="6" t="s">
        <v>8031</v>
      </c>
      <c r="B75" s="6" t="s">
        <v>7868</v>
      </c>
      <c r="C75" s="6" t="s">
        <v>1949</v>
      </c>
      <c r="D75" s="6" t="s">
        <v>8032</v>
      </c>
      <c r="E75" s="6" t="s">
        <v>1743</v>
      </c>
      <c r="F75" s="6" t="s">
        <v>152</v>
      </c>
      <c r="G75" s="6">
        <v>0.17</v>
      </c>
      <c r="H75" s="6" t="s">
        <v>7905</v>
      </c>
      <c r="I75" s="6" t="s">
        <v>20</v>
      </c>
      <c r="J75" s="6">
        <v>2026.0</v>
      </c>
      <c r="K75" s="10">
        <v>46055.0</v>
      </c>
      <c r="L75" s="6">
        <v>1.0</v>
      </c>
    </row>
    <row r="76">
      <c r="A76" s="6" t="s">
        <v>8033</v>
      </c>
      <c r="B76" s="6" t="s">
        <v>1896</v>
      </c>
      <c r="C76" s="6" t="s">
        <v>1949</v>
      </c>
      <c r="D76" s="6" t="s">
        <v>8034</v>
      </c>
      <c r="E76" s="6" t="s">
        <v>1035</v>
      </c>
      <c r="F76" s="6" t="s">
        <v>3188</v>
      </c>
      <c r="G76" s="6">
        <v>3.56</v>
      </c>
      <c r="H76" s="6" t="s">
        <v>7870</v>
      </c>
      <c r="I76" s="6" t="s">
        <v>20</v>
      </c>
      <c r="J76" s="6">
        <v>2026.0</v>
      </c>
      <c r="L76" s="6">
        <v>1.0</v>
      </c>
    </row>
    <row r="77">
      <c r="A77" s="6" t="s">
        <v>8035</v>
      </c>
      <c r="B77" s="6" t="s">
        <v>7989</v>
      </c>
      <c r="C77" s="6" t="s">
        <v>1897</v>
      </c>
      <c r="D77" s="6" t="s">
        <v>8036</v>
      </c>
      <c r="F77" s="6" t="s">
        <v>3183</v>
      </c>
      <c r="G77" s="6">
        <v>1.3</v>
      </c>
      <c r="H77" s="6" t="s">
        <v>7870</v>
      </c>
      <c r="I77" s="6" t="s">
        <v>20</v>
      </c>
      <c r="J77" s="6">
        <v>2026.0</v>
      </c>
      <c r="L77" s="6">
        <v>1.0</v>
      </c>
    </row>
    <row r="78">
      <c r="A78" s="6" t="s">
        <v>8037</v>
      </c>
      <c r="B78" s="6" t="s">
        <v>294</v>
      </c>
      <c r="C78" s="6" t="s">
        <v>1897</v>
      </c>
      <c r="D78" s="6" t="s">
        <v>8038</v>
      </c>
      <c r="F78" s="6" t="s">
        <v>80</v>
      </c>
      <c r="G78" s="6">
        <v>19.25</v>
      </c>
      <c r="H78" s="6" t="s">
        <v>7870</v>
      </c>
      <c r="I78" s="6" t="s">
        <v>20</v>
      </c>
      <c r="J78" s="6">
        <v>2026.0</v>
      </c>
      <c r="L78" s="6">
        <v>1.0</v>
      </c>
    </row>
    <row r="79">
      <c r="A79" s="6" t="s">
        <v>8039</v>
      </c>
      <c r="B79" s="6" t="s">
        <v>1952</v>
      </c>
      <c r="C79" s="6" t="s">
        <v>1949</v>
      </c>
      <c r="D79" s="6" t="s">
        <v>8040</v>
      </c>
      <c r="E79" s="6" t="s">
        <v>1035</v>
      </c>
      <c r="F79" s="6" t="s">
        <v>80</v>
      </c>
      <c r="G79" s="6">
        <v>0.35</v>
      </c>
      <c r="H79" s="6" t="s">
        <v>7870</v>
      </c>
      <c r="I79" s="6" t="s">
        <v>20</v>
      </c>
      <c r="J79" s="6">
        <v>2026.0</v>
      </c>
      <c r="L79" s="6">
        <v>1.0</v>
      </c>
    </row>
    <row r="80">
      <c r="A80" s="6" t="s">
        <v>8041</v>
      </c>
      <c r="B80" s="6" t="s">
        <v>7874</v>
      </c>
      <c r="C80" s="6" t="s">
        <v>1897</v>
      </c>
      <c r="D80" s="6" t="s">
        <v>8042</v>
      </c>
      <c r="E80" s="6" t="s">
        <v>1838</v>
      </c>
      <c r="F80" s="6" t="s">
        <v>152</v>
      </c>
      <c r="G80" s="6">
        <v>3.4</v>
      </c>
      <c r="H80" s="6" t="s">
        <v>7870</v>
      </c>
      <c r="I80" s="6" t="s">
        <v>20</v>
      </c>
      <c r="J80" s="6">
        <v>2026.0</v>
      </c>
      <c r="K80" s="10">
        <v>46145.0</v>
      </c>
      <c r="L80" s="6">
        <v>1.0</v>
      </c>
    </row>
    <row r="81">
      <c r="A81" s="6" t="s">
        <v>8043</v>
      </c>
      <c r="B81" s="6" t="s">
        <v>610</v>
      </c>
      <c r="C81" s="6" t="s">
        <v>1897</v>
      </c>
      <c r="D81" s="6" t="s">
        <v>8044</v>
      </c>
      <c r="E81" s="6" t="s">
        <v>1761</v>
      </c>
      <c r="F81" s="6" t="s">
        <v>152</v>
      </c>
      <c r="G81" s="6">
        <v>11.0</v>
      </c>
      <c r="H81" s="6" t="s">
        <v>7870</v>
      </c>
      <c r="I81" s="6" t="s">
        <v>20</v>
      </c>
      <c r="J81" s="6">
        <v>2026.0</v>
      </c>
      <c r="L81" s="6">
        <v>1.0</v>
      </c>
    </row>
    <row r="82">
      <c r="A82" s="6" t="s">
        <v>8045</v>
      </c>
      <c r="B82" s="6" t="s">
        <v>1896</v>
      </c>
      <c r="C82" s="6" t="s">
        <v>1949</v>
      </c>
      <c r="D82" s="6" t="s">
        <v>8046</v>
      </c>
      <c r="E82" s="6" t="s">
        <v>1035</v>
      </c>
      <c r="F82" s="6" t="s">
        <v>3196</v>
      </c>
      <c r="G82" s="6">
        <v>8.91</v>
      </c>
      <c r="H82" s="6" t="s">
        <v>7870</v>
      </c>
      <c r="I82" s="6" t="s">
        <v>20</v>
      </c>
      <c r="J82" s="6">
        <v>2026.0</v>
      </c>
      <c r="L82" s="6">
        <v>1.0</v>
      </c>
    </row>
    <row r="83">
      <c r="A83" s="6" t="s">
        <v>8047</v>
      </c>
      <c r="B83" s="6" t="s">
        <v>610</v>
      </c>
      <c r="C83" s="6" t="s">
        <v>1897</v>
      </c>
      <c r="D83" s="6" t="s">
        <v>8048</v>
      </c>
      <c r="E83" s="6" t="s">
        <v>1743</v>
      </c>
      <c r="F83" s="6" t="s">
        <v>152</v>
      </c>
      <c r="G83" s="6">
        <v>22.0</v>
      </c>
      <c r="H83" s="6" t="s">
        <v>7870</v>
      </c>
      <c r="I83" s="6" t="s">
        <v>20</v>
      </c>
      <c r="J83" s="6">
        <v>2026.0</v>
      </c>
      <c r="L83" s="6">
        <v>1.0</v>
      </c>
    </row>
    <row r="84">
      <c r="A84" s="6" t="s">
        <v>8049</v>
      </c>
      <c r="B84" s="6" t="s">
        <v>610</v>
      </c>
      <c r="C84" s="6" t="s">
        <v>1897</v>
      </c>
      <c r="D84" s="6" t="s">
        <v>8050</v>
      </c>
      <c r="E84" s="6" t="s">
        <v>2444</v>
      </c>
      <c r="F84" s="6" t="s">
        <v>152</v>
      </c>
      <c r="G84" s="6">
        <v>7.9</v>
      </c>
      <c r="H84" s="6" t="s">
        <v>7870</v>
      </c>
      <c r="I84" s="6" t="s">
        <v>20</v>
      </c>
      <c r="J84" s="6">
        <v>2026.0</v>
      </c>
      <c r="L84" s="6">
        <v>1.0</v>
      </c>
    </row>
    <row r="85">
      <c r="A85" s="6" t="s">
        <v>8051</v>
      </c>
      <c r="B85" s="6" t="s">
        <v>1896</v>
      </c>
      <c r="C85" s="6" t="s">
        <v>1949</v>
      </c>
      <c r="D85" s="6" t="s">
        <v>8052</v>
      </c>
      <c r="E85" s="6" t="s">
        <v>1269</v>
      </c>
      <c r="F85" s="6" t="s">
        <v>80</v>
      </c>
      <c r="G85" s="6">
        <v>8.82</v>
      </c>
      <c r="H85" s="6" t="s">
        <v>7870</v>
      </c>
      <c r="I85" s="6" t="s">
        <v>20</v>
      </c>
      <c r="J85" s="6">
        <v>2026.0</v>
      </c>
      <c r="L85" s="6">
        <v>1.0</v>
      </c>
    </row>
    <row r="86">
      <c r="A86" s="6" t="s">
        <v>8053</v>
      </c>
      <c r="B86" s="6" t="s">
        <v>8054</v>
      </c>
      <c r="C86" s="6" t="s">
        <v>1897</v>
      </c>
      <c r="D86" s="6" t="s">
        <v>8055</v>
      </c>
      <c r="E86" s="6" t="s">
        <v>2426</v>
      </c>
      <c r="F86" s="6" t="s">
        <v>152</v>
      </c>
      <c r="G86" s="6">
        <v>3.3</v>
      </c>
      <c r="H86" s="6" t="s">
        <v>7870</v>
      </c>
      <c r="I86" s="6" t="s">
        <v>20</v>
      </c>
      <c r="J86" s="6">
        <v>2026.0</v>
      </c>
      <c r="K86" s="10">
        <v>46084.0</v>
      </c>
      <c r="L86" s="6">
        <v>1.0</v>
      </c>
    </row>
    <row r="87">
      <c r="A87" s="6" t="s">
        <v>8056</v>
      </c>
      <c r="B87" s="6" t="s">
        <v>8057</v>
      </c>
      <c r="C87" s="6" t="s">
        <v>1897</v>
      </c>
      <c r="D87" s="6" t="s">
        <v>8058</v>
      </c>
      <c r="E87" s="6" t="s">
        <v>1779</v>
      </c>
      <c r="F87" s="6" t="s">
        <v>152</v>
      </c>
      <c r="G87" s="6">
        <v>6.25</v>
      </c>
      <c r="H87" s="6" t="s">
        <v>7870</v>
      </c>
      <c r="I87" s="6" t="s">
        <v>20</v>
      </c>
      <c r="J87" s="6">
        <v>2026.0</v>
      </c>
      <c r="K87" s="10">
        <v>46054.0</v>
      </c>
      <c r="L87" s="6">
        <v>1.0</v>
      </c>
    </row>
    <row r="88">
      <c r="A88" s="6" t="s">
        <v>8059</v>
      </c>
      <c r="B88" s="6" t="s">
        <v>7874</v>
      </c>
      <c r="C88" s="6" t="s">
        <v>1949</v>
      </c>
      <c r="D88" s="6" t="s">
        <v>8060</v>
      </c>
      <c r="E88" s="6" t="s">
        <v>6451</v>
      </c>
      <c r="F88" s="6" t="s">
        <v>3183</v>
      </c>
      <c r="G88" s="6">
        <v>1.25</v>
      </c>
      <c r="H88" s="6" t="s">
        <v>7905</v>
      </c>
      <c r="I88" s="6" t="s">
        <v>20</v>
      </c>
      <c r="J88" s="6">
        <v>2026.0</v>
      </c>
      <c r="K88" s="10">
        <v>46115.0</v>
      </c>
      <c r="L88" s="6">
        <v>1.0</v>
      </c>
    </row>
    <row r="89">
      <c r="A89" s="6" t="s">
        <v>8061</v>
      </c>
      <c r="B89" s="6" t="s">
        <v>385</v>
      </c>
      <c r="C89" s="6" t="s">
        <v>1897</v>
      </c>
      <c r="D89" s="6" t="s">
        <v>8062</v>
      </c>
      <c r="E89" s="6" t="s">
        <v>1802</v>
      </c>
      <c r="F89" s="6" t="s">
        <v>152</v>
      </c>
      <c r="G89" s="6">
        <v>2.5</v>
      </c>
      <c r="H89" s="6" t="s">
        <v>7870</v>
      </c>
      <c r="I89" s="6" t="s">
        <v>20</v>
      </c>
      <c r="J89" s="6">
        <v>2026.0</v>
      </c>
      <c r="L89" s="6">
        <v>1.0</v>
      </c>
    </row>
    <row r="90">
      <c r="A90" s="6" t="s">
        <v>8063</v>
      </c>
      <c r="B90" s="6" t="s">
        <v>1896</v>
      </c>
      <c r="C90" s="6" t="s">
        <v>1949</v>
      </c>
      <c r="D90" s="6" t="s">
        <v>8064</v>
      </c>
      <c r="E90" s="6" t="s">
        <v>1032</v>
      </c>
      <c r="F90" s="6" t="s">
        <v>80</v>
      </c>
      <c r="G90" s="6">
        <v>19.94</v>
      </c>
      <c r="H90" s="6" t="s">
        <v>7870</v>
      </c>
      <c r="I90" s="6" t="s">
        <v>20</v>
      </c>
      <c r="J90" s="6">
        <v>2026.0</v>
      </c>
      <c r="L90" s="6">
        <v>1.0</v>
      </c>
    </row>
  </sheetData>
  <drawing r:id="rId1"/>
</worksheet>
</file>