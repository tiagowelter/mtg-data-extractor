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vulsas" sheetId="1" r:id="rId5"/>
    <sheet state="visible" name="CMDAssemble" sheetId="2" r:id="rId6"/>
  </sheets>
  <definedNames/>
  <calcPr/>
</workbook>
</file>

<file path=xl/sharedStrings.xml><?xml version="1.0" encoding="utf-8"?>
<sst xmlns="http://schemas.openxmlformats.org/spreadsheetml/2006/main" count="17569" uniqueCount="5506">
  <si>
    <t>Nome</t>
  </si>
  <si>
    <t>Tipo</t>
  </si>
  <si>
    <t>Raridade</t>
  </si>
  <si>
    <t>Descrição magia</t>
  </si>
  <si>
    <t>Custo mana</t>
  </si>
  <si>
    <t>Cor(cores)</t>
  </si>
  <si>
    <t>Preço minimo</t>
  </si>
  <si>
    <t>Coleção</t>
  </si>
  <si>
    <t>É foil?</t>
  </si>
  <si>
    <t>Ano</t>
  </si>
  <si>
    <t>Poder</t>
  </si>
  <si>
    <t>Qtd</t>
  </si>
  <si>
    <t>Total</t>
  </si>
  <si>
    <t>Panóplia da Natureza</t>
  </si>
  <si>
    <t>Mágica Instantânea</t>
  </si>
  <si>
    <t>Comum</t>
  </si>
  <si>
    <t>Esforço — Panóplia da Natureza custa 2G a mais para ser conjurado para cada alvo além do primeiro. Escolha qualquer número de criaturas alvo. Coloque um marcador +1/+1 em cada uma delas.</t>
  </si>
  <si>
    <t>G</t>
  </si>
  <si>
    <t>Verde</t>
  </si>
  <si>
    <t>Journey into Nyx</t>
  </si>
  <si>
    <t>Não</t>
  </si>
  <si>
    <t>Entregar ao Pó</t>
  </si>
  <si>
    <t>Incomum</t>
  </si>
  <si>
    <t>Esforço — Entregar ao Pó custa 2G a mais para ser conjurado para cada alvo além do primeiro. Destrua qualquer número de artefatos e/ou encantamentos alvo.</t>
  </si>
  <si>
    <t>2G</t>
  </si>
  <si>
    <t>Heróis Colossais</t>
  </si>
  <si>
    <t>Esforço — Heróis Colossais custa 1G a mais para ser conjurado para cada alvo além do primeiro. Qualquer número de criaturas alvo recebe +2/+2 até o final do turno. Desvire aquelas criaturas.</t>
  </si>
  <si>
    <t>Humilhador de Mortais</t>
  </si>
  <si>
    <t>Criatura Encantamento — Elemental</t>
  </si>
  <si>
    <t>Constelação — Toda vez que Humilhador de Mortais ou outro encantamento entra no campo de batalha sob seu controle, as criaturas que você controla ganham atropelar até o final do turno.</t>
  </si>
  <si>
    <t>4GG</t>
  </si>
  <si>
    <t>Sim</t>
  </si>
  <si>
    <t>Festival do Mercado</t>
  </si>
  <si>
    <t>Encantamento — Aura</t>
  </si>
  <si>
    <t>Encantar terreno Toda vez que o terreno encantado é virado para gerar mana, seu controlador adiciona dois manas de qualquer combinação de cores à sua reserva de mana (além do mana que o terreno gera).</t>
  </si>
  <si>
    <t>3G</t>
  </si>
  <si>
    <t>Ciclope Glutão</t>
  </si>
  <si>
    <t>Criatura — Ciclope</t>
  </si>
  <si>
    <t>5RR: Monstruosidade 3. (Se esta criatura não for monstruosa, coloque três marcadores +1/+1 nela e ela se tornará monstruosa.)</t>
  </si>
  <si>
    <t>5R</t>
  </si>
  <si>
    <t>Vermelha</t>
  </si>
  <si>
    <t>Enigma do Relâmpago</t>
  </si>
  <si>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</si>
  <si>
    <t>3RR</t>
  </si>
  <si>
    <t>Javali Presa de Navalha</t>
  </si>
  <si>
    <t>Criatura — Javali</t>
  </si>
  <si>
    <t>Intimidar (Esta criatura só pode ser bloqueada por criaturas artefato e/ou criaturas que compartilhem uma cor com ela.)</t>
  </si>
  <si>
    <t>3R</t>
  </si>
  <si>
    <t>Incitar a Turba</t>
  </si>
  <si>
    <t>Esforço — Incitar a Turba custa 2R a mais para ser conjurado para cada alvo além do primeiro. Qualquer número de criaturas alvo recebe +2/+0 e ganha atropelar até o final do turno.</t>
  </si>
  <si>
    <t>R</t>
  </si>
  <si>
    <t>Lagarto Rúnico</t>
  </si>
  <si>
    <t>Criatura — Lagarto</t>
  </si>
  <si>
    <t>Toda vez que Lagarto Rúnico atacar, use vidência 1. (Olhe o card do topo de seu grimório. Você pode colocar aquele card no fundo de seu grimório.)</t>
  </si>
  <si>
    <t>1R</t>
  </si>
  <si>
    <t>Minotauro Pensativo</t>
  </si>
  <si>
    <t>Criatura — Minotauro Guerreiro</t>
  </si>
  <si>
    <t>A Campeã e seus companheiros marcharam durante a noite, mas a batalha terminou antes que chegassem. Em meio à carnificina, estava sentado um solitário minotauro, perdido no que pareciam ser pensamentos para a Campeã. — A Teríada</t>
  </si>
  <si>
    <t>2R</t>
  </si>
  <si>
    <t>Chuva de Estrelas</t>
  </si>
  <si>
    <t>Chuva de Estrelas causa 3 pontos de dano à criatura alvo. Se aquela criatura for um encantamento, Chuva de Estrelas causará 3 pontos de dano ao controlador daquela criatura.</t>
  </si>
  <si>
    <t>4R</t>
  </si>
  <si>
    <t>Fonte da Ira</t>
  </si>
  <si>
    <t>Encantamento</t>
  </si>
  <si>
    <t>3R, Sacrifique Fonte da Ira: Fonte da Ira causa 5 pontos de dano ao jogador alvo.</t>
  </si>
  <si>
    <t>Esguicho de Magma</t>
  </si>
  <si>
    <t>Esguicho de Magma causa 2 pontos de dano à criatura alvo. Se aquela criatura for morrer neste turno, em vez disso, exile-a.</t>
  </si>
  <si>
    <t>Comoção de Chifres</t>
  </si>
  <si>
    <t>Feitiço</t>
  </si>
  <si>
    <t>Coloque no campo de batalha duas fichas de criatura vermelhas 2/3 do tipo Minotauro com ímpeto.</t>
  </si>
  <si>
    <t>Vontade do Flamividente</t>
  </si>
  <si>
    <t>Encantar criatura que você controla A criatura encantada recebe +1/+1. Toda vez que a criatura encantada causa dano de combate a um jogador, você pode sacrificar Vontade do Flamividente. Se fizer isso, destrua o artefato alvo.</t>
  </si>
  <si>
    <t>Diadema de Raios</t>
  </si>
  <si>
    <t>Encantar criatura Quando Diadema de Raios entra no campo de batalha, ele causa 2 pontos de dano à criatura ou jogador alvo. A criatura encantada recebe +2/+2.</t>
  </si>
  <si>
    <t>Hoplita Sátiro</t>
  </si>
  <si>
    <t>Criatura — Sátiro Soldado</t>
  </si>
  <si>
    <t>Heroico — Toda vez que você conjurar uma mágica cujo alvo seja Hoplita Sátiro, coloque um marcador +1/+1 em Hoplita Sátiro.</t>
  </si>
  <si>
    <t>Sentinela Forjada em Ouro</t>
  </si>
  <si>
    <t>Criatura Artefato — Quimera</t>
  </si>
  <si>
    <t>Voar</t>
  </si>
  <si>
    <t>Incolor</t>
  </si>
  <si>
    <t>Alojamento do Desertor</t>
  </si>
  <si>
    <t>Artefato</t>
  </si>
  <si>
    <t>Você pode escolher não desvirar Alojamento do Desertor durante sua etapa de desvirar. 6, {T}: Vire a criatura alvo. Ela não será desvirada durante a etapa de desvirar de seu controlador enquanto Alojamento do Desertor permanecer virado.</t>
  </si>
  <si>
    <t>Estrela-do-mar Rúnica</t>
  </si>
  <si>
    <t>Criatura — Estrela-do-mar</t>
  </si>
  <si>
    <t>{T}: Vidência 1. (Olhe o card do topo de seu grimório. Você pode colocar aquele card no fundo de seu grimório.)</t>
  </si>
  <si>
    <t>1U</t>
  </si>
  <si>
    <t>Azul</t>
  </si>
  <si>
    <t>0/3</t>
  </si>
  <si>
    <t>Devoradora de Tassa</t>
  </si>
  <si>
    <t>Constelação — Toda vez que Devoradora de Tassa ou outro encantamento entra no campo de batalha sob o seu controle, o jogador alvo coloca os dois cards do topo do grimório dele no próprio cemitério.</t>
  </si>
  <si>
    <t>4U</t>
  </si>
  <si>
    <t>Polvo Caçador de Deuses</t>
  </si>
  <si>
    <t>Criatura — Polvo</t>
  </si>
  <si>
    <t>Polvo Caçador de Deuses não pode atacar a menos que o jogador defensor controle um encantamento ou uma permanente encantada.</t>
  </si>
  <si>
    <t>5U</t>
  </si>
  <si>
    <t>Cravar na Terra</t>
  </si>
  <si>
    <t>Encantar criatura A criatura encantada recebe -6/-0.</t>
  </si>
  <si>
    <t>Ladrão Ousado</t>
  </si>
  <si>
    <t>Criatura — Humano Ladino</t>
  </si>
  <si>
    <t>Rara</t>
  </si>
  <si>
    <t>Inspirado — Toda vez que Ladrão Ousado é desvirado, você pode permutar o controle de uma permanente alvo que não seja terreno sob seu controle por uma permanente alvo sob o controle de um oponente que tenha o mesmo tipo de card.</t>
  </si>
  <si>
    <t>2U</t>
  </si>
  <si>
    <t>Battlefield Thaumaturge / Taumaturgo da Batalha</t>
  </si>
  <si>
    <t>Criatura — Humano Mago</t>
  </si>
  <si>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</si>
  <si>
    <t>Flagelo das Frotas</t>
  </si>
  <si>
    <t>Criatura — Kraken</t>
  </si>
  <si>
    <t>Quando Flagelo das Frotas entrar no campo de batalha, devolva cada criatura controlada pelos seus oponentes com resistência X ou menos para a mão de seu dono, sendo X o número de Ilhas que você controla.</t>
  </si>
  <si>
    <t>5UU</t>
  </si>
  <si>
    <t>Formação Aérea</t>
  </si>
  <si>
    <t>Esforço — Formação Aérea custa 2U a mais para ser conjurado para cada alvo além do primeiro. Qualquer número de criaturas alvo recebe +1/+1 e ganha voar até o final do turno.</t>
  </si>
  <si>
    <t>U</t>
  </si>
  <si>
    <t>Talassido Vigia-costa</t>
  </si>
  <si>
    <t>Criatura — Tritão Ladino</t>
  </si>
  <si>
    <t>Talassido Vigia-costa não pode ser bloqueado.</t>
  </si>
  <si>
    <t>Hubris / Arrogância</t>
  </si>
  <si>
    <t>Devolva a criatura alvo e todas as Auras anexadas a ela para as mãos de seus donos.</t>
  </si>
  <si>
    <t>Font of Fortunes / Fonte das Fortunas</t>
  </si>
  <si>
    <t>1U, Sacrifique Fonte das Fortunas: Compre dois cards.</t>
  </si>
  <si>
    <t>Cloaked Siren / Sirena Camuflada</t>
  </si>
  <si>
    <t>Criatura — Sirena</t>
  </si>
  <si>
    <t>Lampejo (Você poderá conjurar esta mágica a qualquer momento em que puder conjurar uma mágica instantânea.) Voar</t>
  </si>
  <si>
    <t>3U</t>
  </si>
  <si>
    <t>Interpret the Signs / Interpretar os Sinais</t>
  </si>
  <si>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</si>
  <si>
    <t>Countermand / Contra-ordem</t>
  </si>
  <si>
    <t>Anule a mágica alvo. Seu controlador coloca os quatro cards do topo do grimório dele no próprio cemitério.</t>
  </si>
  <si>
    <t>2UU</t>
  </si>
  <si>
    <t>Crystalline Nautilus / Náutilo Cristalino</t>
  </si>
  <si>
    <t>Criatura Encantamento — Náutilo</t>
  </si>
  <si>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</si>
  <si>
    <t>War-Wing Siren / Sirena Asa-de-guerra</t>
  </si>
  <si>
    <t>Criatura — Sirena Soldado</t>
  </si>
  <si>
    <t>Voar Heroico — Toda vez que você conjura uma mágica cujo alvo seja Sirena Asa-de-guerra, coloque um marcador +1/+1 em Sirena Asa-de-guerra.</t>
  </si>
  <si>
    <t>Hour of Need / Hora da Necessidade</t>
  </si>
  <si>
    <t>Esforço — Hora da Necessidade custa 1U a mais para ser conjurado para cada alvo além do primeiro. Exile qualquer número de criaturas alvo. Para cada criatura exilada desta forma, seu controlador coloca no campo de batalha uma ficha de criatura 4/4 azul do tipo Esfinge com voar.</t>
  </si>
  <si>
    <t>Whitewater Naiads / Náiades das Corredeiras</t>
  </si>
  <si>
    <t>Criatura Encantamento — Ninfa</t>
  </si>
  <si>
    <t>Constelação — Toda vez que Náiades das Corredeiras ou outro encantamento entrar no campo de batalha sob seu controle, a criatura alvo não poderá ser bloqueada neste turno.</t>
  </si>
  <si>
    <t>3UU</t>
  </si>
  <si>
    <t>Triton Cavalry / Cavalaria Talassida</t>
  </si>
  <si>
    <t>Criatura — Tritão Soldado</t>
  </si>
  <si>
    <t>Heroico — Toda vez que você conjura uma mágica cujo alvo seja Cavalaria Talassida, você poderá devolver o encantamento alvo para a mão de seu dono.</t>
  </si>
  <si>
    <t>Kiora's Dismissal / Exoneração de Kiora</t>
  </si>
  <si>
    <t>Esforço — Exoneração de Kiora custa U a mais para ser conjurado para cada alvo além do primeiro. Devolva qualquer número de encantamentos alvo para as mãos de seus donos.</t>
  </si>
  <si>
    <t>Godsend / Mensageira dos Deuses</t>
  </si>
  <si>
    <t>Artefato Lendário — Equipamento</t>
  </si>
  <si>
    <t>Mítica</t>
  </si>
  <si>
    <t>A criatura equipada recebe +3/+3. Toda vez que a criatura equipada bloquear ou for bloqueada por uma ou mais criaturas, você poderá exilar uma daquelas criaturas. Os oponentes não podem conjurar cards com o mesmo nome de cards exilados por Mensageira dos Deuses. Equipar 3</t>
  </si>
  <si>
    <t>1WW</t>
  </si>
  <si>
    <t>Branco</t>
  </si>
  <si>
    <t>Kruphix, God of Horizons / Crufix, Deus dos Horizontes</t>
  </si>
  <si>
    <t>Criatura Encantamento Lendária — Deus</t>
  </si>
  <si>
    <t>Indestrutível Enquanto sua devoção ao verde e ao azul for menor que sete, Crufix não será uma criatura. Não há limite para o número máximo de cards em sua mão. Se o mana não usado for ser esvaziado da sua reserva de mana, em vez disso, aquele mana se tornará incolor.</t>
  </si>
  <si>
    <t>3GU</t>
  </si>
  <si>
    <t>Multicolorido</t>
  </si>
  <si>
    <t>Pharika, God of Affliction / Fárica, Deusa do Padecimento</t>
  </si>
  <si>
    <t>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</si>
  <si>
    <t>1BG</t>
  </si>
  <si>
    <t>Athreos, God of Passage / Athreos, Deus da Passagem</t>
  </si>
  <si>
    <t>Indestrutível Enquanto sua devoção ao branco e ao preto for menor que sete, Athreos não será uma criatura. Toda vez que outra criatura que você controla morrer, devolva aquele card para sua mão, a menos que o oponente alvo pague 3 vidas.</t>
  </si>
  <si>
    <t>1WB</t>
  </si>
  <si>
    <t>Blinding Flare / Clarão Cegante</t>
  </si>
  <si>
    <t>Esforço — Clarão Cegante custa R a mais para ser conjurado para cada alvo além do primeiro. Qualquer número de criaturas alvo não pode bloquear neste turno.</t>
  </si>
  <si>
    <t>Vermelho</t>
  </si>
  <si>
    <t>Forgeborn Oreads / Oréades Nascidas da Forja</t>
  </si>
  <si>
    <t>Constelação — Toda vez que Oréades Nascidas da Forja ou outro encantamento entrar no campo de batalha sob seu controle, Oréades Nascidas da Forja causa 1 ponto de dano à criatura ou ao jogador alvo.</t>
  </si>
  <si>
    <t>2RR</t>
  </si>
  <si>
    <t>Revel of the Fallen God / Folia do Abandono</t>
  </si>
  <si>
    <t>Todas as criaturas recebem +2/-2 até o final do turno.</t>
  </si>
  <si>
    <t>Bearer of the Heavens / Sustentáculo do Firmamento</t>
  </si>
  <si>
    <t>Criatura — Gigante</t>
  </si>
  <si>
    <t>Quando Sustentáculo do Firmamento morrer, destrua todas as permanentes no início da próxima etapa final.</t>
  </si>
  <si>
    <t>7R</t>
  </si>
  <si>
    <t>Mogis's Warhound / Rancor de Mogis</t>
  </si>
  <si>
    <t>Rancor de Mogis causa à criatura alvo uma quantidade de dano igual ao número de cards de mágica instantânea e feitiço no seu cemitério. Vidência 1. (Olhe o card do topo de seu grimório. Você pode colocar aquele card no fundo de seu grimório.)</t>
  </si>
  <si>
    <t>Cinder Cerberus / Cérbero Incendiário</t>
  </si>
  <si>
    <t>Criatura — Sabujo</t>
  </si>
  <si>
    <t>5RR: Monstruosidade 1. (Se esta criatura não for monstruosa, coloque um marcador +1/+1 nela e ela se tornará monstruosa.) Quando Cérbero Incendiário se torna monstruoso, ele causa 2 pontos de dano a cada oponente e a cada criatura controlada pelos seus oponentes.</t>
  </si>
  <si>
    <t>Spawn of Thraxes / Prole de Traxes</t>
  </si>
  <si>
    <t>Criatura — Dragão</t>
  </si>
  <si>
    <t>Voar Quando Prole de Traxes entra no campo de batalha, ele causa ao jogador ou à criatura alvo uma quantidade de dano igual ao número de Montanhas que você controla.</t>
  </si>
  <si>
    <t>5RR</t>
  </si>
  <si>
    <t>Evolving Wilds / Terras em Evolução</t>
  </si>
  <si>
    <t>Terreno</t>
  </si>
  <si>
    <t>T, Sacrifique Evolving Wilds: Procure em seu grimório por um card de terreno básico e coloque-o no campo de batalha virado. Depois, embaralhe seu grimório.</t>
  </si>
  <si>
    <t>Nenhum</t>
  </si>
  <si>
    <t>Duel Decks: Speed vs. Cunning</t>
  </si>
  <si>
    <t>032/082</t>
  </si>
  <si>
    <t xml:space="preserve">Ikoria: Terra de Colossos </t>
  </si>
  <si>
    <t>Nomad Outpost / Posto Avançado Nômade</t>
  </si>
  <si>
    <t>Nomad Outpost entra no campo de batalha virado. T: Adicione R, W ou B à sua reserva de mana.</t>
  </si>
  <si>
    <t>034/082</t>
  </si>
  <si>
    <t>Ghitu Encampment / Acampamento Ghitu</t>
  </si>
  <si>
    <t>Ghitu Encampment entra no campo de batalha virado. T: Adicione R à sua reserva de mana. 1R: Ghitu Encampment torna-se uma criatura 2/1 vermelha do tipo Guerreiro com iniciativa até o final do turno. Ainda é um terreno.</t>
  </si>
  <si>
    <t>033/082</t>
  </si>
  <si>
    <t>Flame-Kin Zealot / Zelote da Tribo das Chamas</t>
  </si>
  <si>
    <t>Criatura — Elemental Berserker</t>
  </si>
  <si>
    <t>Quando Flame-Kin Zealot entra no campo de batalha, criaturas que você controla recebem +1/+1 e ganham ímpeto até o final do turno.</t>
  </si>
  <si>
    <t>1RW</t>
  </si>
  <si>
    <t>017/082</t>
  </si>
  <si>
    <t>Goblin Deathraiders / Saqueadores da Morte Goblins</t>
  </si>
  <si>
    <t>Criatura — Goblino Guerreiro</t>
  </si>
  <si>
    <t>Atropelar</t>
  </si>
  <si>
    <t>BR</t>
  </si>
  <si>
    <t>006/082</t>
  </si>
  <si>
    <t>Shambling Remains / Restos Cambaleantes</t>
  </si>
  <si>
    <t>Criatura — Zumbi Horror</t>
  </si>
  <si>
    <t>Shambling Remains não pode bloquear. Desenterrar BR (BR: Devolva este card de seu cemitério para o campo de batalha. Ele ganha ímpeto. Exile-o no início da próxima etapa final ou se ele sair do campo de batalha. Desenterre apenas como um feitiço.)</t>
  </si>
  <si>
    <t>1BR</t>
  </si>
  <si>
    <t>012/082</t>
  </si>
  <si>
    <t>Zurgo Helmsmasher / Zurgo Destruidor de Elmos</t>
  </si>
  <si>
    <t>Criatura Lendária — Orc Guerreiro</t>
  </si>
  <si>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</si>
  <si>
    <t>2RWB</t>
  </si>
  <si>
    <t>Beetleback Chief / Chefe de Costas de Besouro</t>
  </si>
  <si>
    <t>Quando Chefe de Costas de Besouro entra no campo de batalha, coloque duas fichas de criatura 1/1 vermelha do tipo Goblino no campo de batalha.</t>
  </si>
  <si>
    <t>Fiery Fall / Queda Flamejante</t>
  </si>
  <si>
    <t>Queda Flamejante causa 5 de dano à criatura alvo. Reciclagem de terreno básico 1R (1R, descarte este card: Procure em seu grimório por um card de terreno básico, revele-o e coloque-o em sua mão. Depois, embaralhe seu grimório.)</t>
  </si>
  <si>
    <t>Não encontrado</t>
  </si>
  <si>
    <t>Hell's Thunder / Trovão do Inferno</t>
  </si>
  <si>
    <t>Criatura — Elemental</t>
  </si>
  <si>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</si>
  <si>
    <t>1RR</t>
  </si>
  <si>
    <t>Shock / Choque</t>
  </si>
  <si>
    <t>Choque causa 2 de dano à criatura ou ao jogador alvo.</t>
  </si>
  <si>
    <t>Reckless Abandon / Abandono Impetuoso</t>
  </si>
  <si>
    <t>Como custo adicional para conjurar Abandono Impetuoso, sacrifique uma criatura. Abandono Impetuoso causa 4 de dano à criatura ou ao jogador alvo.</t>
  </si>
  <si>
    <t>Oni of Wild Places / Oni de Lugares Selvagens</t>
  </si>
  <si>
    <t>Criatura — Demônio Espírito</t>
  </si>
  <si>
    <t>Ímpeto. No início da sua manutenção, devolva uma criatura vermelha que você controla para a mão de seu dono.</t>
  </si>
  <si>
    <t>Scourge Devil / Diabo do Flagelo</t>
  </si>
  <si>
    <t>Criatura — Diabo</t>
  </si>
  <si>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</si>
  <si>
    <t>Act of Treason / Ato de Traição</t>
  </si>
  <si>
    <t>Ganhe o controle da criatura alvo até o final do turno. Desvire aquela criatura. Ela ganha ímpeto até o final do turno.</t>
  </si>
  <si>
    <t>Lealdade em Ravnica</t>
  </si>
  <si>
    <t>Goblin Bombardment / Bombardeio de Goblins</t>
  </si>
  <si>
    <t>Sacrifique uma criatura: Bombardeio de Goblins causa 1 de dano à criatura ou ao jogador alvo.</t>
  </si>
  <si>
    <t>Arc Trail / Trilha de Arco</t>
  </si>
  <si>
    <t>Trilha de Arco causa 2 de dano à criatura ou ao jogador alvo e 1 de dano a outra criatura ou outro jogador alvo.</t>
  </si>
  <si>
    <t>Orcish Cannonade / Canoneio Orc</t>
  </si>
  <si>
    <t>Canoneio Orc causa 2 de dano à criatura ou ao jogador alvo e 3 de dano a você. Compre um card.</t>
  </si>
  <si>
    <t>Banefire / Fogo do Flagelo</t>
  </si>
  <si>
    <t>Fogo do Flagelo causa X de dano à criatura ou ao jogador alvo. Se X for igual ou superior a 5, Fogo do Flagelo não pode ser anulado por mágicas ou habilidades e o dano não pode ser prevenido.</t>
  </si>
  <si>
    <t>XR</t>
  </si>
  <si>
    <t>Fury of the Horde / Fúria da Horda</t>
  </si>
  <si>
    <t>Você pode exilar dois cards vermelhos de sua mão em vez de pagar o custo de mana de Fúria da Horda. Desvire todas as criaturas que atacaram neste turno. Após esta fase principal, há uma fase de combate adicional seguida por uma fase principal adicional.</t>
  </si>
  <si>
    <t>Ogre Battledriver / Condutor de Guerra Ogro</t>
  </si>
  <si>
    <t>Criatura — Ogro Guerreiro</t>
  </si>
  <si>
    <t>Toda vez que outra criatura entrar no campo de batalha sob o seu controle, aquela criatura receberá +2/+0 e ganhará ímpeto até o final do turno.</t>
  </si>
  <si>
    <t>Krenko, Mob Boss / Krenko, Chefe da Turba</t>
  </si>
  <si>
    <t>Criatura Lendária — Goblino Guerreiro</t>
  </si>
  <si>
    <t>{T}: Coloque no campo de batalha X fichas de criatura 1/1 vermelhas do tipo Goblino, sendo X o número de Goblinos que você controla.</t>
  </si>
  <si>
    <t>Frenzied Goblin / Goblino Enlouquecido</t>
  </si>
  <si>
    <t>Criatura — Goblino Berserker</t>
  </si>
  <si>
    <t>Toda vez que Goblino Enlouquecido atacar, você poderá pagar {R}. Se fizer isso, a criatura alvo não poderá bloquear neste turno.</t>
  </si>
  <si>
    <t>Hellraiser Goblin / Goblino Desordeiro</t>
  </si>
  <si>
    <t>As criaturas que você controla têm ímpeto e atacam a cada combate se estiverem aptas.</t>
  </si>
  <si>
    <t>Goblin Warchief / Chefe de Guerra Goblino</t>
  </si>
  <si>
    <t>As mágicas de Goblino que você conjura custam {1} a menos para serem conjuradas. As criaturas do tipo Goblino que você controla têm ímpeto.</t>
  </si>
  <si>
    <t>Mardu Heart-Piercer / Perfurador de Corações Mardu</t>
  </si>
  <si>
    <t>Criatura — Humano Arqueiro</t>
  </si>
  <si>
    <t>Incursão — Quando Perfurador de Corações Mardu entra no campo de batalha, se você atacou com uma criatura neste turno, Perfurador de Corações Mardu causa 2 de dano à criatura ou ao jogador alvo.</t>
  </si>
  <si>
    <t>Dauntless Onslaught / Embestida Intrépida</t>
  </si>
  <si>
    <t>Até duas criaturas alvo recebem +2/+2 até o final do turno.</t>
  </si>
  <si>
    <t>2W</t>
  </si>
  <si>
    <t>Leonin Snarecaster / Lançador de Redes Leonino</t>
  </si>
  <si>
    <t>Criatura — Gato Soldado</t>
  </si>
  <si>
    <t>Quando Lançador de Redes Leonino entra no campo de batalha, você pode virar a criatura alvo.</t>
  </si>
  <si>
    <t>1W</t>
  </si>
  <si>
    <t>Infantry Veteran / Veterano da Infantaria</t>
  </si>
  <si>
    <t>Criatura — Humano Soldado</t>
  </si>
  <si>
    <t>{T}: A criatura atacante alvo recebe +1/+1 até o final do turno.</t>
  </si>
  <si>
    <t>W</t>
  </si>
  <si>
    <t>Bone Splinters / Estilhaços de Osso</t>
  </si>
  <si>
    <t>Como custo adicional para conjurar Estilhaços de Osso, sacrifique uma criatura. Destrua a criatura alvo.</t>
  </si>
  <si>
    <t>B</t>
  </si>
  <si>
    <t>Preto</t>
  </si>
  <si>
    <t>Core Set 2020</t>
  </si>
  <si>
    <t>Fleshbag Marauder / Saqueador de Bolsas de Carne</t>
  </si>
  <si>
    <t>Criatura — Zumbi Guerreiro</t>
  </si>
  <si>
    <t>Quando Saqueador de Bolsas de Carne entra no campo de batalha, cada jogador sacrifica uma criatura.</t>
  </si>
  <si>
    <t>2B</t>
  </si>
  <si>
    <t>Magic Origens</t>
  </si>
  <si>
    <t xml:space="preserve">Commander Anthology 2018 </t>
  </si>
  <si>
    <t>Sparkmage Apprentice / Aprendiz de Piromante de Centelhas</t>
  </si>
  <si>
    <t>Quando Aprendiz de Piromante de Centelhas entra no campo de batalha, ele causa 1 de dano à criatura ou ao jogador alvo.</t>
  </si>
  <si>
    <t>Inferno Trap / Armadilha de Inferno</t>
  </si>
  <si>
    <t>Mágica Instantânea — Armadilha</t>
  </si>
  <si>
    <t>Se tiver recebido dano de duas ou mais criaturas neste turno, você poderá pagar {R} em vez de pagar o custo de mana de Armadilha de Inferno. Armadilha de Inferno causa 4 de dano à criatura alvo.</t>
  </si>
  <si>
    <t>Terramorphic Expanse / Imensidão Terramórfica</t>
  </si>
  <si>
    <t>{T}, Sacrifique Imensidão Terramórfica: Procure em seu grimório por um card de terreno básico e coloque-o no campo de batalha virado. Depois, embaralhe seu grimório.</t>
  </si>
  <si>
    <t>Terramorphic Expanse / Vastidão Morfoterrena</t>
  </si>
  <si>
    <t>Land / Terreno</t>
  </si>
  <si>
    <t>Common / Comum</t>
  </si>
  <si>
    <t>{T}, Sacrifice this land: Search your library for a basic land card, put it onto the battlefield tapped, then shuffle. / {T}, sacrifique Vastidão Morfoterrena: Procure um card de terreno básico em seu grimório, coloque-o no campo de batalha virado e depois embaralhe seu grimório.</t>
  </si>
  <si>
    <t>Secrets of Strixhaven (SOS)</t>
  </si>
  <si>
    <t>Mystic Monastery / Monastério Místico</t>
  </si>
  <si>
    <t>Monastério Místico entra no campo de batalha virado. {T}: Adicione {U}, {R} ou {W} à sua reserva de mana.</t>
  </si>
  <si>
    <t>Lightning Angel / Anjo de Relâmpagos</t>
  </si>
  <si>
    <t>Criatura — Anjo</t>
  </si>
  <si>
    <t>Voar, vigilância, ímpeto</t>
  </si>
  <si>
    <t>1RWU</t>
  </si>
  <si>
    <t>Steam Augury / Augúrio de Vapor</t>
  </si>
  <si>
    <t>Revele os cinco cards do topo de seu grimório e separe-os em dois montes. Um oponente escolhe um daqueles montes. Coloque aquele monte em sua mão e o outro em seu cemitério.</t>
  </si>
  <si>
    <t>2UR</t>
  </si>
  <si>
    <t>Hussar Patrol / Patrulha Hússara</t>
  </si>
  <si>
    <t>Criatura — Humano Cavaleiro</t>
  </si>
  <si>
    <t>Lampejo (Você poderá conjurar esta mágica a qualquer momento em que puder conjurar uma mágica instantânea.) Vigilância</t>
  </si>
  <si>
    <t>2WU</t>
  </si>
  <si>
    <t>Lightning Helix / Hélice de Raios</t>
  </si>
  <si>
    <t>Hélice de Raios causa 3 de dano à criatura ou ao jogador alvo e você ganha 3 de vida.</t>
  </si>
  <si>
    <t>RW</t>
  </si>
  <si>
    <t>Arrow Volley Trap / Armadilha de Salva de Flechas</t>
  </si>
  <si>
    <t>Se quatro ou mais criaturas estiverem atacando, você poderá pagar {1}{W} em vez de pagar o custo de mana de Armadilha de Salva de Flechas. Armadilha de Salva de Flechas causa 5 de dano divididos como você escolher entre qualquer número de criaturas atacantes alvo.</t>
  </si>
  <si>
    <t>3WW</t>
  </si>
  <si>
    <t>Lone Missionary / Missionário Solitário</t>
  </si>
  <si>
    <t>Criatura — Kor Monge</t>
  </si>
  <si>
    <t>Quando Missionário Solitário entra no campo de batalha, você ganha 4 de vida.</t>
  </si>
  <si>
    <t>Master Decoy / Mestre de Iscas</t>
  </si>
  <si>
    <t>{W}, {T}: Vire a criatura alvo.</t>
  </si>
  <si>
    <t>Hold the Line / Manter a Posição</t>
  </si>
  <si>
    <t>As criaturas bloqueadoras recebem +7/+7 até o final do turno.</t>
  </si>
  <si>
    <t>Stonecloaker / Ocultador de Pedra</t>
  </si>
  <si>
    <t>Criatura — Gárgula</t>
  </si>
  <si>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</si>
  <si>
    <t>Kor Hookmaster / Mestre dos Ganchos Kor</t>
  </si>
  <si>
    <t>Criatura — Kor Soldado</t>
  </si>
  <si>
    <t>Quando Mestre dos Ganchos Kor entra no campo de batalha, vire a criatura alvo que um oponente controla. Aquela criatura não é desvirada durante a próxima etapa de desvirar de seu controlador.</t>
  </si>
  <si>
    <t>Swift Justice / Justiça Veloz</t>
  </si>
  <si>
    <t>Até o final do turno, a criatura alvo recebe +1/+0 e ganha iniciativa e vínculo com a vida.</t>
  </si>
  <si>
    <t>Stave Off / Rechaçar</t>
  </si>
  <si>
    <t>A criatura alvo ganha proteção contra a cor de sua escolha até o final do turno. (Ela não pode ser bloqueada, alvo, receber dano ou ser encantada por nada daquela cor.)</t>
  </si>
  <si>
    <t>Thousand Winds / Mil Ventos</t>
  </si>
  <si>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</si>
  <si>
    <t>4UU</t>
  </si>
  <si>
    <t>Arcanis the Omnipotent / Arcanis, o Onipotente</t>
  </si>
  <si>
    <t>Criatura Lendária — Mago</t>
  </si>
  <si>
    <t>Mítica Rara</t>
  </si>
  <si>
    <t>{T}: Compre três cards. {2}{U}{U}: Devolva Arcanis, o Onipotente para a mão de seu dono.</t>
  </si>
  <si>
    <t>3UUU</t>
  </si>
  <si>
    <t>Aquamorph Entity / Entidade Aquamorfa</t>
  </si>
  <si>
    <t>Criatura — Transmorfo</t>
  </si>
  <si>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</si>
  <si>
    <t>*/*</t>
  </si>
  <si>
    <t>Faerie Impostor / Impostor Fada</t>
  </si>
  <si>
    <t>Criatura — Fada Ladino</t>
  </si>
  <si>
    <t>Voar. Quando Impostor Fada entra no campo de batalha, sacrifique-o, a menos que você devolva outra criatura que controla para a mão de seu dono.</t>
  </si>
  <si>
    <t>Fathom Seer / Vidente das Profundezas</t>
  </si>
  <si>
    <t>Criatura — Ilusão</t>
  </si>
  <si>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</si>
  <si>
    <t>Coral Trickster / Trapaceiro do Coral</t>
  </si>
  <si>
    <t>Criatura — Sereia Ladino</t>
  </si>
  <si>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</si>
  <si>
    <t>Traumatic Visions / Visões Traumáticas</t>
  </si>
  <si>
    <t>Anule a mágica alvo. Reciclar terreno básico {1}{U} ({1}{U}, Descarte este card: Procure em seu grimório por um card de terreno básico, revele-o e coloque-o em sua mão. Depois, embaralhe seu grimório.)</t>
  </si>
  <si>
    <t>Sphinx of Uthuun / Esfinge de Uthuun</t>
  </si>
  <si>
    <t>Criatura — Esfinge</t>
  </si>
  <si>
    <t>Voar. Quando Esfinge de Uthuun entra no campo de batalha, revele os cinco cards do topo de seu grimório. Um oponente separa aqueles cards em dois montes. Coloque um monte em sua mão e o outro em seu cemitério.</t>
  </si>
  <si>
    <t>Echo Tracer / Rastreável por Eco</t>
  </si>
  <si>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</si>
  <si>
    <t>Willbender / Dobrador de Vontades</t>
  </si>
  <si>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</si>
  <si>
    <t>Jeskai Elder / Ancião Jeskai</t>
  </si>
  <si>
    <t>Criatura — Humano Monge</t>
  </si>
  <si>
    <t>Destreza (Sempre que você conjurar uma mágica que não seja de criatura, esta criatura receberá +1/+1 até o final do turno.) Sempre que Ancião Jeskai causar dano de combate a um jogador, você poderá comprar um card. Se fizer isso, descarte um card.</t>
  </si>
  <si>
    <t>Whiplash Trap / Armadilha do Efeito Chicote</t>
  </si>
  <si>
    <t>Se um oponente teve duas ou mais criaturas entrando no campo de batalha sob o controle dele ou dela este turno, você pode pagar {U} em vez de pagar o custo de mana de Armadilha do Efeito Chicote. Devolva duas criaturas alvo para as mãos de seus donos.</t>
  </si>
  <si>
    <t>Repeal / Revogar</t>
  </si>
  <si>
    <t>Devolva a permanente não de terreno alvo com custo de mana convertido X para a mão de seu dono. Compre um card.</t>
  </si>
  <si>
    <t>XU</t>
  </si>
  <si>
    <t>Fleeting Distraction / Distração Passageira</t>
  </si>
  <si>
    <t>A criatura alvo recebe -1/-0 até o final do turno. Compre um card.</t>
  </si>
  <si>
    <t>Faerie Invaders / Invasores Fadas</t>
  </si>
  <si>
    <t>Lampejo (Você poderá conjurar esta mágica a qualquer momento em que puder conjurar uma mágica instantânea.) Voar.</t>
  </si>
  <si>
    <t>Mana Leak / Fuga de Mana</t>
  </si>
  <si>
    <t>Anule a mágica alvo, a menos que seu controlador pague {3}.</t>
  </si>
  <si>
    <t>Instant / Mágica Instantânea</t>
  </si>
  <si>
    <t>Counter target spell unless its controller pays {3}. / Anule a mágica alvo, a menos que seu controlador pague {3}.</t>
  </si>
  <si>
    <t>{1}{U}</t>
  </si>
  <si>
    <t>Magic 2012 (M12)</t>
  </si>
  <si>
    <t>Impulse / Impulso</t>
  </si>
  <si>
    <t>Olhe os quatro cards do topo de seu grimório. Coloque um deles em sua mão e o restante no fundo de seu grimório em qualquer ordem.</t>
  </si>
  <si>
    <t>Call the Mountain Chocobo</t>
  </si>
  <si>
    <t>Sorcery</t>
  </si>
  <si>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</si>
  <si>
    <t>Final Fantasy (FFVII)</t>
  </si>
  <si>
    <t>Summon: G.F. Ifrit</t>
  </si>
  <si>
    <t>Enchantment Creature — Saga Demon</t>
  </si>
  <si>
    <t>(As this Saga enters and after your draw step, add a lore counter. Sacrifice after IV.) I, II — You may discard a card. If you do, draw a card. III, IV — Add R.</t>
  </si>
  <si>
    <t>Final Fantasy (FFVIII)</t>
  </si>
  <si>
    <t>Sandworm</t>
  </si>
  <si>
    <t>Creature — Worm</t>
  </si>
  <si>
    <t>Haste When this creature enters, destroy target land. Its controller may search their library for a basic land card, put it onto the battlefield tapped, then shuffle.</t>
  </si>
  <si>
    <t>Final Fantasy (FFV)</t>
  </si>
  <si>
    <t>Sorceress's Schemes / Planos da Feiticeira</t>
  </si>
  <si>
    <t>Devolva o card de mágica instantânea ou de feitiço alvo de seu cemitério ou o card exilado alvo com flashback que você possui para a sua mão. Adicione {R}. Recapitular {4}{R} (Você pode conjurar este card de seu cemitério pagando seu custo de recapitular. Depois, exile-o.)</t>
  </si>
  <si>
    <t>Final Fantasy</t>
  </si>
  <si>
    <t>Self-Destruct / Autodestruição</t>
  </si>
  <si>
    <t>A criatura alvo que você controla causa X de dano a qualquer outro alvo e X de dano a si mesma, onde X é o poder dela.</t>
  </si>
  <si>
    <t>Haste Magic / Magia de Ímpeto</t>
  </si>
  <si>
    <t>A criatura alvo recebe +3/+1 e ganha ímpeto até o final do turno. Exile o card do topo de seu grimório. Você pode jogá-lo até a sua próxima etapa final.</t>
  </si>
  <si>
    <t>Red Mage's Rapier / Rapieira do Mago Vermelho</t>
  </si>
  <si>
    <t>Artefato — Equipamento</t>
  </si>
  <si>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</si>
  <si>
    <t>Hill Gigas / Gigas das Colinas</t>
  </si>
  <si>
    <t>Atropelar, ímpeto. Reciclar montanha {2} ({2}, Descarte este card: Procure em seu grimório por um card de Montanha, revele-o e coloque-o em sua mão. Depois, embaralhe seu grimório.)</t>
  </si>
  <si>
    <t>4RR</t>
  </si>
  <si>
    <t>Warrior's Sword / Espada do Guerreiro</t>
  </si>
  <si>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</si>
  <si>
    <t>Barret Wallace / Barret Wallace</t>
  </si>
  <si>
    <t>Criatura Lendária — Humano Rebelde</t>
  </si>
  <si>
    <t>Alcance. Sempre que Barret Wallace atacar, ele causa dano igual ao número de criaturas equipadas que você controla ao jogador defensor.</t>
  </si>
  <si>
    <t>Prompto Argentum / Prompto Argentum</t>
  </si>
  <si>
    <t>Criatura Lendária — Humano Batedor</t>
  </si>
  <si>
    <t>Ímpeto. Foto de Selfie — Sempre que você conjurar uma mágica que não seja de criatura, se pelo menos quatro manas tiverem sido gastos para conjurá-la, crie uma ficha de Tesouro.</t>
  </si>
  <si>
    <t>Mysidian Elder / Ancião de Mysidia</t>
  </si>
  <si>
    <t>Quando esta criatura entrar, crie uma ficha de criatura Mago preta 0/1 com "Sempre que você conjurar uma mágica que não seja de criatura, esta ficha causará 1 de dano a cada oponente."</t>
  </si>
  <si>
    <t>Item Shopkeep / Balconista de Itens</t>
  </si>
  <si>
    <t>Criatura — Humano Cidadão</t>
  </si>
  <si>
    <t>Sempre que você atacar, a criatura equipada atacante alvo ganha ameaça até o final do turno. (Ela não pode ser bloqueada a não ser por duas ou mais criaturas.)</t>
  </si>
  <si>
    <t>Sabotender</t>
  </si>
  <si>
    <t>Criatura — Planta</t>
  </si>
  <si>
    <t>Alcance. Terrente — Sempre que um terreno entra sob o seu controle, esta criatura causa 1 de dano a cada oponente.</t>
  </si>
  <si>
    <t>Suplex / Suplex</t>
  </si>
  <si>
    <t>Escolha um — • Suplex causa 3 de dano à criatura alvo. Se aquela criatura fosse morrer este turno, em vez disso, exile-a. • Exile o artefato alvo.</t>
  </si>
  <si>
    <t>Laughing Mad / Loucura Risonha</t>
  </si>
  <si>
    <t>Como custo adicional para conjurar esta mágica, descarte um card. Compre dois cards. Recapitular {3}{R} (Você pode conjurar este card de seu cemitério pagando seu custo de recapitular e quaisquer custos adicionais. Depois, exile-o.)</t>
  </si>
  <si>
    <t>Blazing Bomb / Bomba Flamejante</t>
  </si>
  <si>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</si>
  <si>
    <t>Raubahn, Bull of Ala Mhigo / Raubahn, Touro de Ala Mhigo</t>
  </si>
  <si>
    <t>Criatura Lendária — Humano Guerreiro</t>
  </si>
  <si>
    <t>Salvaguarda — Pague uma quantidade de vida igual ao poder de Raubahn. Sempre que Raubahn atacar, anexe até um Equipamento alvo que você controla à criatura atacante alvo.</t>
  </si>
  <si>
    <t>Gilgamesh, Master-at-Arms / Gilgamesh, Mestre de Armas</t>
  </si>
  <si>
    <t>Criatura Lendária — Humano Samurai</t>
  </si>
  <si>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</si>
  <si>
    <t>Triple Triad / Tríade Tripla</t>
  </si>
  <si>
    <t>No início de sua manutenção, cada jogador exile o card do topo do próprio grimório. Até o final do turno, você pode jogar o card de sua propriedade exilado deste modo e cada outro card exilado deste modo com valor de mana inferior a ele sem pagar seus custos de mana.</t>
  </si>
  <si>
    <t>3RRR</t>
  </si>
  <si>
    <t>Thrum of the Vestige / Rumor do Vestígio</t>
  </si>
  <si>
    <t>Rumor do Vestígio causa 3 de dano a qualquer alvo.</t>
  </si>
  <si>
    <t>Sidequest: Play Blitzball / Missão Secundária: Jogar Blitzball</t>
  </si>
  <si>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</si>
  <si>
    <t>Samurai's Katana / Katana do Samurai</t>
  </si>
  <si>
    <t>Seleção de classe (Quando este Equipamento entrar, crie uma ficha de criatura Herói incolor 1/1 e depois anexe isto a ela.) A criatura equipada recebe +2/+2, tem atropelar e ímpeto, e é um Samurai além de seus outros tipos. Murasame — Equipar {5}</t>
  </si>
  <si>
    <t>Thunder Magic / Magia de Trovão</t>
  </si>
  <si>
    <t>Em camadas (Escolha um custo adicional.) • Thunder — {0} — Magia de Trovão causa 2 de dano à criatura alvo. • Thundara — {3} — Magia de Trovão causa 4 de dano à criatura alvo. • Thundaga — {5}{R} — Magia de Trovão causa 8 de dano à criatura alvo.</t>
  </si>
  <si>
    <t>Light of Judgment / Luz do Julgamento</t>
  </si>
  <si>
    <t>Luz do Julgamento causa 6 de dano à criatura alvo. Destrua até um Equipamento anexado àquela criatura.</t>
  </si>
  <si>
    <t>Unexpected Request / Pedido Inesperado</t>
  </si>
  <si>
    <t>Ganhe o controle da criatura alvo até o final do turno. Desvire aquela criatura. Ela ganha ímpeto até o final do turno. Você pode anexar um Equipamento que você controla àquela criatura. Se fizer isso, desanexe-o no início da próxima etapa final.</t>
  </si>
  <si>
    <t>Queen Brahne / Rainha Brahne</t>
  </si>
  <si>
    <t>Criatura Lendária — Humano Nobre</t>
  </si>
  <si>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</si>
  <si>
    <t>Zidane, Tantalus Thief / Zidane, Ladrão do Tantalus</t>
  </si>
  <si>
    <t>Criatura Lendária — Humano Mutante Batedor</t>
  </si>
  <si>
    <t>Quando Zidane entrar, ganhe o controle da criatura alvo que um oponente controla até o final do turno. Desvire-a. Ela ganha vínculo com a vida e ímpeto até o final do turno. Sempre que um oponente ganhar o controle de uma permanente sua, crie uma ficha de Tesouro.</t>
  </si>
  <si>
    <t>3RW</t>
  </si>
  <si>
    <t>Vermelho e Branco</t>
  </si>
  <si>
    <t>Giott, King of the Dwarves</t>
  </si>
  <si>
    <t>Legendary Creature — Dwarf Noble</t>
  </si>
  <si>
    <t>Double strike Whenever Giott or another Dwarf you control enters and whenever an Equipment you control enters, you may discard a card. If you do, draw a card.</t>
  </si>
  <si>
    <t>Vermelha e Branca</t>
  </si>
  <si>
    <t>Final Fantasy (FFIV)</t>
  </si>
  <si>
    <t>Sin, Spira's Punishment / Sin, O Castigo de Spira</t>
  </si>
  <si>
    <t>Criatura Lendária — Leviatã Avatar</t>
  </si>
  <si>
    <t>Voar. Sempre que Sin entrar ou atacar, exile um card de permanente aleatório de seu cemitério e depois crie uma ficha virada que seja uma cópia daquele card. Se o card exilado for um card de terreno, repita este processo.</t>
  </si>
  <si>
    <t>4BGU</t>
  </si>
  <si>
    <t>Preto, Verde e Azul</t>
  </si>
  <si>
    <t>The Wandering Minstrel / O Menestrel Errante</t>
  </si>
  <si>
    <t>Criatura Lendária — Humano Bardo</t>
  </si>
  <si>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</si>
  <si>
    <t>GU</t>
  </si>
  <si>
    <t>Verde e Azul</t>
  </si>
  <si>
    <t>Tellah, Great Sage / Tellah, Grande Sábio</t>
  </si>
  <si>
    <t>Criatura Lendária — Humano Mago</t>
  </si>
  <si>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</si>
  <si>
    <t>3UR</t>
  </si>
  <si>
    <t>Azul e Vermelho</t>
  </si>
  <si>
    <t>Noctis, Prince of Lucis / Noctis, Príncipe de Lucis</t>
  </si>
  <si>
    <t>Vínculo com a vida. Você pode conjurar mágicas de artefato de seu cemitério pagando 3 de vida além de pagar seus outros custos. Se você conjurar uma mágica deste modo, aquele artefato entra com um marcador de finalidade.</t>
  </si>
  <si>
    <t>1WUB</t>
  </si>
  <si>
    <t>Branco, Azul e Preto</t>
  </si>
  <si>
    <t>Preto Waltz No. 3 / Valsa Negra N.º 3</t>
  </si>
  <si>
    <t>Voar, toque mortífero. Sempre que você conjurar uma mágica que não seja de criatura, Valsa Negra N.º 3 causa 2 de dano a cada oponente.</t>
  </si>
  <si>
    <t>2BR</t>
  </si>
  <si>
    <t>Preto e Vermelho</t>
  </si>
  <si>
    <t>Rydia, Summoner of Mist / Rydia, Invocadora de Névoa</t>
  </si>
  <si>
    <t>Criatura Lendária — Humano Xamã</t>
  </si>
  <si>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</si>
  <si>
    <t>RG</t>
  </si>
  <si>
    <t>Vermelho e Verde</t>
  </si>
  <si>
    <t>Locke Cole / Locke Cole</t>
  </si>
  <si>
    <t>Criatura Lendária — Humano Ladino</t>
  </si>
  <si>
    <t>Toque mortífero, vínculo com a vida. Sempre que Locke Cole causar dano de combate a um jogador, compre um card e depois descarte um card.</t>
  </si>
  <si>
    <t>1UB</t>
  </si>
  <si>
    <t>Azul e Preto</t>
  </si>
  <si>
    <t>Rinoa Heartilly</t>
  </si>
  <si>
    <t>Legendary Creature — Human Rebel Warlock</t>
  </si>
  <si>
    <t>When Rinoa Heartilly enters, create Angelo, a legendary 1/1 green and white Dog creature token. Angelo Cannon — Whenever Rinoa Heartilly attacks, another target creature you control gets +1/+1 until end of turn for each creature you control.</t>
  </si>
  <si>
    <t>3GW</t>
  </si>
  <si>
    <t>Verde e Branca</t>
  </si>
  <si>
    <t>Rufus Shinra / Rufus Shinra</t>
  </si>
  <si>
    <t>Sempre que Rufus Shinra atacar, se você não controlar uma criatura chamada Darkstar, crie Darkstar, uma ficha de criatura lendária Cão branca e preta 2/2.</t>
  </si>
  <si>
    <t>Branco e Preto</t>
  </si>
  <si>
    <t>Crossroads Village / Vilarejo da Encruzilhada</t>
  </si>
  <si>
    <t>Terreno — Vila</t>
  </si>
  <si>
    <t>Este terreno entra virado. Conforme entra, escolha uma cor. {T}: Adicione um mana da cor escolhida.</t>
  </si>
  <si>
    <t>Sharlayan, Nation of Scholars / Sharlayan, Nação de Estudiosos</t>
  </si>
  <si>
    <t>Este terreno entra virado. {T}: Adicione {W} ou {U}.</t>
  </si>
  <si>
    <t>Guadosalam, Farplane Gateway / Guadosalam, Portal do Além</t>
  </si>
  <si>
    <t>Este terreno entra virado. {T}: Adicione {G} ou {U}.</t>
  </si>
  <si>
    <t>Vector, Imperial Capital / Vector, Capital Imperial</t>
  </si>
  <si>
    <t>Este terreno entra virado. {T}: Adicione {B} ou {R}.</t>
  </si>
  <si>
    <t>Windurst, Federation Center / Windurst, Centro da Federação</t>
  </si>
  <si>
    <t>Este terreno entra virado. {T}: Adicione {G} ou {W}.</t>
  </si>
  <si>
    <t>Gohn, Town of Ruin / Gohn, Vila das Ruínas</t>
  </si>
  <si>
    <t>Este terreno entra virado. {T}: Adicione {B} ou {G}.</t>
  </si>
  <si>
    <t>Treno, Dark City / Treno, Cidade Sombria</t>
  </si>
  <si>
    <t>Este terreno entra virado. {T}: Adicione {U} ou {B}.</t>
  </si>
  <si>
    <t>Insomnia, Crown City / Insomnia, Cidade da Coroa</t>
  </si>
  <si>
    <t>Este terreno entra virado. {T}: Adicione {W} ou {B}.</t>
  </si>
  <si>
    <t>Gongaga, Reactor Town / Gongaga, Vila do Reator</t>
  </si>
  <si>
    <t>Este terreno entra virado. {T}: Adicione {R} ou {G}.</t>
  </si>
  <si>
    <t>Baron, Airship Kingdom / Baron, Reino dos Navios Voladores</t>
  </si>
  <si>
    <t>Este terreno entra virado. {T}: Adicione {U} ou {R}.</t>
  </si>
  <si>
    <t>Adventurer's Inn / Estalagem do Aventureiro</t>
  </si>
  <si>
    <t>Quando este terreno entrar, você ganha 2 de vida. {T}: Adicione {C}.</t>
  </si>
  <si>
    <t>Rabanastre, Royal City / Rabanastre, Cidade Real</t>
  </si>
  <si>
    <t>Este terreno entra virado. {T}: Adicione {R} ou {W}.</t>
  </si>
  <si>
    <t>Eden, Seat of the Sanctum / Éden, Sede do Sanctum</t>
  </si>
  <si>
    <t>{T}: Adicione {C}. {5}, {T}: Triture dois cards. Depois, você pode sacrificar este terreno. Quando fizer isso, devolva outro card de permanente alvo de seu cemitério para sua mão.</t>
  </si>
  <si>
    <t>The Gold Saucer / O Gold Saucer</t>
  </si>
  <si>
    <t>{T}: Adicione {C}. {2}, {T}: Jogue uma moeda. Se você ganhar na moeda, crie uma ficha de Tesouro. {3}, {T}, Sacrifique dois artefatos: Compre um card.</t>
  </si>
  <si>
    <t>Luka Stadium // Strixhaven Stadium / Estádio de Luka // Estádio de Strixhaven</t>
  </si>
  <si>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</si>
  <si>
    <t>Ultima, Origin of Oblivion / Ultima, a Origem do Oblívio</t>
  </si>
  <si>
    <t>Criatura Lendária — Deus</t>
  </si>
  <si>
    <t>Voar. Sempre que Ultima atacar, coloque um marcador de flagelo no terreno alvo. Enquanto aquele terreno tiver um marcador de flagelo, ele perderá todos os tipos de terreno e habilidades e terá "{T}: Adicione {C}". Sempre que você virar um terreno para receber {C}, adicione {C} adicional.</t>
  </si>
  <si>
    <t>The Masamune / A Masamune</t>
  </si>
  <si>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</si>
  <si>
    <t>The Regalia / O Regalia</t>
  </si>
  <si>
    <t>Artefato Lendário — Veículo</t>
  </si>
  <si>
    <t>Ímpeto. Sempre que O Regalia atacar, revele cards do topo de seu grimório até revelar um card de terreno. Coloque aquele card no campo de batalha virado e o restante no fundo de seu grimório em uma ordem aleatória. Tripular 1</t>
  </si>
  <si>
    <t>Iron Giant</t>
  </si>
  <si>
    <t>Artifact Creature — Demon</t>
  </si>
  <si>
    <t>Vigilance, reach, trample</t>
  </si>
  <si>
    <t>Final Fantasy (FFXV)</t>
  </si>
  <si>
    <t>Demon Wall / Parede Demoníaca</t>
  </si>
  <si>
    <t>Criatura Artefato — Demônio Parede</t>
  </si>
  <si>
    <t>Defensor. Ameaça (Esta criatura não pode ser bloqueada a não ser por duas ou mais criaturas.) Enquanto esta criatura tiver um marcador nela, ela poderá atacar como se não tivesse defensor. {5}{B}: Coloque dois marcadores +1/+1 nesta criatura.</t>
  </si>
  <si>
    <t>1{B}</t>
  </si>
  <si>
    <t>World Map</t>
  </si>
  <si>
    <t>Artifact</t>
  </si>
  <si>
    <t>1, T, Sacrifice this artifact: Search your library for a basic land card, reveal it, put it into your hand, then shuffle. 3, T, Sacrifice this artifact: Search your library for a land card, reveal it, put it into your hand, then shuffle.</t>
  </si>
  <si>
    <t>Final Fantasy (FFI)</t>
  </si>
  <si>
    <t>Elixir</t>
  </si>
  <si>
    <t>This artifact enters tapped. 5, T, Exile this artifact: Shuffle all nonland cards from your graveyard into your library. You gain life equal to the number of cards shuffled into your library this way.</t>
  </si>
  <si>
    <t>Lion Heart / Coração de Leão</t>
  </si>
  <si>
    <t>Quando este Equipamento entrar, ele causará 2 de dano a qualquer alvo. A criatura equipada recebe +2/+1. Equipar {2}</t>
  </si>
  <si>
    <t>PuPu UFO / OVNI de PuPu</t>
  </si>
  <si>
    <t>Criatura Artefato — Construto Alienígena</t>
  </si>
  <si>
    <t>Voar. {T}: Você pode colocar um card de terreno de sua mão no campo de batalha. {3}: Até o final do turno, o poder de base desta criatura torna-se igual ao número de Vilas que você controla.</t>
  </si>
  <si>
    <t>0/4</t>
  </si>
  <si>
    <t>Ring of the Lucii / Anel dos Lucii</t>
  </si>
  <si>
    <t>Artefato Lendário</t>
  </si>
  <si>
    <t>{T}: Adicione {C}{C}. {2}, {T}, Pague 1 de vida: Vire a permanente alvo que não seja um terreno.</t>
  </si>
  <si>
    <t>Adventurer's Airship / Navio Voador do Aventureiro</t>
  </si>
  <si>
    <t>Artefato — Veículo</t>
  </si>
  <si>
    <t>Voar. Sempre que este Veículo atacar, compre um card e depois descarte um card. Tripular 2 (Vire qualquer número de criaturas que você controla com poder total igual ou superior a 2: Este Veículo se torna uma criatura artefato até o final do turno.)</t>
  </si>
  <si>
    <t>Magic Pot / Pote Mágico</t>
  </si>
  <si>
    <t>Criatura Artefato — Golem Goblin</t>
  </si>
  <si>
    <t>Quando esta criatura morrer, crie uma ficha de Tesouro. (Ela é um artefato com "{T}, Sacrifique esta ficha: Adicione um mana de qualquer cor.") {2}, {T}: Exile o card alvo de um cemitério.</t>
  </si>
  <si>
    <t>Instant Ramen / Lámen Instantâneo</t>
  </si>
  <si>
    <t>Artefato — Comida</t>
  </si>
  <si>
    <t>Lampejo. Quando este artefato entrar, compre um card. {2}, {T}, Sacrifique este artefato: Você ganha 3 de vida.</t>
  </si>
  <si>
    <t>Lunatic Pandora / Pandora Lunática</t>
  </si>
  <si>
    <t>{2}, {T}: Vigie 1. (Olhe o card do topo de seu grimório. Você pode colocá-lo em seu cemitério.) {6}, {T}, Sacrifique Pandora Lunática: Destrua a permanente alvo que não seja um terreno.</t>
  </si>
  <si>
    <t>Relentless X-ATM092 / X-ATM092 Implacável</t>
  </si>
  <si>
    <t>Criatura Artefato — Robô Aranha</t>
  </si>
  <si>
    <t>Esta criatura não pode ser bloqueada a não ser por três ou mais criaturas. {8}: Devolva este card de seu cemitério para o campo de batalha virado com um marcador de finalidade nele. (Se uma criatura com um marcador de finalidade nele fosse morrer, em vez disso, exile-a.)</t>
  </si>
  <si>
    <t>Blitzball / Blitzball</t>
  </si>
  <si>
    <t>{T}: Adicione um mana de qualquer cor. GOLOOOOOOO! — {T}, Sacrifique este artefato: Compre dois cards. Ative somente se um oponente tiver sofrido dano de combate por uma criatura lendária neste turno.</t>
  </si>
  <si>
    <t>Monk's Fist / Punho do Monge</t>
  </si>
  <si>
    <t>Seleção de classe (Quando este Equipamento entrar, crie uma ficha de criatura Herói incolor 1/1 e depois anexe isto a ela.) A criatura equipada recebe +1/+0 e é um Monge além de seus outros tipos. Equipar {2}</t>
  </si>
  <si>
    <t>Reno and Rude</t>
  </si>
  <si>
    <t>Legendary Creature - Human Assassin</t>
  </si>
  <si>
    <t>Menace. Whenever Reno and Rude deals combat damage to a player, exile the top card of that player's library. Then you may sacrifice another creature or artifact. If you do, you may play the exiled card this turn, and mana of any type can be spent to cast it.</t>
  </si>
  <si>
    <t>1B</t>
  </si>
  <si>
    <t>Shinra Reinforcements</t>
  </si>
  <si>
    <t>Creature — Human Soldier</t>
  </si>
  <si>
    <t>When this creature enters, mill three cards and you gain 3 life. (To mill three cards, put the top three cards of your library into your graveyard.)</t>
  </si>
  <si>
    <t>Preta</t>
  </si>
  <si>
    <t>Gaius van Baelsar</t>
  </si>
  <si>
    <t>Legendary Creature — Human Soldier</t>
  </si>
  <si>
    <t>When Gaius van Baelsar enters, choose one — • Each player sacrifices a creature token of their choice. • Each player sacrifices a nontoken creature of their choice. • Each player sacrifices an enchantment of their choice.</t>
  </si>
  <si>
    <t>2BB</t>
  </si>
  <si>
    <t>Final Fantasy (FFXIV)</t>
  </si>
  <si>
    <t>Resentful Revelation</t>
  </si>
  <si>
    <t>Look at the top three cards of your library. Put one of them into your hand and the rest into your graveyard. Flashback 6B (You may cast this card from your graveyard for its flashback cost. Then exile it.)</t>
  </si>
  <si>
    <t>Cornered by Preto Mages</t>
  </si>
  <si>
    <t>Target opponent sacrifices a creature of their choice. Create a 0/1 Preto Wizard creature token with "Whenever you cast a noncreature spell, this token deals 1 damage to each opponent."</t>
  </si>
  <si>
    <t>1BB</t>
  </si>
  <si>
    <t>Final Fantasy (FFIX)</t>
  </si>
  <si>
    <t>Hecteyes</t>
  </si>
  <si>
    <t>Creature — Ooze Horror</t>
  </si>
  <si>
    <t>When this creature enters, each opponent discards a card.</t>
  </si>
  <si>
    <t>Final Fantasy (FFII)</t>
  </si>
  <si>
    <t>Overkill</t>
  </si>
  <si>
    <t>Instant</t>
  </si>
  <si>
    <t>Target creature gets -0/-9999 until end of turn.</t>
  </si>
  <si>
    <t>Final Fantasy (FFX)</t>
  </si>
  <si>
    <t>Qutrub Forayer</t>
  </si>
  <si>
    <t>Creature — Zombie Horror</t>
  </si>
  <si>
    <t>When this creature enters, choose one — • Destroy target creature that was dealt damage this turn. • Exile up to two target cards from a single graveyard.</t>
  </si>
  <si>
    <t>Final Fantasy (FFXI)</t>
  </si>
  <si>
    <t>Shambling Cie'th / Cie'th Cambaleante</t>
  </si>
  <si>
    <t>Criatura — Mutante Horror</t>
  </si>
  <si>
    <t>Esta criatura entra virada. Sempre que você conjurar uma mágica que não seja de criatura, você pode pagar {B}. Se fizer isso, devolva este card de seu cemitério para sua mão.</t>
  </si>
  <si>
    <t>2{B}</t>
  </si>
  <si>
    <t>Poison the Waters / Envenenar as Águas</t>
  </si>
  <si>
    <t>Escolha um — • Todas as criaturas recebem -1/-1 até o final do turno. • O jogador alvo revela a própria mão. Você escolhe um card de criatura ou de artefato dela. Aquele jogador descarta aquele card.</t>
  </si>
  <si>
    <t>Al Bhed Salvagers / Recicladores Al Bhed</t>
  </si>
  <si>
    <t>Criatura — Humano Artífice Guerreiro</t>
  </si>
  <si>
    <t>Sempre que esta criatura ou outra criatura ou artefato que você controla morrer, o oponente alvo perde 1 de vida e você ganha 1 de vida.</t>
  </si>
  <si>
    <t>Tonberry / Tonberry</t>
  </si>
  <si>
    <t>Criatura — Salamandra Horror</t>
  </si>
  <si>
    <t>Esta criatura entra virada com um marcador de atordoamento nela. (Se ela fosse ser desvirada, em vez disso, remova um marcador de atordoamento dela.) Faca de Chef — Durante o seu turno, esta criatura tem iniciativa e toque mortífero.</t>
  </si>
  <si>
    <t>{B}</t>
  </si>
  <si>
    <t>Undercity Dire Rat / Rato Atroz da Cidade Baixa</t>
  </si>
  <si>
    <t>Criatura — Rato</t>
  </si>
  <si>
    <t>Rabo de Rato — Quando esta criatura morrer, crie uma ficha de Tesouro. (Ela é um artefato com "{T}, Sacrifique esta ficha: Adicione um mana de qualquer cor.")</t>
  </si>
  <si>
    <t>Battle at the Big Bridge // Fatal Push / Batalha na Grande Ponte // Empurrão Fatal</t>
  </si>
  <si>
    <t>Destrua a criatura alvo se ela tiver valor de mana igual ou inferior a 2. Revolta — Em vez disso, destrua aquela criatura se ela tiver valor de mana igual ou inferior a 4 se uma permanente que você controlava tiver deixado o campo de batalha neste turno.</t>
  </si>
  <si>
    <t>Golbez, Clad in Darkness // Syr Konrad, the Grim / Golbez, Trajado em Trevas // Syr Konrad, o Sombrio</t>
  </si>
  <si>
    <t>Criatura Lendária — Humano Cavaleiro</t>
  </si>
  <si>
    <t>Sempre que outra criatura morrer, ou um card de criatura for colocado em um cemitério vindo de qualquer lugar que não seja o campo de batalha, ou um card de criatura deixar o seu cemitério, Golbez causa 1 de dano a cada oponente. {1}{B}: Cada jogador tritura um card.</t>
  </si>
  <si>
    <t>3{B}{B}</t>
  </si>
  <si>
    <t>Kain, Traitorous Dragoon / Kain, Dragão Traidor</t>
  </si>
  <si>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</si>
  <si>
    <t>Ardyn, the Usurper / Ardyn, o Usurpador</t>
  </si>
  <si>
    <t>Criatura Lendária — Ancião Humano Nobre</t>
  </si>
  <si>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</si>
  <si>
    <t>5{B}{B}{B}</t>
  </si>
  <si>
    <t>Vincent Valentine / Vincent Valentine</t>
  </si>
  <si>
    <t>Criatura Lendária — Assassino</t>
  </si>
  <si>
    <t>Sempre que uma criatura que um oponente controla morrer, coloque em Vincent Valentine um número de marcadores +1/+1 igual ao poder daquela criatura. Sempre que Vincent Valentine atacar, você pode transformá-lo.</t>
  </si>
  <si>
    <t>2{B}{B}</t>
  </si>
  <si>
    <t>Fight On! / Continuar Luta!</t>
  </si>
  <si>
    <t>Devolva até dois cards de criatura alvos de seu cemitério para sua mão.</t>
  </si>
  <si>
    <t>Malboro / Malboro</t>
  </si>
  <si>
    <t>Criatura — Planta Horror</t>
  </si>
  <si>
    <t>Mau Hálito — Quando esta criatura entrar, cada oponente descarta um card, perde 2 de vida e exile os três cards do topo de seu grimório. Reciclar Pântano {2} ({2}, Descarte este card: Procure em seu grimório por um card de Pântano, revele-o, coloque-o em sua mão e depois embaralhe.)</t>
  </si>
  <si>
    <t>4{B}{B}</t>
  </si>
  <si>
    <t>Namazu Trader / Comerciante Namazu</t>
  </si>
  <si>
    <t>Criatura — Peixe Cidadão</t>
  </si>
  <si>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</si>
  <si>
    <t>3{B}</t>
  </si>
  <si>
    <t>Preto Mage's Rod / Bastão do Mago Negro</t>
  </si>
  <si>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</si>
  <si>
    <t>Sephiroth's Intervention / Intervenção de Sephiroth</t>
  </si>
  <si>
    <t>Destrua a criatura alvo. Você ganha 2 de vida.</t>
  </si>
  <si>
    <t>Circle of Power / Círculo de Poder</t>
  </si>
  <si>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</si>
  <si>
    <t>Ahriman / Ahriman</t>
  </si>
  <si>
    <t>Criatura — Olho Horror</t>
  </si>
  <si>
    <t>Voar, toque mortífero. {3}, Sacrifique outra criatura ou artefato: Compre um card.</t>
  </si>
  <si>
    <t>Vayne's Treachery / Traição de Vayne</t>
  </si>
  <si>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</si>
  <si>
    <t>The Final Days / Os Dias Finais</t>
  </si>
  <si>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</si>
  <si>
    <t>Vincent's Limit Break / Limit Break de Vincent</t>
  </si>
  <si>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</si>
  <si>
    <t>Paladin's Arms</t>
  </si>
  <si>
    <t>Artifact — Equipment</t>
  </si>
  <si>
    <t>Job select (When this Equipment enters, create a 1/1 colorless Hero creature token, then attach this to it.) Equipped creature gets +2/+1, has ward 1, and is a Knight in addition to its other types. Lightbringer and Hero's Shield — Equip 4</t>
  </si>
  <si>
    <t>Branca</t>
  </si>
  <si>
    <t xml:space="preserve">Não </t>
  </si>
  <si>
    <t>Fate of the Sun-Cryst</t>
  </si>
  <si>
    <t>This spell costs 2 less to cast if it targets a tapped creature. Destroy target nonland permanent.</t>
  </si>
  <si>
    <t>4W</t>
  </si>
  <si>
    <t>Final Fantasy (FFXII)</t>
  </si>
  <si>
    <t>You're Not Alone</t>
  </si>
  <si>
    <t>Target creature gets +2/+2 until end of turn. If you control three or more creatures, it gets +4/+4 until end of turn instead.</t>
  </si>
  <si>
    <t>Summon: Choco/Mog</t>
  </si>
  <si>
    <t>Enchantment Creature — Saga Bird Moogle</t>
  </si>
  <si>
    <t>(As this Saga enters and after your draw step, add a lore counter. Sacrifice after IV.) I, II, III, IV — Stampede! — Other creatures you control get +1/+0 until end of turn.</t>
  </si>
  <si>
    <t>Dwarven Castle Guard</t>
  </si>
  <si>
    <t>Creature — Dwarf Soldier</t>
  </si>
  <si>
    <t>When this creature dies, create a 1/1 colorless Hero creature token.</t>
  </si>
  <si>
    <t>The Imperial City of Archades // Wall of Omens / A Cidade Imperial de Archades // Barreira de Augúrios</t>
  </si>
  <si>
    <t>Criatura — Barreira</t>
  </si>
  <si>
    <t>Defensor. Quando esta criatura entrar, compre um card.</t>
  </si>
  <si>
    <t>1{W}</t>
  </si>
  <si>
    <t>Squall Leonhart // Danitha Capashen, Paragon / Squall Leonhart // Danitha Capashen, Exemplar</t>
  </si>
  <si>
    <t>Iniciativa, vigilância, vínculo com a vida. As mágicas de Aura e de Equipamento que você conjura custam {1} a menos para serem conjuradas.</t>
  </si>
  <si>
    <t>2{W}</t>
  </si>
  <si>
    <t>From Father to Son / De Pai para Filho</t>
  </si>
  <si>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</si>
  <si>
    <t>Machinist's Arsenal / Arsenal do Maquinista</t>
  </si>
  <si>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</si>
  <si>
    <t>4{W}</t>
  </si>
  <si>
    <t>Minwu, White Mage / Minwu, Mago Branco</t>
  </si>
  <si>
    <t>Criatura Lendária — Humano Clérigo</t>
  </si>
  <si>
    <t>Vigilância, vínculo com a vida. Sempre que você ganhar vida, coloque um marcador +1/+1 em cada Clérigo que você controla.</t>
  </si>
  <si>
    <t>3{W}{W}</t>
  </si>
  <si>
    <t>Venat, Heart of Hydaelyn / Venat, Coração de Hydaelyn</t>
  </si>
  <si>
    <t>Criatura Lendária — Ancião Mago</t>
  </si>
  <si>
    <t>Sempre que você conjurar uma mágica lendária, compre um card. Esta habilidade é despoletada apenas uma vez a cada turno. Ruína do Herói — {7}, {T}: Exile a permanente alvo que não seja um terreno. Transforme Venat. Ative somente como um feitiço.</t>
  </si>
  <si>
    <t>1{W}{W}</t>
  </si>
  <si>
    <t>Phoenix Down / Pluma de Fênix</t>
  </si>
  <si>
    <t>{1}{W}, {T}, Exile este artefato: Escolha um — • Devolva o card de criatura alvo com valor de mana igual ou inferior a 4 de seu cemitério para o campo de batalha virado. • Exile o Esqueleto, Espírito ou Zumbi alvo.</t>
  </si>
  <si>
    <t>{W}</t>
  </si>
  <si>
    <t>Snow Villiers / Snow Villiers</t>
  </si>
  <si>
    <t>Criatura Lendária — Humano Rebelde Monge</t>
  </si>
  <si>
    <t>Vigilância. O poder de Snow Villiers é igual ao número de criaturas que você controla.</t>
  </si>
  <si>
    <t>*/3</t>
  </si>
  <si>
    <t>Delivery Moogle / Moogle das Entregas</t>
  </si>
  <si>
    <t>Criatura — Moogle</t>
  </si>
  <si>
    <t>Voar. Quando esta criatura entrar, procure em seu grimório e/ou cemitério por um card de artefato com valor de mana igual ou inferior a 2, revele-o e coloque-o em sua mão. Se procurar em seu grimório deste modo, embaralhe.</t>
  </si>
  <si>
    <t>3{W}</t>
  </si>
  <si>
    <t>Ashe, Princess of Dalmasca / Ashe, Princesa de Dalmasca</t>
  </si>
  <si>
    <t>Criatura Lendária — Humano Rebelde Nobre</t>
  </si>
  <si>
    <t>Sempre que Ashe atacar, olhe os cinco cards do topo de seu grimório. Você pode revelar um card de artefato dentre eles e colocá-lo em sua mão. Coloque o restante no fundo de seu grimório em ordem aleatória.</t>
  </si>
  <si>
    <t>Gaelicat / Gato Gaélico</t>
  </si>
  <si>
    <t>Criatura — Gato</t>
  </si>
  <si>
    <t>Voar, vigilância. Enquanto você controlar dois ou mais artefatos, esta criatura receberá +2/+0.</t>
  </si>
  <si>
    <t>Magitek Infantry / Infantaria Magitek</t>
  </si>
  <si>
    <t>Criatura Artefato — Robô Soldado</t>
  </si>
  <si>
    <t>Esta criatura recebe +1/+0 enquanto você controlar outro artefato. {2}{W}: Procure em seu grimório por um card chamado Infantaria Magitek, coloque-o no campo de batalha virado e depois embaralhe.</t>
  </si>
  <si>
    <t>White Auracite / Auracita Branca</t>
  </si>
  <si>
    <t>Quando este artefato entrar, exile a permanente alvo que não seja um terreno que um oponente controla até que este artefato deixe o campo de batalha. {T}: Adicione {W}.</t>
  </si>
  <si>
    <t>2{W}{W}</t>
  </si>
  <si>
    <t>Weapons Vendor / Vendedor de Armas</t>
  </si>
  <si>
    <t>Criatura — Humano Artífice</t>
  </si>
  <si>
    <t>Quando esta criatura entrar, compre um card. No início do combate no seu turno, se você controlar um Equipamento, você pode pagar {1}. Quando fizer isso, anexe o Equipamento alvo que você controla à criatura alvo que você controla.</t>
  </si>
  <si>
    <t>Sidequest: Catch a Fish / Missão Secundária: Pegar um Peixe</t>
  </si>
  <si>
    <t>No início de sua manutenção, olhe o card do topo de seu grimório. Se for um card de artefato ou de criatura, você pode revelá-lo e colocá-lo em sua mão. Se colocar um card em sua mão deste modo, crie uma ficha de Comida e transforme este encantamento.</t>
  </si>
  <si>
    <t>Ambrosia Whiteheart / Ambrosia Coração-Branco</t>
  </si>
  <si>
    <t>Criatura Lendária — Ave</t>
  </si>
  <si>
    <t>Lampejo. Quando Ambrosia Coração-Branco entrar, você pode devolver outra permanente que você controla para a mão de seu dono. Aterragem — Sempre que um terreno que você controla entrar, Ambrosia Coração-Branco receberá +1/+0 até o final do turno.</t>
  </si>
  <si>
    <t>Magitek Armor / Armadura Magitek</t>
  </si>
  <si>
    <t>Quando este Veículo entrar, crie uma ficha de criatura Herói incolor 1/1. Tripular 1 (Vire qualquer número de criaturas que você controla com poder total igual ou superior a 1: Este Veículo se torna uma criatura artefato até o final do turno.)</t>
  </si>
  <si>
    <t>Summon: Primal Garuda / Invocação: Garuda Primordial</t>
  </si>
  <si>
    <t>Encantamento Criatura — Saga Harpia</t>
  </si>
  <si>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</si>
  <si>
    <t>Zack Fair / Zack Fair</t>
  </si>
  <si>
    <t>Criatura Lendária — Humano Soldado</t>
  </si>
  <si>
    <t>Zack Fair entra no campo de batalha com um marcador +1/+1. {1}, Sacrifique Zack Fair: A criatura alvo que você controla ganha indestrutível até o final do turno. Coloque os marcadores de Zack Fair naquela criatura e anexe um Equipamento que estava anexado a Zack Fair a ela.</t>
  </si>
  <si>
    <t>0/1</t>
  </si>
  <si>
    <t>Aerith Rescue Mission / Missão de Resgate de Aerith</t>
  </si>
  <si>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</si>
  <si>
    <t>Slash of Light / Golpe de Luz</t>
  </si>
  <si>
    <t>Golpe de Luz causa à criatura alvo uma quantidade de dano igual ao número de criaturas que você controla somado ao número de Equipamentos que você controla.</t>
  </si>
  <si>
    <t>Coeurl / Coeurl</t>
  </si>
  <si>
    <t>Criatura — Gato Besta</t>
  </si>
  <si>
    <t>{1}{W}, {T}: Vire a criatura alvo que não seja um encantamento.</t>
  </si>
  <si>
    <t>Cloudbound Moogle / Moogle das Nuvens</t>
  </si>
  <si>
    <t>Voar. Quando esta criatura entrar, coloque um marcador +1/+1 na criatura alvo. Reciclar Planície {2} ({2}, Descarte este card: Procure em seu grimório por um card de Planície, revele-o, coloque-o em sua mão e depois embaralhe.)</t>
  </si>
  <si>
    <t>Bartz and Boko / Bartz e Boko</t>
  </si>
  <si>
    <t>Criatura Lendária — Humano Ave</t>
  </si>
  <si>
    <t>Afinidade com Aves (Esta mágica custa {1} a menos para ser conjurada para cada Ave que você controla.) Quando Bartz e Boko entrar, cada outra Ave que você controla causa dano igual ao próprio poder à criatura alvo que um oponente controla.</t>
  </si>
  <si>
    <t>3{G}{G}</t>
  </si>
  <si>
    <t>Sazh Katzroy / Sazh Katzroy</t>
  </si>
  <si>
    <t>Criatura Lendária — Humano Piloto</t>
  </si>
  <si>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</si>
  <si>
    <t>3{G}</t>
  </si>
  <si>
    <t>Gigantoad</t>
  </si>
  <si>
    <t>Creature — Frog</t>
  </si>
  <si>
    <t>As long as you control seven or more lands, this creature gets +2/+2.</t>
  </si>
  <si>
    <t>Clash of the Eikons</t>
  </si>
  <si>
    <t>Choose one or more — • Target creature you control fights target creature an opponent controls. • Remove a lore counter from target Saga you control. (Removing lore counters doesn't cause chapter abilities to trigger.) • Put a lore counter on target Saga you control.</t>
  </si>
  <si>
    <t>Final Fantasy (FFXVI)</t>
  </si>
  <si>
    <t>Prishe's Wanderings</t>
  </si>
  <si>
    <t>Search your library for a basic land card or Town card, put it onto the battlefield tapped, then shuffle. When you search your library this way, put a +1/+1 counter on target creature you control.</t>
  </si>
  <si>
    <t>Airship Crash</t>
  </si>
  <si>
    <t>Destroy target artifact, enchantment, or creature with flying. Cycling 2 (2, Discard this card: Draw a card.)</t>
  </si>
  <si>
    <t>Tifa's Limit Break / Limit Break da Tifa</t>
  </si>
  <si>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</si>
  <si>
    <t>{G}</t>
  </si>
  <si>
    <t>Galuf's Final Act / Ato Final de Galuf</t>
  </si>
  <si>
    <t>Até o final do turno, a criatura alvo recebe +1/+0 e ganha "Quando esta criatura morrer, coloque uma quantidade de marcadores +1/+1 igual ao poder dela em até uma criatura alvo."</t>
  </si>
  <si>
    <t>1{G}</t>
  </si>
  <si>
    <t>Preto Chocobo / Chocobo Preto</t>
  </si>
  <si>
    <t>Criatura — Ave</t>
  </si>
  <si>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</si>
  <si>
    <t>Summon: Fenrir / Invocação: Fenrir</t>
  </si>
  <si>
    <t>Encantamento Criatura — Saga Lobo</t>
  </si>
  <si>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</si>
  <si>
    <t>2{G}</t>
  </si>
  <si>
    <t>Torgal, A Fine Hound / Torgal, um Bom Cão</t>
  </si>
  <si>
    <t>Criatura Lendária — Lobo</t>
  </si>
  <si>
    <t>Sempre que você conjurar sua primeira mágica de criatura Humano a cada turno, aquela criatura entrará no campo de batalha com um marcador +1/+1 adicional para cada Cão e/ou Lobo que você controla. {T}: Adicione um mana de qualquer cor.</t>
  </si>
  <si>
    <t>Ride the Shoopuf / Montar no Shoopuf</t>
  </si>
  <si>
    <t>Aterragem — Sempre que um terreno que você controla entrar, coloque um marcador +1/+1 na criatura alvo que você controla. {5}{G}{G}: Este encantamento se torna uma criatura Beast 7/7 além de seus outros tipos.</t>
  </si>
  <si>
    <t>Diamond Weapon / Arma de Diamante</t>
  </si>
  <si>
    <t>Criatura Artefato Lendária — Elemental</t>
  </si>
  <si>
    <t>Esta mágica custa {1} a menos para ser conjurada para cada card de permanente em seu cemitério. Alcance. Imune — Previna todo o dano de combate que seria causado a Arma de Diamante.</t>
  </si>
  <si>
    <t>7{G}{G}</t>
  </si>
  <si>
    <t>Rydia's Return / O Retorno de Rydia</t>
  </si>
  <si>
    <t>Escolha um — • As criaturas que você controla recebem +3/+3 até o final do turno. • Devolva até dois cards de permanente alvo de seu cemitério para sua mão.</t>
  </si>
  <si>
    <t>Sidequest: Raise a Chocobo / Missão Secundária: Criar um Chocobo</t>
  </si>
  <si>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</si>
  <si>
    <t>Chocobo Racetrack / Hipódromo de Chocobos</t>
  </si>
  <si>
    <t>Aterragem — Sempre que um terreno que você controla entrar, crie uma ficha de criatura Ave verde 2/2 com "Sempre que um terreno que você controla entrar, esta ficha receberá +1/+0 até o final do turno."</t>
  </si>
  <si>
    <t>Cactuar / Cactuar</t>
  </si>
  <si>
    <t>Atropelar. No início de sua etapa final, se esta criatura não tiver entrado no campo de batalha neste turno, devolva-a para a mão de seu dono.</t>
  </si>
  <si>
    <t>Chocobo Kick / Coice de Chocobo</t>
  </si>
  <si>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</si>
  <si>
    <t>Goobbue Gardener / Jardineiro Goobbue</t>
  </si>
  <si>
    <t>Criatura — Planta Besta</t>
  </si>
  <si>
    <t>{T}: Adicione {G}.</t>
  </si>
  <si>
    <t>Gysahl Greens / Verduras de Gysahl</t>
  </si>
  <si>
    <t>Crie uma ficha de criatura Ave verde 2/2 com "Sempre que um terreno que você controla entrar, esta ficha receberá +1/+0 até o final do turno." Recapitular {6}{G} (Você pode conjurar este card de seu cemitério pagando seu custo de recapitular. Depois, exile-o.)</t>
  </si>
  <si>
    <t>Gran Pulse Ochu / Ochu da Gran Pulse</t>
  </si>
  <si>
    <t>Toque mortífero. {8}: Até o final do turno, esta criatura recebe +1/+1 para cada card de permanente em seu cemitério.</t>
  </si>
  <si>
    <t>Town Greeter / Anfitrião da Cidade</t>
  </si>
  <si>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</si>
  <si>
    <t>Summon: Fat Chocobo / Invocação: Chocobo Gordo</t>
  </si>
  <si>
    <t>Encantamento Criatura — Saga Ave</t>
  </si>
  <si>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</si>
  <si>
    <t>4{G}</t>
  </si>
  <si>
    <t>Bard's Bow / Arco do Bardo</t>
  </si>
  <si>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</si>
  <si>
    <t>Commune with Beavers / Comungar com Castores</t>
  </si>
  <si>
    <t>Olhe os três cards do topo de seu grimório. Você pode revelar um card de artefato, criatura ou terreno dentre eles e colocá-lo em sua mão. Coloque o restante no fundo de seu grimório em qualquer ordem.</t>
  </si>
  <si>
    <t>Blitzball Shot / Chute de Blitzball</t>
  </si>
  <si>
    <t>A criatura alvo recebe +3/+3 e ganha atropelar até o final do turno.</t>
  </si>
  <si>
    <t>Balamb T-Rexaur / T-Rexaur de Balamb</t>
  </si>
  <si>
    <t>Criatura — Dinossauro</t>
  </si>
  <si>
    <t>Atropelar. Quando esta criatura entrar, você ganha 3 de vida. Reciclar Floresta {2} ({2}, Descarte este card: Procure em seu grimório por um card de Floresta, revele-o, coloque-o em sua mão e depois embaralhe.)</t>
  </si>
  <si>
    <t>4{G}{G}</t>
  </si>
  <si>
    <t>Loporrit Scout / Batedor Loporrit</t>
  </si>
  <si>
    <t>Criatura — Coelho Batedor</t>
  </si>
  <si>
    <t>Sempre que outra criatura que você controla entrar, esta criatura recebe +1/+1 até o final do turno.</t>
  </si>
  <si>
    <t>Astrologian's Planisphere / Planisfério do Astrólogo</t>
  </si>
  <si>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</si>
  <si>
    <t>1{U}</t>
  </si>
  <si>
    <t>Summon: Leviathan / Invocação: Leviatã</t>
  </si>
  <si>
    <t>Encantamento Criatura — Saga Leviatã</t>
  </si>
  <si>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</si>
  <si>
    <t>4{U}{U}</t>
  </si>
  <si>
    <t>Edgar, King of Figaro / Edgar, Rei de Figaro</t>
  </si>
  <si>
    <t>Criatura Lendária — Humano Artífice Nobre</t>
  </si>
  <si>
    <t>Quando Edgar entrar, compre um card para cada artefato que você controla. Moeda de Duas Caras — Na primeira vez que você lançar uma ou mais moedas a cada turno, aquelas moedas dão cara e você vence aqueles lançamentos.</t>
  </si>
  <si>
    <t>Sahagin</t>
  </si>
  <si>
    <t>Creature — Merfolk Warrior</t>
  </si>
  <si>
    <t>Whenever you cast a noncreature spell, if at least four mana was spent to cast it, put a +1/+1 counter on this creature and it can't be blocked this turn.</t>
  </si>
  <si>
    <t>Dragoon's Wyvern</t>
  </si>
  <si>
    <t>Creature — Drake</t>
  </si>
  <si>
    <t>Flying When this creature enters, create a 1/1 colorless Hero creature token.</t>
  </si>
  <si>
    <t>Il Mheg Pixie</t>
  </si>
  <si>
    <t>Creature — Faerie</t>
  </si>
  <si>
    <t>Flying Whenever this creature attacks, surveil 1. (Look at the top card of your library. You may put it into your graveyard.)</t>
  </si>
  <si>
    <t>Magic Damper</t>
  </si>
  <si>
    <t>Target creature you control gets +1/+1 and gains hexproof until end of turn. Untap it.</t>
  </si>
  <si>
    <t>Final Fantasy (FFXIII)</t>
  </si>
  <si>
    <t>Ice Flan / Pudim de Gelo</t>
  </si>
  <si>
    <t>Criatura — Elemental Geléia</t>
  </si>
  <si>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</si>
  <si>
    <t>Combat Tutorial / Tutorial de Combate</t>
  </si>
  <si>
    <t>O jogador alvo compra dois cards. Coloque um marcador +1/+1 em até uma criatura alvo que você controla.</t>
  </si>
  <si>
    <t>2{U}</t>
  </si>
  <si>
    <t>Syncopate / Síncope</t>
  </si>
  <si>
    <t>Anule a mágica alvo, a menos que seu controlador pague {X}. Se aquela mágica for anulada deste modo, exile-a em vez de colocá-la no cemitério de seu dono.</t>
  </si>
  <si>
    <t>{X}{U}</t>
  </si>
  <si>
    <t>Dreams of Laguna / Sonhos de Laguna</t>
  </si>
  <si>
    <t>Vigie 1, depois compre um card. (Para vigiar 1, olhe o card do topo de seu grimório. Você pode colocá-lo em seu cemitério.) Recapitular {3}{U} (Você pode conjurar este card de seu cemitério pagando seu custo de recapitular. Depois, exile-o.)</t>
  </si>
  <si>
    <t>Retrieve the Esper / Recuperar o Esper</t>
  </si>
  <si>
    <t>Crie uma ficha de criatura artefato Robô Guerreiro azul 3/3. Depois, se esta mágica tiver sido conjurada de um cemitério, coloque dois marcadores +1/+1 naquela ficha. Recapitular {5}{U} (Você pode conjurar este card de seu cemitério pagando seu custo de recapitular. Depois, exile-o.)</t>
  </si>
  <si>
    <t>3{U}</t>
  </si>
  <si>
    <t>Scorpion Sentinel / Sentinela Escorpião</t>
  </si>
  <si>
    <t>Criatura Artefato — Robô Escorpião</t>
  </si>
  <si>
    <t>Enquanto você controlar sete ou mais terrenos, esta criatura receberá +3/+0.</t>
  </si>
  <si>
    <t>Sage's Nouliths / Nouliths do Sábio</t>
  </si>
  <si>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</si>
  <si>
    <t>Ether / Éter</t>
  </si>
  <si>
    <t>{T}, Exile este artefato: Adicione {U}. Quando você conjurar sua próxima mágica instantânea ou de feitiço neste turno, copie aquela mágica. Você pode escolher novos alvos para a cópia.</t>
  </si>
  <si>
    <t>Sidequest: Card Collection / Missão Secundária: Coleção de Cards</t>
  </si>
  <si>
    <t>Quando este encantamento entrar, compre três cards e depois descarte dois cards. No início de sua etapa final, se houver oito ou mais cards em seu cemitério, transforme este encantamento.</t>
  </si>
  <si>
    <t>Ultros, Obnoxious Octopus / Ultros, Polvo Inconveniente</t>
  </si>
  <si>
    <t>Criatura Lendária — Polvo</t>
  </si>
  <si>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</si>
  <si>
    <t>Quistis Trepe / Quistis Trepe</t>
  </si>
  <si>
    <t>Magia Azul — Quando Quistis Trepe entrar, você poderá conjurar o card de mágica instantânea ou de feitiço alvo de um cemitério, e mana de qualquer tipo poderá ser gasto para conjurar aquela mágica. Se aquela mágica fosse ser colocada num cemitério, em vez disso, exile-a.</t>
  </si>
  <si>
    <t>Rook Turret / Torre de Torreão</t>
  </si>
  <si>
    <t>Criatura Artefato — Construto</t>
  </si>
  <si>
    <t>Voar. Sempre que outro artefato que você controla entrar, você poderá comprar um card. Se fizer isso, descarte um card.</t>
  </si>
  <si>
    <t>Eject / Ejetar</t>
  </si>
  <si>
    <t>Esta mágica não pode ser anulada. Devolva a permanente alvo não de terreno para a mão de seu dono. Compre um card.</t>
  </si>
  <si>
    <t>Travel the Overworld / Viajar pelo Mundo Superior</t>
  </si>
  <si>
    <t>Afinidade com Cidades (Esta mágica custa {1} a menos para ser conjurada para cada Cidade que você controla.) Compre quatro cards.</t>
  </si>
  <si>
    <t>5{U}{U}</t>
  </si>
  <si>
    <t>Qiqirn Merchant / Mercador Qiqirn</t>
  </si>
  <si>
    <t>Criatura — Besta Cidadão</t>
  </si>
  <si>
    <t>{1}, {T}: Compre um card e depois descarte um card. {7}, {T}, Sacrifique esta criatura: Compre três cards. Esta habilidade custa {1} a menos para ser ativada para cada Cidade que você controla.</t>
  </si>
  <si>
    <t>Stuck in Summoner's Sanctum / Preso no Santuário do Invocador</t>
  </si>
  <si>
    <t>Lampejo. Encantar artefato ou criatura. Quando esta Aura entrar, vire a permanente encantada. A permanente encantada não desvire durante a etapa de desvirar de seu controlador e suas habilidades ativadas não podem ser ativadas.</t>
  </si>
  <si>
    <t>Ice Magic / Magia de Gelo</t>
  </si>
  <si>
    <t>Em camadas (Escolha um custo adicional.) • Blizzard — {0} — Devolva a criatura alvo para a mão de seu dono. • Blizzara — {2} — O dono da criatura alvo a coloca no topo ou no fundo do grimório dele, à escolha dele. • Blizzaga — {5}{U} — O dono da criatura alvo a embaralha no grimório dele.</t>
  </si>
  <si>
    <t>Valkyrie Aerial Unit / Unidade Aérea Valquíria</t>
  </si>
  <si>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</si>
  <si>
    <t>Swallowed by Leviathan / Engolido por Leviatã</t>
  </si>
  <si>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</si>
  <si>
    <t>The Lunar Whale / A Baleia Lunar</t>
  </si>
  <si>
    <t>Voar. Você pode olhar o card do topo de seu grimório a qualquer momento. Enquanto A Baleia Lunar tiver atacado neste turno, você poderá jogar o card do topo de seu grimório. Tripular 1</t>
  </si>
  <si>
    <t>Relm's Sketching / Esboço de Relm</t>
  </si>
  <si>
    <t>Crie uma ficha que seja uma cópia do artefato, criatura ou terreno alvo.</t>
  </si>
  <si>
    <t>2{U}{U}</t>
  </si>
  <si>
    <t>The Prima Vista / O Prima Vista</t>
  </si>
  <si>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</si>
  <si>
    <t>4{U}</t>
  </si>
  <si>
    <t>Sleep Magic / Magia do Sono</t>
  </si>
  <si>
    <t>Encantar criatura. Quando esta Aura entrar, vire a criatura encantada. A criatura encantada não desvire durante a etapa de desvirar de seu controlador. Quando for causado dano à criatura encantada, sacrifique esta Aura.</t>
  </si>
  <si>
    <t>{U}</t>
  </si>
  <si>
    <t>The Crystal's Chosen / Os Escolhidos do Cristal</t>
  </si>
  <si>
    <t>Crie quatro fichas de criatura Herói incolor 1/1. Depois, coloque um marcador +1/+1 em cada criatura que você controla.</t>
  </si>
  <si>
    <t>5{W}{W}</t>
  </si>
  <si>
    <t>Battle Menu / Menu de Batalha</t>
  </si>
  <si>
    <t>Escolha um — • Attack — Crie uma ficha de criatura Cavaleiro branca 2/2. • Ability — A criatura alvo recebe +0/+4 até o final do turno. • Magic — Destrua a criatura alvo com poder igual ou superior a 4. • Item — Você ganha 4 de vida.</t>
  </si>
  <si>
    <t>Adelbert Steiner / Adelbert Steiner</t>
  </si>
  <si>
    <t>Vínculo com a vida. Adelbert Steiner recebe +1/+1 para cada Equipamento que você controla.</t>
  </si>
  <si>
    <t>Dragoon's Lance / Lança de Dragoon</t>
  </si>
  <si>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</si>
  <si>
    <t>Auron's Inspiration / Inspiração de Auron</t>
  </si>
  <si>
    <t>As criaturas atacantes recebem +2/+0 até o final do turno. Recapitular {2}{W}{W} (Você pode conjurar este card de seu cemitério pagando seu custo de recapitular. Depois, exile-o.)</t>
  </si>
  <si>
    <t>Freya Crescent / Freya Crescent</t>
  </si>
  <si>
    <t>Criatura Lendária — Rato Cavaleiro</t>
  </si>
  <si>
    <t>Salto — Durante o seu turno, Freya Crescent tem voar. {T}: Adicione {R}. Gaste este mana apenas para conjurar uma mágica de Equipamento ou para ativar uma habilidade de equipar.</t>
  </si>
  <si>
    <t>{R}</t>
  </si>
  <si>
    <t>Choco-Comet / Choco-Cometa</t>
  </si>
  <si>
    <t>Choco-Cometa causa X de dano a qualquer alvo. Crie uma ficha de criatura Ave verde 2/2 com "Sempre que um terreno que você controla entrar, esta ficha recebe +1/+0 até o final do turno."</t>
  </si>
  <si>
    <t>{X}{R}{R}</t>
  </si>
  <si>
    <t>Coral Sword / Espada de Coral</t>
  </si>
  <si>
    <t>Lampejo. Quando este Equipamento entrar, anexe-o à criatura alvo que você controla. Aquela criatura ganha iniciativa até o final do turno. A criatura equipada recebe +1/+0. Equipar {1}</t>
  </si>
  <si>
    <t>Summon: Esper Ramuh / Invocação: Esper Ramuh</t>
  </si>
  <si>
    <t>Encantamento Criatura — Saga Mago</t>
  </si>
  <si>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</si>
  <si>
    <t>2{R}{R}</t>
  </si>
  <si>
    <t>3{R}</t>
  </si>
  <si>
    <t>Random Encounter / Encontro Aleatório</t>
  </si>
  <si>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</si>
  <si>
    <t>4{R}{R}</t>
  </si>
  <si>
    <t>Reach the Horizon / Alcançar o Horizonte</t>
  </si>
  <si>
    <t>Procure em seu grimório por até dois cards de terreno básico e/ou cards de Cidade com nomes diferentes, coloque-os no campo de batalha virados e depois embaralhe.</t>
  </si>
  <si>
    <t>Coliseum Behemoth / Behemoth do Coliseu</t>
  </si>
  <si>
    <t>Criatura — Besta</t>
  </si>
  <si>
    <t>Atropelar. Quando esta criatura entrar, escolha um — • Destrua o artefato ou encantamento alvo. • Compre um card.</t>
  </si>
  <si>
    <t>5{G}{G}</t>
  </si>
  <si>
    <t>Vanille, Cheerful l'Cie / Vanille, l'Cie Animada</t>
  </si>
  <si>
    <t>Criatura Lendária — Humano Clerigo</t>
  </si>
  <si>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</si>
  <si>
    <t>Quina, Qu Gourmet / Quina, Gourmet Qu</t>
  </si>
  <si>
    <t>Criatura Lendária — Qu</t>
  </si>
  <si>
    <t>Se uma ou mais fichas seriam criadas sob o seu controle, em vez disso, aquelas fichas mais uma ficha de criatura Sapo verde 1/1 serão criadas. {2}, Sacrifique um Sapo: Coloque um marcador +1/+1 em Quina.</t>
  </si>
  <si>
    <t>Tidus, Blitzball Star / Tidus, Astro do Blitzball</t>
  </si>
  <si>
    <t>Sempre que um artefato que você controla entrar, coloque um marcador +1/+1 em Tidus. Sempre que Tidus atacar, vire a criatura alvo que um oponente controla.</t>
  </si>
  <si>
    <t>1{W}{U}</t>
  </si>
  <si>
    <t>Multicolorido (Branco/Azul)</t>
  </si>
  <si>
    <t>Garnet, Princess of Alexandria / Garnet, Princesa de Alexandria</t>
  </si>
  <si>
    <t>Criatura Lendária — Humano Nobre Clerigo</t>
  </si>
  <si>
    <t>Vínculo com a vida. Sempre que Garnet atacar, você poderá remover um marcador de conhecimento de cada um de qualquer número de Sagas que você controla. Coloque um marcador +1/+1 em Garnet para cada marcador de conhecimento removido deste modo.</t>
  </si>
  <si>
    <t>{G}{W}</t>
  </si>
  <si>
    <t>Multicolorido (Verde/Branco)</t>
  </si>
  <si>
    <t>Ultimecia, Time Sorceress / Ultimecia, Feiticeira do Tempo</t>
  </si>
  <si>
    <t>Criatura Lendária — Humano Bruxo</t>
  </si>
  <si>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</si>
  <si>
    <t>3{U}{B}</t>
  </si>
  <si>
    <t>Multicolorido (Azul/Preto)</t>
  </si>
  <si>
    <t>Exdeath, Void Warlock / Exdeath, Bruxo do Vazio</t>
  </si>
  <si>
    <t>Criatura Lendária — Espírito Bruxo</t>
  </si>
  <si>
    <t>Quando Exdeath entrar, você ganha 3 de vida. No início de sua etapa final, se houver seis ou mais cards de permanente em seu cemitério, transforme Exdeath.</t>
  </si>
  <si>
    <t>1{B}{G}</t>
  </si>
  <si>
    <t>Multicolorido (Preto/Verde)</t>
  </si>
  <si>
    <t>Gladiolus Amicitia / Gladiolus Amicitia</t>
  </si>
  <si>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</si>
  <si>
    <t>4{R}{G}</t>
  </si>
  <si>
    <t>Multicolorido (Vermelho/Verde)</t>
  </si>
  <si>
    <t>Ignis Scientia / Ignis Scientia</t>
  </si>
  <si>
    <t>Criatura Lendária — Humano Conselheiro</t>
  </si>
  <si>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</si>
  <si>
    <t>1{G}{U}</t>
  </si>
  <si>
    <t>Multicolorido (Verde/Azul)</t>
  </si>
  <si>
    <t>Judge Magister Gabranth / Juiz Magistrado Gabranth</t>
  </si>
  <si>
    <t>Criatura Lendária — Humano Conselheiro Cavaleiro</t>
  </si>
  <si>
    <t>Ameaçar (Esta criatura só pode ser bloqueada por duas ou mais criaturas.) Sempre que outra criatura ou artefato que você controla morrer, coloque um marcador +1/+1 em Judge Magister Gabranth.</t>
  </si>
  <si>
    <t>{W}{B}</t>
  </si>
  <si>
    <t>Multicolorido (Branco/Preto)</t>
  </si>
  <si>
    <t>Fang, Fearless l'Cie / Fang, l'Cie Destemida</t>
  </si>
  <si>
    <t>Sempre que um ou mais cards deixarem o seu cemitério, você compra um card e perde 1 de vida. Esta habilidade é ativada apenas uma vez a cada turno. (Funde-se com Vanille, Cheerful l'Cie.)</t>
  </si>
  <si>
    <t>Evil Reawakened / Mal Desperto</t>
  </si>
  <si>
    <t>Devolva o card de criatura alvo de seu cemitério para o campo de batalha com dois marcadores +1/+1 adicionais sobre ele.</t>
  </si>
  <si>
    <t>4{B}</t>
  </si>
  <si>
    <t>Sidequest: Hunt the Mark / Missão Secundária: Caçar a Marca</t>
  </si>
  <si>
    <t>Quando este encantamento entrar, destrua até uma criatura alvo. No início de sua etapa final, se uma criatura sob o controle de um oponente tiver morrido neste turno, crie uma ficha de Tesouro. Depois, se você controlar três ou mais Tesouros, transforme este encantamento.</t>
  </si>
  <si>
    <t>Phantom Train / Trem Fantasma</t>
  </si>
  <si>
    <t>Atropelar. Sacrifique outro artefato ou criatura: Coloque um marcador +1/+1 neste Veículo. Ele se torna uma criatura artefato Espírito além de seus outros tipos até o final do turno.</t>
  </si>
  <si>
    <t>Murdock's Crusade / Cruzada de Murdock</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</si>
  <si>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</si>
  <si>
    <t>Marvel</t>
  </si>
  <si>
    <t>Agent of Atlas / Agente da Atlas</t>
  </si>
  <si>
    <t>Criatura — Humano Espião Herói</t>
  </si>
  <si>
    <t>Destreza (Sempre que você conjurar um feitiço que não seja de criatura, esta criatura receberá +1/+1 até o final do turno.)</t>
  </si>
  <si>
    <t>Agents of S.H.I.E.L.D. / Agentes da S.H.I.E.L.D.</t>
  </si>
  <si>
    <t>Sempre que uma criatura que você controla atacar sozinha, aquela criatura receberá +1/+1 até o final do turno.</t>
  </si>
  <si>
    <t>Borough Backup / Reforço do Bairro</t>
  </si>
  <si>
    <t>Crie duas fichas de criatura Herói brancas 3/2 com vigilância. Reciclar terreno básico {2} ({2}, Descarte este card: Procure em seu grimório por um card de terreno básico, revele-o, coloque-o em sua mão e depois embaralhe.)</t>
  </si>
  <si>
    <t>Crowd of True Believers / Multidão de Espectadores Féis</t>
  </si>
  <si>
    <t>{T}: A criatura alvo que você controla que estiver atacando sozinha recebe +1/+0 até o final do turno. Você ganha 1 de vida.</t>
  </si>
  <si>
    <t>Aerial Doombot / Doombot Aéreo</t>
  </si>
  <si>
    <t>Criatura Artefato — Robô Vilão</t>
  </si>
  <si>
    <t>Voar. Fortalecer — {5}{U}: Coloque três marcadores +1/+1 nesta criatura. (Ative cada habilidade de fortalecer apenas uma vez. Reduza o custo em seu custo de mana se ela entrou neste turno.)</t>
  </si>
  <si>
    <t>Atlantis Attacks / Ataque de Atlântida</t>
  </si>
  <si>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</si>
  <si>
    <t>Falcon, Winged Wonder / Falcão, Prodígio Alado</t>
  </si>
  <si>
    <t>Criatura Lendária — Humano Herói</t>
  </si>
  <si>
    <t>Voar. Telepatia Aviária — Quando Falcão entrar, crie Asa Vermelha, uma ficha de criatura lendária Ave Batedor azul 1/1 com voar e "Sempre que Asa Vermelha atacar, vigie 1." (Olhe o card do topo de seu grimório. Você pode colocá-lo em seu cemitério.)</t>
  </si>
  <si>
    <t>Frozen in Ice / Congelado no Gelo</t>
  </si>
  <si>
    <t>Encantar criatura. Quando esta Aura entrar, vire a criatura encantada. A criatura encantada perde todas as habilidades e não pode ser desvirada.</t>
  </si>
  <si>
    <t>Hydraulic Helper / Ajudante Hidráulico</t>
  </si>
  <si>
    <t>Criatura Artefato — Robô</t>
  </si>
  <si>
    <t>Defensor. {T}: Adicione {U}. Este mana não pode ser gasto para conjurar uma mágica que não seja de artefato.</t>
  </si>
  <si>
    <t>I Am Iron Man / Eu Sou o Homem de Ferro</t>
  </si>
  <si>
    <t>Até o final do turno, o artefato ou criatura alvo torna-se uma criatura artefato com poder e resistência básicos 4/4 e ganha voar. Compre um card.</t>
  </si>
  <si>
    <t>Rewrite History / Reescrever a História</t>
  </si>
  <si>
    <t>Encantamento — Plano</t>
  </si>
  <si>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</si>
  <si>
    <t>S.H.I.E.L.D. Deployment Drone / Drone de Implantação da S.H.I.E.L.D.</t>
  </si>
  <si>
    <t>Voar. Quando esta criatura entrar, crie uma ficha de criatura Soldado branca 1/1.</t>
  </si>
  <si>
    <t>Dependable Quinjet / Quinjet Confiável</t>
  </si>
  <si>
    <t>Voar. {T}: Adicione um mana de qualquer cor. Tripular 4 (Vire qualquer número de criaturas que você controla com poder total igual ou superior a 4: Este Veículo torna-se uma criatura artefato até o final do turno.)</t>
  </si>
  <si>
    <t>{3}</t>
  </si>
  <si>
    <t>A.I.M. Synthoids / Sintóides da I.E.A.</t>
  </si>
  <si>
    <t>Quando esta criatura entrar, vigie 2. (Olhe os dois cards do topo de seu grimório, depois coloque qualquer número deles em seu cemitério e o restante no topo de seu grimório em qualquer ordem.)</t>
  </si>
  <si>
    <t>{2}</t>
  </si>
  <si>
    <t>Ant-Man's Army / Exército do Homem-Formiga</t>
  </si>
  <si>
    <t>Criatura — Inseto</t>
  </si>
  <si>
    <t>Quando esta criatura entrar, crie uma ficha de Comida ou uma ficha de Tesouro. (Uma ficha de Comida é um artefato com "{2}, {T}, Sacrifique esta ficha: Você ganha 3 de vida." Uma ficha de Tesouro é um artefato com "{T}, Sacrifique esta ficha: Adicione um mana de qualquer cor.")</t>
  </si>
  <si>
    <t>Claim the Kingdom / Reivindicar o Reino</t>
  </si>
  <si>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</si>
  <si>
    <t>Serpent Specialist / Especialista em Serpentes</t>
  </si>
  <si>
    <t>Criatura — Humano Cobra Vilão</t>
  </si>
  <si>
    <t>Toque mortífero. Fortalecer — {3}{G}: Coloque dois marcadores +1/+1 nesta criatura. (Ative cada habilidade de fortalecer apenas uma vez. Reduza o custo em seu custo de mana se ela entrou neste turno.)</t>
  </si>
  <si>
    <t>Wakandan Royal Guard / Guarda Real de Wakanda</t>
  </si>
  <si>
    <t>Criatura — Humano Soldado Herói</t>
  </si>
  <si>
    <t>Vigilância. Quando esta criatura entrar, coloque um marcador +1/+1 na criatura alvo. Se aquela criatura for outro Herói, em vez disso, coloque dois marcadores +1/+1 nela.</t>
  </si>
  <si>
    <t>Powerful Broker / Corretor Poderoso</t>
  </si>
  <si>
    <t>Criatura — Humano Vilão</t>
  </si>
  <si>
    <t>{T}: Para cada tipo de marcador na permanente ou jogador alvo, dê àquela permanente ou jogador outro marcador daquele tipo. Ative apenas como um feitiço.</t>
  </si>
  <si>
    <t>Guerrilla Gorilla / Gorila Guerrilheiro</t>
  </si>
  <si>
    <t>Criatura — Macaco Soldado Herói</t>
  </si>
  <si>
    <t>Alcance. Sacrifique esta criatura: Destrua o artefato não de criatura ou encantamento não de criatura alvo. Ative apenas como um feitiço.</t>
  </si>
  <si>
    <t>Blazing Crescendo / Crescendo Flamejante</t>
  </si>
  <si>
    <t>A criatura alvo recebe +3/+1 até o final do turno. Exile o card do topo de seu grimório. Até o final de seu próximo turno, você poderá jogar aquele card.</t>
  </si>
  <si>
    <t>1{R}</t>
  </si>
  <si>
    <t>Crimson Operative / Operativo Carmesim</t>
  </si>
  <si>
    <t>Criatura Artefato — Humano Vilão</t>
  </si>
  <si>
    <t>Destreza (Sempre que você conjurar uma mágica que não seja de criatura, esta criatura receberá +1/+1 até o final do turno.) Quando esta criatura entrar, exile o card do topo de seu grimório. Até o final de seu próximo turno, você poderá jogar aquele card.</t>
  </si>
  <si>
    <t>Lightning Strike / Raio de Solavanco</t>
  </si>
  <si>
    <t>Raio de Solavanco causa 3 de pontos de dano a qualquer alvo.</t>
  </si>
  <si>
    <t>Stark Industries Executive / Executivo das Indústrias Stark</t>
  </si>
  <si>
    <t>Criatura — Humano Conselheiro</t>
  </si>
  <si>
    <t>{2}, {T}: Crie uma ficha de Tesouro. (Ela é um artefato com "{T}, Sacrifique esta ficha: Adicione um mana de qualquer cor.")</t>
  </si>
  <si>
    <t>Truck Toss / Arremesso de Caminhão</t>
  </si>
  <si>
    <t>Esta mágica custa {2} a menos para ser conjurada se você controlar um Veículo. Arremesso de Caminhão causa 4 de dano a qualquer alvo.</t>
  </si>
  <si>
    <t>Volcanic Villain / Vilã Vulcânica</t>
  </si>
  <si>
    <t>Criatura — Elemental Vilão</t>
  </si>
  <si>
    <t>Ímpeto. Fortalecer — {5}{R}: Coloque dois marcadores +1/+1 nesta criatura. (Ative cada habilidade de fortalecer apenas uma vez. Reduza o custo pelo custo de mana dela se ela entrou neste turno.)</t>
  </si>
  <si>
    <t>2{R}</t>
  </si>
  <si>
    <t>Roxxon Brutes / Brutos da Roxxon</t>
  </si>
  <si>
    <t>Criatura — Humano Berserker Vilão</t>
  </si>
  <si>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</si>
  <si>
    <t>Visions of Villainy / Visões de Vilania</t>
  </si>
  <si>
    <t>Esta mágica custa {1} a menos para ser conjurada se você controlar um Vilão. Você compra dois cards e perde 2 de vida.</t>
  </si>
  <si>
    <t>Red Room Recruit / Recruta da Sala Vermelha</t>
  </si>
  <si>
    <t>Criatura — Humano Espião Vilão</t>
  </si>
  <si>
    <t>Quando esta criatura entrar, ela conspira. (Compre um card, depois descarte um card. Se você descartou um card não de terreno, coloque um marcador +1/+1 nesta criatura.)</t>
  </si>
  <si>
    <t>Cruel Alliance / Aliança Cruel</t>
  </si>
  <si>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</si>
  <si>
    <t>Hour of Defeat / Hora da Derrota</t>
  </si>
  <si>
    <t>Destrua a criatura alvo. Vigie 1. (Olhe o card do topo de seu grimório. Você pode colocá-lo em seu cemitério.)</t>
  </si>
  <si>
    <t>Raft Security Officer / Oficial de Segurança da Balsa</t>
  </si>
  <si>
    <t>{2}, {T}: Vire a criatura alvo. Esta habilidade custa {1} a menos para ser ativada se tiver como alvo uma criatura com poder igual ou inferior a 3.</t>
  </si>
  <si>
    <t>Kavaron Harrier / Predador de Kavaron</t>
  </si>
  <si>
    <t>Sempre que esta criatura atacar, você pode pagar {2}. Se fizer isso, crie uma ficha de criatura artefato Robô incolor 2/2 virada e atacando. Sacrifique aquela ficha no final do combate.</t>
  </si>
  <si>
    <t>Edge of Eternity</t>
  </si>
  <si>
    <t>Pull Through the Weft / Atravessar a Trama</t>
  </si>
  <si>
    <t>Raro</t>
  </si>
  <si>
    <t>Devolva até dois cards de permanente não de terreno alvos de seu cemitério para sua mão, depois devolva até dois cards de terreno alvos de seu cemitério para o campo de batalha virados.</t>
  </si>
  <si>
    <t>Pillar of Flame / Pilar de Chamas</t>
  </si>
  <si>
    <t>Pilar de Chamas causa 2 de dano à criatura ou ao jogador alvo. Se uma criatura que sofreu dano desta forma fosse morrer neste turno, em vez disso, exile-a.</t>
  </si>
  <si>
    <t>Avacyn Restored</t>
  </si>
  <si>
    <t>Experimental Frenzy / Frenesi Experimental</t>
  </si>
  <si>
    <t>Você pode olhar o card do topo de seu grimório a qualquer momento. Você pode jogar o card do topo de seu grimório. Você não pode jogar cards da sua mão. {3}{R}: Destrua Frenesi Experimental.</t>
  </si>
  <si>
    <t>Guilds of Ravnica</t>
  </si>
  <si>
    <t>Amplifire / Amplifogo</t>
  </si>
  <si>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</si>
  <si>
    <t>Ravnica Allegiance</t>
  </si>
  <si>
    <t>Skarrgan Hellkite / Dragão Avérneo de Skarrgan</t>
  </si>
  <si>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</si>
  <si>
    <t>3{R}{R}</t>
  </si>
  <si>
    <t>Goblin Cratermaker / Cratereiro Goblin</t>
  </si>
  <si>
    <t>Criatura — Goblin Guerreiro</t>
  </si>
  <si>
    <t>{1}, sacrifique Cratereiro Goblin: Escolha um — • Cratereiro Goblin causa 2 pontos de dano à criatura alvo. • Destrua a permanente incolor alvo que não seja um terreno.</t>
  </si>
  <si>
    <t>Gravel-Hide Goblin / Goblin Pele-de-cascalho</t>
  </si>
  <si>
    <t>Criatura — Goblin Xamã</t>
  </si>
  <si>
    <t>{3}{G}: Goblin Pele-de-cascalho recebe +2/+2 até o final do turno.</t>
  </si>
  <si>
    <t>Rix Maadi Reveler / Farrista de Rix Maadi</t>
  </si>
  <si>
    <t>Criatura — Humano Xamã</t>
  </si>
  <si>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</si>
  <si>
    <t>Lava Coil / Hélice de Lava</t>
  </si>
  <si>
    <t>Hélice de Lava causa 4 pontos de dano à criatura alvo. Se aquela criatura for morrer neste turno, em vez disso, exile-a.</t>
  </si>
  <si>
    <t>Spawn of Mayhem / Prole do Pandemônio</t>
  </si>
  <si>
    <t>Criatura — Demônio</t>
  </si>
  <si>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</si>
  <si>
    <t>Vindictive Vampire / Vampira Vingativa</t>
  </si>
  <si>
    <t>Criatura — Vampiro</t>
  </si>
  <si>
    <t>Toda vez que outra criatura que você controla morre, Vampira Vingativa causa 1 ponto de dano a cada oponente e você ganha 1 ponto de vida.</t>
  </si>
  <si>
    <t>Whispering Madness / Loucura Sussurrante</t>
  </si>
  <si>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</si>
  <si>
    <t>2{U}{B}</t>
  </si>
  <si>
    <t>Gatecrash</t>
  </si>
  <si>
    <t>Bedevil / Atormentar</t>
  </si>
  <si>
    <t>Destrua o artefato, a criatura ou o planeswalker alvo.</t>
  </si>
  <si>
    <t>{B}{B}{R}</t>
  </si>
  <si>
    <t>Breaking // Entering // Quebrar // Entrar</t>
  </si>
  <si>
    <t>Feitiço // Feitiço</t>
  </si>
  <si>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</si>
  <si>
    <t>{U}{B} // 4{B}{R}</t>
  </si>
  <si>
    <t>Dragon's Maze</t>
  </si>
  <si>
    <t>Mechanical Mobster / Mafioso Mecânico</t>
  </si>
  <si>
    <t>Criatura Artefato — Humano Robô Vilão</t>
  </si>
  <si>
    <t>Quando esta criatura entrar, exile até um card alvo de um cemitério. A criatura alvo que você controla conspira. (Compre um card, depois descarte um card. Se você descartou um card não de terreno, coloque um marcador +1/+1 naquela criatura.)</t>
  </si>
  <si>
    <t>Spider-Man, Web-Slinger / Homem-Aranha, Lançador de Teias</t>
  </si>
  <si>
    <t>Criatura Lendária — Aranha Humano Herói</t>
  </si>
  <si>
    <t>Lançamento de Teia {W} (Você pode conjurar esta mágica por {W} se você também devolver uma criatura virada que você controla para a mão de seu dono.)</t>
  </si>
  <si>
    <t>Invisible Woman, Sue Storm / Mulher Invisível, Sue Storm</t>
  </si>
  <si>
    <t>Vínculo com a vida. Sempre que você colocar um ou mais marcadores +1/+1 em um ou mais outros Heróis que você controla, você pode criar uma ficha de criatura Barreira incolor 0/4 com defensor.</t>
  </si>
  <si>
    <t>U.S. Agent, John Walker / Agente Americano, John Walker</t>
  </si>
  <si>
    <t>Criatura Lendária — Humano Soldado Herói</t>
  </si>
  <si>
    <t>Quando Agente Americano entrar, crie uma ficha de artefato do tipo Equipamento incolor chamada Escudo Resistente com "A criatura equipada recebe +1/+2" e equipar {2}. Anexe-a a Agente Americano.</t>
  </si>
  <si>
    <t>3{W/B}</t>
  </si>
  <si>
    <t>War Machine, Legacy of Iron / Máquina de Combate, Legado de Ferro</t>
  </si>
  <si>
    <t>Criatura Artefato Lendária — Humano Herói</t>
  </si>
  <si>
    <t>Voar. No início do combate no seu turno, outra criatura alvo que você controla recebe +X/+0 até o final do turno, onde X é o poder de Máquina de Combate.</t>
  </si>
  <si>
    <t>2{R/W}</t>
  </si>
  <si>
    <t>Baron Strucker, HYDRA Overlord / Barão Strucker, Soberano da HIDRA</t>
  </si>
  <si>
    <t>Criatura Lendária — Humano Vilão</t>
  </si>
  <si>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</si>
  <si>
    <t>Klaw, Sonic Subjugator / Garra, Subjugador Sônico</t>
  </si>
  <si>
    <t>Criatura Lendária — Humano Ladino Vilão</t>
  </si>
  <si>
    <t>Ataque Sônico — Quando Garra entrar, o jogador alvo revela uma quantidade de cards de sua própria mão igual a um mais a quantidade de cards de criatura no seu cemitério. Você escolhe um deles. Aquele jogador descarta aquele card.</t>
  </si>
  <si>
    <t>The Masters of Evil / Os Mestres do Terror</t>
  </si>
  <si>
    <t>Outros Vilões que você controla recebem +2/+1. {1}{B}, Descarte este card: Procure em seu grimório por um card de Plano, revele-o, coloque-o em sua mão e depois embaralhe.</t>
  </si>
  <si>
    <t>5{B}</t>
  </si>
  <si>
    <t>Ronin, Shadow Stalker / Ronin, Perseguidor das Sombras</t>
  </si>
  <si>
    <t>Criatura Lendária — Humano Ladino Herói</t>
  </si>
  <si>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</si>
  <si>
    <t>Luke Cage, Power Man / Luke Cage, Poderoso</t>
  </si>
  <si>
    <t>Pele Inquebrável — Sempre que Luke Cage atacar sozinho, ele recebe +2/+0 e ganha indestrutível até o final do turno. (Dano e efeitos que dizem "destrua" não o destroem.)</t>
  </si>
  <si>
    <t>Mister Hyde, Monster Within / Senhor Hyde, O Monstro Interior</t>
  </si>
  <si>
    <t>No início de sua manutenção, escolha um — • Coloque um marcador +1/+1 em Senhor Hyde. • Remova um marcador de uma criatura que você controla. Se fizer isso, compre um card.</t>
  </si>
  <si>
    <t>Rick Jones, Destined Sidekick / Rick Jones, Parceiro Predestinado</t>
  </si>
  <si>
    <t>{3}, {T}: Triture quatro cards. Você pode colocar um card de Herói ou de encantamento dentre aqueles cards em sua mão. (Para triturar quatro cards, coloque os quatro cards do topo de seu grimório em seu cemitério.)</t>
  </si>
  <si>
    <t>Ghost, Spectral Saboteur / Fantasma, Sabotador Espectral</t>
  </si>
  <si>
    <t>Lampejo. Intangibilidade — Fantasma não pode ser bloqueado.</t>
  </si>
  <si>
    <t>2{U/B}</t>
  </si>
  <si>
    <t>Bullseye, Death Dealer / Mercenário, Negociante da Morte</t>
  </si>
  <si>
    <t>Criatura Lendária — Humano Assassino Vilão</t>
  </si>
  <si>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</si>
  <si>
    <t>2{B/R}</t>
  </si>
  <si>
    <t>Viv Vision, Teen Synthezoid / Viv Visão, Sintozóide Adolescente</t>
  </si>
  <si>
    <t>Criatura Artefato Lendária — Robô Herói</t>
  </si>
  <si>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</si>
  <si>
    <t>Balthier and Fran / Balthier e Fran</t>
  </si>
  <si>
    <t>Criatura Lendária — Humano Coelho</t>
  </si>
  <si>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</si>
  <si>
    <t>1{V/R}</t>
  </si>
  <si>
    <t>Vermelho e verde</t>
  </si>
  <si>
    <t>Foe-liage / Inimigo-lhagem</t>
  </si>
  <si>
    <t>Criatura — Planta Mutante</t>
  </si>
  <si>
    <t>Sempre que um terreno entrar durante o seu turno, coloque um marcador +1/+1 nesta criatura.</t>
  </si>
  <si>
    <t>Teenage Mutant Ninja Turtles</t>
  </si>
  <si>
    <t>Prehistoric Turtlesaurus / Tartarugassauro Pré-histórico</t>
  </si>
  <si>
    <t>Criatura — Mutante Ninja Tartaruga Dinossauro</t>
  </si>
  <si>
    <t>Esta mágica custa {1} a menos para ser conjurada se você controlar uma criatura com um marcador +1/+1 nela. Vigilância (Atacar não faz esta criatura ser virada.)</t>
  </si>
  <si>
    <t>Turtle Tracks / Rastros de Tartaruga</t>
  </si>
  <si>
    <t>Qualquer número de jogadores alvo pode, cada um, procurar em seu próprio grimório por um card de terreno básico, colocá-lo no campo de batalha sob o controle deles e depois embaralhar.</t>
  </si>
  <si>
    <t>Manhole Cover / Tampa de Bueiro</t>
  </si>
  <si>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</si>
  <si>
    <t>Hamato Ninpō / Hamato Ninpō</t>
  </si>
  <si>
    <t>Hamato Ninpō causa 4 pontos de dano à criatura atacante ou bloqueadora alvo.</t>
  </si>
  <si>
    <t>Leo's Guidance / Orientação de Leo</t>
  </si>
  <si>
    <t>Coloque um marcador +1/+1 em cada uma de até três criaturas alvo. Desvire-as.</t>
  </si>
  <si>
    <t>Triceraton Regenta / Regenta Triceráton</t>
  </si>
  <si>
    <t>Criatura — Dinossauro Nobre</t>
  </si>
  <si>
    <t>Vigilância (Atacar não faz esta criatura ser virada.) Sempre que esta criatura atacar, desvire até uma outra criatura alvo.</t>
  </si>
  <si>
    <t>Wooden Cane / Bengala de Madeira</t>
  </si>
  <si>
    <t>Quando este Equipamento entrar, crie uma ficha de criatura Mutante vermelha 2/2 e depois anexe este Equipamento a ela. A criatura equipada recebe +2/+1. Equipar {3} ({3}: Anexe à criatura alvo que você controla. Equipe somente como um feitiço.)</t>
  </si>
  <si>
    <t>Containment Protocol / Protocolo de Contenção</t>
  </si>
  <si>
    <t>Encantar criatura. Quando esta Aura entrar, vire a criatura encantada. A criatura encantada não desvira durante a etapa de desvirar de seu controlador.</t>
  </si>
  <si>
    <t>Donatello's Science Lesson / Lição de Ciência de Donatello</t>
  </si>
  <si>
    <t>Vire até duas criaturas alvo. Até dois jogadores alvo compram, cada um, um card.</t>
  </si>
  <si>
    <t>Monster Mashup / Mistureba de Monstros</t>
  </si>
  <si>
    <t>Criatura — Lobisomem Peixe Zumbi Vampiro</t>
  </si>
  <si>
    <t>Alcance (Esta criatura pode bloquear criaturas com voar.) Ameaça (Esta criatura não pode ser bloqueada a não ser por duas ou mais criaturas.)</t>
  </si>
  <si>
    <t>Raph's Bravado / Bravata de Raph</t>
  </si>
  <si>
    <t>Durante o seu turno, as criaturas atacantes recebem +1/+0.</t>
  </si>
  <si>
    <t>Storm of Steel / Tempestade de Aço</t>
  </si>
  <si>
    <t>Storm of Steel causa 2 pontos de dano a cada um de um ou dois alvos.</t>
  </si>
  <si>
    <t>Ticked Off / Irritado</t>
  </si>
  <si>
    <t>A criatura alvo ganha golpe duplo até o final do turno. (Ela causa tanto dano de iniciativa quanto dano de combate normal.)</t>
  </si>
  <si>
    <t>Galvanizing Sawship / Nauserra Galvanizante</t>
  </si>
  <si>
    <t>Artefato — Nave Espacial</t>
  </si>
  <si>
    <t>Estação (Vire outra criatura que você controla: Coloque marcadores de carga iguais ao poder dela nesta Nave Espacial. Estacione somente como um feitiço. É uma criatura artefato enquanto tiver 3+.) Voar, ímpeto</t>
  </si>
  <si>
    <t>5{R}</t>
  </si>
  <si>
    <t>Pain for All / Dor para Todos</t>
  </si>
  <si>
    <t>Encantar criatura que você controla. Quando esta Aura entrar, a criatura encantada causa dano igual ao seu poder a qualquer outro alvo. Sempre que causar dano à criatura encantada, ela causa aquela mesma quantidade de dano a cada oponente.</t>
  </si>
  <si>
    <t>Red Tiger Mechan / Mecano-tigre Vermelho</t>
  </si>
  <si>
    <t>Criatura Artefato — Robô Gato</t>
  </si>
  <si>
    <t>Ímpeto. Dobra {1}{R} (Você pode conjurar este card de sua mão pelo seu custo de dobra. Exile esta criatura no início da próxima etapa final e depois você poderá conjurá-la do exílio em um turno posterior.)</t>
  </si>
  <si>
    <t>Roving Actuator / Atuador Itinerante</t>
  </si>
  <si>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</si>
  <si>
    <t>Oreplate Pangolin / Pangolim das Placas de Minério</t>
  </si>
  <si>
    <t>Criatura Artefato — Robô Pangolim</t>
  </si>
  <si>
    <t>Sempre que um outro artefato que você controla entrar, você pode pagar {1}. Se fizer isso, coloque um marcador +1/+1 nesta criatura.</t>
  </si>
  <si>
    <t>Kavaron Skywarden / Guarda dos Céus de Kavaron</t>
  </si>
  <si>
    <t>Criatura — Kavu Soldado</t>
  </si>
  <si>
    <t>Alcance. Vazio — No início de sua etapa final, se uma permanente não de terreno tiver deixado o campo de batalha neste turno ou se uma mágica tiver sido dobrada neste turno, coloque um marcador +1/+1 nesta criatura.</t>
  </si>
  <si>
    <t>4{R}</t>
  </si>
  <si>
    <t>Plasma Bolt / Raio de Plasma</t>
  </si>
  <si>
    <t>Plasma Bolt causa 2 pontos de dano a qualquer alvo. Vazio — Plasma Bolt causa 3 pontos de dano em vez disso se uma permanente não de terreno tiver deixado o campo de batalha neste turno ou se uma mágica tiver sido dobrada neste turno.</t>
  </si>
  <si>
    <t>Invasive Maneuvers / Manobras Invasivas</t>
  </si>
  <si>
    <t>Invasive Maneuvers causa 3 pontos de dano à criatura alvo. Ele causa 5 pontos de dano em vez disso se você controlar uma Nave Espacial.</t>
  </si>
  <si>
    <t>Bombard / Bombardear</t>
  </si>
  <si>
    <t>Bombard causa 4 pontos de dano à criatura alvo.</t>
  </si>
  <si>
    <t xml:space="preserve">Rivais de Ixalan </t>
  </si>
  <si>
    <t>Meltstrider's Gear / Equipamento do熔passo</t>
  </si>
  <si>
    <t>Quando este Equipamento entrar, anexe-o à criatura alvo que você controla. A criatura equipada recebe +2/+1 e tem alcance. Equipar {5} ({5}: Anexe à criatura alvo que você controla. Equipe somente como um feitiço.)</t>
  </si>
  <si>
    <t>Sami's Curiosity / Curiosidade de Sami</t>
  </si>
  <si>
    <t>Você ganha 2 pontos de vida. Crie uma ficha de Módulo de Pouso. (É um artefato com "{2}, {T}, Sacrifique esta ficha: Procure em seu grimório por um card de terreno básico, coloque-o no campo de batalha virado e depois embaralhe.")</t>
  </si>
  <si>
    <t>Thawbringer / Trazedor do Degelo</t>
  </si>
  <si>
    <t>Criatura — Inseto Patrulheiro</t>
  </si>
  <si>
    <t>Quando esta criatura entrar ou morrer, vigie 1. (Olhe o card do topo de seu grimório. Você pode colocá-lo em seu cemitério.)</t>
  </si>
  <si>
    <t>Larval Scoutlander / Sonda-larval Terrestre</t>
  </si>
  <si>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</si>
  <si>
    <t>Intrepid Tenderfoot / Pé-tenro Intrépido</t>
  </si>
  <si>
    <t>Criatura — Inseto Cidadão</t>
  </si>
  <si>
    <t>{3}: Coloque um marcador +1/+1 nesta criatura. Ative somente como um feitiço.</t>
  </si>
  <si>
    <t>Biosynthic Burst / Explosão Biossíntese</t>
  </si>
  <si>
    <t>Coloque um marcador +1/+1 na criatura alvo que você controla. Ela ganha alcance, atropelar e indestrutível até o final do turno. Desvire-a. (Dano e efeitos que dizem "destrua" não a destroem.)</t>
  </si>
  <si>
    <t>Broodguard Elite / Elite da Guarda da Ninhada</t>
  </si>
  <si>
    <t>Criatura — Inseto Cavaleiro</t>
  </si>
  <si>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</si>
  <si>
    <t>X{G}{G}</t>
  </si>
  <si>
    <t>0/0</t>
  </si>
  <si>
    <t>Close Encounter / Encontro Imediato</t>
  </si>
  <si>
    <t>Como um custo adicional para conjurar esta mágica, escolha uma criatura que você controla ou um card de criatura dobrado que você possui no exílio. Close Encounter causa dano igual ao poder da criatura ou card escolhido à criatura alvo.</t>
  </si>
  <si>
    <t>Diplomatic Relations / Relações Diplomáticas</t>
  </si>
  <si>
    <t>A criatura alvo recebe +1/+0 e ganha vigilância até o final do turno. Ela causa dano igual ao seu poder à criatura alvo que um oponente controla.</t>
  </si>
  <si>
    <t>Eusocial Engineering / Engenharia Eussocial</t>
  </si>
  <si>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</si>
  <si>
    <t>Fungal Colossus / Colosso Fúngico</t>
  </si>
  <si>
    <t>Criatura — Fungo Besta</t>
  </si>
  <si>
    <t>Esta mágica custa {X} a menos para ser conjurada, onde X é o número de terrenos com nomes diferentes que você controla.</t>
  </si>
  <si>
    <t>6{G}</t>
  </si>
  <si>
    <t>Thaumaton Torpedo / Torpede de Taumaton</t>
  </si>
  <si>
    <t>{6}, {T}, Sacrifique este artefato: Destrua a permanente não de terreno alvo. Esta habilidade custa {3} a menos para ser ativada se você atacou com uma Nave Espacial neste turno.</t>
  </si>
  <si>
    <t>{1}</t>
  </si>
  <si>
    <t>Wurmwall Sweeper / Varredor da Muralha de Vermes</t>
  </si>
  <si>
    <t>Quando esta Nave Espacial entrar, vigie 2. Estação (Vire outra criatura que você controla: Coloque marcadores de carga iguais ao poder dela nesta Nave Espacial. Estacione somente como um feitiço. É uma criatura artefato enquanto tiver 4+.) Voar</t>
  </si>
  <si>
    <t>Interceptor Mechan / Mecano-interceptador</t>
  </si>
  <si>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</si>
  <si>
    <t>2{B}{R}</t>
  </si>
  <si>
    <t>Command Bridge / Ponte de Comando</t>
  </si>
  <si>
    <t>Este terreno entra virado. Quando este terreno entrar, sacrifique-o a menos que você vire uma permanente desvirada que você controla. {T}: Adicione um mana de qualquer cor.</t>
  </si>
  <si>
    <t>Seedship Broodtender / Cuidador da Ninhada da Nave Semente</t>
  </si>
  <si>
    <t>Quando esta criatura entrar, triture três cards. (Coloque os três cards do topo de seu grimório em seu cemitério.) {3}{B}{G}, Sacrifique esta criatura: Devolva o card de criatura ou de Nave Espacial alvo de seu cemitério para o campo de batalha. Ative somente como um feitiço.</t>
  </si>
  <si>
    <t>{B}{G}</t>
  </si>
  <si>
    <t>Cosmogoyf / Cosmogoyf</t>
  </si>
  <si>
    <t>Criatura — Elemental Lhurgoyf</t>
  </si>
  <si>
    <t>O poder desta criatura é igual ao número de cards que você possui no exílio e sua resistência é igual a esse número mais 1.</t>
  </si>
  <si>
    <t>*/1+*</t>
  </si>
  <si>
    <t>Infinite Guideline Station / Estação da Diretriz Infinita</t>
  </si>
  <si>
    <t>Artefato Lendário — Nave Espacial</t>
  </si>
  <si>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</si>
  <si>
    <t>{W}{U}{B}{R}{G}</t>
  </si>
  <si>
    <t>7/15</t>
  </si>
  <si>
    <t>Desculpting Blast / Explosão Desescultora</t>
  </si>
  <si>
    <t>Devolva a permanente não de terreno alvo para a mão de seu dono. Se ela estava atacando, crie uma ficha de criatura artefato Drone incolor 1/1 com voar e "Esta ficha só pode bloquear criaturas com voar."</t>
  </si>
  <si>
    <t>Divert Disaster / Desviar Desastre</t>
  </si>
  <si>
    <t>Anule a mágica alvo, a menos que seu controlador pague {2}. Se ele fizer isso, crie uma ficha de Módulo de Pouso. (É um artefato com "{2}, {T}, Sacrifique esta ficha: Procure em seu grimório por um card de terreno básico, coloque-o no campo de batalha virado e depois embaralhe.")</t>
  </si>
  <si>
    <t>Illvoi Light Jammer / Bloqueador de Luz de Illvoi</t>
  </si>
  <si>
    <t>Lampejo. Quando este Equipamento entrar, anexe-o à criatura alvo que você controla. Aquela criatura ganha resistência a magia até o final do turno. (Ela não pode ser alvo de mágicas ou habilidades que seus oponentes controlam.) A criatura equipada recebe +1/+2. Equipar {3}</t>
  </si>
  <si>
    <t>Mechan Assembler / Montador Mecano</t>
  </si>
  <si>
    <t>Criatura Artefato — Robô Artífice</t>
  </si>
  <si>
    <t>Sempre que outro artefato que você controla entrar, crie uma ficha de criatura artefato Robô incolor 2/2. Esta habilidade é desencadeada apenas uma vez a cada turno.</t>
  </si>
  <si>
    <t>Mechanozoa / Mecanozoário</t>
  </si>
  <si>
    <t>Criatura Artefato — Robô Água-viva</t>
  </si>
  <si>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</si>
  <si>
    <t>Mental Modulation / Modulação Mental</t>
  </si>
  <si>
    <t>Esta mágica custa {1} a menos para ser conjurada durante o seu turno. Vire o artefato ou a criatura alvo. Compre um card.</t>
  </si>
  <si>
    <t>Nanoform Sentinel / Sentinela Nanoforma</t>
  </si>
  <si>
    <t>Sempre que esta criatura torna-se virada, desvire outra permanente alvo. Esta habilidade é desencadeada apenas uma vez a cada turno.</t>
  </si>
  <si>
    <t>Sinister Cryologist / Criologista Sinistro</t>
  </si>
  <si>
    <t>Criatura — Água-viva Mago</t>
  </si>
  <si>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</si>
  <si>
    <t>Tractor Beam / Raio Trator</t>
  </si>
  <si>
    <t>Encantar criatura ou Nave Espacial. Quando esta Aura entrar, vire a permanente encantada. Você controla a permanente encantada. A permanente encantada não é desvirada durante a etapa de desvirar de seu controlador.</t>
  </si>
  <si>
    <t>Chorale of the Void / Coral do Vazio</t>
  </si>
  <si>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</si>
  <si>
    <t>Comet Crawler / Rastejador de Cometa</t>
  </si>
  <si>
    <t>Criatura — Inseto Horror</t>
  </si>
  <si>
    <t>Vínculo com a vida. Sempre que esta criatura atacar, você pode sacrificar outra criatura ou artefato. Se fizer isso, esta criatura receberá +2/+0 até o final do turno.</t>
  </si>
  <si>
    <t>Dark Endurance / Resistência Sombria</t>
  </si>
  <si>
    <t>Esta mágica custa {1} a menos para ser conjurada se tiver como alvo uma criatura bloqueadora. A criatura alvo recebe +2/+0 e ganha indestrutível até o final do turno. (O dano e os efeitos que dizem "destrua" não a destroem.)</t>
  </si>
  <si>
    <t>Depressurize / Despressurizar</t>
  </si>
  <si>
    <t>A criatura alvo recebe -3/-0 até o final do turno. Depois, se o poder daquela criatura for 0 ou menos, destrua-a.</t>
  </si>
  <si>
    <t>Embrace Oblivion / Abraçar o Esquecimento</t>
  </si>
  <si>
    <t>Como um custo adicional para conjurar esta mágica, sacrifique um artefato ou criatura. Destrua a criatura ou Nave Espacial alvo.</t>
  </si>
  <si>
    <t>Hymn of the Faller / Hino do Caído</t>
  </si>
  <si>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</si>
  <si>
    <t>Vote Out / Eliminar pelo Voto</t>
  </si>
  <si>
    <t>Convocar (Suas criaturas podem ajudar a conjurar esta mágica. Cada criatura que você vira ao conjurar esta mágica paga por {1} ou por um mana da cor daquela criatura.) Destrua a criatura alvo.</t>
  </si>
  <si>
    <t>Zero Point Ballad / Balada do Ponto Zero</t>
  </si>
  <si>
    <t>Destrua todas as criaturas com resistência X ou menos. Você perde X pontos de vida. Se X for 6 ou mais, devolva um card de criatura colocado em um cemitério desta forma para o campo de batalha sob o seu controle.</t>
  </si>
  <si>
    <t>{X}{B}</t>
  </si>
  <si>
    <t>Gravpack Monoist / Monoísta de Gravpack</t>
  </si>
  <si>
    <t>Criatura — Humano Batedor</t>
  </si>
  <si>
    <t>Voar. Quando esta criatura morrer, crie uma ficha de criatura artefato Robô incolor 2/2 virada.</t>
  </si>
  <si>
    <t>Hullcarver / Escultor de Cascos</t>
  </si>
  <si>
    <t>Criatura Artefato — Robô Assassino</t>
  </si>
  <si>
    <t>Toque mortífero</t>
  </si>
  <si>
    <t>Entropic Battlecruiser / Cruzador de Batalha Entrópico</t>
  </si>
  <si>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</si>
  <si>
    <t>Gravblade Heavy / Pesado de Lâmina Gravitacional</t>
  </si>
  <si>
    <t>Enquanto você controlar um artefato, esta criatura receberá +1/+0 e terá toque mortífero.</t>
  </si>
  <si>
    <t>Monoist Sentry / Sentinela Monoísta</t>
  </si>
  <si>
    <t>Defensor</t>
  </si>
  <si>
    <t>Banishing Light / Luz Banidora</t>
  </si>
  <si>
    <t>Quando este encantamento entrar, exile a permanente não de terreno alvo que um oponente controla até que este encantamento deixe o campo de batalha.</t>
  </si>
  <si>
    <t>Rescue Skiff / Esquife de Resgate</t>
  </si>
  <si>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</si>
  <si>
    <t>5{W}</t>
  </si>
  <si>
    <t>Squire's Lightblade / Lâmina de Luz do Escudeiro</t>
  </si>
  <si>
    <t>Lampejo. Quando este Equipamento entrar, anexe-o à criatura alvo que você controla. Aquela criatura ganha iniciativa até o final do turno. A criatura equipada recebe +1/+0. Equipar {3}</t>
  </si>
  <si>
    <t>Dockworker Drone / Drone Estivador</t>
  </si>
  <si>
    <t>Esta criatura entra com um marcador +1/+1 nela. Quando esta criatura morrer, coloque os marcadores dela na criatura alvo que você controla.</t>
  </si>
  <si>
    <t>Flight-Deck Coordinator / Coordenador de Convés de Voo</t>
  </si>
  <si>
    <t>No início de sua etapa final, se você controlar duas ou mais criaturas viradas, você ganha 2 pontos de vida.</t>
  </si>
  <si>
    <t>Radiant Strike / Golpe Radiante</t>
  </si>
  <si>
    <t>Destrua o artefato ou criatura virada alvo. Você ganha 3 pontos de vida.</t>
  </si>
  <si>
    <t>Starfighter Pilot / Piloto de Caça Estelar</t>
  </si>
  <si>
    <t>Criatura — Humano Piloto</t>
  </si>
  <si>
    <t>Sempre que esta criatura tornar-se virada, vigie 1. (Para vigiar 1, olhe o card do topo de seu grimório. Você pode colocá-lo em seu cemitério.)</t>
  </si>
  <si>
    <t>Sunstar Lightsmith / Forjador de Luz de Solestrela</t>
  </si>
  <si>
    <t>Sempre que você conjurar sua segunda mágica a cada turno, coloque um marcador +1/+1 nesta criatura e compre um card.</t>
  </si>
  <si>
    <t>Fractal Mascot / Mascote Fractal</t>
  </si>
  <si>
    <t>Criatura — Alce Fractal</t>
  </si>
  <si>
    <t>Atropelar. Quando esta criatura entrar, vire a criatura alvo que um oponente controla. Coloque um marcador de atordoamento nela. (Se uma permanente com um marcador de atordoamento fosse se tornar desvirada, em vez disso, remova um dele.)</t>
  </si>
  <si>
    <t>4{G}{U}</t>
  </si>
  <si>
    <t>Strixhaven: School of Mages (SOS)</t>
  </si>
  <si>
    <t>Imperious Inkmage / Mago da Tinta Imperioso</t>
  </si>
  <si>
    <t>Criatura — Orc Bruxo</t>
  </si>
  <si>
    <t>Vigilância. Quando esta criatura entrar, vigie 2. (Olhe os dois cards do topo de seu grimório, depois coloque qualquer número deles em seu cemitério e o restante no topo de seu grimório em qualquer ordem.)</t>
  </si>
  <si>
    <t>1{W}{B}</t>
  </si>
  <si>
    <t>Killian's Confidence / Confiança de Killian</t>
  </si>
  <si>
    <t>A criatura alvo recebe +1/+1 até o final do turno. Compre um card. Sempre que uma ou mais criaturas que você controla causarem dano de combate a um jogador, você pode pagar {W/B}. Se fizer isso, devolva este card de seu cemitério para sua mão.</t>
  </si>
  <si>
    <t>Quandrix Charm / Amuleto de Quandrix</t>
  </si>
  <si>
    <t>Escolha um — • Anule a mágica alvo, a menos que seu controlador pague {2}. • Destrua o encantamento alvo. • A criatura alvo tem poder e resistência básicos 5/5 até o final do turno.</t>
  </si>
  <si>
    <t>{G}{U}</t>
  </si>
  <si>
    <t>Render Speechless / Emudecer</t>
  </si>
  <si>
    <t>O oponente alvo revela a própria mão. Você escolhe um card não de terreno dela. Aquele jogador descarta aquele card. Coloque dois marcadores +1/+1 em até uma criatura alvo.</t>
  </si>
  <si>
    <t>2{W}{B}</t>
  </si>
  <si>
    <t>Scolding Administrator / Administrador Repreensor</t>
  </si>
  <si>
    <t>Criatura — Anão Clérigo</t>
  </si>
  <si>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</si>
  <si>
    <t>Spectacular Skywhale / Baleia Celestial Espetacular</t>
  </si>
  <si>
    <t>Criatura — Baleia Elemental</t>
  </si>
  <si>
    <t>Voar. Obra-prima — Sempre que você conjurar uma mágica instantânea ou um feitiço, esta criatura receberá +3/+0 até o final do turno. Se cinco ou mais manas tiverem sido gastos para conjurar aquela mágica, em vez disso, coloque três marcadores +1/+1 nesta criatura.</t>
  </si>
  <si>
    <t>2{U}{R}</t>
  </si>
  <si>
    <t>Stadium Tidalmage / Mago das Marés do Estádio</t>
  </si>
  <si>
    <t>Criatura — Djinn Feiticeiro</t>
  </si>
  <si>
    <t>Sempre que esta criatura entrar ou atacar, você pode comprar um card. Se fizer isso, descarte um card.</t>
  </si>
  <si>
    <t>Startled Relic Sloth / Preguiça Relíquia Assustada</t>
  </si>
  <si>
    <t>Criatura — Preguiça Besta</t>
  </si>
  <si>
    <t>Atropelar, vínculo com a vida. No início do combate no seu turno, exile até um card alvo de um cemitério.</t>
  </si>
  <si>
    <t>2{R}{W}</t>
  </si>
  <si>
    <t>Wilt in the Heat / Murchar no Calor</t>
  </si>
  <si>
    <t>Esta mágica custa {2} menos para ser conjurada se um ou mais cards tiverem deixado o seu cemitério neste turno. Murchar no Calor causa 5 pontos de dano à criatura alvo. Se aquela criatura fosse morrer neste turno, em vez disso, exile-a.</t>
  </si>
  <si>
    <t>Cuboid Colony / Colônia Cuboide</t>
  </si>
  <si>
    <t>Lampejo. Voar, atropelar. Incrementar (Sempre que você conjurar uma mágica, se a quantidade de mana que você gastou for maior que o poder ou a resistência desta criatura, coloque um marcador +1/+1 nesta criatura.)</t>
  </si>
  <si>
    <t>Elemental Mascot / Mascote Elemental</t>
  </si>
  <si>
    <t>Criatura — Ave Elemental</t>
  </si>
  <si>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</si>
  <si>
    <t>1{U}{R}</t>
  </si>
  <si>
    <t>Essenceknit Scholar / Estudioso do Tecessência</t>
  </si>
  <si>
    <t>Criatura — Dríade Bruxo</t>
  </si>
  <si>
    <t>Quando esta criatura entrar, crie uma ficha de criatura Praga preta e verde 1/1 com "Sempre que esta ficha atacar, você ganha 1 ponto de vida." No início de sua etapa final, se uma criatura tiver morrido sob o seu controle neste turno, compre um card.</t>
  </si>
  <si>
    <t>{B}{B/G}{G}</t>
  </si>
  <si>
    <t>Primary Research / Pesquisa Primária</t>
  </si>
  <si>
    <t>Quando este encantamento entrar, devolva o card de permanente não de terreno alvo com valor de mana 3 ou menos de seu cemitério para o campo de batalha. No início de sua etapa final, se um card tiver deixado o seu cemitério neste turno, compre um card.</t>
  </si>
  <si>
    <t>Group Project / Trabalho em Grupo</t>
  </si>
  <si>
    <t>Crie uma ficha de criatura Espírito 2/2 vermelha e branca. Recapitular — Vire três criaturas desviradas que você controla. (Você pode conjurar este card de seu cemitério por seu custo de recapitular. Depois, exile-o.)</t>
  </si>
  <si>
    <t>Harsh Annotation / Anotação Ríspida</t>
  </si>
  <si>
    <t>Destrua a criatura alvo. Seu controlador cria uma ficha de criatura Tinteiro 1/1 branca e preta com voar.</t>
  </si>
  <si>
    <t>Honorbound Page // Forum's Favor / Pajem Vinculado pela Honra // Favor do Fórum</t>
  </si>
  <si>
    <t>Criatura — Gato Clérigo // Feitiço</t>
  </si>
  <si>
    <t>Iniciativa. Esta criatura entra preparada. (Enquanto estiver preparada, você poderá conjurar uma cópia de sua mágica. Fazer isso faz com que ela deixe de ficar preparada.) // A criatura alvo recebe +1/+0 e ganha voar até o final do turno.</t>
  </si>
  <si>
    <t>3{W} // {W}</t>
  </si>
  <si>
    <t>Dig Site Inventory / Inventário do Sítio de Escavação</t>
  </si>
  <si>
    <t>Coloque um marcador +1/+1 na criatura alvo que você controla. Ela ganha vigilância até o final do turno. Recapitular {W} (Você pode conjurar este card de seu cemitério por seu custo de recapitular. Depois, exile-o.)</t>
  </si>
  <si>
    <t>Eager Glyphmage / Mago de Glifos Ansioso</t>
  </si>
  <si>
    <t>Criatura — Gato Clérigo</t>
  </si>
  <si>
    <t>Quando esta criatura entrar, crie uma ficha de criatura Tinteiro 1/1 branca e preta com voar.</t>
  </si>
  <si>
    <t>Graduation Day / Dia da Formatura</t>
  </si>
  <si>
    <t>Tréplica — Sempre que você conjurar uma mágica instantânea ou um feitiço que tenha uma criatura como alvo, coloque um marcador +1/+1 na criatura alvo que você controla.</t>
  </si>
  <si>
    <t>Rapier Wit / Espírito de Rapas</t>
  </si>
  <si>
    <t>Vire a criatura alvo. Se for o seu turno, coloque um marcador de atordoamento nela. (Se uma permanente com um marcador de atordoamento fosse se tornar desvirada, em vez disso, remova um dele.) Compre um card.</t>
  </si>
  <si>
    <t>Ascendant Dustspeaker / Porta-poeira Ascendente</t>
  </si>
  <si>
    <t>Criatura — Orc Clérigo</t>
  </si>
  <si>
    <t>Voar. Quando esta criatura entrar, coloque um marcador +1/+1 em outra criatura alvo que você controla. No início do combate no seu turno, exile até um card alvo de um cemitério.</t>
  </si>
  <si>
    <t>Vibrant Cityscape / Paisagem Urbana Vibrante</t>
  </si>
  <si>
    <t>{T}, Sacrifique este terreno: Procure em seu grimório por um card de terreno básico, coloque-o no campo de batalha virado e depois embaralhe.</t>
  </si>
  <si>
    <t>-</t>
  </si>
  <si>
    <t>Teenage Mutant Ninja Turtles (TMC)</t>
  </si>
  <si>
    <t>City Pigeon / Pombo da Cidade</t>
  </si>
  <si>
    <t>Voar. Quando esta criatura deixar o campo de batalha, crie uma ficha de Comida. (Ela é um artefato com "{2}, {T}, Sacrifique esta ficha: Você ganha 3 pontos de vida.")</t>
  </si>
  <si>
    <t>Marvel: Spider-Man (SPM)</t>
  </si>
  <si>
    <t>Spider-Gwen, Free Spirit / Spider-Gwen, Espírito Livre</t>
  </si>
  <si>
    <t>Alcance. Sempre que Spider-Gwen tornar-se virada, você pode descartar um card. Se fizer isso, compre um card.</t>
  </si>
  <si>
    <t>Stegron the Dinosaur Man / Stegron, o Homem-Dinossauro</t>
  </si>
  <si>
    <t>Criatura Lendária — Dinossauro Vilão</t>
  </si>
  <si>
    <t>Ameaçar (Esta criatura não pode ser bloqueada a não ser por duas ou mais criaturas.) Fórmula de Dinossauro — {1}{R}, Descarte este card: Até o final do turno, a criatura alvo que você controla recebe +3/+1 e torna-se um Dinossauro além de seus outros tipos.</t>
  </si>
  <si>
    <t>Spider-Bot / Aranha-Robô</t>
  </si>
  <si>
    <t>Criatura Artefato — Aranha Robô Olheiro</t>
  </si>
  <si>
    <t>Alcance. Quando esta criatura entrar, você poderá procurar em seu grimório por um card de terreno básico, revelá-lo, depois embaralhar e colocar aquele card no topo.</t>
  </si>
  <si>
    <t>Hex / Feitiço Bruxaxento</t>
  </si>
  <si>
    <t>Destrua seis criaturas alvo.</t>
  </si>
  <si>
    <t>Marvel (MAR)</t>
  </si>
  <si>
    <t>Olifante / Oliphaunt</t>
  </si>
  <si>
    <t>Criatura — Elefante</t>
  </si>
  <si>
    <t>Atropelar. Toda vez que Olifante ataca, outra criatura alvo que você controla recebe +2/+0 e ganha atropelar até o final do turno. Reciclar Montanha {1}</t>
  </si>
  <si>
    <t>The Lord of the Rings: Tales of Middle-earth (LTR)</t>
  </si>
  <si>
    <t>Vanguarda dos Lestenses / Easterling Vanguard</t>
  </si>
  <si>
    <t>Criatura — Humano Guerreiro</t>
  </si>
  <si>
    <t>Quando Vanguarda dos Lestenses morrer, arregimente Orcs 1. (Coloque um marcador +1/+1 em um Exército que você controla. Ele também é um Orc. Se você não controlar um Exército, crie antes uma ficha de criatura Orc Exército preta 0/0.)</t>
  </si>
  <si>
    <t>Juramento da Hoste Cinzenta / Oath of the Grey Host</t>
  </si>
  <si>
    <t>Encantamento — Saga</t>
  </si>
  <si>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</si>
  <si>
    <t>O Tormento de Gollum / Gollum's Bite</t>
  </si>
  <si>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</si>
  <si>
    <t>Fera Atroz Voraz / Voracious Fell Beast</t>
  </si>
  <si>
    <t>Criatura — Dragonete Fera</t>
  </si>
  <si>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</si>
  <si>
    <t>Açoite do Balrog / Lash of the Balrog</t>
  </si>
  <si>
    <t>Como custo adicional para conjurar esta mágica, sacrifique uma criatura ou pague {4}. Destrua a criatura alvo.</t>
  </si>
  <si>
    <t>Os Portos Cinzentos / The Grey Havens</t>
  </si>
  <si>
    <t>Terreno Lendário</t>
  </si>
  <si>
    <t>Quando Os Portos Cinzentos entrar no campo de batalha, use vidência 1. {T}: Adicione {C}. {T}: Adicione um mana de qualquer cor entre as dos cards de criatura lendários em seu cemitério.</t>
  </si>
  <si>
    <t>Voar. Quando Fera Atroz Voraz entra no campo de batalha, cada oponente sacrifica uma criatura. Crie uma ficha de Comida para cada criatura sacrificada dessa forma.</t>
  </si>
  <si>
    <t>Crebain da Terra Parda / Dunland Crebain</t>
  </si>
  <si>
    <t>Criatura — Ave Horror</t>
  </si>
  <si>
    <t>Voar. Quando Crebain da Terra Parda entrar no campo de batalha, arregimente Orcs 2.</t>
  </si>
  <si>
    <t>Gríma Língua de Cobra / Gríma Wormtongue</t>
  </si>
  <si>
    <t>Seus oponentes não podem ganhar pontos de vida. {T}, sacrifique outra criatura: O jogador alvo perde 1 ponto de vida. Se a criatura sacrificada era lendária, arregimente Orcs 2.</t>
  </si>
  <si>
    <t>Grond, o Quebra-portões / Grond, the Gatebreaker</t>
  </si>
  <si>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</si>
  <si>
    <t>Gollum, Conspirador Paciente / Gollum, Patient Plotter</t>
  </si>
  <si>
    <t>Criatura Lendária — Pequenino Horror</t>
  </si>
  <si>
    <t>Quando Gollum, Conspirador Paciente, deixa o campo de batalha, o Anel tenta você. {B}, sacrifique uma criatura: Devolva Gollum de seu cemitério para sua mão. Ative somente como um feitiço.</t>
  </si>
  <si>
    <t>Gorbag de Minas Morgul / Gorbag of Minas Morgul</t>
  </si>
  <si>
    <t>Criatura Lendária — Orc Soldado</t>
  </si>
  <si>
    <t>Toda vez que um Goblin ou Orc que você controla causa dano de combate a um jogador, você pode sacrificá-lo. Quando fizer isso, escolha um — • Compre um card. • Crie uma ficha de Tesouro. (Ela é um artefato com "{T}, sacrifique este artefato: Adicione um mana de qualquer cor".)</t>
  </si>
  <si>
    <t>Gothmog, Tenente de Morgul / Gothmog, Morgul Lieutenant</t>
  </si>
  <si>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</si>
  <si>
    <t>Morcegos da Floresta das Trevas / Mirkwood Bats</t>
  </si>
  <si>
    <t>Criatura — Morcego</t>
  </si>
  <si>
    <t>Voar. Toda vez que você cria ou sacrifica uma ficha, cada oponente perde 1 ponto de vida.</t>
  </si>
  <si>
    <t>Grishnákh, Instigador Ousado / Grishnákh, Brash Instigator</t>
  </si>
  <si>
    <t>Criatura Lendária — Goblin Soldado</t>
  </si>
  <si>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</si>
  <si>
    <t>Gimli, Contador de Abantes / Gimli, Counter of Kills</t>
  </si>
  <si>
    <t>Criatura Lendária — Anão Guerreiro</t>
  </si>
  <si>
    <t>Atropelar. Toda vez que uma criatura que um oponente controla morre, Gimli, Contador de Abantes, causa 1 ponto de dano ao controlador daquela criatura.</t>
  </si>
  <si>
    <t>Éomer da Marca dos Cavaleiros / Éomer of the Riddermark</t>
  </si>
  <si>
    <t>Ímpeto. Toda vez que Éomer da Marca dos Cavaleiros atacar, se você controlar uma criatura com o maior poder entre as criaturas no campo de batalha, crie uma ficha de criatura Humano Soldado branca 1/1.</t>
  </si>
  <si>
    <t>Mauhúr, Capitão Uruk-hai / Mauhúr, Uruk-hai Captain</t>
  </si>
  <si>
    <t>Ameaçar. Se um ou mais marcadores +1/+1 seriam colocados em um Exército, Goblin ou Orc que você controla, em vez disso, serão colocados aquele número mais um de marcadores +1/+1.</t>
  </si>
  <si>
    <t>{B}{R}</t>
  </si>
  <si>
    <t>Multicolorido (Preto e Vermelho)</t>
  </si>
  <si>
    <t>Incursão de Orcs / Orcish Medicine</t>
  </si>
  <si>
    <t>Arregimentar Orcs 2. Quando você faz isso, Incursão de Orcs causa X pontos de dano à criatura alvo que um oponente controla, sendo X o poder do Exército arregimentado.</t>
  </si>
  <si>
    <t>Livro de Mazarbul / Book of Mazarbul</t>
  </si>
  <si>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</si>
  <si>
    <t>Fogo de Orthanc / Fire of Orthanc</t>
  </si>
  <si>
    <t>Destrua o artefato ou terreno alvo. As criaturas sem voar não podem bloquear neste turno.</t>
  </si>
  <si>
    <t>Salta-fogo Goblin / Goblin Fireleaper</t>
  </si>
  <si>
    <t>{1}{R}: Salta-fogo Goblin recebe +1/+0 até o final do turno. Quando Salta-fogo Goblin ataca, ele causa uma quantidade de dano igual ao próprio poder à criatura alvo que um oponente controla.</t>
  </si>
  <si>
    <t>Porrete Improvisado / Improvised Club</t>
  </si>
  <si>
    <t>Como custo adicional para conjurar esta mágica, sacrifique um artefato ou uma criatura. Porrete Improvisado causa 4 pontos de dano a qualquer alvo.</t>
  </si>
  <si>
    <t>Fim da Querela / Quarrel's End</t>
  </si>
  <si>
    <t>Como custo adicional para conjurar esta mágica, descarte um card. Compre dois cards e crie uma ficha de criatura Humano Soldado branca 1/1.</t>
  </si>
  <si>
    <t>Uglúk da Mão Branca / Uglúk of the White Hand</t>
  </si>
  <si>
    <t>Toda vez que outra criatura que você controla morrer, coloque um marcador +1/+1 em Uglúk da Mão Branca. Se aquela criatura for um Goblin ou Orc, em vez disso, coloque dois marcadores +1/+1 em Uglúk.</t>
  </si>
  <si>
    <t>Espantalho do Condado / Shire Scarecrow</t>
  </si>
  <si>
    <t>Criatura Artefato — Espantalho</t>
  </si>
  <si>
    <t>Defensor. {1}: Adicione um mana de qualquer cor. Ative apenas uma vez a cada turno.</t>
  </si>
  <si>
    <t>Gwaihir, o Senhor dos Ventos / Gwaihir the Windlord</t>
  </si>
  <si>
    <t>Criatura Lendária — Ave Nobre</t>
  </si>
  <si>
    <t>Esta mágica custa {2} a menos para ser conjurada contanto que você tenha comprado dois ou mais cards neste turno. Voar, vigilância. As outras Aves que você controla têm vigilância.</t>
  </si>
  <si>
    <t>4{W}{U}</t>
  </si>
  <si>
    <t>Multicolorido (Branco e Azul)</t>
  </si>
  <si>
    <t>Legolas, Contador de Abates / Legolas, Counter of Kills</t>
  </si>
  <si>
    <t>Criatura Lendária — Elfo Arqueiro</t>
  </si>
  <si>
    <t>Alcance. Toda vez que você usa vidência, se Legolas, Contador de Abates, estiver virado, você poderá desvirá-lo. Faça issoNormally I can help with things like this, but I don't seem to have access to that content. You can try again or ask me for something else.</t>
  </si>
  <si>
    <t>Frodo Bolseiro / Frodo Baggins</t>
  </si>
  <si>
    <t>Criatura Lendária — Pequenino Batedor</t>
  </si>
  <si>
    <t>Toda vez que Frodo Bolseiro ou outra criatura lendária entra no campo de batalha sob seu controle, o Anel tenta você. Enquanto Frodo for o seu Guardião do Anel, ele deverá ser bloqueado se estiver apto.</t>
  </si>
  <si>
    <t>Multicolorido (Verde e Branco)</t>
  </si>
  <si>
    <t>Denethor, Regente Governante / Denethor, Ruling Steward</t>
  </si>
  <si>
    <t>No início de sua etapa final, se uma criatura tiver morrido sob seu controle neste turno, crie uma ficha de criatura Humano Soldado branca 1/1. {2}, sacrifique outra criatura: Cada oponente perde 1 ponto de vida e você ganha 1 ponto de vida.</t>
  </si>
  <si>
    <t>Multicolorido (Branco e Preto)</t>
  </si>
  <si>
    <t>Carrapicho, Estalajadeiro de Bree / Butterbur, Bree Innkeeper</t>
  </si>
  <si>
    <t>Criatura Lendária — Humano Plebeu</t>
  </si>
  <si>
    <t>No início de sua etapa final, se você não controlar uma Comida, crie uma ficha de Comida. (Ela é um artefato com "{2}, {T}, sacrifique este artefato: Você ganha 3 pontos de vida".)</t>
  </si>
  <si>
    <t>2{G}{W}</t>
  </si>
  <si>
    <t>Foguetes do Mago / Wizard's Rockets</t>
  </si>
  <si>
    <t>Foguetes do Mago entra no campo de batalha virado. {X}, {T}, sacrifique Foguetes do Mago: Adicione X manas em qualquer combinação de cores. Quando Foguetes do Mago for colocado num cemitério vindo do campo de batalha, compre um card.</t>
  </si>
  <si>
    <t>Visão Longínqua Élfica / Elven Farsight</t>
  </si>
  <si>
    <t>Use vidência 3. Depois, você pode revelar o card do topo de seu grimório. Se for um card de criatura, compre um card.</t>
  </si>
  <si>
    <t>O Boca de Sauron / Mouth of Sauron</t>
  </si>
  <si>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</si>
  <si>
    <t>3{G}{R}</t>
  </si>
  <si>
    <t>Verde e Vermelho</t>
  </si>
  <si>
    <t>Rosa Villa da Alameda Sul / Rosie Cotton of South Lane</t>
  </si>
  <si>
    <t>Criatura Lendária — Pequenino Plebeu</t>
  </si>
  <si>
    <t>Quando Rosa Villa da Alameda Sul entrar no campo de batalha, crie uma ficha de Comida. Toda vez que você criar uma ficha, coloque um marcador +1/+1 na criatura alvo que você controla que não seja Rosa.</t>
  </si>
  <si>
    <t>Príncipe Imrahil, o Belo / Prince Imrahil the Fair</t>
  </si>
  <si>
    <t>Toda vez que você comprar seu segundo card a cada turno, crie uma ficha de criatura Humano Soldado branca 1/1.</t>
  </si>
  <si>
    <t>{W}{U}</t>
  </si>
  <si>
    <t>Tronquesperto, Jovem Ent / Quickbeam, Upstart Ent</t>
  </si>
  <si>
    <t>Criatura Lendária — Ent</t>
  </si>
  <si>
    <t>Toda vez que Tronquesperto, Jovem Ent, ou outro Ent entrar no campo de batalha sob seu controle, cada uma de até duas criaturas alvo recebe +2/+2 e ganha atropelar até o final do turno.</t>
  </si>
  <si>
    <t>Elrond, Senhor de Valfenda / Elrond, Lord of Rivendell</t>
  </si>
  <si>
    <t>Criatura Lendária — Elfo Nobre</t>
  </si>
  <si>
    <t>Toda vez que Elrond, Senhor de Valfenda, ou outra criatura entrar no campo de batalha sob seu controle, use vidência 1. Se esta for aNormally I can help with things like this, but I don't seem to have access to that content. You can try again or ask me for something else.</t>
  </si>
  <si>
    <t>Gandalf, Amigo do Condado / Gandalf, Friend of the Shire</t>
  </si>
  <si>
    <t>Criatura Lendária — Avatar Mago</t>
  </si>
  <si>
    <t>Lampejo. Você pode conjurar mágicas de feitiço como se tivessem lampejo. Toda vez que o Anel tentar você, se você escolher uma criatura que não seja Gandalf, Amigo do Condado, como seu Guardião do Anel, compre um card.</t>
  </si>
  <si>
    <t>Peregrin Tûk / Peregrin Took</t>
  </si>
  <si>
    <t>Criatura Lendária — Pequenino Cidadão</t>
  </si>
  <si>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</si>
  <si>
    <t>Théoden, Rei de Rohan / Théoden, King of Rohan</t>
  </si>
  <si>
    <t>Toda vez que Théoden, Rei de Rohan, ou outro Humano entra no campo de batalha sob seu controle, a criatura alvo ganha golpe duplo até o final do turno.</t>
  </si>
  <si>
    <t>1{R}{W}</t>
  </si>
  <si>
    <t>Multicolorido (Vermelho e Branco)</t>
  </si>
  <si>
    <t>Celeborn, o Sábio / Celeborn the Wise</t>
  </si>
  <si>
    <t>Toda vez que você atacar com um ou mais Elfos, use vidência 1. Toda vez que você usa vidência, Celeborn, o Sábio, recebe +1Normally I can help with things like this, but I don't seem to have access to that content. You can try again or ask me for something else.</t>
  </si>
  <si>
    <t>Ensopar os Coelhos / Stew the Cones</t>
  </si>
  <si>
    <t>A criatura alvo que você controla causa dano igual ao seu poder à criatura alvo que você não controla. Crie uma ficha de Comida.</t>
  </si>
  <si>
    <t>Trilheira Wose / Wose Pathfinder</t>
  </si>
  <si>
    <t>{T}: Adicione um mana de qualquer cor. {6}{G}, {T}: Outra criatura alvo recebe +3/+3 e ganha atropelar até o final do turno.</t>
  </si>
  <si>
    <t>Longa Lista dos Ents / Long List of the Ents</t>
  </si>
  <si>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</si>
  <si>
    <t>Fúria do Ent / Ent's Fury</t>
  </si>
  <si>
    <t>Coloque um marcador +1/+1 na criatura alvo que você controla se o poder dela for igual ou superior a 4Normally I can help with things like this, but I don't seem to have access to that content. You can try again or ask me for something else.</t>
  </si>
  <si>
    <t>Bravura de Pippin / Pippin's Bravery</t>
  </si>
  <si>
    <t>Você pode sacrificar uma Comida. Se fazer isso, a criatura alvo receberá +4/+4 até o final do turno. Caso contrário, aquela criatura recebe +2/+2 até o final do turno.</t>
  </si>
  <si>
    <t>Meriadoc Brandebuque / Meriadoc Brandybuck</t>
  </si>
  <si>
    <t>Toda vez que um ou mais Pequeninos que você controla atacarem um jogador, crie uma ficha de Comida. (Ela é um artefato com "2, {T}, sacrifique este artefato: Você ganha 3 pontos de vida".)</t>
  </si>
  <si>
    <t>Glorfindel, Salvador Destemido / Glorfindel, Dauntless Rescue</t>
  </si>
  <si>
    <t>Toda vez que você usar vidência, escolha um e Glorfindel, Salvador Destemido, receberá +1/+1 até o final do turno. • Glorfindel deve ser bloqueado neste turno se possível. • Glorfindel não pode ser bloqueado por mais de uma criatura a cada combate neste turno.</t>
  </si>
  <si>
    <t>Bill Samambaia, Vigarista de Bree / Bill Ferny, Bree Swindler</t>
  </si>
  <si>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</si>
  <si>
    <t>Dádiva de Arwen / Arwen's Gift</t>
  </si>
  <si>
    <t>Esta mágica custa {1} a menos para ser conjurada se você controla duas ou mais criaturas lendárias. Use vidência 2 e depois compre dois cards.</t>
  </si>
  <si>
    <t>A Canção do Banho / Bath Song</t>
  </si>
  <si>
    <t>(Conforme esta Saga entra e após sua etapa de compra, adicione um marcador de conhecimento. Sacrifique-a após III.) I, II: Compre dois cards e depois descarte um card. III: Embaralhe qualquer número de cards alvo de seu cemitério em seu grimório. Adicione {U}{U}.</t>
  </si>
  <si>
    <t>Capitã de Umbar / Captain of Umbar</t>
  </si>
  <si>
    <t>Criatura — Humano Pirata</t>
  </si>
  <si>
    <t>{1}, {T}: Compre um card e depois descarte um card.</t>
  </si>
  <si>
    <t>Deliberação do Conselho / Council's Deliberation</t>
  </si>
  <si>
    <t>Comre um card. Toda vez que usa vidência, se você controla uma Ilha, você pode exilar Deliberação do Conselho de seu cemitério. Se fizer isso, compre um card.</t>
  </si>
  <si>
    <t>Nós de Hithlain / Hithlain Knots</t>
  </si>
  <si>
    <t>Vire a criatura alvo. Use vidência 1. Compre um card.</t>
  </si>
  <si>
    <t>Isolamento em Orthanc / Isolation at Orthanc</t>
  </si>
  <si>
    <t>Coloque a criatura alvo no topo do grimório do seu dono na segunda posição.</t>
  </si>
  <si>
    <t>Meneldor, Salvador Célere / Meneldor, Swift Savior</t>
  </si>
  <si>
    <t>Criatura Lendária — Ave Soldado</t>
  </si>
  <si>
    <t>Voar Toda vez que Meneldor, Salvador Célere, causar dano de combate a um jogador, exile até uma criatura alvo que você possui e depois devolva-a ao campo de batalha sob seu controle.</t>
  </si>
  <si>
    <t>Sobrevivente de Pelargir / Pelargir Survivor</t>
  </si>
  <si>
    <t>Criatura — Humano Plebeu</t>
  </si>
  <si>
    <t>{T}: Adicione um mana de qualquer cor. Gaste este mana apenas para conjurar uma mágica instantânea ou um feitiço. {5}{U}, {T}: O jogador alvo tritura três cards. (Ele coloca os três cards do topo do próprio grimório no próprio cemitério.)</t>
  </si>
  <si>
    <t>Artimanhas de Saruman / Saruman's Trickery</t>
  </si>
  <si>
    <t>Anule a mágica alvo. Arregimente Orcs 1. (Coloque um marcador +1/+1 em um Exército que você controla. Ele também é um Orc. Se você não controlar um Exército, crie antes uma ficha de criatura Orc Exército preta 0/0.)</t>
  </si>
  <si>
    <t>1{U}{U}</t>
  </si>
  <si>
    <t>Cercados por Orcs / Surrounded by Orcs</t>
  </si>
  <si>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</si>
  <si>
    <t>Cavaleiros de Dol Amroth / Knights of Dol Amroth</t>
  </si>
  <si>
    <t>Toda vez que você comprar seu segundo card a cada turno, coloque um marcador +1/+1 em Cavaleiros de Dol Amroth.</t>
  </si>
  <si>
    <t>Saruman, o Branco / Saruman the White</t>
  </si>
  <si>
    <t>Salvaguarda {2} Toda vez que você conjurar sua segunda mágica em cada turno, arregimente Orcs 2. (Coloque dois marcadores +1/+1 em um Exército que você controla. Ele também é um Orc. Se você não controlar um Exército, crie antes uma ficha de criatura Orc Exército preta 0/0.)</t>
  </si>
  <si>
    <t>Ioreth da Casa de Cura / Ioreth of the Healing House</t>
  </si>
  <si>
    <t>{T}: Desvire outra permanente alvo. {T}: Desvire duas outras criaturas lendárias alvo.</t>
  </si>
  <si>
    <t>Condestável do Condado / Shire Shirriff</t>
  </si>
  <si>
    <t>Criatura — Pequenino Soldado</t>
  </si>
  <si>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</si>
  <si>
    <t>Llewen, Imperfect Naturalist</t>
  </si>
  <si>
    <t>Legendary Creature — Elf Druid</t>
  </si>
  <si>
    <t>Rare</t>
  </si>
  <si>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</si>
  <si>
    <t>{G/B}{G/B}</t>
  </si>
  <si>
    <t>Preto, Verde</t>
  </si>
  <si>
    <t>Lorwin Lorwyn Eclipsed (ECL)ipsed</t>
  </si>
  <si>
    <t>Uurg, Prole de Turg / Uurg, Spawn of Turg</t>
  </si>
  <si>
    <t>Criatura Lendária — Sapo Besta</t>
  </si>
  <si>
    <t>O poder de Uurg, Prole de Turg, é igual ao número de cards de terreno em seu cemitério. No início de sua manutenção, olhe o card do topo de seu grimório. Você pode colocar aquele card em seu cemitério. {B}{G}, sacrifique um terreno: Você ganha 2 pontos de vida.</t>
  </si>
  <si>
    <t>{B}{B}{G}</t>
  </si>
  <si>
    <t>Dominaria United (DMU)</t>
  </si>
  <si>
    <t>*/5</t>
  </si>
  <si>
    <t>Carniçal Pardo / Grizzly Ghoul</t>
  </si>
  <si>
    <t>Criatura — Zumbi Urso</t>
  </si>
  <si>
    <t>Atropelar Carniçal Pardo entra no campo de batalha com um marcador +1/+1 para cada criatura que morreu neste turno.</t>
  </si>
  <si>
    <t>2{B}{G}</t>
  </si>
  <si>
    <t>Innistrad: Midnight Hunt (MID)</t>
  </si>
  <si>
    <t>Vinereap Mentor</t>
  </si>
  <si>
    <t>Creature — Squirrel Druid</t>
  </si>
  <si>
    <t>Uncommon</t>
  </si>
  <si>
    <t>When Vinereap Mentor enters or dies, create a Food token. (It's an artifact with "2, {T}, Sacrifice this artifact: You gain 3 life.")</t>
  </si>
  <si>
    <t>Preto, Green</t>
  </si>
  <si>
    <t>Bloomburrow (BLB)</t>
  </si>
  <si>
    <t>Putrefy</t>
  </si>
  <si>
    <t>Destroy target artifact or creature. It can't be regenerated.</t>
  </si>
  <si>
    <t>Ravnica: City of Guilds (RAV)</t>
  </si>
  <si>
    <t>Adesão de Vraska / Vraska Joins Up</t>
  </si>
  <si>
    <t>Encantamento Lendário</t>
  </si>
  <si>
    <t>Quando Adesão de Vraska entrar no campo de batalha, coloque um marcador de toque mortífero em cada criatura que você controla. Toda vez que uma criatura lendária que você controla causar dano de combate a um jogador, compre um card.</t>
  </si>
  <si>
    <t>Outlaws of Thunder Junction (OTJ)</t>
  </si>
  <si>
    <t>Vitral do Pacto das Guildas / Glass of the Guildpact</t>
  </si>
  <si>
    <t>As criaturas multicoloridas que você controla recebem +1/+1.</t>
  </si>
  <si>
    <t>Ravnica Allegiance (RNA)</t>
  </si>
  <si>
    <t>Glaive do Pacto das Guildas / Glaive of the Guildpact</t>
  </si>
  <si>
    <t>A criatura equipada recebe +1/+0 para cada Portão que você controla e tem vigilância e ameaçar. (Uma criatura com ameaçar só pode ser bloqueada por duas ou mais criaturas.) Equipar {3} ({3}: Anexe-o à criatura alvo que você controla. Equipe somente como um feitiço.)</t>
  </si>
  <si>
    <t>Guilds of Ravnica (GRN)</t>
  </si>
  <si>
    <t>Tambor de Folha Primaveril / Springleaf Drum</t>
  </si>
  <si>
    <t>Especial</t>
  </si>
  <si>
    <t>{T}, Vire uma criatura desvirada que você controla: Adicione um mana de qualquer cor.</t>
  </si>
  <si>
    <t>Secret Lair Play (SLP)</t>
  </si>
  <si>
    <t>Medalhão Azorius / Azorius Locket</t>
  </si>
  <si>
    <t>{T}: Adicione {W} ou {U}. {W/U}{W/U}{W/U}{W/U}, {T}, sacrifique Medalhão Azorius: Compre dois cards.</t>
  </si>
  <si>
    <t>Medalhão Gruul / Gruul Locket</t>
  </si>
  <si>
    <t>{T}: Adicione {R} ou {G}. {R/G}{R/G}{R/G}{R/G}, {T}, sacrifique Medalhão Gruul: Compre dois cards.</t>
  </si>
  <si>
    <t>Medalhão Rakdos / Rakdos Locket</t>
  </si>
  <si>
    <t>{T}: Adicione {B} ou {R}. {B/R}{B/R}{B/R}{B/R}, {T}, sacrifique Medalhão Rakdos: Compre dois cards.</t>
  </si>
  <si>
    <t>Medalhão Simic / Simic Locket</t>
  </si>
  <si>
    <t>{T}: Adicione {G} ou {U}. {G/U}{G/U}{G/U}{G/U}, {T}, sacrifique Medalhão Simic: Compre dois cards.</t>
  </si>
  <si>
    <t>Escudo Urrador / Screaming Shield</t>
  </si>
  <si>
    <t>A criatura equipada recebe +0/+3 e tem "{2}, {T}: O jogador alvo coloca os três cards do topo do próprio grimório no próprio cemitério." Equipar {3} ({3}: Anexe-o à criatura alvo que você controla. Equipe somente como um feitiço.)</t>
  </si>
  <si>
    <t>Medalhão Orzhov / Orzhov Locket</t>
  </si>
  <si>
    <t>{T}: Adicione {W} ou {B}. {W/B}{W/B}{W/B}{W/B}, {T}, sacrifique Amuleto Orzhov: Compre dois cards.</t>
  </si>
  <si>
    <t>Servo Voltaico / Voltaic Servant</t>
  </si>
  <si>
    <t>Criatura Artefato — Constructo</t>
  </si>
  <si>
    <t>No início da sua etapa final, desvire o artefato alvo.</t>
  </si>
  <si>
    <t>Dominaria (DOM)</t>
  </si>
  <si>
    <t>Nutrient Block</t>
  </si>
  <si>
    <t>Artifact — Food</t>
  </si>
  <si>
    <t>Common</t>
  </si>
  <si>
    <t>Indestructible (Effects that say "destroy" don't destroy this artifact.) {2}, {T}, Sacrifice this artifact: You gain 3 life. When this artifact is put into a graveyard from the battlefield, draw a card.</t>
  </si>
  <si>
    <t>Colorless</t>
  </si>
  <si>
    <t>Edge of Eternity (EOE)</t>
  </si>
  <si>
    <t>Triturador de Códices / Codex Shredder</t>
  </si>
  <si>
    <t>{T}: O jogador alvo coloca o card do topo do grimório dele no próprio cemitério. {5}, {T}, Sacrifique Triturador de Códices: Devolva o card alvo de seu cemitério para sua mão.</t>
  </si>
  <si>
    <t>Return to Ravnica (RTR)</t>
  </si>
  <si>
    <t>Espantalho da Sucata Alada / Wingrattle Scarecrow</t>
  </si>
  <si>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</si>
  <si>
    <t>Shadowmoor (SHM)</t>
  </si>
  <si>
    <t>Skyreach Manta</t>
  </si>
  <si>
    <t>Artifact Creature — Fish</t>
  </si>
  <si>
    <t>Sunburst (This enters the battlefield with a +1/+1 counter on it for each color of mana spent to cast it.) Flying</t>
  </si>
  <si>
    <t>{5}</t>
  </si>
  <si>
    <t>Modern Masters 2015 (MM2)</t>
  </si>
  <si>
    <t>Introdução à Profecia / Introduction to Prophecy</t>
  </si>
  <si>
    <t>Feitiço — Lição</t>
  </si>
  <si>
    <t>Use vidência 2 e depois compre um card.</t>
  </si>
  <si>
    <t>Strixhaven: School of Mages (STX)</t>
  </si>
  <si>
    <t>Familiar de Filigrana / Filigree Familiar</t>
  </si>
  <si>
    <t>Criatura Artefato — Raposa</t>
  </si>
  <si>
    <t>Quando Familiar de Filigrana entra no campo de batalha, você ganha 2 pontos de vida. Quando Familiar de Filigrana morrer, compre um card.</t>
  </si>
  <si>
    <t>Commander Legends (CMR)</t>
  </si>
  <si>
    <t>Spire Golem</t>
  </si>
  <si>
    <t>Artifact Creature — Golem</t>
  </si>
  <si>
    <t>Affinity for Islands (This spell costs 1 less to play for each Island you control.) Flying</t>
  </si>
  <si>
    <t>{6}</t>
  </si>
  <si>
    <t>Fifth Dawn (5DN)</t>
  </si>
  <si>
    <t>Æther Spellbomb / Bomba de Éter</t>
  </si>
  <si>
    <t>{U}, Sacrifique Æther Spellbomb: Devolva a criatura alvo para a mão de seu dono. {1}, Sacrifique Æther Spellbomb: Compre um card.</t>
  </si>
  <si>
    <t>Mirrodin (MRD)</t>
  </si>
  <si>
    <t>Magic: The Gathering—Commander (CMD)</t>
  </si>
  <si>
    <t>Obelisco de Naya / Obelisk of Naya</t>
  </si>
  <si>
    <t>{T}: Adicione {R}, {G} ou {W} à sua reserva de mana.</t>
  </si>
  <si>
    <t>Shards of Alara (ALA)</t>
  </si>
  <si>
    <t>Prisma Profético / Prophetic Prism</t>
  </si>
  <si>
    <t>Quando Prisma Profético entrar no campo de batalha, compre um card. {1}, {T}: Adicione um mana de qualquer cor à sua reserva de mana.</t>
  </si>
  <si>
    <t>Kaladesh (KLD)</t>
  </si>
  <si>
    <t>Profeta do Pico / Cragflame Prophet</t>
  </si>
  <si>
    <t>Criatura Artefato — Felino</t>
  </si>
  <si>
    <t>Quando Profeta do Pico entrar no campo de batalha, use vidência 2. (Olhe os dois cards do topo do seu grimório. Depois, coloque qualquer número deles no fundo do seu grimório e o restante no topo em qualquer ordem.)</t>
  </si>
  <si>
    <t>Throne of Eldraine (ELD)</t>
  </si>
  <si>
    <t>Traje Bruto / Brute Suit</t>
  </si>
  <si>
    <t>Vigilância, Tripular 1 (Vire qualquer número de criaturas que você controla com total de poder igual ou superior a 1: Este Veículo torna-se uma criatura artefato até o final do turno.)</t>
  </si>
  <si>
    <t>Kamigawa: Neon Dynasty (NEO)</t>
  </si>
  <si>
    <t>Amuleto do Viajante / Traveler's Amulet</t>
  </si>
  <si>
    <t>{1}, sacrifique Amuleto do Viajante: Procure um card de terreno básico em seu grimório, revele-o, coloque-o em sua mão e, depois, embaralhe seu grimório.</t>
  </si>
  <si>
    <t>Theros Beyond Death (THB)</t>
  </si>
  <si>
    <t>Frogmite</t>
  </si>
  <si>
    <t>Artifact Creature — Frog</t>
  </si>
  <si>
    <t>Affinity for artifacts (This spell costs 1 less to cast for each artifact you control.)</t>
  </si>
  <si>
    <t>{4}</t>
  </si>
  <si>
    <t>Wurmwall Sweeper</t>
  </si>
  <si>
    <t>Artifact — Spacecraft</t>
  </si>
  <si>
    <t>When this Spacecraft enters, surveil 2. Station (Tap another creature you control: Put charge counters equal to its power on this Spacecraft. Station only as a sorcery. It's an artifact creature at 4+.) Flying</t>
  </si>
  <si>
    <t>Espantalho Sinalizador / Heraldic Banner</t>
  </si>
  <si>
    <t>Vigilância, {2}: Adicione um mana de qualquer cor.</t>
  </si>
  <si>
    <t>Chrome Companion</t>
  </si>
  <si>
    <t>Artifact Creature — Dog</t>
  </si>
  <si>
    <t>Whenever this creature becomes tapped, you gain 1 life. {2}, {T}: Put target card from a graveyard on the bottom of its owner's library.</t>
  </si>
  <si>
    <t>Terminal de Rede / Network Terminal</t>
  </si>
  <si>
    <t>{T}: Adicione um mana de qualquer cor. {1}, {T}, vire outro artefato desvirado que você controla: Compre um card e depois descarte um card.</t>
  </si>
  <si>
    <t>Ornithopter</t>
  </si>
  <si>
    <t>Artifact Creature</t>
  </si>
  <si>
    <t>Flying</t>
  </si>
  <si>
    <t>{0}</t>
  </si>
  <si>
    <t>0/2</t>
  </si>
  <si>
    <t>Boneco de Justa / Jousting Dummy</t>
  </si>
  <si>
    <t>Criatura Artefato — Espantalho Cavaleiro</t>
  </si>
  <si>
    <t>{3}: Boneco de Justa recebe +1/+0 até o final do turno.</t>
  </si>
  <si>
    <t>Urna de Fogo Divino / Divine Fire Urn</t>
  </si>
  <si>
    <t>{2}: Adicione um mana de qualquer cor. {6}, {T}, sacrifique Urna de Fogo Divino: Destrua a criatura ou o encantamento alvo.</t>
  </si>
  <si>
    <t>March of the Machine (MOM)</t>
  </si>
  <si>
    <t>Obsidian Acolyte</t>
  </si>
  <si>
    <t>Creature — Cleric</t>
  </si>
  <si>
    <t>Protection from Preto, {W}: Target creature gains protection from Preto until end of turn.</t>
  </si>
  <si>
    <t>{1}{W}</t>
  </si>
  <si>
    <t>Invasion (INV)</t>
  </si>
  <si>
    <t>Benalish Hero</t>
  </si>
  <si>
    <t>Summon Hero</t>
  </si>
  <si>
    <t>Bands</t>
  </si>
  <si>
    <t>Alpha</t>
  </si>
  <si>
    <t>Holy Strength / Holy Strength</t>
  </si>
  <si>
    <t>Enchant Creature</t>
  </si>
  <si>
    <t>Target creature gains +1/+2.</t>
  </si>
  <si>
    <t>Conversion / Conversion</t>
  </si>
  <si>
    <t>Enchantment</t>
  </si>
  <si>
    <t>All mountains are considered basic plains while Conversion is in play. Pay {W}{W} during upkeep or Conversion is discarded.</t>
  </si>
  <si>
    <t>{2}{W}{W}</t>
  </si>
  <si>
    <t>Pestilence / Pestilência</t>
  </si>
  <si>
    <t>{B}: Do 1 damage to each creature and to both players. If there are no creatures in play at the end of any turn, Pestilence must be discarded.</t>
  </si>
  <si>
    <t>{2}{B}{B}</t>
  </si>
  <si>
    <t>Angelic Favor / Favor Angelical</t>
  </si>
  <si>
    <t>If you control a plains, you may tap an untapped creature you control instead of paying Angelic Favor's mana cost. Play Angelic Favor only during combat. Put a 4/4 white Angel creature token with flying into play. Remove it from the game at end of turn.</t>
  </si>
  <si>
    <t>{3}{W}</t>
  </si>
  <si>
    <t>Prophecy (PCY)</t>
  </si>
  <si>
    <t>Unholy Strength / Força Profana</t>
  </si>
  <si>
    <t>Enchanted creature gets +2/+1.</t>
  </si>
  <si>
    <t>Fifth Edition (5ED)</t>
  </si>
  <si>
    <t>Telethopter / Telethóptero</t>
  </si>
  <si>
    <t>Tap a creature you control: Telethopter gains flying until end of turn.</t>
  </si>
  <si>
    <t>Tempest (TMP)</t>
  </si>
  <si>
    <t>Battering Ram / Aríete</t>
  </si>
  <si>
    <t>Banding when attacking. At the end of combat, destroy all walls blocking Battering Ram.</t>
  </si>
  <si>
    <t>Fourth Edition (4ED)</t>
  </si>
  <si>
    <t>Walking Wall / Muro Andarilho</t>
  </si>
  <si>
    <t>Counts as a wall, {3}: Walking Wall gets +3/-1 until end of turn and can attack this turn. Walking Wall cannot attack the turn it comes under your control. Use this ability only once a turn.</t>
  </si>
  <si>
    <t>Ice Age (ICE)</t>
  </si>
  <si>
    <t>0/6</t>
  </si>
  <si>
    <t>Combat Medic / Médico de Combate</t>
  </si>
  <si>
    <t>Summon Soldier</t>
  </si>
  <si>
    <t>{1}{W}: Prevent 1 damage to any player or creature.</t>
  </si>
  <si>
    <t>{2}{W}</t>
  </si>
  <si>
    <t>Fallen Empires (FEM)</t>
  </si>
  <si>
    <t>Armadura Divina / Divine Armor</t>
  </si>
  <si>
    <t>Encantar Criatura</t>
  </si>
  <si>
    <t>A criatura-alvo ganha +0/+2. {W}: A criatura-alvo encantada pela Armadura Divina ganha +0/+1 até o final do turno.</t>
  </si>
  <si>
    <t>Holy Armor / Armadura Divina</t>
  </si>
  <si>
    <t>Target creature gains +0/+2. {W}: +0/+1</t>
  </si>
  <si>
    <t>Círculo de Proteção: Verde / Circle of Protection: Green</t>
  </si>
  <si>
    <t>{1}: Evita qualquer dano de uma única origem verde contra você. Se esta fonte lhe causar dano mais de uma vez num mesmo turno, você poderá pagar 1 em cada uma das vezes para evitar o dano.</t>
  </si>
  <si>
    <t>Circle of Protection: Green / Círculo de Proteção: Verde</t>
  </si>
  <si>
    <t>{1}: Prevent all damage against you from one green source. If a source deals damage to you more than once in a turn, you may pay {1} each time to prevent the damage.</t>
  </si>
  <si>
    <t>Fourth Edition (4ED) Reprint</t>
  </si>
  <si>
    <t>No</t>
  </si>
  <si>
    <t>Look at Me, I'm the DCI</t>
  </si>
  <si>
    <t>Ban one card, other than a basic land, for the remainder of the match. (For the remainder of the match, each player removes from the game all copies of that card in play or in any graveyard, hand, library, or sideboard.)</t>
  </si>
  <si>
    <t>{5}{W}{W}</t>
  </si>
  <si>
    <t>White</t>
  </si>
  <si>
    <t>Unglued (UGL)</t>
  </si>
  <si>
    <t>Volrath's Motion Sensor</t>
  </si>
  <si>
    <t>Enchant Player</t>
  </si>
  <si>
    <t>When Volrath's Motion Sensor comes into play, choose target hand controlled by an opponent. Enchanted player balances Volrath's Motion Sensor on the back of that hand. If Volrath's Motion Sensor falls off the hand, sacrifice Volrath's Motion Sensor and that player loses 3 life.</t>
  </si>
  <si>
    <t>The Cheese Stands Alone</t>
  </si>
  <si>
    <t>If you control no cards in play other than The Cheese Stands Alone and have no cards in your hand, you win the game.</t>
  </si>
  <si>
    <t>{4}{W}{W}</t>
  </si>
  <si>
    <t>Disempower</t>
  </si>
  <si>
    <t>Put target artifact or enchantment on top of owner's library.</t>
  </si>
  <si>
    <t>Mirage (MIR)</t>
  </si>
  <si>
    <t>Circle of Protection: Red / Círculo de Proteção: Vermelho</t>
  </si>
  <si>
    <t>{1}: Prevent all damage against you from one red source. If a source deals damage to you more than once in a turn, you may pay {1} each time to prevent the damage.</t>
  </si>
  <si>
    <t>Mesa Chicken</t>
  </si>
  <si>
    <t>Summon Chicken</t>
  </si>
  <si>
    <t>Stand up, Flap your arms, Cluck like a chicken: Mesa Chicken gains flying until end of turn.</t>
  </si>
  <si>
    <t>{W}{W}</t>
  </si>
  <si>
    <t>Cinder Marsh / Pântano de Cinzas</t>
  </si>
  <si>
    <t>Land</t>
  </si>
  <si>
    <t>{T}: Add one colorless mana to your mana pool. {T}: Add {B} or {R} to your mana pool. Cinder Marsh does not untap during your next untap phase.</t>
  </si>
  <si>
    <t>Tundra Wolves / Lobos da Tundra</t>
  </si>
  <si>
    <t>Creature — Wolf</t>
  </si>
  <si>
    <t>First strike</t>
  </si>
  <si>
    <t>Classic Sixth Edition (6ED)</t>
  </si>
  <si>
    <t>Avatar of Hope / Avatar da Esperança</t>
  </si>
  <si>
    <t>Creature — Avatar</t>
  </si>
  <si>
    <t>Flying. If you have 3 life or less, Avatar of Hope costs {6} less to play. Avatar of Hope may block any number of creatures.</t>
  </si>
  <si>
    <t>{6}{W}{W}</t>
  </si>
  <si>
    <t>Lavagem Cerebral / Brainwash</t>
  </si>
  <si>
    <t>A criatura-alvo não poderá atacar a menos que o jogador que a controla pague {3} adicionais.</t>
  </si>
  <si>
    <t>Castelo / Castle</t>
  </si>
  <si>
    <t>As criaturas desviradas sob seu controle ganham +0/+2 quando não estiverem atacando.</t>
  </si>
  <si>
    <t>War Elephant / Elefante de Guerra</t>
  </si>
  <si>
    <t>Summon Elephant</t>
  </si>
  <si>
    <t>Banding, trample</t>
  </si>
  <si>
    <t>Arabian Nights (ARN)</t>
  </si>
  <si>
    <t>Glittering Lynx / Lince Cintilante</t>
  </si>
  <si>
    <t>Creature — Cat</t>
  </si>
  <si>
    <t>Prevent all damage that would be dealt to Glittering Lynx. {2}: Until end of turn, Glittering Lynx loses “Prevent all damage that would be dealt to Glittering Lynx.” Any player may play this ability.</t>
  </si>
  <si>
    <t>Angel of Mercy / Anjo da Misericórdia</t>
  </si>
  <si>
    <t>Creature — Angel</t>
  </si>
  <si>
    <t>Flying. When Angel of Mercy comes into play, you gain 3 life.</t>
  </si>
  <si>
    <t>{4}{W}</t>
  </si>
  <si>
    <t>Seeker / Buscador</t>
  </si>
  <si>
    <t>Target creature cannot be blocked except by white creatures and artifact creatures.</t>
  </si>
  <si>
    <t>Dancing Scimitar / Cimitarra Dançante</t>
  </si>
  <si>
    <t>Mine Bearer / Portador de Minas</t>
  </si>
  <si>
    <t>Creature — Soldier</t>
  </si>
  <si>
    <t>{T}, Sacrifice Mine Bearer: Destroy target attacking creature.</t>
  </si>
  <si>
    <t>Knight of the Hokey Pokey</t>
  </si>
  <si>
    <t>Summon Knight</t>
  </si>
  <si>
    <t>First strike. {1}{W}, Do the Hokey Pokey (Stand up, wiggle your butt, raise your hands above your head, and shake them wildly as you rotate 360 degrees): Prevent all damage to Knight of the Hokey Pokey from any one source.</t>
  </si>
  <si>
    <t>Circle of Protection: Preto / Círculo de Proteção: Preto</t>
  </si>
  <si>
    <t>{1}: Prevent all damage against you from one Preto source. If a source deals damage to you more than once in a turn, you may pay {1} each time to prevent the damage.</t>
  </si>
  <si>
    <t>Not found</t>
  </si>
  <si>
    <t>Deadhead</t>
  </si>
  <si>
    <t>Summon Zombie</t>
  </si>
  <si>
    <t>Put Deadhead into play. Use this ability only if any opponent loses contact with his or her hand of cards and only if Deadhead is in your graveyard.</t>
  </si>
  <si>
    <t>{3}{B}</t>
  </si>
  <si>
    <t>Poultrygeist</t>
  </si>
  <si>
    <t>Flying. Whenever a creature is put into any graveyard from play, you may roll a six-sided die. On a 1, sacrifice Poultrygeist. Otherwise, put a +1/+1 counter on Poultrygeist.</t>
  </si>
  <si>
    <t>{2}{B}</t>
  </si>
  <si>
    <t>Baton of Morale / Bastão de Moral</t>
  </si>
  <si>
    <t>{2}: Target creature gains banding until end of turn.</t>
  </si>
  <si>
    <t>Serrated Biskelion</t>
  </si>
  <si>
    <t>{T}: Put a -1/-1 counter on Serrated Biskelion and a -1/-1 counter on target creature.</t>
  </si>
  <si>
    <t>Weatherlight (WTH)</t>
  </si>
  <si>
    <t>Amulet of Kroog / Amuleto de Kroog</t>
  </si>
  <si>
    <t>{2}, {T}: Prevent 1 damage to any creature or player.</t>
  </si>
  <si>
    <t>Disenchant / Desencantar</t>
  </si>
  <si>
    <t>Destroy target artifact or enchantment.</t>
  </si>
  <si>
    <t>Benalish Hero / Herói Benalish</t>
  </si>
  <si>
    <t>Summon Hero / Invocação (Herói)</t>
  </si>
  <si>
    <t>Banding / Agrupamento</t>
  </si>
  <si>
    <t>Miss Demeanor</t>
  </si>
  <si>
    <t>Summon Lady of Proper Etiquette</t>
  </si>
  <si>
    <t>Flying, first strike. During each other player's turn, compliment that player on his or her game play or sacrifice Miss Demeanor.</t>
  </si>
  <si>
    <t>Fire Diamond / Diamante de Fogo</t>
  </si>
  <si>
    <t>Fire Diamond comes into play tapped. {T}: Add {R} to your mana pool. Play this ability as a mana source.</t>
  </si>
  <si>
    <t>Glasses of Urza / Óculos de Urza</t>
  </si>
  <si>
    <t>{T}: Look at target player's hand.</t>
  </si>
  <si>
    <t>Farrel's Mantle / Manto de Farrel</t>
  </si>
  <si>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</si>
  <si>
    <t>Fallen empires</t>
  </si>
  <si>
    <t>Feldon's Cane / Bengala de Feldon</t>
  </si>
  <si>
    <t>{T}, Remove Feldon's Cane from the game: Shuffle your graveyard into your library.</t>
  </si>
  <si>
    <t>Keepers of the Faith / Guardiões da Fé</t>
  </si>
  <si>
    <t>Summon Keepers / Invocação (Guardiões)</t>
  </si>
  <si>
    <t>None</t>
  </si>
  <si>
    <t>{1}{W}{W}</t>
  </si>
  <si>
    <t>Legends (LEG)</t>
  </si>
  <si>
    <t>Soltari Monk</t>
  </si>
  <si>
    <t>Summon Cleric</t>
  </si>
  <si>
    <t>Protection from Preto; shadow (This creature can block or be blocked by only creatures with shadow.)</t>
  </si>
  <si>
    <t>Seal of Cleansing / Selo da Purificação</t>
  </si>
  <si>
    <t>Sacrifice Seal of Cleansing: Destroy target artifact or enchantment.</t>
  </si>
  <si>
    <t>Skyshaper / Modelador de Céus</t>
  </si>
  <si>
    <t>Sacrifice Skyshaper: All creatures you control gain flying until end of turn.</t>
  </si>
  <si>
    <t>Exodus (EXO)</t>
  </si>
  <si>
    <t>Echo Chamber / Câmara de Ecos</t>
  </si>
  <si>
    <t>Artifact / Artefato</t>
  </si>
  <si>
    <t>Rare / Rara</t>
  </si>
  <si>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</si>
  <si>
    <t>Vexing Arcanix</t>
  </si>
  <si>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</si>
  <si>
    <t>Era Glacial</t>
  </si>
  <si>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</si>
  <si>
    <t>Nêmesis</t>
  </si>
  <si>
    <t>False Dawn / Amanhecer Falso</t>
  </si>
  <si>
    <t>Colored mana symbols on all permanents you control and on all cards you own that aren't in play become {W} until end of turn. Draw a card.</t>
  </si>
  <si>
    <t>Apocalypse (APC)</t>
  </si>
  <si>
    <t>Aladdin's Lamp</t>
  </si>
  <si>
    <t>{X}, {T}: Instead of drawing a card from the top of your library, draw X cards but choose only one to put into your hand. Shuffle the leftover cards and put them at the bottom of your library. X cannot be 0.</t>
  </si>
  <si>
    <t>{10}</t>
  </si>
  <si>
    <t>Sex Appeal</t>
  </si>
  <si>
    <t>Prevent up to 3 damage total to any number of creatures and/or players. If there are more players in the room of the opposite sex, prevent up to 3 additional damage total to any number of creatures and/or players.</t>
  </si>
  <si>
    <t>{W/B}</t>
  </si>
  <si>
    <t>White/Preto</t>
  </si>
  <si>
    <t>Urza's Mine / Miniera di Urza</t>
  </si>
  <si>
    <t>Land / Terra</t>
  </si>
  <si>
    <t>{T}: Add {C} to your mana pool. If you control an Urza's Tower and an Urza's Power Plant, add {C}{C} to your mana pool instead.</t>
  </si>
  <si>
    <t>Chronicles (CHR)</t>
  </si>
  <si>
    <t>Rhystic Circle</t>
  </si>
  <si>
    <t>{1}: Any player may pay {1}. If no one does, the next time a source of your choice would deal damage to you this turn, prevent that damage.</t>
  </si>
  <si>
    <t>Howling Mine</t>
  </si>
  <si>
    <t>During each player's draw phase, that player draws an additional card.</t>
  </si>
  <si>
    <t>Karplusan Forest</t>
  </si>
  <si>
    <t>{T}: Add one colorless mana to your mana pool. {T}: Add {R} or {G} to your mana pool. Karplusan Forest deals 1 damage to you.</t>
  </si>
  <si>
    <t>Red/Green</t>
  </si>
  <si>
    <t>Metamorfo / Shapeshifter</t>
  </si>
  <si>
    <t>Artifact Creature / Criatura Artefato</t>
  </si>
  <si>
    <t>A soma do poder e da resistência do Metamorfo é igual 7. Você define estes valores no momento em que o Metamorfo entra em jogo. Você pode alterá-los durante sua fase de manutenção.</t>
  </si>
  <si>
    <t>*/(7-*)</t>
  </si>
  <si>
    <t>Common Cause</t>
  </si>
  <si>
    <t>Nonartifact creatures get +2/+2 as long as they all share a color.</t>
  </si>
  <si>
    <t>Mercadian Masques (MMQ)</t>
  </si>
  <si>
    <t>Kill Switch</t>
  </si>
  <si>
    <t>{2}, {T}: Tap all other artifacts. They don't untap during their controllers' untap steps as long as Kill Switch remains tapped.</t>
  </si>
  <si>
    <t>Nemesis (NMS)</t>
  </si>
  <si>
    <t>Serra's Blessing</t>
  </si>
  <si>
    <t>Attacking doesn't cause creatures you control to tap.</t>
  </si>
  <si>
    <t>Sky Diamond</t>
  </si>
  <si>
    <t>Sky Diamond comes into play tapped. {T}: Add {U} to your mana pool. Play this ability as a mana source.</t>
  </si>
  <si>
    <t>Disrupting Scepter</t>
  </si>
  <si>
    <t>{3}, {T}: Target player chooses and discards one card from his or her hand. Use this ability only during your turn.</t>
  </si>
  <si>
    <t>Crimson Acolyte</t>
  </si>
  <si>
    <t>Protection from red. {W}: Target creature gains protection from red until end of turn.</t>
  </si>
  <si>
    <t>Circle of Protection: White / Círculo de Proteção: Branco</t>
  </si>
  <si>
    <t>Enchantment / Encantamento</t>
  </si>
  <si>
    <t>{1}: Prevent all damage that would be dealt to you by a source of your choice.</t>
  </si>
  <si>
    <t>Circle of Protection: Artifacts / Círculo de Proteção: Artefatos</t>
  </si>
  <si>
    <t>{2}: Prevent all damage that would be dealt to you by an artifact source of your choice.</t>
  </si>
  <si>
    <t>Mystic Skull / Crânio Místico</t>
  </si>
  <si>
    <t>Uncommon / Incomum</t>
  </si>
  <si>
    <t>{1}, {T}: Add one mana of any color. {5}, {T}: Transform Mystic Skull.</t>
  </si>
  <si>
    <t>Guardian's Longbow / Arco Longo do Guardião</t>
  </si>
  <si>
    <t>Artifact — Equipment / Artefato — Equipamento</t>
  </si>
  <si>
    <t>Equipped creature gets +2/+1 and has reach. Equip {3}</t>
  </si>
  <si>
    <t>{1}{G}</t>
  </si>
  <si>
    <t>Green / Verde</t>
  </si>
  <si>
    <t>Adventures in the Forgotten Realms (AFR)</t>
  </si>
  <si>
    <t>Bear Trap</t>
  </si>
  <si>
    <t>Flash. {3}, {T}, Sacrifice Bear Trap: It deals 3 damage to target creature.</t>
  </si>
  <si>
    <t>Duskmourn: House of Horror (DSK)</t>
  </si>
  <si>
    <t>Sol Ring</t>
  </si>
  <si>
    <t>{T}: Add {C}{C}.</t>
  </si>
  <si>
    <t>Commander (SOC)</t>
  </si>
  <si>
    <t>Universal Solvent / Solvente Universal</t>
  </si>
  <si>
    <t>{7}, {T}, Sacrifice Universal Solvent: Destroy target permanent.</t>
  </si>
  <si>
    <t>Commander Legends: Battle for Baldur's Gate (CLB)</t>
  </si>
  <si>
    <t>Found Footage</t>
  </si>
  <si>
    <t>Artifact — Clue</t>
  </si>
  <si>
    <t>You may look at face-down creatures your opponents control any time. {2}, Sacrifice Found Footage: Surveil 2, then draw a card.</t>
  </si>
  <si>
    <t>Glimmerlight</t>
  </si>
  <si>
    <t>When Glimmerlight enters, create a 1/1 white Glimmer enchantment creature token. Equipped creature gets +1/+1. Equip {1}</t>
  </si>
  <si>
    <t>Gate Colossus / Colosso do Portão</t>
  </si>
  <si>
    <t>Artifact Creature — Construct / Criatura Artefato — Constructo</t>
  </si>
  <si>
    <t>This spell costs {1} less to cast for each Gate you control. Gate Colossus can't be blocked by creatures with power 2 or less. Whenever a Gate enters the battlefield under your control, you may put Gate Colossus from your graveyard on top of your library.</t>
  </si>
  <si>
    <t>{8}</t>
  </si>
  <si>
    <t>Stuffed Bear / Urso Empalhado</t>
  </si>
  <si>
    <t>{2}: Stuffed Bear becomes a 4/4 green Bear artifact creature until end of turn.</t>
  </si>
  <si>
    <t>Dredging Claw / Garra Dragadora</t>
  </si>
  <si>
    <t>Equipped creature gets +1/+0 and has menace. Whenever a creature enters the battlefield from your graveyard, you may attach Dredging Claw to it. Equip {1}{B}</t>
  </si>
  <si>
    <t>The Brothers' War (BRO)</t>
  </si>
  <si>
    <t>Knot-Knotted Effigy / Efigie Nodosa</t>
  </si>
  <si>
    <t>{4}, {T}: Put a -1/-1 counter on target creature.</t>
  </si>
  <si>
    <t>Hedron Blade / Lâmina de Edro</t>
  </si>
  <si>
    <t>Equipped creature gets +1/+1. Whenever equipped creature becomes blocked by one or more colorless creatures, it gains deathtouch until end of turn. Equip {2}</t>
  </si>
  <si>
    <t>Battle for Zendikar (BFZ)</t>
  </si>
  <si>
    <t>Retributive Wand / Varinha Retribuidora</t>
  </si>
  <si>
    <t>{3}, {T}: Retributive Wand deals 1 damage to any target. When Retributive Wand is put into a graveyard from the battlefield, it deals 5 damage to any target.</t>
  </si>
  <si>
    <t>Core Set 2020 (M20)</t>
  </si>
  <si>
    <t>Spellskite / Pique do Trovador Mágico</t>
  </si>
  <si>
    <t>Equipped creature has first strike and gets +X/+0, where X is the number of instant and sorcery cards in your graveyard. Equip {2}</t>
  </si>
  <si>
    <t>Innistrad (ISD)</t>
  </si>
  <si>
    <t>Galvanic Key</t>
  </si>
  <si>
    <t>You may play Galvanic Key any time you could play an instant. {3}, {T}: Untap target artifact.</t>
  </si>
  <si>
    <t>Bone Saw / Serra Óssea</t>
  </si>
  <si>
    <t>Equipped creature gets +1/+0. Equip {1}</t>
  </si>
  <si>
    <t>Oath of the Gatewatch (OGW)</t>
  </si>
  <si>
    <t>Weapon Rack / Cavalete de Armas</t>
  </si>
  <si>
    <t>Weapon Rack enters the battlefield with three +1/+1 counters on it. {T}: Move a +1/+1 counter from Weapon Rack onto target creature. Activate only as a sorcery.</t>
  </si>
  <si>
    <t>Rusted Relic</t>
  </si>
  <si>
    <t>Metalcraft — Rusted Relic is a 5/5 Golem artifact creature as long as you control three or more artifacts.</t>
  </si>
  <si>
    <t>Stonework Packbeast / Besta de Carga Pétrea</t>
  </si>
  <si>
    <t>Artifact Creature — Beast / Criatura Artefato — Besta</t>
  </si>
  <si>
    <t>Stonework Packbeast is also a Cleric, Rogue, Warrior, and Wizard. {2}: Add one mana of any color.</t>
  </si>
  <si>
    <t>Zendikar Rising (ZNR)</t>
  </si>
  <si>
    <t>Dimir Keyrune / Chave Rúnica Dimir</t>
  </si>
  <si>
    <t>{T}: Add {U} or {B}. {U}{B}: Dimir Keyrune becomes a 2/2 blue and Preto Horror artifact creature until end of turn and can't be blocked this turn.</t>
  </si>
  <si>
    <t>Gatecrash (GTC)</t>
  </si>
  <si>
    <t>Pantheon's Altar / Altar do Panteão</t>
  </si>
  <si>
    <t>Your devotion to each color and each color combination is increased by one. {T}: Add one mana of any color. If you control a God, Demigod, or legendary enchantment, you gain 1 life.</t>
  </si>
  <si>
    <t>Trip Noose / Nó de Viagem</t>
  </si>
  <si>
    <t>{2}, {T}: Tap target creature.</t>
  </si>
  <si>
    <t>Shrine Steward / Zelador do Sacrário</t>
  </si>
  <si>
    <t>When Shrine Steward enters the battlefield, you may search your library for an Aura or Shrine card, reveal it, put it into your hand, then shuffle.</t>
  </si>
  <si>
    <t>Lashknife / Faca de Chicote</t>
  </si>
  <si>
    <t>Enchantment — Aura / Encantamento — Aura</t>
  </si>
  <si>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</si>
  <si>
    <t>Cloudchaser Eagle / Águia Perseguidora de Nuvens</t>
  </si>
  <si>
    <t>Creature — Bird / Criatura — Ave</t>
  </si>
  <si>
    <t>Flying. When Cloudchaser Eagle comes into play, destroy target enchantment. / Voar. Quando Águia Perseguidora de Nuvens entra em jogo, destrua o encantamento alvo.</t>
  </si>
  <si>
    <t>Magma Mine / Mina de Magma</t>
  </si>
  <si>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</si>
  <si>
    <t>Visions (VIS)</t>
  </si>
  <si>
    <t>Soldevi Steam Beast / Besta de Vapor Soldevi</t>
  </si>
  <si>
    <t>Whenever Soldevi Steam Beast becomes tapped, target opponent gains 2 life. {2}: Regenerate. / Sempre que Besta de Vapor Soldevi se torna virada, o oponente alvo ganha 2 pontos de vida. {2}: Regenerar.</t>
  </si>
  <si>
    <t>Alliances (ALL)</t>
  </si>
  <si>
    <t>Instant / Instântanea</t>
  </si>
  <si>
    <t>Target enchantment or artifact is destroyed. / Destrua o encantamento ou artefato alvo.</t>
  </si>
  <si>
    <t>Alpha (LEA)</t>
  </si>
  <si>
    <t>Mishra's War Machine / Máquina de Guerra de Mishra</t>
  </si>
  <si>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</si>
  <si>
    <t>{7}</t>
  </si>
  <si>
    <t>Pearled Unicorn / Unicórnio Perolado</t>
  </si>
  <si>
    <t>Creature — Unicorn / Criatura — Unicórnio</t>
  </si>
  <si>
    <t>None. / Nenhuma.</t>
  </si>
  <si>
    <t>Ballista Squad / Esquadrão de Balista</t>
  </si>
  <si>
    <t>Creature — Rebel / Criatura — Rebelde</t>
  </si>
  <si>
    <t>{X}{W}, {T}: Ballista Squad deals X damage to target attacking or blocking creature. / {X}{W}, {T}: Esquadrão de Balista causa X pontos de dano à criatura atacante ou bloqueadora alvo.</t>
  </si>
  <si>
    <t>Shackles / Grilhões</t>
  </si>
  <si>
    <t>Enchanted creature doesn't untap during its controller's untap step. {W}: Return Shackles to its owner's hand. / A criatura encantada não desvira durante a etapa de desvirar de seu controlador. {W}: Devolva Grilhões para a mão de seu dono.</t>
  </si>
  <si>
    <t>Icatian Infantry / Infantaria Icatiana</t>
  </si>
  <si>
    <t>Creature — Soldiers / Criatura — Soldados</t>
  </si>
  <si>
    <t>{1}: Bands until end of turn. {1}: First strike until end of turn. / {1}: Forma bandos até o final do turno. {1}: Iniciativa até o final do turno.</t>
  </si>
  <si>
    <t>Icatian Scout / Explorador Icatiano</t>
  </si>
  <si>
    <t>Creature — Soldier / Criatura — Soldado</t>
  </si>
  <si>
    <t>{1}, {T}: Target creature gains first strike until end of turn. / {1}, {T}: A criatura alvo ganha iniciativa até o final do turno.</t>
  </si>
  <si>
    <t>Trenching Steed / Corcel de Trincheira</t>
  </si>
  <si>
    <t>Sacrifice a land: Trenching Steed gets +0/+3 until end of turn. / Sacrifique um terreno: Corcel de Trincheira recebe +0/+3 até o final do turno.</t>
  </si>
  <si>
    <t>Hematite Talisman / Talismã de Hematita</t>
  </si>
  <si>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</si>
  <si>
    <t>Walking Wall / Muralha Andante</t>
  </si>
  <si>
    <t>Artifact Creature — Wall / Criatura Artefato — Parede</t>
  </si>
  <si>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</si>
  <si>
    <t>Haunted Angel / Anjo Assombrado</t>
  </si>
  <si>
    <t>Creature — Angel / Criatura — Anjo</t>
  </si>
  <si>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</si>
  <si>
    <t>Double Dip</t>
  </si>
  <si>
    <t>Choose another player. Gain 5 life now and an additional 5 life at the beginning of the next game with that player. / Escolha outro jogador. Ganhe 5 pontos de vida agora e 5 pontos de vida adicionais no início do próximo jogo com aquele jogador.</t>
  </si>
  <si>
    <t>Prismatic Wardrobe</t>
  </si>
  <si>
    <t>Sorcery / Feitiço</t>
  </si>
  <si>
    <t>Destroy target card that does not share a color with clothing worn by its controller. You cannot choose an artifact or land card. / Destrua o card alvo que não compartilhe uma cor com a roupa vestida por seu controlador. Você não pode escolher um card de artefato ou terreno.</t>
  </si>
  <si>
    <t>Temp of the Damned / Temporário dos Malditos</t>
  </si>
  <si>
    <t>Creature — Zombie / Criatura — Zumbi</t>
  </si>
  <si>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</si>
  <si>
    <t>Preto / Preto</t>
  </si>
  <si>
    <t>Thermal Glider / Planador Térmico</t>
  </si>
  <si>
    <t>Flying, protection from red. / Voar, proteção contra o vermelho.</t>
  </si>
  <si>
    <t>Skull Catapult / Catapulta de Crânios</t>
  </si>
  <si>
    <t>{1}, {T}, Sacrifice a creature: Skull Catapult deals 2 damage to target creature or player. / {1}, {T}, Sacrifique uma criatura: Catapulta de Crânios causa 2 pontos de dano à criatura ou jogador alvo.</t>
  </si>
  <si>
    <t>Sixth Edition (6ED)</t>
  </si>
  <si>
    <t>Rod of Ruin / Vara da Ruína</t>
  </si>
  <si>
    <t>{3}, {T}: Rod of Ruin deals 1 damage to target creature or player. / {3}, {T}: Vara da Ruína causa 1 ponto de dano à criatura ou jogador alvo.</t>
  </si>
  <si>
    <t>Onyx Talisman / Talismã de Ônix</t>
  </si>
  <si>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</si>
  <si>
    <t>Soltari Trooper / Soldado Soltari</t>
  </si>
  <si>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</si>
  <si>
    <t>Crossbow Infantry / Infantaria de Besteiros</t>
  </si>
  <si>
    <t>{T}: Crossbow Infantry deals 1 damage to target attacking or blocking creature. / {T}: Infantaria de Besteiros causa 1 ponto de dano à criatura atacante ou bloqueadora alvo.</t>
  </si>
  <si>
    <t>Diving Griffin / Grifo Mergulhador</t>
  </si>
  <si>
    <t>Creature — Griffin / Criatura — Grifo</t>
  </si>
  <si>
    <t>Flying. Attacking doesn't cause Diving Griffin to tap. / Voar. Atacar não faz com que Grifo Mergulhador vire.</t>
  </si>
  <si>
    <t>Soltari Lancer / Lanceiro Soltari</t>
  </si>
  <si>
    <t>Creature — Knight / Criatura — Cavaleiro</t>
  </si>
  <si>
    <t>Shadow (This creature can block or be blocked by only creatures with shadow). First strike when attacking. / Sombra (Esta criatura pode bloquear ou ser bloqueada apenas por criaturas com sombra). Iniciativa quando ataca.</t>
  </si>
  <si>
    <t>Rhystic Shield / Escudo Rístico</t>
  </si>
  <si>
    <t>Creatures you control get +0/+1 until end of turn. They get an additional +0/+2 until end of turn unless any player pays {2}. / Criaturas que você controla recebem +0/+1 até o final do turno. Elas recebem +0/+2 adicionais até o final do turno, a menos que qualquer jogador pague {2}.</t>
  </si>
  <si>
    <t>Barbed Sextant / Sextante farpado</t>
  </si>
  <si>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</si>
  <si>
    <t>Joven's Tools / Ferramentas de Joven</t>
  </si>
  <si>
    <t>{4}, {T}: Target creature cannot be blocked this turn except by Walls. / {4}, {T}: A criatura alvo não pode ser bloqueada neste turno, exceto por Paredes.</t>
  </si>
  <si>
    <t>Homelands (HML)</t>
  </si>
  <si>
    <t>Ashnod's Transmogrant / Transmogratificador de Ashnod</t>
  </si>
  <si>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</si>
  <si>
    <t>Moral</t>
  </si>
  <si>
    <t>Todas as criaturas que estiverem atacando ganharão +1/+1 até o final do turno.</t>
  </si>
  <si>
    <t>Moss Diamond / Diamante de Musgo</t>
  </si>
  <si>
    <t>Moss Diamond comes into play tapped. {T}: Add {G} to your mana pool. Play this ability as a mana source. / Diamante de Musgo entra em jogo virado. {T}: Adicione {G} à sua reserva de mana. Jogue esta habilidade como uma fonte de mana.</t>
  </si>
  <si>
    <t>Defiant Vanguard / Vanguarda Desafiadora</t>
  </si>
  <si>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</si>
  <si>
    <t>Shield Dancer / Dançarina de Escudo</t>
  </si>
  <si>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</si>
  <si>
    <t>Mercenary Informer / Informante Mercenário</t>
  </si>
  <si>
    <t>Creature — Rebel Mercenary / Criatura — Rebelde Mercenário</t>
  </si>
  <si>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</si>
  <si>
    <t>Piedade / Mercy</t>
  </si>
  <si>
    <t>Todas as criaturas que estiverem bloqueando ganharão +0/+3 até o final do turno.</t>
  </si>
  <si>
    <t>Mesa Pegasus / Pégaso da Mesa</t>
  </si>
  <si>
    <t>Creature — Pegasus / Criatura — Pégaso</t>
  </si>
  <si>
    <t>Flying, banding. / Voar, banding.</t>
  </si>
  <si>
    <t>Soul Charmer / Encantadora de Almas</t>
  </si>
  <si>
    <t>Whenever Soul Charmer deals combat damage to a creature, you gain 2 life unless that creature's controller pays {2}. / Sempre que Encantadora de Almas causar dano de combate a uma criatura, você ganha 2 pontos de vida, a menos que o controlador daquela criatura pague {2}.</t>
  </si>
  <si>
    <t>Manacles of Decay / Algemas da Decadência</t>
  </si>
  <si>
    <t>Enchanted creature can't attack. {B}: Enchanted creature gets -1/-1 until end of turn. {R}: Enchanted creature can't block this turn. / A criatura encantada não pode atacar. {B}: A criatura encantada recebe -1/-1 até o final do turno. {R}: A criatura encantada não pode bloquear neste turno.</t>
  </si>
  <si>
    <t>Benalish Lancer / Lanceiro Benalita</t>
  </si>
  <si>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</si>
  <si>
    <t>Samite Alchemist / Alquimista Samita</t>
  </si>
  <si>
    <t>Creature — Alchemist / Criatura — Alquimista</t>
  </si>
  <si>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</si>
  <si>
    <t>Abbey Matron / Matrona da Abadia</t>
  </si>
  <si>
    <t>Creature — Cleric / Criatura — Clérigo</t>
  </si>
  <si>
    <t>{W}, {T}: +0/+3 until end of turn. / {W}, {T}: +0/+3 até o final do turno.</t>
  </si>
  <si>
    <t>Razorfoot Griffin / Grifo Pata-de-Navalha</t>
  </si>
  <si>
    <t>Flying, first strike. / Voar, iniciativa.</t>
  </si>
  <si>
    <t>Capashen Unicorn / Unicórnio de Capashen</t>
  </si>
  <si>
    <t>{1}{W}, {T}, Sacrifice Capashen Unicorn: Destroy target artifact or enchantment. / {1}{W}, {T}, Sacrifique Unicórnio de Capashen: Destrua o artefato ou encantamento alvo.</t>
  </si>
  <si>
    <t>Ardent Soldier / Soldado Ardente</t>
  </si>
  <si>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</si>
  <si>
    <t>Rampant Elephant / Elefante Desenfreado</t>
  </si>
  <si>
    <t>Creature — Elephant / Criatura — Elefante</t>
  </si>
  <si>
    <t>{G}: Target creature blocks Rampant Elephant this turn if able. / {G}: A criatura alvo bloqueia Elefante Desenfreado neste turno, se estiver apta.</t>
  </si>
  <si>
    <t>Myr Retriever / Resgatador Myr</t>
  </si>
  <si>
    <t>Artifact Creature — Myr / Criatura Artefato — Myr</t>
  </si>
  <si>
    <t>When Myr Retriever dies, return another target artifact card from your graveyard to your hand. / Quando Resgatador Myr morrer, devolva outro card de artefato alvo de seu cemitério para sua mão.</t>
  </si>
  <si>
    <t>Double Masters (2XM)</t>
  </si>
  <si>
    <t>Iron Bully / Valentão de Ferro</t>
  </si>
  <si>
    <t>Artifact Creature — Golem / Criatura Artefato — Golem</t>
  </si>
  <si>
    <t>Menace. When Iron Bully enters the battlefield, put a +1/+1 counter on target creature. / Ameaçar. Quando Valentão de Ferro entra no campo de batalha, coloque um marcador +1/+1 na criatura alvo.</t>
  </si>
  <si>
    <t>Olho do Peregrino / Pilgrim's Eye</t>
  </si>
  <si>
    <t>Criatura Artefato — Tóptero / Artifact Creature — Thopter</t>
  </si>
  <si>
    <t>Comum / Common</t>
  </si>
  <si>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</si>
  <si>
    <t>Incolor / Colorless</t>
  </si>
  <si>
    <t>Commander Masters (CMM)</t>
  </si>
  <si>
    <t>Rompe-Correntes / Chainbreaker</t>
  </si>
  <si>
    <t>Artifact Creature — Scarecrow / Criatura Artefato — Espantalho</t>
  </si>
  <si>
    <t>Rompe-Correntes enters the battlefield with two -1/-1 counters on it. {3}, {T}: Remove a -1/-1 counter from target creature. / Rompe-Correntes entra em jogo com dois marcadores -1/-1. {3}, {T}: Remova um marcador -1/-1 da criatura alvo.</t>
  </si>
  <si>
    <t>Cesto Remendado / Patchwork Gnomes</t>
  </si>
  <si>
    <t>{1}: Cesto Remendado torna-se de todas as cores até o final do turno. / {1}: Patchwork Gnomes becomes all colors until end of turn.</t>
  </si>
  <si>
    <t>Assistente de Oficina / Workshop Assistant</t>
  </si>
  <si>
    <t>When Workshop Assistant dies, return another target artifact card from your graveyard to your hand. / Quando Assistente de Oficina morrer, devolva outro card de artefato alvo de seu cemitério para sua mão.</t>
  </si>
  <si>
    <t>Arcbound Wanderer / Andarilho Arcbound</t>
  </si>
  <si>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</si>
  <si>
    <t>Modern Masters (MMA)</t>
  </si>
  <si>
    <t>Iron League Steed / Corcel da Liga de Ferro</t>
  </si>
  <si>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</si>
  <si>
    <t>Golem Volitivo / Will-Forged Golem</t>
  </si>
  <si>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</si>
  <si>
    <t>Magic 2015 (M15)</t>
  </si>
  <si>
    <t>Campus Guide / Guia do Campus</t>
  </si>
  <si>
    <t>When this creature enters, you may search your library for a basic land card, reveal it, then shuffle and put that card on top. / Quando esta criatura entra, você pode procurar em seu grimório um card de terreno básico, revelá-lo, então embaralhar e colocar aquele card no topo.</t>
  </si>
  <si>
    <t>Foundation (FDN)</t>
  </si>
  <si>
    <t>Monoscele / Monoskelion</t>
  </si>
  <si>
    <t>Monoskelion enters the battlefield with a +1/+1 counter on it. {1}, Remove a +1/+1 counter from Monoskelion: It deals 1 damage to any target. / Monoscele entra no campo de batalha com um marcador +1/+1. {1}, remova um marcador +1/+1 de Monoscele: Ele causa 1 ponto de dano a qualquer alvo.</t>
  </si>
  <si>
    <t>Modern Horizons 2 (MH2)</t>
  </si>
  <si>
    <t>Blinding Souleater / Devorador de Almas Cegante</t>
  </si>
  <si>
    <t>Artifact Creature — Cleric / Criatura Artefato — Clérigo</t>
  </si>
  <si>
    <t>{W/P}, {T}: Tap target creature. ({W/P} can be paid with either {W} or 2 life.) / {W/P}, {T}: Vire a criatura alvo. ({W/P} pode ser pago com {W} ou 2 pontos de vida.)</t>
  </si>
  <si>
    <t>Modern Masters 2015 Edition (MM2)</t>
  </si>
  <si>
    <t>Automontante / Self-Assembler</t>
  </si>
  <si>
    <t>Artifact Creature — Assembly-Worker / Criatura Artefato — Operário de Linha de Montagem</t>
  </si>
  <si>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</si>
  <si>
    <t>Convite de Casamento / Wedding Invitation</t>
  </si>
  <si>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</si>
  <si>
    <t>Innistrad: Crimson Vow (VOW)</t>
  </si>
  <si>
    <t>Golgari Signet / Sinete Golgari</t>
  </si>
  <si>
    <t>{1}, {T}: Add {B}{G}. / {1}, {T}: Adicione {B}{G}.</t>
  </si>
  <si>
    <t>Masters 25 (A25)</t>
  </si>
  <si>
    <t>Ulamog's Crusher / Esmagador de Ulamog</t>
  </si>
  <si>
    <t>Creature — Eldrazi / Criatura — Eldrazi</t>
  </si>
  <si>
    <t>Annihilator 2. Ulamog's Crusher attacks each combat if able. / Aniquilador 2. Esmagador de Ulamog ataca a cada combate, se estiver apto.</t>
  </si>
  <si>
    <t>Ultimate Masters (UMA)</t>
  </si>
  <si>
    <t>Assembly-Worker / Operário de Linha de Montagem</t>
  </si>
  <si>
    <t>{T}: Target Assembly-Worker creature gets +1/+1 until end of turn. / {T}: A criatura Operário de Linha de Montagem alvo recebe +1/+1 até o final do turno.</t>
  </si>
  <si>
    <t>Jumpstart 2022 (J22)</t>
  </si>
  <si>
    <t>Estante Suspeita / Suspicious Bookcase</t>
  </si>
  <si>
    <t>Artifact Creature — Wall / Criatura Artefato — Barreira</t>
  </si>
  <si>
    <t>Defender. {3}, {T}: Target creature can't be blocked this turn. / Defensor. {3}, {T}: A criatura alvo não pode ser bloqueada neste turno.</t>
  </si>
  <si>
    <t>Streets of New Capenna (SNC)</t>
  </si>
  <si>
    <t>Demônio das Profundezas Ancião / Elder Deep-Fiend</t>
  </si>
  <si>
    <t>Creature — Eldrazi Octopus / Criatura — Eldrazi Polvo</t>
  </si>
  <si>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</si>
  <si>
    <t>Eldritch Moon (EMN)</t>
  </si>
  <si>
    <t>Massacre Horrendo / Gruesome Slaughter</t>
  </si>
  <si>
    <t>Até o final do turno, as criaturas incolores que você controla ganham “{T}: Esta criatura causa dano igual a seu poder à criatura alvo.” / Until end of turn, colorless creatures you control gain “{T}: This creature deals damage equal to its power to target creature.”</t>
  </si>
  <si>
    <t>Goblin Replica / Réplica de Goblin</t>
  </si>
  <si>
    <t>Artifact Creature — Goblin / Criatura Artefato — Goblin</t>
  </si>
  <si>
    <t>{3}{R}, Sacrifice Goblin Replica: Destroy target artifact. / {3}{R}, Sacrifique Réplica de Goblin: Destrua o artefato alvo.</t>
  </si>
  <si>
    <t>Golens de Garrafa / Bottle Gnomes</t>
  </si>
  <si>
    <t>Trample. When Bottle Gnomes dies, you gain life equal to its power. / Atropelar. Quando Golens de Garrafa morre, você ganha uma quantidade de pontos de vida igual a seu poder.</t>
  </si>
  <si>
    <t>Guardião do Tesouro / Treasure Keeper</t>
  </si>
  <si>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</si>
  <si>
    <t>Estandarte Sultai / Sultai Banner</t>
  </si>
  <si>
    <t>{T}: Add {B}, {G}, or {U}. {B}{G}{U}, {T}, Sacrifice Sultai Banner: Draw a card. / {T}: Adicione {B}, {G} ou {U} à sua reserva de mana. {B}{G}{U}, {T}, Sacrifique Estandarte Sultai: Compre um card.</t>
  </si>
  <si>
    <t>Khans of Tarkir (KTK)</t>
  </si>
  <si>
    <t>Pedregulho Fugitivo / Runaway Boulder</t>
  </si>
  <si>
    <t>Flash. When Runaway Boulder enters the battlefield, it deals 6 damage to target creature an opponent controls. Cycling {2}. / Lampejo. Quando Pedregulho Fugitivo entra no campo de batalha, ele causa 6 pontos de dano à criatura alvo que um oponente controla. Reciclar {2}.</t>
  </si>
  <si>
    <t>The Lost Caverns of Ixalan (LCI)</t>
  </si>
  <si>
    <t>Tumble Magnet / Ímã de Tumulto</t>
  </si>
  <si>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</si>
  <si>
    <t>Sickleslicer / Fatiador de Foices</t>
  </si>
  <si>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</si>
  <si>
    <t>When Prophetic Prism enters the battlefield, draw a card. {1}, {T}: Add one mana of any color. / Quando Prisma Profético entrar no campo de batalha, compre um card. {1}, {T}: Adicione um mana de qualquer cor.</t>
  </si>
  <si>
    <t>Ovo de Ouro / Golden Egg</t>
  </si>
  <si>
    <t>Artifact — Food / Artefato — Comida</t>
  </si>
  <si>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</si>
  <si>
    <t>Friendly Teddy / Ursinho Amigável</t>
  </si>
  <si>
    <t>Artifact Creature — Bear Toy / Criatura Artefato — Brinquedo de Urso</t>
  </si>
  <si>
    <t>When Friendly Teddy dies, each player draws a card. / Quando Ursinho Amigável morre, cada jogador compra um card.</t>
  </si>
  <si>
    <t>Gleaming Barrier / Barreira Cintilante</t>
  </si>
  <si>
    <t>Defender. When this creature dies, create a Treasure token. (It's an artifact with “{T}, Sacrifice this token: Add one mana of any color.”) / Defensor. Quando esta criatura morre, crie uma ficha de Tesouro. (É um artefato com “{T}, Sacrifique esta ficha: Adicione um mana de qualquer cor.”)</t>
  </si>
  <si>
    <t>Foundations (FDN)</t>
  </si>
  <si>
    <t>Companheiro do Cartógrafo / Cartographer's Companion</t>
  </si>
  <si>
    <t>Artifact Creature — Gnome / Criatura Artefato — Gnomo</t>
  </si>
  <si>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</si>
  <si>
    <t>Zibelina de Bronze / Bronze Sable</t>
  </si>
  <si>
    <t>Artifact Creature — Sable / Criatura Artefato — Zibelina</t>
  </si>
  <si>
    <t>Not found / Não encontrada</t>
  </si>
  <si>
    <t>Gnomo-bússola / Compass Gnome</t>
  </si>
  <si>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</si>
  <si>
    <t>Primal Clay / Argila Primal</t>
  </si>
  <si>
    <t>Artifact Creature — Shapeshifter / Criatura Artefato — Metamorfo</t>
  </si>
  <si>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</si>
  <si>
    <t>Colosso Trovão de Aço / Thundersteel Colossus</t>
  </si>
  <si>
    <t>Artifact — Vehicle / Artefato — Veículo</t>
  </si>
  <si>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</si>
  <si>
    <t>Autorreplicante de Mishra / Mishra's Self-Replicator</t>
  </si>
  <si>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</si>
  <si>
    <t>Lente de Aumento / Magnifying Glass</t>
  </si>
  <si>
    <t>{T}: Add {C}. {4}, {T}: Investigate. (Create a Clue token. It's an artifact with “{2}, Sacrifice this artifact: Draw a card.”) / {T}: Adicione {C}. {4}, {T}: Investigue. (Crie uma ficha de Pista. Ela é um artefato com “{2}, Sacrifique este artefato: Compre um card”.)</t>
  </si>
  <si>
    <t>Murders at Karlov Manor (MKM)</t>
  </si>
  <si>
    <t>Pódio dos Heróis / Heroes' Podium</t>
  </si>
  <si>
    <t>Legendary Artifact / Artefato Lendário</t>
  </si>
  <si>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</si>
  <si>
    <t>Born of the Gods (BNG)</t>
  </si>
  <si>
    <t>Starforged Sword / Espada Forjada pelas Estrelas</t>
  </si>
  <si>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</si>
  <si>
    <t>Guardian Idol / Ídolo Guardião</t>
  </si>
  <si>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</si>
  <si>
    <t>Iconic Masters (IMA)</t>
  </si>
  <si>
    <t>Dizimador das Províncias / Decimator of the Provinces</t>
  </si>
  <si>
    <t>Creature — Eldrazi Boar / Criatura — Eldrazi Javali</t>
  </si>
  <si>
    <t>Mythic / Mítica</t>
  </si>
  <si>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</si>
  <si>
    <t>Carrot Cake / Bolo de Cenoura</t>
  </si>
  <si>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</si>
  <si>
    <t>White / Branca</t>
  </si>
  <si>
    <t>Until end of turn, colorless creatures you control gain “{T}: This creature deals damage equal to its power to target creature.” / Até o final do turno, as criaturas incolores que você controla ganham “{T}: Esta criatura causa dano igual a seu poder à criatura alvo.”</t>
  </si>
  <si>
    <t>Kitesail / Velepipa</t>
  </si>
  <si>
    <t>Equipped creature gets +1/+0 and has flying. Equip {2} (2: Attach to target creature you control. Equip only as a sorcery.) / A criatura equipada recebe +1/+0 e tem voar. Equipar {2} (2: Anexe à criatura alvo que você controla. Equipe apenas como um feitiço.)</t>
  </si>
  <si>
    <t>Thaumaton Torpedo / Torpedo Taumaton</t>
  </si>
  <si>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</si>
  <si>
    <t>Aether Drift (EOE)</t>
  </si>
  <si>
    <t>Quick-Draw Katana / Katana de Saque Rápido</t>
  </si>
  <si>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</si>
  <si>
    <t>Suprimentos de Reserva / Spare Supplies</t>
  </si>
  <si>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</si>
  <si>
    <t>Máquina do Tirano / Tyrant's Machine</t>
  </si>
  <si>
    <t>{4}, {T}: Tap target creature. / {4}, {T}: Vire a criatura alvo.</t>
  </si>
  <si>
    <t>Darksteel Pendant / Pingente de Aço Negro</t>
  </si>
  <si>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</si>
  <si>
    <t>Darksteel</t>
  </si>
  <si>
    <t>Osso-marreta / Bone-Scythe</t>
  </si>
  <si>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</si>
  <si>
    <t>Adventurous Eater / Devorador Aventureiro</t>
  </si>
  <si>
    <t>Creature — Human Warlock / Criatura — Humano Bruxo</t>
  </si>
  <si>
    <t>This creature enters prepared. (While it's prepared, you may cast a copy of its spell. Doing so unprepares it.) / Esta criatura entra preparada. (Enquanto ela estiver preparada, você pode conjurar uma cópia de sua mágica. Fazer isso a despara.)</t>
  </si>
  <si>
    <t>Shadows of Sothia (SOS)</t>
  </si>
  <si>
    <t>Burrog Banemaker / Criador de Maldições Burrog</t>
  </si>
  <si>
    <t>Creature — Frog Warlock / Criatura — Sapo Bruxo</t>
  </si>
  <si>
    <t>Deathtouch. {1}{B}: This creature gets +1/+1 until end of turn. / Toque mortífero. {1}{B}: Esta criatura recebe +1/+1 até o final do turno.</t>
  </si>
  <si>
    <t>End of the Hunt / Fim da Caçada</t>
  </si>
  <si>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</si>
  <si>
    <t>{1}{B}</t>
  </si>
  <si>
    <t>Masterful Flourish / Floreio Magistral</t>
  </si>
  <si>
    <t>Instant / Instantânea</t>
  </si>
  <si>
    <t>Target creature you control gets +1/+0 and gains indestructible until end of turn. (Damage and effects that say “destroy” don't destroy it.) / A criatura alvo que você controla recebe +1/+0 e ganha indestrutível até o final do turno. (Dano e efeitos que dizem “destruir” não a destroem.)</t>
  </si>
  <si>
    <t>Sneering Shadewriter / Escritor de Sombras Zombeteiro</t>
  </si>
  <si>
    <t>Creature — Vampire Warlock / Criatura — Vampiro Bruxo</t>
  </si>
  <si>
    <t>Flying. When this creature enters, each opponent loses 2 life and you gain 2 life. / Voar. Quando esta criatura entra, cada oponente perde 2 pontos de vida e você ganha 2 pontos de vida.</t>
  </si>
  <si>
    <t>{4}{B}</t>
  </si>
  <si>
    <t>Wander Off / Desviar-se</t>
  </si>
  <si>
    <t>Exile target creature. / Exile a criatura alvo.</t>
  </si>
  <si>
    <t>Additive Evolution / Evolução Aditiva</t>
  </si>
  <si>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</si>
  <si>
    <t>{3}{G}{G}</t>
  </si>
  <si>
    <t>Efflorescence / Florescência</t>
  </si>
  <si>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</si>
  <si>
    <t>{2}{G}</t>
  </si>
  <si>
    <t>Pestbrood Sloth / Preguiça da Ninhada de Pragas</t>
  </si>
  <si>
    <t>Creature — Plant Sloth / Criatura — Planta Preguiça</t>
  </si>
  <si>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</si>
  <si>
    <t>{3}{G}</t>
  </si>
  <si>
    <t>Topiary Lecturer / Conferencista de Topiaria</t>
  </si>
  <si>
    <t>Creature — Elf Druid / Criatura — Elfo Druida</t>
  </si>
  <si>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</si>
  <si>
    <t>Wild Hypothesis / Hipótese Selvagem</t>
  </si>
  <si>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</si>
  <si>
    <t>{X}{G}</t>
  </si>
  <si>
    <t>Environmental Scientist / Cientista Ambiental</t>
  </si>
  <si>
    <t>Creature — Human Druid / Criatura — Humano Druida</t>
  </si>
  <si>
    <t>When this creature enters, you may search your library for a basic land card, reveal it, put it into your hand, then shuffle. / Quando esta criatura entra, você pode procurar em seu grimório por um card de terreno básico, revelá-lo, colocá-lo em sua mão e, depois, embaralhar.</t>
  </si>
  <si>
    <t>Hungry Graffalon / Graffalon Faminto</t>
  </si>
  <si>
    <t>Creature — Giraffe / Criatura — Girafa</t>
  </si>
  <si>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</si>
  <si>
    <t>Noxious Newt / Tritão Nocivo</t>
  </si>
  <si>
    <t>Creature — Salamander / Criatura — Salamandra</t>
  </si>
  <si>
    <t>Deathtouch. {T}: Add {G}. / Toque mortífero. {T}: Adicione {G}.</t>
  </si>
  <si>
    <t>Matterbending Mage / Mago da Modelagem da Matéria</t>
  </si>
  <si>
    <t>Creature — Human Wizard / Criatura — Humano Mago</t>
  </si>
  <si>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</si>
  <si>
    <t>{2}{U}</t>
  </si>
  <si>
    <t>Muse's Encouragement / Incentivo da Musa</t>
  </si>
  <si>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</si>
  <si>
    <t>{4}{U}</t>
  </si>
  <si>
    <t>N/A</t>
  </si>
  <si>
    <t>Quick Study / Estudo Rápido</t>
  </si>
  <si>
    <t>Draw two cards. / Compre dois cards.</t>
  </si>
  <si>
    <t>Run Behind / Correr Atrás</t>
  </si>
  <si>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</si>
  <si>
    <t>{3}{U}</t>
  </si>
  <si>
    <t>Spellbook Seeker / Buscador de Grimórios</t>
  </si>
  <si>
    <t>Creature — Bird Wizard / Criatura — Ave Mago</t>
  </si>
  <si>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</si>
  <si>
    <t>Landscape Painter / Pintor de Paisagens</t>
  </si>
  <si>
    <t>Creature — Merfolk Wizard / Criatura — Tritão Mago</t>
  </si>
  <si>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</si>
  <si>
    <t>Chase Inspiration / Perseguir a Inspiração</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</si>
  <si>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</si>
  <si>
    <t>Encouraging Aviator / Aviador Encorajador</t>
  </si>
  <si>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</si>
  <si>
    <t>Hydro-Channeler / Canalizador Hidráulico</t>
  </si>
  <si>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</si>
  <si>
    <t>Expressive Firedancer / Dançarino de Fogo Expressivo</t>
  </si>
  <si>
    <t>Creature — Human Sorcerer / Criatura — Humano Feiticeiro</t>
  </si>
  <si>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</si>
  <si>
    <t>{1}{R}</t>
  </si>
  <si>
    <t>Ancestral Anger / Ira Ancestral</t>
  </si>
  <si>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</si>
  <si>
    <t>Duel Tactics / Táticas de Duelo</t>
  </si>
  <si>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</si>
  <si>
    <t>Strife Scholar / Erudito do Conflito</t>
  </si>
  <si>
    <t>Creature — Orc Sorcerer / Criatura — Orc Feiticeiro</t>
  </si>
  <si>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</si>
  <si>
    <t>{2}{R}</t>
  </si>
  <si>
    <t>Tome Blast / Explosão de Tomo</t>
  </si>
  <si>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</si>
  <si>
    <t>Unsubtle Mockery / Zombaria Pouco Sutil</t>
  </si>
  <si>
    <t>Unsubtle Mockery deals 4 damage to target creature. Surveil 1. (Look at the top card of your library. You may put it into your graveyard.) / Zombaria Pouco Sutil causa 4 de dano à criatura alvo. Vigiar 1. (Olhe o card do topo de seu grimório. Você pode colocá-lo em seu cemitério.)</t>
  </si>
  <si>
    <t>Zealous Lorecaster / Transmissor de Conhecimento Zeloso</t>
  </si>
  <si>
    <t>Creature — Giant Sorcerer / Criatura — Gigante Feiticeiro</t>
  </si>
  <si>
    <t>When this creature enters, return target instant or sorcery card from your graveyard to your hand. / Quando esta criatura entra, devolva o card de mágica instantânea ou de feitiço alvo de seu cemitério para sua mão.</t>
  </si>
  <si>
    <t>{5}{R}</t>
  </si>
  <si>
    <t>Living History / História Viva</t>
  </si>
  <si>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</si>
  <si>
    <t>Seize the Spoils / Aproveitar os Espólios</t>
  </si>
  <si>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</si>
  <si>
    <t>Garrison Excavator / Escavador da Guarnição</t>
  </si>
  <si>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</si>
  <si>
    <t>{3}{R}</t>
  </si>
  <si>
    <t>Goblin Glasswright / Vidreiro Goblin</t>
  </si>
  <si>
    <t>Creature — Goblin Sorcerer / Criatura — Goblin Feiticeiro</t>
  </si>
  <si>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</si>
  <si>
    <t>Agadeem Occultist / Ocultista de Agadeem</t>
  </si>
  <si>
    <t>Creature — Human Shaman Ally / Criatura — Humano Xamã Aliado</t>
  </si>
  <si>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</si>
  <si>
    <t>Worldwake (WWK)</t>
  </si>
  <si>
    <t>Feign Death / Simular Morte</t>
  </si>
  <si>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</si>
  <si>
    <t>Dungeons &amp; Dragons: Adventures in the Forgotten Realms (AFR)</t>
  </si>
  <si>
    <t>Bloodlord of Vaasgoth / Senhor Vampiro de Vaasgoth</t>
  </si>
  <si>
    <t>Creature — Vampire Warrior / Criatura — Vampiro Guerreiro</t>
  </si>
  <si>
    <t>Mythic Rare / Mítica Rara</t>
  </si>
  <si>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</si>
  <si>
    <t>{3}{B}{B}</t>
  </si>
  <si>
    <t>Sling-Gang Lieutenant / Tenente da Gangue Atiradeira</t>
  </si>
  <si>
    <t>Creature — Goblin / Criatura — Goblin</t>
  </si>
  <si>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</si>
  <si>
    <t>Modern Horizons (MH1)</t>
  </si>
  <si>
    <t>Hostile Negotiations / Negociações Hostis</t>
  </si>
  <si>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</si>
  <si>
    <t>A Guerra dos Irmãos</t>
  </si>
  <si>
    <t>Great Hall of the Citadel / Grande Salão da Cidadela</t>
  </si>
  <si>
    <t>{T}: Add {C}. {1}, {T}: Add two mana in any combination of colors. Spend this mana only to cast legendary spells. / {T}: Adicione {C}. {1}, {T}: Adicione dois manas em qualquer combinação de cores. Gaste este mana somente para conjurar mágicas lendárias.</t>
  </si>
  <si>
    <t>The Grey Havens / Os Portos Cinzentos</t>
  </si>
  <si>
    <t>Legendary Land / Terreno Lendário</t>
  </si>
  <si>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</si>
  <si>
    <t>Bilbo, Retired Burglar / Bilbo, Ladrão Aposentado</t>
  </si>
  <si>
    <t>Legendary Creature — Halfling Rogue / Criatura Lendária — Pequenino Ladino</t>
  </si>
  <si>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</si>
  <si>
    <t>{1}{U}{R}</t>
  </si>
  <si>
    <t>Mirror of Galadriel / Espelho de Galadriel</t>
  </si>
  <si>
    <t>{5}, {T}: Scry 1, then draw a card. This ability costs {1} less to activate for each legendary creature you control. / {5}, {T}: Use vidência 1, depois compre um card. Esta habilidade custa {1} a menos para ser ativada para cada criatura lendária que você controla.</t>
  </si>
  <si>
    <t>Friendly Rivalry / Rivalidade Amigável</t>
  </si>
  <si>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</si>
  <si>
    <t>{R}{G}</t>
  </si>
  <si>
    <t>Shadowfax, Lord of Horses / Scadufax, Senhor dos Cavalos</t>
  </si>
  <si>
    <t>Legendary Creature — Horse / Criatura Lendária — Cavalo</t>
  </si>
  <si>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</si>
  <si>
    <t>{3}{R}{W}</t>
  </si>
  <si>
    <t>Prince Imrahil the Fair / Príncipe Imrahil, o Belo</t>
  </si>
  <si>
    <t>Legendary Creature — Human Noble / Criatura Lendária — Humano Nobre</t>
  </si>
  <si>
    <t>Whenever you draw your second card each turn, create a 1/1 white Human Soldier creature token. / Toda vez que você comprar seu segundo card a cada turno, crie uma ficha de criatura Humano Soldado branca 1/1.</t>
  </si>
  <si>
    <t>Branco e Azul</t>
  </si>
  <si>
    <t>Stalwarts of Osgiliath / Destemidos de Osgiliath</t>
  </si>
  <si>
    <t>Creature — Human Soldier / Criatura — Humano Soldado</t>
  </si>
  <si>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</si>
  <si>
    <t>Squire of the King / Escudeiro do Rei</t>
  </si>
  <si>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</si>
  <si>
    <t>Nimble Hobbit / Hobbit Ágil</t>
  </si>
  <si>
    <t>Creature — Halfling Peasant / Criatura — Pequenino Plebeu</t>
  </si>
  <si>
    <t>Whenever Nimble Hobbit attacks, you may sacrifice a Food or pay {2}{W}. When you do, tap target creature an opponent controls. / Toda vez que Hobbit Ágil ataca, você pode sacrificar uma Comida ou pagar {2}{W}. Quando fizer isso, vire a criatura alvo que um oponente controla.</t>
  </si>
  <si>
    <t>Protector of Gondor / Protetor de Gondor</t>
  </si>
  <si>
    <t>When Protector of Gondor enters the battlefield, create a 1/1 white Human Soldier creature token. / Quando Protetor de Gondor entrar no campo de batalha, crie uma ficha de criatura Humano Soldado branca 1/1.</t>
  </si>
  <si>
    <t>Soldier of the Grey Host / Soldado da Hoste Cinzenta</t>
  </si>
  <si>
    <t>Creature — Spirit Soldier / Criatura — Espírito Soldado</t>
  </si>
  <si>
    <t>Flash. Flying. When Soldier of the Grey Host enters the battlefield, target creature gets +2/+0 until end of turn. / Lampejo. Voar. Quando Soldado da Hoste Cinzenta entra no campo de batalha, a criatura alvo recebe +2/+0 até o final do turno.</t>
  </si>
  <si>
    <t>Tale of Tinúviel / História de Tinúviel</t>
  </si>
  <si>
    <t>Enchantment — Saga / Encantamento — Saga</t>
  </si>
  <si>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</si>
  <si>
    <t>{3}{W}{W}</t>
  </si>
  <si>
    <t>Faramir, Field Commander / Faramir, Comandante de Campo</t>
  </si>
  <si>
    <t>Legendary Creature — Human Soldier / Criatura Lendária — Humano Soldado</t>
  </si>
  <si>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</si>
  <si>
    <t>Errand-Rider of Gondor / Estafeta de Gondor</t>
  </si>
  <si>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</si>
  <si>
    <t>Éowyn, Lady of Rohan / Éowyn, Senhora de Rohan</t>
  </si>
  <si>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</si>
  <si>
    <t>Bill the Pony / Bill, o Pônei</t>
  </si>
  <si>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</si>
  <si>
    <t>Rosie Cotton of South Lane / Rosa Villa da Alameda Sul</t>
  </si>
  <si>
    <t>Legendary Creature — Halfling Peasant / Criatura Lendária — Pequenino Plebeu</t>
  </si>
  <si>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</si>
  <si>
    <t>Samwise the Stouthearted / Samwise, o Destemido</t>
  </si>
  <si>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</si>
  <si>
    <t>Eagles of the North / Águias do Norte</t>
  </si>
  <si>
    <t>Creature — Bird Soldier / Criatura — Ave Soldado</t>
  </si>
  <si>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</si>
  <si>
    <t>{5}{W}</t>
  </si>
  <si>
    <t>Escape from Orthanc / Fuga de Orthanc</t>
  </si>
  <si>
    <t>Target creature gets +1/+3 and gains flying until end of turn. Untap it. / A criatura alvo recebe +1/+3 e ganha voar até o final do turno. Desvire-a.</t>
  </si>
  <si>
    <t>Landroval, Horizon Witness / Landroval, Testemunha do Horizonte</t>
  </si>
  <si>
    <t>Legendary Creature — Bird Noble / Criatura Lendária — Ave Nobre</t>
  </si>
  <si>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</si>
  <si>
    <t>Shire Shirriff / Condestável do Condado</t>
  </si>
  <si>
    <t>Creature — Halfling Soldier / Criatura — Pequenino Soldado</t>
  </si>
  <si>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</si>
  <si>
    <t>Nyxborn Hydra / Hidra Nyxnata</t>
  </si>
  <si>
    <t>Enchantment Creature — Hydra / Criatura Encantamento — Hidra</t>
  </si>
  <si>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</si>
  <si>
    <t>Modern Horizons 3 (MH3)</t>
  </si>
  <si>
    <t>Silvanus's Invoker / Invocador de Silvanus</t>
  </si>
  <si>
    <t>Creature — Dragon Druid / Criatura — Dragão Druida</t>
  </si>
  <si>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</si>
  <si>
    <t>Tilling Treefolk / Ent Lavrador</t>
  </si>
  <si>
    <t>Creature — Treefolk Druid / Criatura — Ent Druida</t>
  </si>
  <si>
    <t>When Tilling Treefolk enters the battlefield, you may return up to two target land cards from your graveyard to your hand. / Quando Ent Lavrador entra em jogo, você pode devolver para a sua mão até dois cards de terreno alvo de seu cemitério.</t>
  </si>
  <si>
    <t>Eventide (EVE)</t>
  </si>
  <si>
    <t>Sidewinder Naga / Naga Cascavélico</t>
  </si>
  <si>
    <t>Creature — Naga Warrior / Criatura — Naga Guerreiro</t>
  </si>
  <si>
    <t>As long as you control a Desert or there is a Desert card in your graveyard, Sidewinder Naga gets +1/+0 and has trample. / Enquanto você controla um Deserto ou há um card de Deserto em seu cemitério, Naga Cascavélico recebe +1/+0 e tem atropelar.</t>
  </si>
  <si>
    <t>Hour of Devastation (HOU)</t>
  </si>
  <si>
    <t>Wolfbitten Captive / Prisioneiro Mordido</t>
  </si>
  <si>
    <t>Creature — Human Werewolf / Criatura — Humano Lobisomem</t>
  </si>
  <si>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</si>
  <si>
    <t>Dark Ascension (DKA)</t>
  </si>
  <si>
    <t>Oashra Cultivator / Cultivadora de Oashra</t>
  </si>
  <si>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</si>
  <si>
    <t>Amonkhet (AKH)</t>
  </si>
  <si>
    <t>Skarrgan Pit-Skulk / Esguio do Fosso Skarrgan</t>
  </si>
  <si>
    <t>Creature — Human Warrior / Criatura — Humano Guerreiro</t>
  </si>
  <si>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</si>
  <si>
    <t>Guildpact (GPT)</t>
  </si>
  <si>
    <t>Timberland Guide / Guia das Matas</t>
  </si>
  <si>
    <t>Creature — Human Scout / Criatura — Humano Batedor</t>
  </si>
  <si>
    <t>When Timberland Guide enters the battlefield, put a +1/+1 counter on target creature. / Quando Guia das Matas entrar no campo de batalha, coloque um marcador +1/+1 na criatura alvo.</t>
  </si>
  <si>
    <t>Graypelt Hunter / Caçador de Pele-Cinza</t>
  </si>
  <si>
    <t>Creature — Human Warrior Ally / Criatura — Humano Guerreiro Aliado</t>
  </si>
  <si>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</si>
  <si>
    <t>Eternal Witness / Testemunha Eterna</t>
  </si>
  <si>
    <t>Creature — Human Shaman / Criatura — Humano Xamã</t>
  </si>
  <si>
    <t>When Eternal Witness enters the battlefield, you may return target card from your graveyard to your hand. / Quando Testemunha Eterna entrar no campo de batalha, você pode devolver o card alvo de seu cemitério para a sua mão.</t>
  </si>
  <si>
    <t>{1}{G}{G}</t>
  </si>
  <si>
    <t>30th Anniversary Promos (PRM)</t>
  </si>
  <si>
    <t>Arborback Stomper / Pisoteador Dorsoverde</t>
  </si>
  <si>
    <t>Creature — Beast / Criatura — Besta</t>
  </si>
  <si>
    <t>Trample. When Arborback Stomper enters the battlefield, you gain 5 life. / Atropelar. Quando Pisoteador Dorsoverde entra no campo de batalha, você ganha 5 pontos de vida.</t>
  </si>
  <si>
    <t>Nest Invader / Invasor do Ninho</t>
  </si>
  <si>
    <t>Creature — Eldrazi Drone / Criatura — Zangão Eldrazi</t>
  </si>
  <si>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</si>
  <si>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</si>
  <si>
    <t>Planechase Anthology (PCA)</t>
  </si>
  <si>
    <t>Servant of the Scale / Servo da Escama</t>
  </si>
  <si>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</si>
  <si>
    <t>Dragons of Tarkir (DTK)</t>
  </si>
  <si>
    <t>Colossapede / Colossópode</t>
  </si>
  <si>
    <t>Creature — Insect / Criatura — Inseto</t>
  </si>
  <si>
    <t>{4}{G}</t>
  </si>
  <si>
    <t>Gatebreaker Ram / Carneiro Quebra-portões</t>
  </si>
  <si>
    <t>Creature — Sheep / Criatura — Ovelha</t>
  </si>
  <si>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</si>
  <si>
    <t>Colossal Dreadmaw / Bocarra Sinistra Colossal</t>
  </si>
  <si>
    <t>Creature — Dinosaur / Criatura — Dinossauro</t>
  </si>
  <si>
    <t>Trample. / Atropelar.</t>
  </si>
  <si>
    <t>{4}{G}{G}</t>
  </si>
  <si>
    <t>Rivals of Ixalan (RIX)</t>
  </si>
  <si>
    <t>Promised Kannushi / Kannushi Prometido</t>
  </si>
  <si>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</si>
  <si>
    <t>Betrayers of Kamigawa (BOK)</t>
  </si>
  <si>
    <t>Elturgard Ranger / Guardiã de Elturgard</t>
  </si>
  <si>
    <t>Creature — Human Elf Ranger / Criatura — Humano Elfo Guardião</t>
  </si>
  <si>
    <t>Reach. When Elturgard Ranger enters the battlefield, create a 2/2 green Wolf creature token. / Alcance. Quando Guardiã de Elturgard entrar no campo de batalha, crie uma ficha de criatura Lobo verde 2/2.</t>
  </si>
  <si>
    <t>Jukai Preserver / Preservadora Jukai</t>
  </si>
  <si>
    <t>Enchantment Creature — Human Druid / Criatura Encantamento — Humano Druida</t>
  </si>
  <si>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</si>
  <si>
    <t>Smoke Teller / Vidente da Fumaça</t>
  </si>
  <si>
    <t>{1}{U}: Look at target face-down creature. / {1}{U}: Olhe a criatura alvo voltada para baixo.</t>
  </si>
  <si>
    <t>Shigeki's Gambit / Presa de Shigeki</t>
  </si>
  <si>
    <t>Enchantment Creature — Snake Ninja / Criatura Encantamento — Cobra Ninja</t>
  </si>
  <si>
    <t>Deathtouch / Toque mortífero</t>
  </si>
  <si>
    <t>Spore Crawler / Rastejante dos Esporos</t>
  </si>
  <si>
    <t>Creature — Fungus / Criatura — Fungo</t>
  </si>
  <si>
    <t>When Spore Crawler dies, draw a card. / Quando Rastejante dos Esporos morrer, compre um card.</t>
  </si>
  <si>
    <t>Dawnhart Rejuvenator / Rejuvenescedora Cervo da Aurora</t>
  </si>
  <si>
    <t>When Dawnhart Rejuvenator enters the battlefield, you gain 3 life. {T}: Add one mana of any color. / Quando Rejuvenescedora Cervo da Aurora entrar no campo de batalha, você ganha 3 pontos de vida. {T}: Adicione um mana de qualquer cor.</t>
  </si>
  <si>
    <t>Vorstclaw / Garra Voraz</t>
  </si>
  <si>
    <t>Creature — Elemental Horror / Criatura — Elemental Horror</t>
  </si>
  <si>
    <t>Sylvan Ranger / Guardiã das Matas</t>
  </si>
  <si>
    <t>Creature — Elf Scout / Criatura — Elfo Batedor</t>
  </si>
  <si>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</si>
  <si>
    <t>Magic 2011 (M11)</t>
  </si>
  <si>
    <t>Rampant Growth / Crescimento Desenfreado</t>
  </si>
  <si>
    <t>Search your library for a basic land card, put it onto the battlefield tapped, then shuffle. / Procure um card de terreno básico em seu grimório, coloque-o no campo de batalha virado e depois embaralhe.</t>
  </si>
  <si>
    <t>Nature's Claim / Reivindicação de Natureza</t>
  </si>
  <si>
    <t>Destroy target artifact or enchantment. Its controller gains 4 life. / Destrua o artefato ou encantamento alvo. O controlador dele ganha 4 pontos de vida.</t>
  </si>
  <si>
    <t>Modern Masters 2017 (MM3)</t>
  </si>
  <si>
    <t>Sylvan Safekeeper / Guardião da Floresta</t>
  </si>
  <si>
    <t>{0}, Sacrifice a land: Target creature you control gains shroud until end of turn. / {0}, Sacrifique um terreno: A criatura alvo que você controla ganha manto até o final do turno.</t>
  </si>
  <si>
    <t>Centaur Battlemaster / Centauro Mestre da Espada</t>
  </si>
  <si>
    <t>Creature — Centaur Warrior / Criatura — Centauro Guerreiro</t>
  </si>
  <si>
    <t>{G}{G}</t>
  </si>
  <si>
    <t>Journey into Nyx (JOU)</t>
  </si>
  <si>
    <t>Almighty Brushwagg / Tojo Todo-poderoso</t>
  </si>
  <si>
    <t>Creature — Brushwagg / Criatura — Tojo</t>
  </si>
  <si>
    <t>Trample. {3}{G}: Almighty Brushwagg gets +3/+3 until end of turn. / Atropelar. {3}{G}: Tojo Todo-poderoso recebe +3/+3 até o final do turno.</t>
  </si>
  <si>
    <t>Ikoria: Lair of Behemoths (IKO)</t>
  </si>
  <si>
    <t>Centaur Courser / Centaura-caçadora</t>
  </si>
  <si>
    <t>Core Set 2019 (M19)</t>
  </si>
  <si>
    <t>Awakened Amalgam / Despertadora das Forças Selvagens</t>
  </si>
  <si>
    <t>Creature — Merfolk Shaman / Criatura — Tritão Xamã</t>
  </si>
  <si>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</si>
  <si>
    <t>{2}{G}{G}</t>
  </si>
  <si>
    <t>Ixalan (XLN)</t>
  </si>
  <si>
    <t>District Guide / Guia do Distrito</t>
  </si>
  <si>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</si>
  <si>
    <t>Llanowar Ranger / Guarda-florestal de Llanowar</t>
  </si>
  <si>
    <t>{1}{G}, {T}: Search your library for a basic land card, put it onto the battlefield tapped, then shuffle. / {1}{G}, {T}: Procure um card de terreno básico em seu grimório, coloque-o no campo de batalha virado e depois embaralhe seu grimório.</t>
  </si>
  <si>
    <t>Inspiring Bard / Bardo Inspirador</t>
  </si>
  <si>
    <t>Creature — Elf Bard / Criatura — Elfo Bardo</t>
  </si>
  <si>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</si>
  <si>
    <t>Briarpack Alpha / Alfa da Alcateia dos Espinhos</t>
  </si>
  <si>
    <t>Creature — Wolf / Criatura — Lobo</t>
  </si>
  <si>
    <t>Flash. When Briarpack Alpha enters the battlefield, target creature gets +2/+2 until end of turn. / Lampejo. Quando Alfa da Alcateia dos Espinhos entra no campo de batalha, a criatura alvo recebe +2/+2 até o final do turno.</t>
  </si>
  <si>
    <t>Avacyn Restored (AVR)</t>
  </si>
  <si>
    <t>Reckless Amplimancer / Amplimante Temerário</t>
  </si>
  <si>
    <t>{4}{G}: Double the power and toughness of Reckless Amplimancer until end of turn. / {4}{G}: Dobre o poder e a resistência de Amplimante Temerário até o final do turno.</t>
  </si>
  <si>
    <t>Orochi Sustainer / Orochi Chama-Folhas</t>
  </si>
  <si>
    <t>Creature — Snake Shaman</t>
  </si>
  <si>
    <t>{T}: Add {G} to your mana pool.</t>
  </si>
  <si>
    <t>Champions of Kamigawa (CHK)</t>
  </si>
  <si>
    <t>Track Down / Atiradora do Céu Aberto</t>
  </si>
  <si>
    <t>Creature — Elf Archer / Criatura — Elfo Arqueiro</t>
  </si>
  <si>
    <t>Reach. {2}{G}: Atiradora do Céu Aberto deals 1 damage to target creature with flying. / Alcance. {2}{G}: Atiradora do Céu Aberto causa 1 ponto de dano à criatura alvo com voar.</t>
  </si>
  <si>
    <t>Core Set 2021 (M21)</t>
  </si>
  <si>
    <t>Hungry Spriggan / Spriggan Faminto</t>
  </si>
  <si>
    <t>Creature — Goblin Warrior / Criatura — Goblin Guerreiro</t>
  </si>
  <si>
    <t>Trample. Whenever Hungry Spriggan attacks, it gets +3/+3 until end of turn. / Atropelar. Toda vez que Spriggan Faminto ataca, ele recebe +3/+3 até o final do turno.</t>
  </si>
  <si>
    <t>Wood Elves / Elfos da Floresta</t>
  </si>
  <si>
    <t>When Wood Elves comes into play, search your library for a Forest card and put that card into play. Then shuffle your library. / Quando Elfos da Floresta entra em jogo, procure um card de Floresta em seu grimório e coloque-o em jogo. Depois, embaralhe seu grimório.</t>
  </si>
  <si>
    <t>Commander 2014 (C14)</t>
  </si>
  <si>
    <t>Dwynen's Elite</t>
  </si>
  <si>
    <t>Creature — Elf Warrior</t>
  </si>
  <si>
    <t>When this creature enters, if you control another Elf, create a 1/1 green Elf Warrior creature token.</t>
  </si>
  <si>
    <t>Loathsome Troll / Trol Odioso</t>
  </si>
  <si>
    <t>Creature — Troll / Criatura — Trol</t>
  </si>
  <si>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</si>
  <si>
    <t>Head of the Homestead</t>
  </si>
  <si>
    <t>Creature — Rabbit Citizen</t>
  </si>
  <si>
    <t>When Head of the Homestead enters, create two 1/1 white Rabbit creature tokens.</t>
  </si>
  <si>
    <t>{3}{G}{W}</t>
  </si>
  <si>
    <t>Verde/Branco</t>
  </si>
  <si>
    <t>Peema Aether-Seer / Eteromante de Peema</t>
  </si>
  <si>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</si>
  <si>
    <t>Aether Revolt (AER)</t>
  </si>
  <si>
    <t>Jaddi Offshoot</t>
  </si>
  <si>
    <t>Creature — Plant</t>
  </si>
  <si>
    <t>Defender. Landfall — Whenever a land enters the battlefield under your control, you gain 1 life.</t>
  </si>
  <si>
    <t>Scythe Leopard</t>
  </si>
  <si>
    <t>Landfall — Whenever a land enters the battlefield under your control, Scythe Leopard gets +1/+1 until end of turn.</t>
  </si>
  <si>
    <t>Sky Crier / Serralheira dos Arranha-céus</t>
  </si>
  <si>
    <t>Creature — Elf Citizen / Criatura — Elfo Cidadão</t>
  </si>
  <si>
    <t>Reach. Whenever Sky Crier blocks a creature with flying, it gets +2/+0 until end of turn. / Alcance. Toda vez que Serralheira dos Arranha-céus bloqueia uma criatura com voar, Serralheira dos Arranha-céus recebe +2/+0 até o final do turno.</t>
  </si>
  <si>
    <t>Skarrg Goliath / Golias de Skarrg</t>
  </si>
  <si>
    <t>Trample. Bloodrush — {5}{G}{G}, Discard Skarrg Goliath: Target attacking creature gets +9/+9 and gains trample until end of turn. / Atropelar. Impulso sanguinário — {5}{G}{G}, Descarte Golias de Skarrg: A criatura atacante alvo recebe +9/+9 e ganha atropelar até o final do turno.</t>
  </si>
  <si>
    <t>{6}{G}{G}</t>
  </si>
  <si>
    <t>Lys Alana Informant</t>
  </si>
  <si>
    <t>Creature — Elf Scout</t>
  </si>
  <si>
    <t>When this creature enters or dies, surveil 1. (Look at the top card of your library. You may put it into your graveyard.)</t>
  </si>
  <si>
    <t>Aetherclash (Lorwyn Eclipsed (ECL))</t>
  </si>
  <si>
    <t>Heroes' Bane / Perdição dos Heróis</t>
  </si>
  <si>
    <t>Creature — Hydra / Criatura — Hidra</t>
  </si>
  <si>
    <t>Heroes' Bane enters the battlefield with four +1/+1 counters on it. {2}{G}{G}: Put X +1/+1 counters on Heroes' Bane, where X is its power. / Perdição dos Heróis entra no campo de batalha com quatro marcadores +1/+1. {2}{G}{G}: Coloque X marcadores +1/+1 em Perdição dos Heróis, sendo X seu poder.</t>
  </si>
  <si>
    <t>Bloom Hulk / Druida do Pólen Brilhante</t>
  </si>
  <si>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</si>
  <si>
    <t>War of the Spark (WAR)</t>
  </si>
  <si>
    <t>Geothermal Kami / Kami Geotérmico</t>
  </si>
  <si>
    <t>Creature — Spirit / Criatura — Espírito</t>
  </si>
  <si>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</si>
  <si>
    <t>Elvish Rejuvenator / Rejuvenescedor Élfico</t>
  </si>
  <si>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</si>
  <si>
    <t>Rust-Shield Rampager</t>
  </si>
  <si>
    <t>Creature — Raccoon Warrior</t>
  </si>
  <si>
    <t>Offspring 2 (You may pay an additional 2 as you cast this spell. If you do, when this creature enters, create a 1/1 token copy of it.) This creature can't be blocked by creatures with power 2 or less.</t>
  </si>
  <si>
    <t>Fungus Sliver</t>
  </si>
  <si>
    <t>Creature — Fungus Sliver</t>
  </si>
  <si>
    <t>All Slivers have "Whenever this creature is dealt damage, put a +1/+1 counter on it." (The damage is dealt before the counter is put on.)</t>
  </si>
  <si>
    <t>Time Spiral (TSP)</t>
  </si>
  <si>
    <t>Orochi Ranger</t>
  </si>
  <si>
    <t>Creature — Snake Warrior</t>
  </si>
  <si>
    <t>Whenever Orochi Ranger deals combat damage to a creature, tap that creature and it doesn't untap during its controller's next untap step.</t>
  </si>
  <si>
    <t>Ascendant Packleader / Líder de Alcateia em Ascensão</t>
  </si>
  <si>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</si>
  <si>
    <t>Villagers of Estwald / Aldeões de Estwald</t>
  </si>
  <si>
    <t>At the beginning of each upkeep, if no spells were cast last turn, transform Villagers of Estwald. / No início de cada manutenção, se nenhuma mágica tiver sido conjurada no último turno, transforme Aldeões de Estwald.</t>
  </si>
  <si>
    <t>Rumbling Baloth</t>
  </si>
  <si>
    <t>Creature — Beast</t>
  </si>
  <si>
    <t>Magic 2014 (M14)</t>
  </si>
  <si>
    <t>Saruli Caretaker / Guardiã de Saruli</t>
  </si>
  <si>
    <t>Creature — Dryad / Criatura — Dríade</t>
  </si>
  <si>
    <t>Defender. {T}, Tap an untapped creature you control: Add one mana of any color. / Defensor. {T}, vire uma criatura desvirada que você controla: Adicione um mana de qualquer cor.</t>
  </si>
  <si>
    <t>Bulette / Bulete</t>
  </si>
  <si>
    <t>At the beginning of your end step, if a creature died this turn, put a +1/+1 counter on Bulette. / No início de sua etapa final, se uma criatura tiver morrido neste turno, coloque um marcador +1/+1 em Bulete.</t>
  </si>
  <si>
    <t>Spirit of the Aldergard / Espírito de Aldergard</t>
  </si>
  <si>
    <t>Snow Creature — Bear Spirit / Criatura da Neve — Urso Espírito</t>
  </si>
  <si>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</si>
  <si>
    <t>Kaldheim (KHM)</t>
  </si>
  <si>
    <t>Topiary Stomper / Pisoteador de Topiaria</t>
  </si>
  <si>
    <t>Creature — Plant Dinosaur / Criatura — Planta Dinossauro</t>
  </si>
  <si>
    <t>Rare / Raro</t>
  </si>
  <si>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</si>
  <si>
    <t>Vivien's Grizzly / Urso Pardo de Vivien</t>
  </si>
  <si>
    <t>Creature — Bear Spirit / Criatura — Urso Espírito</t>
  </si>
  <si>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</si>
  <si>
    <t>Tunnel Tipster / Informante dos Túneis</t>
  </si>
  <si>
    <t>Creature — Mole Scout / Criatura — Toupeira Batedor</t>
  </si>
  <si>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</si>
  <si>
    <t>Beanstalk Giant / Gigante do Pé de Feijão</t>
  </si>
  <si>
    <t>Creature — Giant / Criatura — Gigante</t>
  </si>
  <si>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</si>
  <si>
    <t>{6}{G}</t>
  </si>
  <si>
    <t>Orochi Leafcaller / Invocador de Folhas Orochi</t>
  </si>
  <si>
    <t>Creature — Snake Shaman / Criatura — Cobra Xamã</t>
  </si>
  <si>
    <t>{G}: Add one mana of any color to your mana pool. / {G}: Adicione um mana de qualquer cor à sua reserva de mana.</t>
  </si>
  <si>
    <t>Spawnwrithe / Serpentóide</t>
  </si>
  <si>
    <t>Creature — Elemental / Criatura — Elemental</t>
  </si>
  <si>
    <t>Trample. Whenever Spawnwrithe deals combat damage to a player, put a token into play that's a copy of Spawnwrithe. / Atropelar. Toda vez que Serpentóide causar dano de combate a um jogador, coloque em jogo uma ficha que seja uma cópia de Serpentóide.</t>
  </si>
  <si>
    <t>Deeproot Warrior / Guerreiro de Raiz Profunda</t>
  </si>
  <si>
    <t>Creature — Merfolk Warrior / Criatura — Tritão Guerreiro</t>
  </si>
  <si>
    <t>Whenever Deeproot Warrior becomes blocked, it gets +1/+1 until end of turn. / Toda vez que Guerreiro de Raiz Profunda é bloqueado, ele recebe +1/+1 até o final do turno.</t>
  </si>
  <si>
    <t>Blanchwood Prowler / Espreitador de Blanchwood</t>
  </si>
  <si>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</si>
  <si>
    <t>Witch's Web / Teia da Bruxa</t>
  </si>
  <si>
    <t>Target creature gets +3/+3 and gains reach until end of turn. Untap it. / A criatura alvo recebe +3/+3 e ganha alcance até o final do turno. Desvire-a.</t>
  </si>
  <si>
    <t>Gift of Strength / Dádiva da Força</t>
  </si>
  <si>
    <t>Target creature gets +3/+3 and gains reach until end of turn. / A criatura alvo recebe +3/+3 e ganha alcance até o final do turno.</t>
  </si>
  <si>
    <t>Natural End / Fim Natural</t>
  </si>
  <si>
    <t>Destroy target artifact or enchantment. You gain 3 life. / Destrua o artefato ou encantamento alvo. Você ganha 3 pontos de vida.</t>
  </si>
  <si>
    <t>Riveteers Overlook / Mirante dos Rebiteiros</t>
  </si>
  <si>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</si>
  <si>
    <t>Omen of the Hunt / Augúrio da Caça</t>
  </si>
  <si>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</si>
  <si>
    <t>Spider Umbra / Sombra de Aranha</t>
  </si>
  <si>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</si>
  <si>
    <t>Rise of the Eldrazi (ROE)</t>
  </si>
  <si>
    <t>Tall as a Beanstalk / Alto como um Pé de Feijão</t>
  </si>
  <si>
    <t>Enchant creature. Enchanted creature gets +3/+3, has reach, and is a Giant in addition to its other types. / Encantar criatura. A criatura encantada recebe +3/+3, tem alcance e é um Gigante além de seus outros tipos.</t>
  </si>
  <si>
    <t>Glorious Sunrise / Nascer do Sol Glorioso</t>
  </si>
  <si>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</si>
  <si>
    <t>Shield of the Oversoul / Escudo da Alma Suprema</t>
  </si>
  <si>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</si>
  <si>
    <t>{2}{G/W}</t>
  </si>
  <si>
    <t>Verde e Branco</t>
  </si>
  <si>
    <t>Viridian Revel / Diversão Viridiana</t>
  </si>
  <si>
    <t>Whenever an artifact is put into an opponent's graveyard from the battlefield, you may draw a card. / Toda vez que um artefato for colocado no cemitério de um oponente vindo do campo de batalha, você poderá comprar um card.</t>
  </si>
  <si>
    <t>Scars of Mirrodin (SOM)</t>
  </si>
  <si>
    <t>Song of Freyalise / Canção de Freyalise</t>
  </si>
  <si>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</si>
  <si>
    <t>Follow the Lumarets / Siga os Lumaretes</t>
  </si>
  <si>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</si>
  <si>
    <t xml:space="preserve">Secrets of Strixhaven </t>
  </si>
  <si>
    <t>Rise of the Tumbleweeds / Ascensão do Arbusto Rolante</t>
  </si>
  <si>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</si>
  <si>
    <t>Take Down / Abater</t>
  </si>
  <si>
    <t>Choose one — • Take Down deals 4 damage to target creature with flying. • Take Down deals 1 damage to each creature with flying. / Escolha um — • Abater causa 4 pontos de corpo de dano à criatura alvo com voar. • Abater causa 1 ponto de dano a cada criatura com voar.</t>
  </si>
  <si>
    <t>Sylvan Scrying / Auspício Silvestre</t>
  </si>
  <si>
    <t>Search your library for a land card, reveal it, and put it into your hand. Then shuffle. / Procure um card de terreno em seu grimório, revele-o e coloque-o em sua mão. Depois, embaralhe seu grimório.</t>
  </si>
  <si>
    <t>Maestros Theater / Teatro dos Maestros</t>
  </si>
  <si>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</si>
  <si>
    <t>Gaea's Gift / Presente de Gaia</t>
  </si>
  <si>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</si>
  <si>
    <t>Overwhelming Stampede / Estouro Avassalador</t>
  </si>
  <si>
    <t>Until end of turn, creatures you control gain trample and get +X/+X, where X is the greatest power among creatures you control. / Até o final do turno, as criaturas que você controla ganham atropelar e recebem +X/+X, onde X é o maior poder entre as criaturas que você controla.</t>
  </si>
  <si>
    <t>Mortuary Mire / Lodaçal Mortuário</t>
  </si>
  <si>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</si>
  <si>
    <t>Smoldering Wastes / Desolação Fumegante</t>
  </si>
  <si>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</si>
  <si>
    <t>Warhammer 40,000 (40K)</t>
  </si>
  <si>
    <t>Evolving Wilds / Terras em Desenvolvimento</t>
  </si>
  <si>
    <t>{T}, Sacrifice Evolving Wilds: Search your library for a basic land card, put it onto the battlefield tapped, then shuffle. / {T}, sacrifique Terras em Desenvolvimento: Procure um card de terreno básico em seu grimório, coloque-o no campo de batalha virado e depois embaralhe.</t>
  </si>
  <si>
    <t>Rugged Highlands / Planalto Acidentado</t>
  </si>
  <si>
    <t>Rugged Highlands enters the battlefield tapped. When Rugged Highlands enters the battlefield, you gain 1 life. {T}: Add {R} or {G}. / Planalto Acidentado entra no campo de batalha virado. Quando Planalto Acidentado entra no campo de batalha, você ganha 1 ponto de vida. {T}: Adicione {R} ou {G}.</t>
  </si>
  <si>
    <t>Kazandu Refuge / Refúgio de Kazandu</t>
  </si>
  <si>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</si>
  <si>
    <t>Commander 2011 (CMD)</t>
  </si>
  <si>
    <t>Graypelt Refuge / Refúgio de Pele Cinzenta</t>
  </si>
  <si>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</si>
  <si>
    <t>{T}, Sacrifice Evolving Wilds: Search your library for a basic land card, put it onto the battlefield tapped,</t>
  </si>
  <si>
    <t>Portão da Guilda Simic</t>
  </si>
  <si>
    <t>Blossoming Sands enters the battlefield tapped. When Blossoming Sands enters the battlefield, you gain 1 life. {T}: Add {G} or {W}. / Arenas Florescentes entra no campo de batalha virado. Quando Arenas Florescentes entra no campo de batalha, você ganha 1 ponto de vida. {T}: Adicione {G} ou {W}.</t>
  </si>
  <si>
    <t>Portão da Guilda Rakdos</t>
  </si>
  <si>
    <t>Gateway Plaza / Praça do Portão</t>
  </si>
  <si>
    <t>Land — Gate / Terreno — Portão</t>
  </si>
  <si>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</si>
  <si>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</si>
  <si>
    <t>Commander 2015 (C15)</t>
  </si>
  <si>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</si>
  <si>
    <t>Zoetic Cavern / Caverna Zoética</t>
  </si>
  <si>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</si>
  <si>
    <t>Turntimber Ranger / Patrulheiro de Virapau</t>
  </si>
  <si>
    <t>Creature — Elf Scout Ally / Criatura — Elfo Batedor Aliado</t>
  </si>
  <si>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</si>
  <si>
    <t>Zendikar (ZEN)</t>
  </si>
  <si>
    <t>Kozilek's Sentinel / Sentinela de Kozilek</t>
  </si>
  <si>
    <t>Creature — Eldrazi Drone / Criatura — Eldrazi Zangão</t>
  </si>
  <si>
    <t>Devoid (This card has no color.) Whenever you cast a colorless spell, Kozilek's Sentinel gets +1/+0 until end of turn. / Desprovido (Este card não tem cor.) Toda vez que você conjura uma mágica incolor, Sentinela de Kozilek recebe +1/+0 até o final do turno.</t>
  </si>
  <si>
    <t>Battle Cry Goblin / Goblin do Grito de Guerra</t>
  </si>
  <si>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</si>
  <si>
    <t>Thunderous Wrath / Ira Trovejante</t>
  </si>
  <si>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</si>
  <si>
    <t>{4}{R}</t>
  </si>
  <si>
    <t>Meteor Mace / Maça Meteórica</t>
  </si>
  <si>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</si>
  <si>
    <t>{4}{R}{R}</t>
  </si>
  <si>
    <t>Bedlam Reveler / Folião do Caos</t>
  </si>
  <si>
    <t>Creature — Devil Horror / Criatura — Diabo Horror</t>
  </si>
  <si>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</si>
  <si>
    <t>{6}{R}{R}</t>
  </si>
  <si>
    <t>Pyroclasm / Piroclasma</t>
  </si>
  <si>
    <t>Pyroclasm deals 2 damage to each creature. / Piroclasma causa 2 de dano a cada criatura.</t>
  </si>
  <si>
    <t>Kazuul Warlord / Comandante Kazuul</t>
  </si>
  <si>
    <t>Creature — Minotaur Warrior Ally / Criatura — Minotauro Guerreiro Aliado</t>
  </si>
  <si>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</si>
  <si>
    <t>Fiery Impulse / Impulso Flamejante</t>
  </si>
  <si>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</si>
  <si>
    <t>Magic Origins (ORI)</t>
  </si>
  <si>
    <t>Warlord's Fury / Fúria da Senhora da Guerra</t>
  </si>
  <si>
    <t>Creatures you control gain first strike until end of turn. Draw a card. / As criaturas que você controla ganham iniciativa até o final do turno. Compre um card.</t>
  </si>
  <si>
    <t>Crash Through / Irromper</t>
  </si>
  <si>
    <t>Creatures you control gain trample until end of turn. Draw a card. / As criaturas que você controla ganham atropelar até o final do turno. Compre um card.</t>
  </si>
  <si>
    <t>Tormenting Voice / Voz Atormentadora</t>
  </si>
  <si>
    <t>As an additional cost to cast this spell, discard a card. Draw two cards. / Como custo adicional para conjurar esta mágica, descarte um card. Compre dois cards.</t>
  </si>
  <si>
    <t xml:space="preserve">Renascer de Zendikar </t>
  </si>
  <si>
    <t>Goblin Dark-Dwellers / Umbrígeos Goblins</t>
  </si>
  <si>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</si>
  <si>
    <t>{3}{R}{R}</t>
  </si>
  <si>
    <t>Pack Guardian / Alfas Reunidos</t>
  </si>
  <si>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</si>
  <si>
    <t>Ib Halfheart, Goblin Tactician / Ib Meio-coração, Tático Goblin</t>
  </si>
  <si>
    <t>Legendary Creature — Goblin Advisor / Criatura Lendária — Goblin Conselheiro</t>
  </si>
  <si>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</si>
  <si>
    <t>Voracious Dragon / Dragão Voraz</t>
  </si>
  <si>
    <t>Creature — Dragon / Criatura — Dragão</t>
  </si>
  <si>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</si>
  <si>
    <t>Magic 2010 (M10)</t>
  </si>
  <si>
    <t>Siege-Gang Commander / Comandante do Grupo de Cerco</t>
  </si>
  <si>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</si>
  <si>
    <t>Goblin Ringleader / Líder da Gangue Goblin</t>
  </si>
  <si>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</si>
  <si>
    <t>Magic 2020 (M20)</t>
  </si>
  <si>
    <t>Silvergill Mentor</t>
  </si>
  <si>
    <t>Creature — Merfolk Wizard</t>
  </si>
  <si>
    <t>As an additional cost to cast this spell, behold a Merfolk or pay {2}. (To behold a Merfolk, choose a Merfolk you control or reveal a Merfolk card from your hand.) When this creature enters, create a 1/1 white and blue Merfolk creature token.</t>
  </si>
  <si>
    <t>Lorwyn Eclipsed (ECL)</t>
  </si>
  <si>
    <t>Sear</t>
  </si>
  <si>
    <t>Sear deals 4 damage to target creature or planeswalker.</t>
  </si>
  <si>
    <t>Bark of Doran</t>
  </si>
  <si>
    <t>Equipped creature gets +0/+1. As long as equipped creature's toughness is greater than its power, it assigns combat damage equal to its toughness rather than its power. Equip {1} ({1}: Attach to target creature you control. Equip only as a sorcery.)</t>
  </si>
  <si>
    <t>Champion of the Path</t>
  </si>
  <si>
    <t>Creature — Elemental Sorcerer</t>
  </si>
  <si>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</si>
  <si>
    <t>Tweeze</t>
  </si>
  <si>
    <t>Tweeze deals 3 damage to any target. You may discard a card. If you do, draw a card.</t>
  </si>
  <si>
    <t>Disruptor of Currents</t>
  </si>
  <si>
    <t>Flash. Convoke (Your creatures can help cast this spell. Each creature you tap while casting this spell pays for {1} or one mana of that creature's color.) When this creature enters, return up to one other target nonland permanent to its owner's hand.</t>
  </si>
  <si>
    <t>{3}{U}{U}</t>
  </si>
  <si>
    <t>Glamer Gifter</t>
  </si>
  <si>
    <t>Creature — Faerie Wizard</t>
  </si>
  <si>
    <t>Flash. Flying. When this creature enters, choose up to one other target creature. Until end of turn, that creature has base power and toughness 4/4 and gains all creature types.</t>
  </si>
  <si>
    <t>Chomping Changeling</t>
  </si>
  <si>
    <t>Creature — Shapeshifter</t>
  </si>
  <si>
    <t>Changeling (This card is every creature type.) When this creature enters, destroy up to one target artifact or enchantment.</t>
  </si>
  <si>
    <t>Virulent Emissary</t>
  </si>
  <si>
    <t>Creature — Elf Assassin</t>
  </si>
  <si>
    <t>Rare (Promo)</t>
  </si>
  <si>
    <t>Deathtouch. Whenever another creature you control enters, you gain 1 life.</t>
  </si>
  <si>
    <t>Lorwyn Eclipsed (ECL) (Promo)</t>
  </si>
  <si>
    <t>Gilt-Leaf's Embrace</t>
  </si>
  <si>
    <t>Enchantment — Aura</t>
  </si>
  <si>
    <t>Flash. Enchant creature. When this Aura enters, enchanted creature gains trample and indestructible until end of turn. Enchanted creature gets +2/+0.</t>
  </si>
  <si>
    <t>Dawnhand Eulogist</t>
  </si>
  <si>
    <t>Creature — Elf Warlock</t>
  </si>
  <si>
    <t>Menace. When this creature enters, mill three cards. Then if there is an Elf card in your graveyard, each opponent loses 2 life and you gain 2 life.</t>
  </si>
  <si>
    <t>Blighted Pretothorn</t>
  </si>
  <si>
    <t>Creature — Treefolk Warlock</t>
  </si>
  <si>
    <t>Whenever this creature enters or attacks, you may blight 2. If you do, you draw a card and lose 1 life. (To blight 2, put two -1/-1 counters on a creature you control.)</t>
  </si>
  <si>
    <t>Champion of the Weird</t>
  </si>
  <si>
    <t>Creature — Goblin Berserker</t>
  </si>
  <si>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</si>
  <si>
    <t>Emboscador Mukotai / Mukotai Ambush</t>
  </si>
  <si>
    <t>Creature — Rat Ninja / Criatura Artefato — Rato Ninja</t>
  </si>
  <si>
    <t>Ninjutsu {1}{B}, Lifelink / Ninjutsu {1}{B}, Vínculo com a vida</t>
  </si>
  <si>
    <t>Gerador de Carniçais / Ghoulraiser</t>
  </si>
  <si>
    <t>Criatura — Zumbi / Creature — Zombie</t>
  </si>
  <si>
    <t>Quando Gerador de Carniçais entrar no campo de batalha, devolva um card de Zumbi de seu cemitério para sua mão aleatoriamente. / When Ghoulraiser enters the battlefield, return a Zombie card from your graveyard to your hand at random.</t>
  </si>
  <si>
    <t>{1}{B}{B}</t>
  </si>
  <si>
    <t>Coveiro / Gravedigger</t>
  </si>
  <si>
    <t>Incomum / Uncommon</t>
  </si>
  <si>
    <t>Quando Coveiro entra no campo de batalha, você pode devolver o card de criatura alvo de seu cemitério para sua mão. / When Gravedigger enters the battlefield, you may return target creature card from your graveyard to your hand.</t>
  </si>
  <si>
    <t>Core Set 2015 (M15)</t>
  </si>
  <si>
    <t>Despojar Alma / Ultimate Price</t>
  </si>
  <si>
    <t>Feitiço / Sorcery</t>
  </si>
  <si>
    <t>Destrua a criatura alvo com poder igual ou inferior a 3. / Destroy target creature with power 3 or less.</t>
  </si>
  <si>
    <t>Vampiro de Guul Draz / Guul Draz Vampire</t>
  </si>
  <si>
    <t>Criatura — Vampiro Ladino / Creature — Vampire Rogue</t>
  </si>
  <si>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</si>
  <si>
    <t>Xu-Ifit, Osteoharmonist</t>
  </si>
  <si>
    <t>Legendary Creature — Human Wizard</t>
  </si>
  <si>
    <t>{T}: Return target creature card from your graveyard to the battlefield. It's a Skeleton in addition to its other types and has no abilities. Activate only as a sorcery.</t>
  </si>
  <si>
    <t>EOE</t>
  </si>
  <si>
    <t>Diplomacia ao Fio da Espada / Razaketh's Rite</t>
  </si>
  <si>
    <t>Rara / Rare</t>
  </si>
  <si>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</si>
  <si>
    <t>Fatia de Sombra / Shadow Slice</t>
  </si>
  <si>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</si>
  <si>
    <t>Liliana's Specter</t>
  </si>
  <si>
    <t>Creature — Specter</t>
  </si>
  <si>
    <t>Flying. When Liliana's Specter enters the battlefield, each opponent discards a card.</t>
  </si>
  <si>
    <t>Espírito Pestilento / Pestilent Spirit</t>
  </si>
  <si>
    <t>Criatura — Espírito / Creature — Spirit</t>
  </si>
  <si>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</si>
  <si>
    <t>Disfigure / Desfigurar</t>
  </si>
  <si>
    <t>Target creature gets -2/-2 until end of turn.</t>
  </si>
  <si>
    <t>Korrigan do Lago / Lake Paladin</t>
  </si>
  <si>
    <t>{U}: Korrigan do Lago recebe +1/+1 até o final do turno. / {U}: Lake Paladin gets +1/+1 until end of turn.</t>
  </si>
  <si>
    <t>Shimmercreep</t>
  </si>
  <si>
    <t>Creature — Elemental</t>
  </si>
  <si>
    <t>Menace. Vivid — When this creature enters, each opponent loses X life and you gain X life, where X is the number of colors among permanents you control.</t>
  </si>
  <si>
    <t>Retched Wretch</t>
  </si>
  <si>
    <t>Creature — Goblin</t>
  </si>
  <si>
    <t>When this creature dies, if it had a -1/-1 counter on it, return it to the battlefield under its owner's control and it loses all abilities.</t>
  </si>
  <si>
    <t>Perfect Intimidation</t>
  </si>
  <si>
    <t>Choose one or both — Target opponent exiles two cards from their hand. Remove all counters from target creature.</t>
  </si>
  <si>
    <t>Heirloom Auntie</t>
  </si>
  <si>
    <t>Creature — Goblin Warlock</t>
  </si>
  <si>
    <t>This creature enters with two -1/-1 counters on it. Whenever another creature you control dies, surveil 1, then remove a -1/-1 counter from this creature. (To surveil 1, look at the top card of your library. You may put it into your graveyard.)</t>
  </si>
  <si>
    <t>Gutsplitter Gang</t>
  </si>
  <si>
    <t>At the beginning of your first main phase, you may blight 2. If you don't, you lose 3 life. (To blight 2, put two -1/-1 counters on a creature you control.)</t>
  </si>
  <si>
    <t>Graveshifter</t>
  </si>
  <si>
    <t>Changeling (This card is every creature type.) When this creature enters, you may return target creature card from your graveyard to your hand.</t>
  </si>
  <si>
    <t>Gnarlbark Elm</t>
  </si>
  <si>
    <t>This creature enters with two -1/-1 counters on it. {2}{B}, Remove two counters from this creature: Target creature gets -2/-2 until end of turn. Activate only as a sorcery.</t>
  </si>
  <si>
    <t>Scarblade Scout</t>
  </si>
  <si>
    <t>Lifelink. When this creature enters, mill two cards. (Put the top two cards of your library into your graveyard.)</t>
  </si>
  <si>
    <t>Unbury</t>
  </si>
  <si>
    <t>Choose one — Return target creature card from your graveyard to your hand. Return two target creature cards that share a creature type from your graveyard to your hand.</t>
  </si>
  <si>
    <t>Barbed Bloodletter</t>
  </si>
  <si>
    <t>Flash. When this Equipment enters, attach it to target creature you control. That creature gains wither until end of turn. (It deals damage to creatures in the form of -1/-1 counters.) Equipped creature gets +1/+2. Equip {2}</t>
  </si>
  <si>
    <t>Auntie's Sentence</t>
  </si>
  <si>
    <t>Choose one — Target opponent reveals their hand. You choose a nonland permanent card from it. That player discards that card. Target creature gets -2/-2 until end of turn.</t>
  </si>
  <si>
    <t>Dream Seizer</t>
  </si>
  <si>
    <t>Creature — Faerie Rogue</t>
  </si>
  <si>
    <t>Flying. When this creature enters, you may blight 1. If you do, each opponent discards a card. (To blight 1, put a -1/-1 counter on a creature you control.)</t>
  </si>
  <si>
    <t>Moonglove Extractor</t>
  </si>
  <si>
    <t>Whenever this creature attacks, you draw a card and lose 1 life.</t>
  </si>
  <si>
    <t>Boggart Prankster</t>
  </si>
  <si>
    <t>Creature — Goblin Warrior</t>
  </si>
  <si>
    <t>Whenever you attack, target attacking Goblin you control gets +1/+0 until end of turn.</t>
  </si>
  <si>
    <t>Thoughtweft Charge</t>
  </si>
  <si>
    <t>Target creature gets +3/+3 until end of turn. If a creature entered the battlefield under your control this turn, draw a card.</t>
  </si>
  <si>
    <t>Tend the Sprigs</t>
  </si>
  <si>
    <t>Search your library for a basic land card, put it onto the battlefield tapped, then shuffle. Then if you control seven or more lands and/or Treefolk, create a 3/4 green Treefolk creature token with reach. (It can block creatures with flying.)</t>
  </si>
  <si>
    <t>Safewright Cavalry</t>
  </si>
  <si>
    <t>This creature can't be blocked by more than one creature. {5}: Target Elf you control gets +2/+2 until end of turn.</t>
  </si>
  <si>
    <t>Pummeler for Hire</t>
  </si>
  <si>
    <t>Creature — Giant Mercenary</t>
  </si>
  <si>
    <t>Vigilance, reach. Ward {2} (Whenever this creature becomes the target of a spell or ability an opponent controls, counter it unless that player pays {2}.) When this creature enters, you gain X life, where X is the greatest power among Giants you control.</t>
  </si>
  <si>
    <t>Mistmeadow Council</t>
  </si>
  <si>
    <t>Creature — Kithkin Advisor</t>
  </si>
  <si>
    <t>This spell costs {1} less to cast if you control a Kithkin. When this creature enters, draw a card.</t>
  </si>
  <si>
    <t>Assert Perfection</t>
  </si>
  <si>
    <t>Target creature you control gets +1/+0 until end of turn. It deals damage equal to its power to up to one target creature an opponent controls.</t>
  </si>
  <si>
    <t>Dawn's Light Archer</t>
  </si>
  <si>
    <t>Creature — Elf Archer</t>
  </si>
  <si>
    <t>Flash. Reach.</t>
  </si>
  <si>
    <t>Silvergill Peddler</t>
  </si>
  <si>
    <t>Creature — Merfolk Citizen</t>
  </si>
  <si>
    <t>Whenever this creature becomes tapped, draw a card, then discard a card.</t>
  </si>
  <si>
    <t>Rimekin Recluse</t>
  </si>
  <si>
    <t>Creature — Elemental Wizard</t>
  </si>
  <si>
    <t>When this creature enters, return up to one other target creature to its owner's hand.</t>
  </si>
  <si>
    <t>Omni-Changeling</t>
  </si>
  <si>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</si>
  <si>
    <t>Illusion Spinners</t>
  </si>
  <si>
    <t>You may cast this spell as though it had flash if you control a Faerie. Flying. This creature has hexproof as long as it's untapped. (It can't be the target of spells or abilities your opponents control.)</t>
  </si>
  <si>
    <t>Glamermite</t>
  </si>
  <si>
    <t>Flash. Flying. When this creature enters, choose one — Tap target creature. Untap target creature.</t>
  </si>
  <si>
    <t>Unwelcome Sprite</t>
  </si>
  <si>
    <t>Flying. Whenever you cast a spell during an opponent's turn, surveil 2. (Look at the top two cards of your library. You may put any number of them into your graveyard and the rest on top of your library in any order.)</t>
  </si>
  <si>
    <t>Aquitect's Defenses</t>
  </si>
  <si>
    <t>Flash. Enchant creature you control. When this Aura enters, enchanted creature gains hexproof until end of turn. (It can't be the target of spells or abilities your opponents control.) Enchanted creature gets +1/+2.</t>
  </si>
  <si>
    <t>Stratosoarer</t>
  </si>
  <si>
    <t>Flying. When this creature enters, target creature gains flying until end of turn. Basic landcycling {1}{U} ({1}{U}, Discard this card: Search your library for a basic land card, reveal it, put it into your hand, then shuffle.)</t>
  </si>
  <si>
    <t>Número da Broca / Drill Bit</t>
  </si>
  <si>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</si>
  <si>
    <t>Grito do Carnarium / Cry of the Carnarium</t>
  </si>
  <si>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</si>
  <si>
    <t>Vampiro de Guul Draz</t>
  </si>
  <si>
    <t>Criatura — Vampiro Ladino</t>
  </si>
  <si>
    <t>Enquanto um oponente tiver 10 ou menos pontos de vida, Vampiro de Guul Draz receberá +2/+1 e terá intimidar. (Ele só pode ser bloqueado por criaturas artefato e/ou criaturas que compartilhem uma cor com ele.)</t>
  </si>
  <si>
    <t>WWK</t>
  </si>
  <si>
    <t>Fada Macabra / Faerie Macabre</t>
  </si>
  <si>
    <t>Criatura — Fada Ladino / Creature — Faerie Rogue</t>
  </si>
  <si>
    <t>Voar. Descarte Fada Macabra: Remova do jogo até dois cards alvo em cemitérios. / Flying. Discard Faerie Macabre: Exile up to two target cards from graveyards.</t>
  </si>
  <si>
    <t>Aphetto Dredging</t>
  </si>
  <si>
    <t>Return up to three target creature cards of the creature type of your choice from your graveyard to your hand.</t>
  </si>
  <si>
    <t>Onslaught (ONS)</t>
  </si>
  <si>
    <t>Arnyn, Deathbloom Botanist</t>
  </si>
  <si>
    <t>Legendary Creature — Vampire Druid</t>
  </si>
  <si>
    <t>Deathtouch. Whenever a creature you control with power or toughness 1 or less dies, target opponent loses 2 life and you gain 2 life.</t>
  </si>
  <si>
    <t>SOS</t>
  </si>
  <si>
    <t>Alpharael, Stonechosen</t>
  </si>
  <si>
    <t>Legendary Creature — Human Cleric</t>
  </si>
  <si>
    <t>Mythic</t>
  </si>
  <si>
    <t>Ward—Discard a card at random. Void — Whenever Alpharael attacks, if a nonland permanent left the battlefield this turn or a spell was warped this turn, defending player loses half their life, rounded up.</t>
  </si>
  <si>
    <t>Zombie Musher</t>
  </si>
  <si>
    <t>Snow Creature — Zombie</t>
  </si>
  <si>
    <t>Snow landwalk. {S}: Regenerate Zombie Musher. ({S} can be paid with one mana from a snow permanent.)</t>
  </si>
  <si>
    <t>Preto / Black</t>
  </si>
  <si>
    <t>Coldsnap (CSP)</t>
  </si>
  <si>
    <t>Habitante das Covas Traiçoeiro / Treacherous Pit-Dweller</t>
  </si>
  <si>
    <t>Criatura — Demônio / Creature — Demon</t>
  </si>
  <si>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</si>
  <si>
    <t>{B}{B}</t>
  </si>
  <si>
    <t>Toque de Luvalua / Touch of Moonglove</t>
  </si>
  <si>
    <t>Mágica Instantânea / Instant</t>
  </si>
  <si>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</si>
  <si>
    <t>Talho das Sombras / Deadly Derision</t>
  </si>
  <si>
    <t>Esta mágica não pode ser anulada. A criatura alvo recebe -X/-X até o final do turno. / This spell can't be countered. Target creature gets -X/-X until end of turn.</t>
  </si>
  <si>
    <t>Dusk Legion Zealot</t>
  </si>
  <si>
    <t>Creature — Vampire Soldier</t>
  </si>
  <si>
    <t>When Dusk Legion Zealot enters the battlefield, you draw a card and you lose 1 life.</t>
  </si>
  <si>
    <t>Black</t>
  </si>
  <si>
    <t>Leia os Ossos / Read the Bones</t>
  </si>
  <si>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</si>
  <si>
    <t>Murder</t>
  </si>
  <si>
    <t>Destroy target creature.</t>
  </si>
  <si>
    <t>Distress</t>
  </si>
  <si>
    <t>Target player reveals his or her hand. You choose a nonland card from it. That player discards that card.</t>
  </si>
  <si>
    <t>Roubar um Pedaço / Thief of Blood</t>
  </si>
  <si>
    <t>Feitiço Tribal — Ladino / Tribal Sorcery — Rogue</t>
  </si>
  <si>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</si>
  <si>
    <t>Mal Imortal / Undying Evil</t>
  </si>
  <si>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</si>
  <si>
    <t>Cura de Fárica / Pharika's Cure</t>
  </si>
  <si>
    <t>Cura de Fárica causa 2 pontos de dano à criatura alvo e você ganha 2 pontos de vida. / Pharika's Cure deals 2 damage to target creature and you gain 2 life.</t>
  </si>
  <si>
    <t>Theros (THS)</t>
  </si>
  <si>
    <t>Tonel-mãe Phyrexiano / Phyrexian Vatmother</t>
  </si>
  <si>
    <t>Criatura — Horror / Creature — Horror</t>
  </si>
  <si>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</si>
  <si>
    <t>Mirrodin Besieged (MBS)</t>
  </si>
  <si>
    <t>Ajuda Improvável / Unlikely Aid</t>
  </si>
  <si>
    <t>A criatura alvo recebe +2/+0 e ganha indestrutível até o final do turno. (O dano e os efeitos que dizem "destrua" não a destroem.) / Target creature gets +2/+0 and gains indestructible until end of turn. (Damage and effects that say "destroy" don't destroy it.)</t>
  </si>
  <si>
    <t>Vigia do Mercado Noturno / Night Market Lookout</t>
  </si>
  <si>
    <t>Criatura — Humano Ladino / Creature — Human Rogue</t>
  </si>
  <si>
    <t>Toda vez que Vigia do Mercado Noturno é virado, cada oponente perde 1 ponto de vida e você ganha 1 ponto de vida. / Whenever Night Market Lookout becomes tapped, each opponent loses 1 life and you gain 1 life.</t>
  </si>
  <si>
    <t>De Volta da Extinção / Return from Extinction</t>
  </si>
  <si>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</si>
  <si>
    <t>Victim of Night</t>
  </si>
  <si>
    <t>Destroy target non-Vampire, non-Werewolf, non-Zombie creature.</t>
  </si>
  <si>
    <t>Duel Decks: Blessed vs. Cursed (DDG)</t>
  </si>
  <si>
    <t>Vampiro de Sengir / Sengir Vampire</t>
  </si>
  <si>
    <t>Criatura — Vampiro / Creature — Vampire</t>
  </si>
  <si>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</si>
  <si>
    <t xml:space="preserve">Welcome Deck 2016 </t>
  </si>
  <si>
    <t>Sanitarium Skeleton</t>
  </si>
  <si>
    <t>Creature — Skeleton</t>
  </si>
  <si>
    <t>{2}{B}: Return Sanitarium Skeleton from your graveyard to your hand.</t>
  </si>
  <si>
    <t>Coagir / Duress</t>
  </si>
  <si>
    <t>O oponente alvo revela a própria mão. Você escolhe um card que não seja um terreno nem uma criatura da mão dele. Aquele jogador descarta aquele card. / Target opponent reveals their hand. You choose a nonland, noncreature card from it. That player discards that card.</t>
  </si>
  <si>
    <t>Core Set 2014 (M14)</t>
  </si>
  <si>
    <t>Core Set 2013 (M13)</t>
  </si>
  <si>
    <t>Gato Preto / Black Cat</t>
  </si>
  <si>
    <t>Criatura — Zumbi Felino / Creature — Zombie Cat</t>
  </si>
  <si>
    <t>Quando Gato Preto morre, o oponente alvo descarta um card aleatoriamente. / When Black Cat dies, target opponent discards a card at random.</t>
  </si>
  <si>
    <t>Familiar de Nightscape / Nightscape Familiar</t>
  </si>
  <si>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</si>
  <si>
    <t>Dominaria Remastered (DMR)</t>
  </si>
  <si>
    <t>Creature — Zombie</t>
  </si>
  <si>
    <t>Blue spells and red spells you cast cost {1} less to cast. {1}{B}: Regenerate Nightscape Familiar.</t>
  </si>
  <si>
    <t>Duel Decks: Ajani vs. Nicol Bolas</t>
  </si>
  <si>
    <t>Esqueleto do Casarão / Manor Skeleton</t>
  </si>
  <si>
    <t>Criatura — Esqueleto / Creature — Skeleton</t>
  </si>
  <si>
    <t>Ímpeto {1}{B}: Regenere Esqueleto do Casarão. / Haste {1}{B}: Regenerate Manor Skeleton.</t>
  </si>
  <si>
    <t>Gnawing Zombie</t>
  </si>
  <si>
    <t>{1}{B}, Sacrifice a creature: Target player loses 1 life and you gain 1 life.</t>
  </si>
  <si>
    <t>Mark of the Vampire</t>
  </si>
  <si>
    <t>Enchant creature. Enchanted creature gets +2/+2 and has lifelink.</t>
  </si>
  <si>
    <t>Diplomacia ao Fio da Espada / Sword-Point Diplomacy</t>
  </si>
  <si>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</si>
  <si>
    <t>Memoricídio / Memoricide</t>
  </si>
  <si>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</si>
  <si>
    <t>Gonti, Senhor da Opulência / Gonti, Lord of Luxury</t>
  </si>
  <si>
    <t>Criatura Lendária — Etergênito Ladino / Legendary Creature — Aetherborn Rogue</t>
  </si>
  <si>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</si>
  <si>
    <t>Adventures in the Forgotten Realms Commander (AFC)</t>
  </si>
  <si>
    <t>Macar, Rei do Toque Maldito / King Macar, the Gold-Cursed</t>
  </si>
  <si>
    <t>Criatura Lendária — Humano / Legendary Creature — Human</t>
  </si>
  <si>
    <t>Inspirado — Toda vez que Macar, Rei do Toque Maldito, é desvirado, você pode exilar a criatura alvo. Se fizer isso, coloque uma ficha de artefato incolor com o nome Ouro no campo de batalha. Ela tem “Sacrifique este artefato: Adicione um mana de qualquer cor a sua reserva de mana.” / Inspired — Whenever King Macar, the Gold-Cursed becomes untapped, you may exile target creature. If you do, create a colorless artifact token named Gold with “Sacrifice this artifact: Add one mana of any color to your mana pool.”</t>
  </si>
  <si>
    <t>Torgaar, Penúria Incarnada / Torgaar, Famine Incarnate</t>
  </si>
  <si>
    <t>Criatura Lendária — Avatar / Legendary Creature — Avatar</t>
  </si>
  <si>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</si>
  <si>
    <t>{6}{B}{B}</t>
  </si>
  <si>
    <t>Village Rites</t>
  </si>
  <si>
    <t>As an additional cost to cast this spell, sacrifice a creature. Draw two cards.</t>
  </si>
  <si>
    <t>Innistrad Remastered (INR)</t>
  </si>
  <si>
    <t>Exsanguinate</t>
  </si>
  <si>
    <t>Each opponent loses X life. You gain life equal to the life lost this way.</t>
  </si>
  <si>
    <t>{X}{B}{B}</t>
  </si>
  <si>
    <t>Summit Sentinel</t>
  </si>
  <si>
    <t>Creature — Elemental Soldier</t>
  </si>
  <si>
    <t>When this creature dies, draw a card.</t>
  </si>
  <si>
    <t>Blue</t>
  </si>
  <si>
    <t>Temporal Cleansing / Limpeza Temporal</t>
  </si>
  <si>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</si>
  <si>
    <t>Azul / Blue</t>
  </si>
  <si>
    <t>Blossombind</t>
  </si>
  <si>
    <t>Enchant creature. When this Aura enters, tap enchanted creature. Enchanted creature can't become untapped and can't have counters put on it.</t>
  </si>
  <si>
    <t>Thirst for Identity</t>
  </si>
  <si>
    <t>Draw three cards. Then discard two cards unless you discard a creature card.</t>
  </si>
  <si>
    <t>Wanderbrine Preacher</t>
  </si>
  <si>
    <t>Creature — Merfolk Cleric</t>
  </si>
  <si>
    <t>Whenever this creature becomes tapped, you gain 2 life.</t>
  </si>
  <si>
    <t>Tributary Vaulter</t>
  </si>
  <si>
    <t>Flying. Whenever this creature becomes tapped, another target Merfolk you control gets +2/+0 until end of turn.</t>
  </si>
  <si>
    <t>Chitinous Graspling</t>
  </si>
  <si>
    <t>Changeling (This card is every creature type.) Reach.</t>
  </si>
  <si>
    <t>{3}{G/U}</t>
  </si>
  <si>
    <t>Green/Blue</t>
  </si>
  <si>
    <t>Reckless Ransacking</t>
  </si>
  <si>
    <t>Target creature gets +3/+2 until end of turn. Create a Treasure token. (It's an artifact with "{T}, Sacrifice this token: Add one mana of any color.")</t>
  </si>
  <si>
    <t>Red</t>
  </si>
  <si>
    <t>Lasting Tarfire</t>
  </si>
  <si>
    <t>At the beginning of each end step, if you put a counter on a creature this turn, this enchantment deals 2 damage to each opponent.</t>
  </si>
  <si>
    <t>Soulbright Seeker</t>
  </si>
  <si>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</si>
  <si>
    <t>Kulrath Zealot</t>
  </si>
  <si>
    <t>Creature — Elemental Warrior</t>
  </si>
  <si>
    <t>When this creature enters, exile the top card of your library. Until the end of your next turn, you may play that card. Basic landcycling {1}{R} ({1}{R}, Discard this card: Search your library for a basic land card, reveal it, put it into your hand, then shuffle.)</t>
  </si>
  <si>
    <t>Feed the Flames</t>
  </si>
  <si>
    <t>Feed the Flames deals 5 damage to target creature. If that creature would die this turn, exile it instead.</t>
  </si>
  <si>
    <t>Flame-Chain Mauler</t>
  </si>
  <si>
    <t>{1}{R}: This creature gets +1/+0 and gains menace until end of turn. (It can't be blocked except by two or more creatures.)</t>
  </si>
  <si>
    <t>Boneclub Berserker</t>
  </si>
  <si>
    <t>This creature gets +2/+0 for each other Goblin you control.</t>
  </si>
  <si>
    <t>Goblin Heelcutter / Goblin Corta-calcanhar</t>
  </si>
  <si>
    <t>Creature — Goblin Berserker / Criatura — Goblin Amoque</t>
  </si>
  <si>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</si>
  <si>
    <t>Fate Reforged (FRF)</t>
  </si>
  <si>
    <t>Elder Auntie</t>
  </si>
  <si>
    <t>When this creature enters, create a 1/1 black and red Goblin creature token.</t>
  </si>
  <si>
    <t>Flamekin Gildweaver</t>
  </si>
  <si>
    <t>Trample When this creature enters, create a Treasure token. (It's an artifact with "{T}, Sacrifice this token: Add one mana of any color.")</t>
  </si>
  <si>
    <t>Gristle Glutton</t>
  </si>
  <si>
    <t>Creature — Goblin Scout</t>
  </si>
  <si>
    <t>{T}, Blight 1: Discard a card. If you do, draw a card. (To blight 1, put a -1/-1 counter on a creature you control.)</t>
  </si>
  <si>
    <t>Impolite Entrance</t>
  </si>
  <si>
    <t>Target creature gains trample and haste until end of turn. Draw a card.</t>
  </si>
  <si>
    <t>Sizzling Changeling</t>
  </si>
  <si>
    <t>Changeling (This card is every creature type.) When this creature dies, exile the top card of your library. Until the end of your next turn, you may play that card.</t>
  </si>
  <si>
    <t>Brigid's Command</t>
  </si>
  <si>
    <t>Kindred Sorcery — Kithkin</t>
  </si>
  <si>
    <t>Choose two — • Create a token that's a copy of target Kithkin you control. • Target player creates a 1/1 green and white Kithkin creature token. • Target creature you control gets +3/+3 until end of turn. • Target creature you control fights target creature an opponent controls.</t>
  </si>
  <si>
    <t>{1}{G}{W}</t>
  </si>
  <si>
    <t>Verde, Branco</t>
  </si>
  <si>
    <t>Fanatical Firebrand / Instigador Fanático</t>
  </si>
  <si>
    <t>Creature — Goblin Pirate / Criatura — Goblin Pirata</t>
  </si>
  <si>
    <t>Haste (This creature can attack and {T} as soon as it comes under your control.) {T}, Sacrifice this creature: It deals 1 damage to any target. / Ímpeto {T}, sacrifique Instigador Fanático: Ele causa 1 ponto de dano à criatura ou ao jogador alvo.</t>
  </si>
  <si>
    <t>Boggart Cursecrafter</t>
  </si>
  <si>
    <t>Deathtouch Whenever another Goblin you control dies, this creature deals 1 damage to each opponent.</t>
  </si>
  <si>
    <t>Preto, Vermelho</t>
  </si>
  <si>
    <t>Chaos Spewer</t>
  </si>
  <si>
    <t>When this creature enters, you may pay {2}. If you don't, blight 2. (To blight 2, put two -1/-1 counters on a creature you control.)</t>
  </si>
  <si>
    <t>{2}{B/R}</t>
  </si>
  <si>
    <t>Wildvine Pummeler</t>
  </si>
  <si>
    <t>Creature — Giant Berserker</t>
  </si>
  <si>
    <t>Vivid — This spell costs {1} less to cast for each color among permanents you control. Reach, trample</t>
  </si>
  <si>
    <t>Unforgiving Aim</t>
  </si>
  <si>
    <t>Choose one — • Destroy target creature with flying. • Destroy target enchantment. • Create a 2/2 black and green Elf creature token.</t>
  </si>
  <si>
    <t>Reluctant Dounguard</t>
  </si>
  <si>
    <t>Creature — Kithkin Soldier</t>
  </si>
  <si>
    <t>This creature enters with two -1/-1 counters on it. Whenever another creature you control enters while this creature has a -1/-1 counter on it, remove a -1/-1 counter from this creature.</t>
  </si>
  <si>
    <t>Protective Response</t>
  </si>
  <si>
    <t>Convoke (Your creatures can help cast this spell. Each creature you tap while casting this spell pays for {1} or one mana of that creature's color.) Destroy target attacking or blocking creature.</t>
  </si>
  <si>
    <t>Pyrrhic Strike</t>
  </si>
  <si>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</si>
  <si>
    <t>Personify</t>
  </si>
  <si>
    <t>Exile target creature you control, then return that card to the battlefield under its owner's control. Create a 1/1 colorless Shapeshifter creature token with changeling. (It's every creature type.)</t>
  </si>
  <si>
    <t>Moonlit Lamenter</t>
  </si>
  <si>
    <t>Creature — Treefolk Cleric</t>
  </si>
  <si>
    <t>This creature enters with a -1/-1 counter on it. {1}{W}, Remove a counter from this creature: Draw a card. Activate only as a sorcery.</t>
  </si>
  <si>
    <t>Kinsbaile Aspirant</t>
  </si>
  <si>
    <t>Creature — Kithkin Citizen</t>
  </si>
  <si>
    <t>As an additional cost to cast this spell, behold a Kithkin or pay {2}. (To behold a Kithkin, choose a Kithkin you control or reveal a Kithkin card from your hand.) Whenever another creature you control enters, this creature gets +1/+1 until end of turn.</t>
  </si>
  <si>
    <t>Gallant Fowlknight</t>
  </si>
  <si>
    <t>Creature — Kithkin Knight</t>
  </si>
  <si>
    <t>When this creature enters, creatures you control get +1/+0 until end of turn. Kithkin creatures you control also gain first strike until end of turn.</t>
  </si>
  <si>
    <t>Crib Swap / Troca de Berço</t>
  </si>
  <si>
    <t>Kindred Instant — Shapeshifter / Mágica Instantânea Tribal — Metamorfo</t>
  </si>
  <si>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</si>
  <si>
    <t>Encumbered Reejerey</t>
  </si>
  <si>
    <t>Creature — Merfolk Soldier</t>
  </si>
  <si>
    <t>This creature enters with three -1/-1 counters on it. Whenever this creature becomes tapped while it has a -1/-1 counter on it, remove a -1/-1 counter from it.</t>
  </si>
  <si>
    <t>Appeal to Eirdu</t>
  </si>
  <si>
    <t>Convoke (Your creatures can help cast this spell. Each creature you tap while casting this spell pays for {1} or one mana of that creature's color.) One or two target creatures each get +2/+1 until end of turn.</t>
  </si>
  <si>
    <t>Changeling (This card is every creature type.) Reach</t>
  </si>
  <si>
    <t>Verde, Azul</t>
  </si>
  <si>
    <t>Thoughtweft Imbuer</t>
  </si>
  <si>
    <t>Whenever a creature you control attacks alone, it gets +X/+X until end of turn, where X is the number of Kithkin you control.</t>
  </si>
  <si>
    <t>0/5</t>
  </si>
  <si>
    <t>Shore Lurker</t>
  </si>
  <si>
    <t>Creature — Merfolk Scout</t>
  </si>
  <si>
    <t>Flying When this creature enters, surveil 1. (Look at the top card of your library. You may put it into your graveyard.)</t>
  </si>
  <si>
    <t>Dawn-Blessed Pennant</t>
  </si>
  <si>
    <t>As this artifact enters, choose Elemental, Elf, Faerie, Giant, Goblin, Kithkin, Merfolk, or Treefolk. Whenever a permanent you control of the chosen type enters, you gain 1 life. {2}, {T}, Sacrifice this artifact: Return target card of the chosen type from your graveyard to your hand.</t>
  </si>
  <si>
    <t>Stalactite Dagger</t>
  </si>
  <si>
    <t>When this Equipment enters, create a 1/1 colorless Shapeshifter creature token with changeling. (It's every creature type.) Equipped creature gets +1/+1 and is all creature types. Equip {2} ({2}: Attach to target creature you control. Equip only as a sorcery.)</t>
  </si>
  <si>
    <t>Puca's Eye</t>
  </si>
  <si>
    <t>When this artifact enters, draw a card, then choose a color. This artifact becomes the chosen color. {3}, {T}: Draw a card. Activate only if there are five colors among permanents you control.</t>
  </si>
  <si>
    <t>Wary Farmer</t>
  </si>
  <si>
    <t>At the beginning of your end step, if another creature entered the battlefield under your control this turn, surveil 1. (Look at the top card of your library. You may put it into your graveyard.)</t>
  </si>
  <si>
    <t>{1}{G/W}{G/W}</t>
  </si>
  <si>
    <t>Voracious Tome-Skimmer</t>
  </si>
  <si>
    <t>Flying Whenever you cast a spell during an opponent's turn, you may pay 1 life. If you do, draw a card.</t>
  </si>
  <si>
    <t>{U/B}{U/B}{U/B}</t>
  </si>
  <si>
    <t>Preto, Azul</t>
  </si>
  <si>
    <t>Thoughtweft Lieutenant</t>
  </si>
  <si>
    <t>Whenever this creature or another Kithkin you control enters, target creature you control gets +1/+1 and gains trample until end of turn.</t>
  </si>
  <si>
    <t>Foundry Street Denizen / Habitante da Rua da Fundição</t>
  </si>
  <si>
    <t>Whenever another red creature you control enters, this creature gets +1/+0 until end of turn. / Toda vez que outra criatura vermelha entra no campo de batalha sob o seu controle, Habitante da Rua da Fundição recebe +1/+0 até o final do turno.</t>
  </si>
  <si>
    <t>Prideful Feastling</t>
  </si>
  <si>
    <t>Changeling (This card is every creature type.) Lifelink</t>
  </si>
  <si>
    <t>{2}{W/B}</t>
  </si>
  <si>
    <t>Preto, Branco</t>
  </si>
  <si>
    <t>Morcant's Loyalist</t>
  </si>
  <si>
    <t>Other Elves you control get +1/+1. When this creature dies, return another target Elf card from your graveyard to your hand.</t>
  </si>
  <si>
    <t>{1}{B}{G}</t>
  </si>
  <si>
    <t>Merrow Skyswimmer</t>
  </si>
  <si>
    <t>Convoke (Your creatures can help cast this spell. Each creature you tap while casting this spell pays for {1} or one mana of that creature's color.) Flying, vigilance When this creature enters, create a 1/1 white and blue Merfolk creature token.</t>
  </si>
  <si>
    <t>{3}{W/U}{W/U}</t>
  </si>
  <si>
    <t>Azul, Branco</t>
  </si>
  <si>
    <t>Hovel Hurler</t>
  </si>
  <si>
    <t>Creature — Giant Warrior</t>
  </si>
  <si>
    <t>This creature enters with two -1/-1 counters on it. {R/W}{R/W}, Remove a counter from this creature: Another target creature you control gets +1/+0 and gains flying until end of turn. Activate only as a sorcery.</t>
  </si>
  <si>
    <t>{3}{R/W}{R/W}</t>
  </si>
  <si>
    <t>Vermelho, Branco</t>
  </si>
  <si>
    <t>Gangly Stompling</t>
  </si>
  <si>
    <t>Changeling (This card is every creature type.) Trample</t>
  </si>
  <si>
    <t>{2}{R/G}</t>
  </si>
  <si>
    <t>Verde, Vermelho</t>
  </si>
  <si>
    <t>Flaring Cinder</t>
  </si>
  <si>
    <t>When this creature enters and whenever you cast a spell with mana value 4 or greater, you may discard a card. If you do, draw a card.</t>
  </si>
  <si>
    <t>{1}{U/R}{U/R}</t>
  </si>
  <si>
    <t>Vermelho, Azul</t>
  </si>
  <si>
    <t>Krark-Clan Engineers / Engenheiros do Clã-de-Krark</t>
  </si>
  <si>
    <t>Creature — Goblin Artificer / Criatura — Artesão Goblin</t>
  </si>
  <si>
    <t>{R}, Sacrifice two artifacts: Destroy target artifact. / {R}, Sacrifique dois artefatos: Destrói o artefato alvo.</t>
  </si>
  <si>
    <t>Quaketusk Boar</t>
  </si>
  <si>
    <t>Creature — Elemental Boar</t>
  </si>
  <si>
    <t>Reach, trample, haste</t>
  </si>
  <si>
    <t>War Squeak</t>
  </si>
  <si>
    <t>Enchant creature When this Aura enters, target creature an opponent controls can't block this turn. Enchanted creature gets +1/+1 and has haste.</t>
  </si>
  <si>
    <t>Fortune Thief / Ladra de Sorte</t>
  </si>
  <si>
    <t>Creature — Human Rogue / Criatura — Ladino Humano</t>
  </si>
  <si>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</si>
  <si>
    <t>Portent of Betrayal / Presságio de Traição</t>
  </si>
  <si>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</si>
  <si>
    <t>Volley Veteran / Veterano das Saraivadas</t>
  </si>
  <si>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</si>
  <si>
    <t>Tuktuk Scrapper / Sucateiro Tuktuk</t>
  </si>
  <si>
    <t>Creature — Goblin Artificer Ally / Criatura — Goblin Artesão Aliado</t>
  </si>
  <si>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</si>
  <si>
    <t>Flying When this creature enters, it deals damage to any target equal to the number of Mountains you control. / Voar Quando Prole de Traxes entra no campo de batalha, ele causa ao jogador ou à criatura alvo uma quantidade de dano igual ao número de Montanhas que você controla.</t>
  </si>
  <si>
    <t>{5}{R}{R}</t>
  </si>
  <si>
    <t>Journey into Nyx Promos (PJOU)</t>
  </si>
  <si>
    <t>Oread of Mountain's Blaze / Oréade da Labareda Montanhesca</t>
  </si>
  <si>
    <t>Enchantment Creature — Nymph / Criatura Encantamento — Ninfa</t>
  </si>
  <si>
    <t>{2}{R}, Discard a card: Draw a card. / {2}{R}, descarte um card: Compre um card.</t>
  </si>
  <si>
    <t>Akki Ember-Keeper / Akki Custódio das Brasas</t>
  </si>
  <si>
    <t>Enchantment Creature — Goblin Warrior / Criatura Encantamento — Goblin Guerreiro</t>
  </si>
  <si>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</si>
  <si>
    <t>Goblin Kaboomist / Goblin Cabumista</t>
  </si>
  <si>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</si>
  <si>
    <t>Lightning Strike / Golpe Relampejante</t>
  </si>
  <si>
    <t>Lightning Strike deals 3 damage to any target. / Golpe Relampejante causa 3 pontos de dano à criatura ou ao jogador alvo.</t>
  </si>
  <si>
    <t>Firebolt / Raio de Fogo</t>
  </si>
  <si>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</si>
  <si>
    <t>Eternal Masters (EMA)</t>
  </si>
  <si>
    <t>Flayer of the Hatebound / Esfolador do Laço de Ódio</t>
  </si>
  <si>
    <t>Creature — Devil / Criatura — Diabo</t>
  </si>
  <si>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</si>
  <si>
    <t>Arena Trickster / Trapaceiro da Arena</t>
  </si>
  <si>
    <t>Whenever you cast your first spell during each opponent's turn, put a +1/+1 counter on this creature. / Toda vez que você conjurar sua primeira mágica durante o turno de cada oponente, coloque um marcador +1/+1 em Trapaceiro da Arena.</t>
  </si>
  <si>
    <t>Clawing Torment / Tormento dos Arranhões</t>
  </si>
  <si>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</si>
  <si>
    <t>Fade into Antiquity / Desaparecer na Antiguidade</t>
  </si>
  <si>
    <t>Exile target artifact or enchantment. / Exile o artefato ou encantamento alvo.</t>
  </si>
  <si>
    <t>Reckoner Shakedown / Extorsão dos Justiceiros</t>
  </si>
  <si>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</si>
  <si>
    <t>Kaito's Pursuit / Perseguição de Kaito</t>
  </si>
  <si>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</si>
  <si>
    <t>Inkrise Infiltrator / Infiltradora Asas de Tinta</t>
  </si>
  <si>
    <t>Creature — Human Ninja / Criatura — Humano Ninja</t>
  </si>
  <si>
    <t>Flying {3}{B}: This creature gets +2/+2 until end of turn. / Voar {3}{B}: Infiltradora Asas de Tinta recebe +2/+2 até o final do turno.</t>
  </si>
  <si>
    <t>Kamigawa: Neon Dynasty (NEO) V</t>
  </si>
  <si>
    <t>Nezumi Bladeblesser / Benze-espada Nezumi</t>
  </si>
  <si>
    <t>Creature — Rat Samurai / Criatura — Rato Samurai</t>
  </si>
  <si>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</si>
  <si>
    <t>Kami of Terrible Secrets / Kami dos Segredos Terríveis</t>
  </si>
  <si>
    <t>When this creature enters, if you control an artifact and an enchantment, you draw a card and you gain 1 life. / Quando Kami dos Segredos Terríveis entra no campo de batalha, se você controla um artefato e um encantamento, você compra um card e ganha 1 ponto de vida.</t>
  </si>
  <si>
    <t>Mímico da Noite / Nightshade Schemer</t>
  </si>
  <si>
    <t>Criatura — Metamorfo / Creature — Shapeshifter</t>
  </si>
  <si>
    <t>Toda vez que você joga uma mágica que é branca e preta, Mímico da Noite torna-se 4/4 e ganha voar até o final do turno. / Whenever you cast a white and black spell, Nightshade Schemer becomes 4/4 and gains flying until end of turn.</t>
  </si>
  <si>
    <t>{1}{W/B}</t>
  </si>
  <si>
    <t>Branco e Preto / White and Black</t>
  </si>
  <si>
    <t>Old Rutstein / Velho Rutstein</t>
  </si>
  <si>
    <t>Legendary Creature — Human Peasant / Criatura Lendária — Humano Plebeu</t>
  </si>
  <si>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</si>
  <si>
    <t>Gurmag Swiftwing / Asa-veloz Gurmag</t>
  </si>
  <si>
    <t>Creature — Bat / Criatura — Morcego</t>
  </si>
  <si>
    <t>Flying, first strike, haste / Voar, iniciativa, ímpeto</t>
  </si>
  <si>
    <t>Embrace the Paradox</t>
  </si>
  <si>
    <t>Draw three cards. You may put a land card from your hand onto the battlefield tapped.</t>
  </si>
  <si>
    <t>{3}{G}{U}</t>
  </si>
  <si>
    <t>Tranquil Cove / Angra Tranquila</t>
  </si>
  <si>
    <t>This land enters tapped. When this land enters, you gain 1 life. {T}: Add {W} or {U}. / Angra Tranquila entra no campo de batalha virada. Quando Angra Tranquila entra no campo de batalha, você ganha 1 ponto de vida. {T}: Adicione {W} ou {U}.</t>
  </si>
  <si>
    <t>This land enters tapped. When this land enters, you gain 1 life. {T}: Add {R} or {G}. / Planalto Acidentado entra no campo de batalha virado. Quando Planalto Acidentado entra no campo de batalha, você ganha 1 ponto de vida. {T}: Adicione {R} ou {G}.</t>
  </si>
  <si>
    <t>Halimar Depths / Profundezas de Halimar</t>
  </si>
  <si>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</si>
  <si>
    <t>Azorius Guildgate / Portão da Guilda Azorius</t>
  </si>
  <si>
    <t>This land enters tapped. {T}: Add {W} or {U}. / Portão da Guilda Azorius entra no campo de batalha virado. {T}: Adicione {W} ou {U}.</t>
  </si>
  <si>
    <t>Teeterpeak Ambusher / Emboscador dos Picos Vacilantes</t>
  </si>
  <si>
    <t>{2}{R}: This creature gets +2/+0 until end of turn. / {2}{R}: Emboscador dos Picos Vacilantes recebe +2/+0 até o final do turno.</t>
  </si>
  <si>
    <t>Inspiring Vantage / Vantagem Inspiradora</t>
  </si>
  <si>
    <t>This land enters tapped unless you control two or fewer other lands. {T}: Add {R} or {W}. / Vantagem Inspiradora entra no campo de batalha virado, a menos que você controle dois outros terrenos ou menos. {T}: Adicione {R} ou {W} à sua reserva de mana.</t>
  </si>
  <si>
    <t>Edge of the Divinity / Limite da Divindade</t>
  </si>
  <si>
    <t>Enchant creature As long as enchanted creature is white, it gets +1/+2. As long as enchanted creature is black, it gets +2/+1. / Encantar criatura Enquanto a criatura encantada for branca, ela receberá +1/+2 . Enquanto a criatura encantada for preta, ela receberá +2/+1.</t>
  </si>
  <si>
    <t>Kaya's Wrath / Ira de Kaya</t>
  </si>
  <si>
    <t>Destroy all creatures. You gain life equal to the number of creatures you controlled that were destroyed this way. / Destrua todas as criaturas. Você ganha uma quantidade de pontos de vida igual ao número de criaturas que você controlava que foram destruídas dessa forma.</t>
  </si>
  <si>
    <t>{W}{W}{B}{B}</t>
  </si>
  <si>
    <t>Unmake / Inexistir</t>
  </si>
  <si>
    <t>Exile target creature. / Remova do jogo a criatura alvo.</t>
  </si>
  <si>
    <t>{W/B}{W/B}{W/B}</t>
  </si>
  <si>
    <t>Mourning Thrull</t>
  </si>
  <si>
    <t>Creature — Thrull</t>
  </si>
  <si>
    <t>Flying. Whenever Mourning Thrull deals damage, you gain that much life.</t>
  </si>
  <si>
    <t>Pitiless Pontiff / Pontífice Impiedosa</t>
  </si>
  <si>
    <t>Creature — Vampire Cleric / Criatura — Vampiro Clérigo</t>
  </si>
  <si>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</si>
  <si>
    <t>Tithe Drinker / Sugador de Dízimo</t>
  </si>
  <si>
    <t>Creature — Vampire / Criatura — Vampiro</t>
  </si>
  <si>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</si>
  <si>
    <t>Dragon's Maze (DGM)</t>
  </si>
  <si>
    <t>Castigate / Castigar</t>
  </si>
  <si>
    <t>Target opponent reveals their hand. You choose a nonland card from it and exile that card. / O oponente alvo revela sua própria mão. Escolha um card que não seja um terreno. Remova de jogo aquele card.</t>
  </si>
  <si>
    <t>Arena League 2006 (PAL06)</t>
  </si>
  <si>
    <t>Purge the Profane / Purgar o Profano</t>
  </si>
  <si>
    <t>Target opponent discards two cards and you gain 2 life. / O oponente alvo descarta dois cards e você ganha 2 pontos de vida.</t>
  </si>
  <si>
    <t>{2}{W}{B}</t>
  </si>
  <si>
    <t>Imperious Oligarch / Oligarca Imperiosa</t>
  </si>
  <si>
    <t>Creature — Human Cleric / Criatura — Humano Clérigo</t>
  </si>
  <si>
    <t>Vigilance Afterlife 1 (When this creature dies, create a 1/1 white and black Spirit creature token with flying.) / Vigilância Pós-vida 1 (Quando esta criatura morrer, crie uma ficha de criatura branca e preta 1/1 do tipo Espírito com voar.)</t>
  </si>
  <si>
    <t>Pterafractyl</t>
  </si>
  <si>
    <t>Creature — Dinosaur Fractal</t>
  </si>
  <si>
    <t>Flying This creature enters with X +1/+1 counters on it. When this creature enters, you gain 2 life.</t>
  </si>
  <si>
    <t>{X}{G}{U}</t>
  </si>
  <si>
    <t>1/0</t>
  </si>
  <si>
    <t>Gyre Engineer / Engenheiro da Espiral</t>
  </si>
  <si>
    <t>Creature — Vedalken Wizard / Criatura — Vedalkeano Mago</t>
  </si>
  <si>
    <t>{T}: Add {G}{U}. / {T}: Adicione {G}{U}.</t>
  </si>
  <si>
    <t>{1}{G}{U}</t>
  </si>
  <si>
    <t>Reknit / Retramar</t>
  </si>
  <si>
    <t>Regenerate target permanent. / Regenere a permanente alvo.</t>
  </si>
  <si>
    <t>{1}{G/W}</t>
  </si>
  <si>
    <t>Valeron Outlander / Forasteiro de Valeron</t>
  </si>
  <si>
    <t>Protection from black / Proteção contra o preto</t>
  </si>
  <si>
    <t>Conflux (CON)</t>
  </si>
  <si>
    <t>Sundering Growth / Crescimento Despedaçador</t>
  </si>
  <si>
    <t>Destroy target artifact or enchantment, then populate. (Create a token that's a copy of a creature token you control.) / Destrua o artefato ou encantamento alvo e depois povoe. (Coloque no campo de batalha uma ficha que seja uma cópia de uma ficha de criatura que você controla.)</t>
  </si>
  <si>
    <t>{G/W}{G/W}</t>
  </si>
  <si>
    <t>Architects of Will / Arquitetos do Arbítrio</t>
  </si>
  <si>
    <t>Artifact Creature — Human Wizard / Criatura Artefato — Humano Mago</t>
  </si>
  <si>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</si>
  <si>
    <t>{2}{U}{B}</t>
  </si>
  <si>
    <t>Alara Reborn (ARB)</t>
  </si>
  <si>
    <t>Fathom Feeder / Alimentador das Profundezas</t>
  </si>
  <si>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</si>
  <si>
    <t>{U}{B}</t>
  </si>
  <si>
    <t>Inkfathom Infiltrator / Infiltrado Braçatinta</t>
  </si>
  <si>
    <t>Creature — Merfolk Rogue / Criatura — Tritão Ladino</t>
  </si>
  <si>
    <t>This creature can't block and can't be blocked. / Infiltrado Braçatinta não pode bloquear e não pode ser bloqueado.</t>
  </si>
  <si>
    <t>{U/B}{U/B}</t>
  </si>
  <si>
    <t>Gruul Spellbreaker / Quebra-mágicas Gruul</t>
  </si>
  <si>
    <t>Creature — Ogre Warrior / Criatura — Ogro Guerreiro</t>
  </si>
  <si>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</si>
  <si>
    <t>{1}{R}{G}</t>
  </si>
  <si>
    <t>Judge's Familiar / Familiar do Juiz</t>
  </si>
  <si>
    <t>Flying Sacrifice this creature: Counter target instant or sorcery spell unless its controller pays {1}. / Voar Sacrifique Familiar do Juiz: Anule a mágica instantânea ou feitiço alvo a menos que seu controlador pague {1}.</t>
  </si>
  <si>
    <t>{W/U}</t>
  </si>
  <si>
    <t>Urza, Prince of Kroog / Urza, Príncipe de Kroog</t>
  </si>
  <si>
    <t>Legendary Creature — Human Artificer / Criatura Lendária — Humano Artesão</t>
  </si>
  <si>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</si>
  <si>
    <t>{2}{W}{U}</t>
  </si>
  <si>
    <t>Naya Charm / Medalhão de Naya</t>
  </si>
  <si>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</si>
  <si>
    <t>{R}{G}{W}</t>
  </si>
  <si>
    <t>Verde, Vermelho, Branco</t>
  </si>
  <si>
    <t>Mishra, Artificer Prodigy / Mishra, Prodígio Artífice</t>
  </si>
  <si>
    <t>Legendary Creature — Human Artificer / Criatura Lendária — Artesão Humano</t>
  </si>
  <si>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</si>
  <si>
    <t>{1}{U}{B}{R}</t>
  </si>
  <si>
    <t>Preto, Vermelho, Azul</t>
  </si>
  <si>
    <t>Doran, Besieged by Time</t>
  </si>
  <si>
    <t>Legendary Creature — Treefolk Druid</t>
  </si>
  <si>
    <t>Each creature spell you cast with toughness greater than its power costs {1} less to cast. Whenever a creature you control attacks or blocks, it gets +X/+X until end of turn, where X is the difference between its power and toughness.</t>
  </si>
  <si>
    <t>{1}{W}{B}{G}</t>
  </si>
  <si>
    <t>Preto, Verde, Branco</t>
  </si>
  <si>
    <t>Shattering Blow / Golpe Despedaçador</t>
  </si>
  <si>
    <t>Exile target artifact. / Exile o artefato alvo.</t>
  </si>
  <si>
    <t>{1}{R/W}</t>
  </si>
  <si>
    <t>Pursue the Past</t>
  </si>
  <si>
    <t>You gain 2 life. You may discard a card. If you do, draw two cards. Flashback {2}{R}{W} (You may cast this card from your graveyard for its flashback cost. Then exile it.)</t>
  </si>
  <si>
    <t>{R}{W}</t>
  </si>
  <si>
    <t>Tannuk, Memorial Ensign</t>
  </si>
  <si>
    <t>Legendary Creature — Kavu Pilot</t>
  </si>
  <si>
    <t>Landfall — Whenever a land you control enters, Tannuk deals 1 damage to each opponent. If this is the second time this ability has resolved this turn, draw a card.</t>
  </si>
  <si>
    <t>Edge of Eternities (EOE)</t>
  </si>
  <si>
    <t>Munitions Expert / Especialista em Municiamento</t>
  </si>
  <si>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</si>
  <si>
    <t>Theater of Horrors / Teatro de Horrores</t>
  </si>
  <si>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</si>
  <si>
    <t>{1}{B}{R}</t>
  </si>
  <si>
    <t>Fireblade Artist / Artista da Lâmina de Fogo</t>
  </si>
  <si>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</si>
  <si>
    <t>Sigil Blessing / Bênção da insígnia</t>
  </si>
  <si>
    <t>Until end of turn, target creature you control gets +3/+3 and other creatures you control get +1/+1. / Até o final do turno, a criatura alvo que você controla recebe +3/+3 e as outras criaturas que você controla recebem +1/+1.</t>
  </si>
  <si>
    <t xml:space="preserve">Duel Decks: Knights vs. Dragons </t>
  </si>
  <si>
    <t>Nature's Chant / Canto da Natureza</t>
  </si>
  <si>
    <t>Destroy target artifact or enchantment. / Destrua o artefato ou encantamento alvo.</t>
  </si>
  <si>
    <t>Zaffai and the Tempests</t>
  </si>
  <si>
    <t>Legendary Creature — Human Bard Sorcerer</t>
  </si>
  <si>
    <t>Once during each of your turns, you may cast an instant or sorcery spell from your hand without paying its mana cost.</t>
  </si>
  <si>
    <t>{5}{U}{R}</t>
  </si>
  <si>
    <t>Saheeli, Sublime Artificer / Saheeli, Artífice Sublime</t>
  </si>
  <si>
    <t>Legendary Planeswalker — Saheeli / Planeswalker Lendário — Saheeli</t>
  </si>
  <si>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</si>
  <si>
    <t>Crackling Drake / Dragonete Fagulhante</t>
  </si>
  <si>
    <t>Creature — Drake / Criatura — Dragonete</t>
  </si>
  <si>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</si>
  <si>
    <t>{U}{U}{R}{R}</t>
  </si>
  <si>
    <t>*/4</t>
  </si>
  <si>
    <t>Stormchaser Mage / Mago Caçador de Tempestades</t>
  </si>
  <si>
    <t>Flying, haste Prowess (Whenever you cast a noncreature spell, this creature gets +1/+1 until end of turn.) / Voar, ímpeto Destreza (Toda vez que você conjura uma mágica que não seja de criatura, esta criatura recebe +1/+1 até o final do turno.)</t>
  </si>
  <si>
    <t>{U}{R}</t>
  </si>
  <si>
    <t>Galadriel, Elven-Queen / Galadriel, Rainha Élfica</t>
  </si>
  <si>
    <t>Legendary Creature — Elf Noble / Criatura Lendária — Elfo Nobre</t>
  </si>
  <si>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</si>
  <si>
    <t>{2}{G}{U}</t>
  </si>
  <si>
    <t>Tales of Middle-earth Commander (LTC)</t>
  </si>
  <si>
    <t>Biovisionary / Biovisionário</t>
  </si>
  <si>
    <t>At the beginning of the end step, if you control four or more creatures named Biovisionary, you win the game. / No início da etapa final, se você controlar quatro ou mais criaturas com o nome Biovisionário, você ganha o jogo.</t>
  </si>
  <si>
    <t>Sharktocrab / Tubaropolvoguejo</t>
  </si>
  <si>
    <t>Creature — Shark Octopus Crab / Criatura — Peixe Polvo Caranguejo</t>
  </si>
  <si>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</si>
  <si>
    <t>Camaraderie / Camaradagem</t>
  </si>
  <si>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</si>
  <si>
    <t>{4}{G}{W}</t>
  </si>
  <si>
    <t>Carnival // Carnage / Carnaval // Carnificina</t>
  </si>
  <si>
    <t>Instant // Sorcery / Mágica Instantânea</t>
  </si>
  <si>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</si>
  <si>
    <t>{B/R} // {2}{B}{R}</t>
  </si>
  <si>
    <t>Connive // Concoct / Conivente // Concoctante</t>
  </si>
  <si>
    <t>Sorcery // Sorcery / Feitiço</t>
  </si>
  <si>
    <t>Connive: Gain control of target creature with power 2 or less. // Concoct: Surveil 3, then return a creature card from your graveyard to the battlefield. / Ganhe o controle da criatura alvo com poder igual ou inferior a 2.</t>
  </si>
  <si>
    <t>{2}{U/B}{U/B} // {3}{U}{B}</t>
  </si>
  <si>
    <t>Murders at Karlov Manor Commander (MKC)</t>
  </si>
  <si>
    <t>Goblin Archaeologist / Arqueólogo Goblin</t>
  </si>
  <si>
    <t>{R}, {T}: Flip a coin. If you win the flip, destroy target artifact and untap this creature. If you lose the flip, sacrifice this creature. / {R}, {T}: Lance uma moeda. Se você vencer o lance, destrua a criatura artefato alvo e desvire Arqueólogo Goblin. Se perder, sacrifique Arqueólogo Goblin.</t>
  </si>
  <si>
    <t>Darksteel (DST)</t>
  </si>
  <si>
    <t>Goblin Razerunners / Arrasa-quarteirões Goblin</t>
  </si>
  <si>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</si>
  <si>
    <t>{2}{R}{R}</t>
  </si>
  <si>
    <t>Battlebond (BBD)</t>
  </si>
  <si>
    <t>Crazed Goblin / Goblin Enlouquecido</t>
  </si>
  <si>
    <t>Creature — Goblin Warrior / Criatura — Guerreiro Goblin</t>
  </si>
  <si>
    <t>This creature attacks each combat if able. / Goblin Enlouquecido ataca a cada turno se estiver apto.</t>
  </si>
  <si>
    <t>Goblin Striker / Golpeador Goblin</t>
  </si>
  <si>
    <t>First strike, haste / Iniciativa, ímpeto</t>
  </si>
  <si>
    <t>Consecrate // Consume / Devotar // Devorar</t>
  </si>
  <si>
    <t>Consecrate: Exile target card from a graveyard. Draw a card. // Consume: Target player sacrifices a creature with the greatest power among creatures they control. You gain life equal to its power. / Exile o card alvo de um cemitério. Compre um card.</t>
  </si>
  <si>
    <t>{1}{W/B} // {2}{W}{B}</t>
  </si>
  <si>
    <t>Channel / Canal</t>
  </si>
  <si>
    <t>Until end of turn, any time you could activate a mana ability, you may pay 1 life. If you do, add {C}. / Até o final do turno, a qualquer momento em que você poderia ativar uma habilidade de mana, você poderá pagar 1 ponto de vida. Se fizer isso, adicione {C}.</t>
  </si>
  <si>
    <t>From the Vault: Exiled (V09)</t>
  </si>
  <si>
    <t>Naya Hushblade / Lâmina Silenciosa de Naya</t>
  </si>
  <si>
    <t>Creature — Elf Rogue / Criatura — Elfo Ladino</t>
  </si>
  <si>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</si>
  <si>
    <t>{R/W}{G}</t>
  </si>
  <si>
    <t>Double Cleave / Rachar em Dois</t>
  </si>
  <si>
    <t>Target creature gains double strike until end of turn. (It deals both first-strike and regular combat damage.) / A criatura alvo ganha golpe duplo até o final do turno. (Ela causa tanto o dano de iniciativa quanto o dano de combate normal.)</t>
  </si>
  <si>
    <t>Jund Hackblade / Lâmina Golpeadora de Jund</t>
  </si>
  <si>
    <t>As long as you control another multicolored permanent, this creature gets +1/+1 and has haste. / Enquanto você controlar outra permanente multicolorida, Lâmina Golpeadora de Jund receberá +1/+1 e terá ímpeto.</t>
  </si>
  <si>
    <t>{B/G}{R}</t>
  </si>
  <si>
    <t>Preto, Verde, Vermelho</t>
  </si>
  <si>
    <t>Snowhorn Rider / Ginete de Nivicórneo</t>
  </si>
  <si>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</si>
  <si>
    <t>{3}{G}{U}{R}</t>
  </si>
  <si>
    <t>Verde, Vermelho, Azul</t>
  </si>
  <si>
    <t>Boros Recruit / Recruta Boros</t>
  </si>
  <si>
    <t>Creature — Goblin Soldier / Criatura - Soldado Goblin</t>
  </si>
  <si>
    <t>({R/W} can be paid with either {R} or {W}.) First strike / ({R/W} pode ser pago com {R} ou {W}.) Iniciativa</t>
  </si>
  <si>
    <t>{R/W}</t>
  </si>
  <si>
    <t>Morselhoarder / Abocanhador</t>
  </si>
  <si>
    <t>This creature enters with two -1/-1 counters on it. Remove a -1/-1 counter from this creature: Add one mana of any color. / Abocanhador entra em jogo com dois marcadores -1/-1. Remova um marcador -1/-1 de Abocanhador: Adicione um mana de qualquer cor à sua reserva de mana.</t>
  </si>
  <si>
    <t>{4}{R/G}{R/G}</t>
  </si>
  <si>
    <t>Scarscale Ritual / Ritual de Escamo-Tatuagem</t>
  </si>
  <si>
    <t>As an additional cost to cast this spell, put a -1/-1 counter on a creature you control. Draw two cards. / Como custo adicional para jogar Ritual de Escamo-Tatuagem, coloque um marcador -1/-1 numa criatura que você controla. Compre dois cards.</t>
  </si>
  <si>
    <t>{1}{U/B}</t>
  </si>
  <si>
    <t>Start // Finish / Começar // Terminar</t>
  </si>
  <si>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</si>
  <si>
    <t>{2}{W} // {2}{B}</t>
  </si>
  <si>
    <t>Resolute Rider / Ginete Resoluta</t>
  </si>
  <si>
    <t>Creature — Human Knight / Criatura — Humano Cavaleiro</t>
  </si>
  <si>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</si>
  <si>
    <t>{W/B}{W/B}{W/B}{W/B}</t>
  </si>
  <si>
    <t>Grotesque Demise / Fim Grotesco</t>
  </si>
  <si>
    <t>Exile target creature with power 3 or less. / Exile a criatura alvo com poder igual ou inferior a 3.</t>
  </si>
  <si>
    <t>Junkblade Bruiser</t>
  </si>
  <si>
    <t>Creature — Raccoon Berserker</t>
  </si>
  <si>
    <t>Trample Whenever you expend 4, this creature gets +2/+1 until end of turn. (You expend 4 as you spend your fourth total mana to cast spells during a turn.)</t>
  </si>
  <si>
    <t>{3}{R/G}{R/G}</t>
  </si>
  <si>
    <t>Feed the Cauldron / Alimentar o Caldeirão</t>
  </si>
  <si>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</si>
  <si>
    <t>Wilds of Eldraine (WOE)</t>
  </si>
  <si>
    <t>Cloudshift / Desvio Nebular</t>
  </si>
  <si>
    <t>Exile target creature you control, then return that card to the battlefield under your control. / Exile uma criatura alvo que você controla e depois devolva aquele card ao campo de batalha sob seu controle.</t>
  </si>
  <si>
    <t>Blind Zealot / Zelote Cego</t>
  </si>
  <si>
    <t>Creature — Phyrexian Human Cleric / Criatura — Humano Clérigo</t>
  </si>
  <si>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</si>
  <si>
    <t>New Phyrexia (NPH)</t>
  </si>
  <si>
    <t>Blood Reckoning / Vingança Sangrenta</t>
  </si>
  <si>
    <t>Whenever a creature attacks you or a planeswalker you control, that creature's controller loses 1 life. / Toda vez que uma criatura atacar você ou um planeswalker que você controle, o controlador daquela criatura perde 1 ponto de vida.</t>
  </si>
  <si>
    <t>Magic 2013 (M13)</t>
  </si>
  <si>
    <t>Temple Thief / Ladrão de Templos</t>
  </si>
  <si>
    <t>Creature — Human Rogue / Criatura — Humano Ladino</t>
  </si>
  <si>
    <t>This creature can't be blocked by enchanted creatures or enchantment creatures. / Ladrão de Templos não pode ser bloqueado por criaturas encantadas nem criaturas encantamento.</t>
  </si>
  <si>
    <t>Miasmic Mummy / Múmia Miasmática</t>
  </si>
  <si>
    <t>Creature — Zombie Jackal / Criatura — Zumbi Chacal</t>
  </si>
  <si>
    <t>When this creature enters, each player discards a card. / Quando Múmia Miasmática entra no campo de batalha, cada jogador descarta um card.</t>
  </si>
  <si>
    <t>River's Grasp / Garras do Rio</t>
  </si>
  <si>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</si>
  <si>
    <t>{3}{U/B}</t>
  </si>
  <si>
    <t>Gravelgill Axeshark / Tubarão-Machado Petreobrânquio</t>
  </si>
  <si>
    <t>Creature — Merfolk Soldier / Criatura — Tritão Soldado</t>
  </si>
  <si>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</si>
  <si>
    <t>{4}{U/B}</t>
  </si>
  <si>
    <t>Fate Transfer / Transferência de Destino</t>
  </si>
  <si>
    <t>Move all counters from target creature onto another target creature. / Mova todos os marcadores da criatura alvo para outra criatura alvo.</t>
  </si>
  <si>
    <t>Wanderbrine Rootcutters / Corta-Raízes de Salmorerrante</t>
  </si>
  <si>
    <t>This creature can't be blocked by green creatures. / Corta-Raízes de Salmorerrante não pode ser bloqueado por criaturas verdes.</t>
  </si>
  <si>
    <t>{2}{U/B}{U/B}</t>
  </si>
  <si>
    <t>Oona's Gatewarden / Guardião dos Portões de Oona</t>
  </si>
  <si>
    <t>Creature — Faerie Soldier / Criatura — Fada Soldado</t>
  </si>
  <si>
    <t>Defender, flying Wither (This deals damage to creatures in the form of -1/-1 counters.) / Voar, defensor Murchar (Esta fonte causa dano a criaturas na forma de marcadores -1/-1.)</t>
  </si>
  <si>
    <t>{U/B}</t>
  </si>
  <si>
    <t>Cultbrand Cinder / Cinzeríneo Culto-do-Estigma</t>
  </si>
  <si>
    <t>Creature — Elemental Shaman / Criatura — Elemental Xamã</t>
  </si>
  <si>
    <t>When this creature enters, put a -1/-1 counter on target creature. / Quando Cinzeríneo Culto-do-Estigma entrar em jogo, coloque um marcador -1/-1 na criatura alvo.</t>
  </si>
  <si>
    <t>{4}{B/R}</t>
  </si>
  <si>
    <t>Spiteflame Witch / Bruxa da Chama Maliciosa</t>
  </si>
  <si>
    <t>{B}{R}: Each player loses 1 life. / {B}{R}: Cada jogador perde 1 ponto de vida.</t>
  </si>
  <si>
    <t>{1}{B/R}</t>
  </si>
  <si>
    <t>Syndicate Guildmage / Mago de Guilda do Sindicato</t>
  </si>
  <si>
    <t>{1}{W}, {T}: Tap target creature with power 4 or greater. {4}{B}, {T}: This creature deals 2 damage to target opponent or planeswalker. / {1}{W}, {T}: Vire a criatura alvo com poder igual ou superior a 4. {4}{B}, {T}: Mago de Guilda do Sindicato causa 2 pontos de dano ao oponente ou planeswalker alvo.</t>
  </si>
  <si>
    <t>Forsaken Drifters / Errantes Abandonados</t>
  </si>
  <si>
    <t>When this creature dies, mill four cards. / Quando Errantes Abandonados morrer, coloque os quatro cards do topo de seu grimório em seu cemitério.</t>
  </si>
  <si>
    <t>Crow of Dark Tidings / Corvo das Notícias Sombrias</t>
  </si>
  <si>
    <t>Creature — Zombie Bird / Criatura — Zumbi Ave</t>
  </si>
  <si>
    <t>Flying When this creature enters or dies, mill two cards. (Put the top two cards of your library into your graveyard.) / Voar Quando Corvo das Notícias Sombrias entrar no campo de batalha ou morrer, coloque os dois cards do topo de seu grimório em seu cemitério.</t>
  </si>
  <si>
    <t>Carrion Crow / Corvo Carniceiro</t>
  </si>
  <si>
    <t>Flying (This creature can't be blocked except by creatures with flying or reach.) This creature enters tapped. / Voar (Esta criatura só pode ser bloqueada por criaturas com voar ou alcance.) Corvo Carniceiro entra no campo de batalha virado.</t>
  </si>
  <si>
    <t>Serrated Scorpion / Escorpião Serrilhado</t>
  </si>
  <si>
    <t>Creature — Scorpion / Criatura — Escorpião</t>
  </si>
  <si>
    <t>When this creature dies, it deals 2 damage to each opponent and you gain 2 life. / Quando Escorpião Serrilhado morre, ele causa 2 pontos de dano a cada oponente e você ganha 2 pontos de vida.</t>
  </si>
  <si>
    <t>Feast of Flesh / Banquete de Carne</t>
  </si>
  <si>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</si>
  <si>
    <t>Demonic Gifts / Dons Demoníacos</t>
  </si>
  <si>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</si>
  <si>
    <t>Skullport Merchant / Mercadora do Porto da Caveira</t>
  </si>
  <si>
    <t>Creature — Dwarf Citizen / Criatura — Anão Cidadão</t>
  </si>
  <si>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</si>
  <si>
    <t>Wailing Ghoul / Carniçal Lamuriante</t>
  </si>
  <si>
    <t>When this creature enters, mill two cards. (Put the top two cards of your library into your graveyard.) / Quando Carniçal Lamuriante entrar no campo de batalha, coloque os dois cards do topo de seu grimório em seu cemitério.</t>
  </si>
  <si>
    <t>Vraska's Finisher / Finalizadora de Vraska</t>
  </si>
  <si>
    <t>Creature — Gorgon Assassin / Criatura — Górgona Assassino</t>
  </si>
  <si>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</si>
  <si>
    <t>Dread Shade / Sombra Aterrorizante</t>
  </si>
  <si>
    <t>Creature — Shade / Criatura — Sombra</t>
  </si>
  <si>
    <t>{B}: This creature gets +1/+1 until end of turn. / {B}: Sombra Aterrorizante recebe +1/+1 até o final do turno.</t>
  </si>
  <si>
    <t>{B}{B}{B}</t>
  </si>
  <si>
    <t>Vampire Opportunist / Oportunista Vampira</t>
  </si>
  <si>
    <t>{6}{B}: Each opponent loses 2 life and you gain 2 life. / {6}{B}: Cada oponente perde 2 pontos de vida e você ganha 2 pontos de vida.</t>
  </si>
  <si>
    <t>Drana's Silencer / Silenciador de Drana</t>
  </si>
  <si>
    <t>Creature — Vampire Rogue / Criatura — Vampiro Ladino</t>
  </si>
  <si>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</si>
  <si>
    <t>{5}{B}</t>
  </si>
  <si>
    <t>Soul Transfer / Transferência de Alma</t>
  </si>
  <si>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</si>
  <si>
    <t>Fathom Fleet Cutthroat / Degoladora da Frota Abissal</t>
  </si>
  <si>
    <t>Creature — Human Pirate / Criatura — Humano Pirata</t>
  </si>
  <si>
    <t>When this creature enters, destroy target creature an opponent controls that was dealt damage this turn. / Quando Degoladora da Frota Abissal entrar no campo de batalha, destrua a criatura alvo que um oponente controla que sofreu dano neste turno.</t>
  </si>
  <si>
    <t>Falkenrath Torturer / Torturador Falkenrath</t>
  </si>
  <si>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</si>
  <si>
    <t>Spark Harvest / Colheita das Centelhas</t>
  </si>
  <si>
    <t>As an additional cost to cast this spell, sacrifice a creature or pay {3}{B}. Destroy target creature or planeswalker. / Como custo adicional para conjurar esta mágica, sacrifique uma criatura ou pague {3}{B}. Destrua a criatura ou o planeswalker alvo.</t>
  </si>
  <si>
    <t>Queen's Agent / Agente da Rainha</t>
  </si>
  <si>
    <t>Creature — Vampire Scout / Criatura — Vampiro Batedor</t>
  </si>
  <si>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</si>
  <si>
    <t>Highborn Ghoul / Carniçal Fidalgo</t>
  </si>
  <si>
    <t>Intimidate (This creature can't be blocked except by artifact creatures and/or creatures that share a color with it.) / Intimidar (Esta criatura só pode ser bloqueada por criaturas artefato e/ou criaturas que compartilhem uma cor com ela.)</t>
  </si>
  <si>
    <t>Mind Rot / Estiolar a Mente</t>
  </si>
  <si>
    <t>Target player discards two cards. / O jogador alvo descarta dois cards.</t>
  </si>
  <si>
    <t>Mardu Skullhunter / Caçador de Crânios Mardu</t>
  </si>
  <si>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</si>
  <si>
    <t>Reap the Seagraf / Colheita de Cemitério Marinho</t>
  </si>
  <si>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</si>
  <si>
    <t>Return to Action / De Volta à Ação</t>
  </si>
  <si>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</si>
  <si>
    <t>Zhur-Taa Goblin / Goblin Zhur-Taa</t>
  </si>
  <si>
    <t>Riot (This creature enters with your choice of a +1/+1 counter or haste.) / Tumulto (Esta criatura entra no campo de batalha com um marcador +1/+1 ou ímpeto, à sua escolha.)</t>
  </si>
  <si>
    <t>Electrolyze / Eletrolisar</t>
  </si>
  <si>
    <t>Electrolyze deals 2 damage divided as you choose among one or two targets. Draw a card. / Eletrolisar causa 2 pontos de dano distribuídos a sua escolha entre um ou dois alvos. Compre um card.</t>
  </si>
  <si>
    <t>Shirei, Shizo's Caretaker / Shirei, Vigia de Shizo</t>
  </si>
  <si>
    <t>Legendary Creature — Spirit / Criatura Lendária - Espírito</t>
  </si>
  <si>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</si>
  <si>
    <t>Carrion Grub / Larva Necrófaga</t>
  </si>
  <si>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</si>
  <si>
    <t>Triskaidekaphobia / Triscaidecafobia</t>
  </si>
  <si>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</si>
  <si>
    <t>Bogbrew Witch / Bruxa da Poção Pantanosa</t>
  </si>
  <si>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</si>
  <si>
    <t>Corpse Augur / Áugure Cadáver</t>
  </si>
  <si>
    <t>Creature — Zombie Wizard / Criatura — Zumbi Mago</t>
  </si>
  <si>
    <t>When this creature dies, you draw X cards and you lose X life, where X is the number of creature cards in target player's graveyard. / Quando Áugure Cadáver morre, você compra X cards e perde X pontos de vida, sendo X o número de cards de criatura no cemitério do jogador alvo.</t>
  </si>
  <si>
    <t>Midnight Hunt Commander (MIC)</t>
  </si>
  <si>
    <t>Bog Wraith / Aparição do Pântano</t>
  </si>
  <si>
    <t>Creature — Wraith / Criatura — Aparição</t>
  </si>
  <si>
    <t>Swampwalk (This creature can't be blocked as long as defending player controls a Swamp.) / Travessia de Pântano (Esta criatura não poderá ser bloqueada enquanto o jogador defensor controlar um Pântano.)</t>
  </si>
  <si>
    <t>Limited Edition Alpha (LEA)</t>
  </si>
  <si>
    <t>Entomber Exarch / Exarca Tumbeiro</t>
  </si>
  <si>
    <t>Creature — Phyrexian Cleric / Criatura — Clérigo</t>
  </si>
  <si>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</si>
  <si>
    <t>Jumpstart (JMP)</t>
  </si>
  <si>
    <t>Evil Presence / Presença Maligna</t>
  </si>
  <si>
    <t>Enchant land Enchanted land is a Swamp. / Encantar terreno O terreno encantado é um Pântano.</t>
  </si>
  <si>
    <t>Nova Phyrexia</t>
  </si>
  <si>
    <t>Go-Shintai of Hidden Cruelty / Go-Shintai da Crueldade Oculta</t>
  </si>
  <si>
    <t>Legendary Enchantment Creature — Shrine / Criatura Encantamento Lendária — Sacrário</t>
  </si>
  <si>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</si>
  <si>
    <t>Fleshmad Steed / Corcel Carnivoraz</t>
  </si>
  <si>
    <t>Creature — Horse / Criatura — Cavalo</t>
  </si>
  <si>
    <t>Whenever another creature dies, tap this creature. / Toda vez que outra criatura morrer, vire Corcel Carnivoraz.</t>
  </si>
  <si>
    <t>Persistent Marshstalker</t>
  </si>
  <si>
    <t>Creature — Rat Berserker</t>
  </si>
  <si>
    <t>This creature gets +1/+0 for each other Rat you control. Threshold — Whenever you attack with one or more Rats, if there are seven or more cards in your graveyard, you may pay {2}{B}. If you do, return this card from your graveyard to the battlefield tapped and attacking.</t>
  </si>
  <si>
    <t>Spirit of the Hunt / Espírito da Caça</t>
  </si>
  <si>
    <t>Creature — Wolf Spirit / Criatura — Lobo Espírito</t>
  </si>
  <si>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</si>
  <si>
    <t>Kraul Stinger / Aguilhoador Kraul</t>
  </si>
  <si>
    <t>Creature — Insect Assassin / Criatura — Inseto Assassino</t>
  </si>
  <si>
    <t>Charging Badger / Texugo Atacante</t>
  </si>
  <si>
    <t>Creature — Badger / Criatura — Texugo</t>
  </si>
  <si>
    <t>Trample / Atropelar</t>
  </si>
  <si>
    <t>Gnoll Hunter / Caçador Gnoll</t>
  </si>
  <si>
    <t>Creature — Gnoll / Criatura — Gnoll</t>
  </si>
  <si>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</si>
  <si>
    <t>Setessan Oathsworn / Jurado Setessano</t>
  </si>
  <si>
    <t>Creature — Satyr Warrior / Criatura — Sátiro Guerreiro</t>
  </si>
  <si>
    <t>Heroic — Whenever you cast a spell that targets this creature, put two +1/+1 counters on this creature. / Heroico — Toda vez que você conjurar uma mágica cujo alvo seja Jurado Setessano, coloque dois marcadores +1/+1 em Jurado Setessano.</t>
  </si>
  <si>
    <t>Sagu Archer / Arqueiro de Sagu</t>
  </si>
  <si>
    <t>Creature — Snake Archer / Criatura — Naga Arqueiro</t>
  </si>
  <si>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</si>
  <si>
    <t>Flourishing Hunter / Caçadora Florescente</t>
  </si>
  <si>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</si>
  <si>
    <t>Sentinel Spider / Aranha Sentinela</t>
  </si>
  <si>
    <t>Creature — Spider / Criatura — Aranha</t>
  </si>
  <si>
    <t>Vigilance, reach / Vigilância (Esta criatura não é virada para atacar.) Alcance (Esta criatura pode bloquear criaturas com voar.)</t>
  </si>
  <si>
    <t>Oran-Rief Recluse / Eremita de Oran-Rief</t>
  </si>
  <si>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</si>
  <si>
    <t>Trained Armodon / Armodonte Adestrado</t>
  </si>
  <si>
    <t>Duels of the Planeswalkers (DPA)</t>
  </si>
  <si>
    <t>Zombie Goliath / Golias Zumbi</t>
  </si>
  <si>
    <t>Creature — Zombie Giant / Criatura — Zumbi Gigante</t>
  </si>
  <si>
    <t>Shrivel</t>
  </si>
  <si>
    <t>All creatures get -1/-1 until end of turn.</t>
  </si>
  <si>
    <t>Maldição da Sede / Curse of Thirst</t>
  </si>
  <si>
    <t>Encantamento — Aura Maldição / Enchantment — Aura Curse</t>
  </si>
  <si>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</si>
  <si>
    <t>Aberração Consumidora / Consuming Aberration</t>
  </si>
  <si>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</si>
  <si>
    <t>{3}{U}{B}</t>
  </si>
  <si>
    <t>Azul e Preto / Blue and Black</t>
  </si>
  <si>
    <t>Colosso / Colossus // Colidir / Collision</t>
  </si>
  <si>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</si>
  <si>
    <t>{G/U}{R} // {1}{G/U}</t>
  </si>
  <si>
    <t>Verde e Vermelho / Green and Red</t>
  </si>
  <si>
    <t>Wasp Lancer / Lanceiro de Vespa</t>
  </si>
  <si>
    <t>Flying / Voar</t>
  </si>
  <si>
    <t>Hypothesizzle / Hipótese Fulminante</t>
  </si>
  <si>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</si>
  <si>
    <t>{3}{U}{R}</t>
  </si>
  <si>
    <t>Breaking News (OTP)</t>
  </si>
  <si>
    <t>Chosen of Markov // Markov's Servant / Escolhida de Markov // Serva de Markov</t>
  </si>
  <si>
    <t>Creature — Human // Creature — Vampire / Criatura — Humano</t>
  </si>
  <si>
    <t>Chosen of Markov: {T}, Tap an untapped Vampire you control: Transform this creature. / {T}, Vire um Vampiro desvirado que você controla: Transforme Escolhida de Markov.</t>
  </si>
  <si>
    <t>Enigma Drake / Dragonete dos Enigmas</t>
  </si>
  <si>
    <t>Flying Enigma Drake's power is equal to the number of instant and sorcery cards in your graveyard. / Voar O poder de Dragonete dos Enigmas é igual ao número de cards de mágica instantânea e feitiço em seu cemitério.</t>
  </si>
  <si>
    <t>Visionary's Dance</t>
  </si>
  <si>
    <t>Create two 3/3 blue and red Elemental creature tokens with flying. {2}, Discard this card: Look at the top two cards of your library. Put one of them into your hand and the other into your graveyard.</t>
  </si>
  <si>
    <t>Sanar, Innovative First-Year</t>
  </si>
  <si>
    <t>Legendary Creature — Goblin Sorcerer</t>
  </si>
  <si>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</si>
  <si>
    <t>{2}{U/R}{U/R}</t>
  </si>
  <si>
    <t>Blistercoil Weird / Bizarro da Helicosfera</t>
  </si>
  <si>
    <t>Creature — Weird / Criatura — Bizarro</t>
  </si>
  <si>
    <t>Whenever you cast an instant or sorcery spell, this creature gets +1/+1 until end of turn. Untap it. / Toda vez que você conjurar uma mágica instantânea ou feitiço, Bizarro da Helicosfera recebe +1/+1 até o final do turno. Desvire-o.</t>
  </si>
  <si>
    <t>{U/R}</t>
  </si>
  <si>
    <t>Oko's Hospitality / Hospitalidade de Oko</t>
  </si>
  <si>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</si>
  <si>
    <t>Biomass Mutation / Mutação de Biomassa</t>
  </si>
  <si>
    <t>Creatures you control have base power and toughness X/X until end of turn. / As criaturas que você controla se tornam X/X até o final do turno.</t>
  </si>
  <si>
    <t>{X}{G/U}{G/U}</t>
  </si>
  <si>
    <t>Hydroform / Hidroformar</t>
  </si>
  <si>
    <t>Target land becomes a 3/3 Elemental creature with flying until end of turn. It's still a land. / O terreno alvo torna-se uma criatura do tipo Elemental 3/3 com voar até o final do turno. Ela ainda conta como um terreno.</t>
  </si>
  <si>
    <t>Call to the Feast / Chamado ao Banquete</t>
  </si>
  <si>
    <t>Create three 1/1 white Vampire creature tokens with lifelink. / Crie três fichas de criatura branca 1/1 do tipo Vampiro com vínculo com a vida.</t>
  </si>
  <si>
    <t>Double Masters 2022 (2X2)</t>
  </si>
  <si>
    <t>Incongruência / Incongruity // Incubação / Incubation</t>
  </si>
  <si>
    <t>Mágica Instantânea / Instant // Feitiço / Sorcery</t>
  </si>
  <si>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</si>
  <si>
    <t>{1}{G}{U} // {G/U}</t>
  </si>
  <si>
    <t>Verde e Azul / Green and Blue</t>
  </si>
  <si>
    <t>Owlin Shieldmage / Escudomante Corujim</t>
  </si>
  <si>
    <t>Creature — Bird Warlock / Criatura — Ave Bruxo</t>
  </si>
  <si>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</si>
  <si>
    <t>{3}{W}{B}</t>
  </si>
  <si>
    <t>Harsh Sustenance / Sustento Árduo</t>
  </si>
  <si>
    <t>Harsh Sustenance deals X damage to any target and you gain X life, where X is the number of creatures you control. / Sustento Árduo causa X pontos de dano à criatura ou ao jogador alvo e você ganha X pontos de vida, sendo X o número de criaturas que você controla.</t>
  </si>
  <si>
    <t>{1}{W}{B}</t>
  </si>
  <si>
    <t>Spiteful Squad / Esquadrão Malévolo</t>
  </si>
  <si>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</si>
  <si>
    <t>Zealous Persecution / Perseguição Fervorosa</t>
  </si>
  <si>
    <t>Until end of turn, creatures you control get +1/+1 and creatures your opponents control get -1/-1. / Até o final do turno, as criaturas que você controla recebem +1/+1 e as criaturas que seus oponentes controlam recebem -1/-1.</t>
  </si>
  <si>
    <t>Vizkopa Vampire / Vampiro do Vizkopa</t>
  </si>
  <si>
    <t>Lifelink / Vínculo com a vida</t>
  </si>
  <si>
    <t>Beckon Apparition / Instigar Aparição</t>
  </si>
  <si>
    <t>Exile target card from a graveyard. Create a 1/1 white and black Spirit creature token with flying. / Exile o card alvo de um cemitério. Coloque no campo de batalha uma ficha de criatura branca e preta 1/1 do tipo Espírito com voar.</t>
  </si>
  <si>
    <t>Abigale, Poet Laureate // Heroic Stanza</t>
  </si>
  <si>
    <t>Legendary Creature — Bird Bard // Sorcery</t>
  </si>
  <si>
    <t>Abigale, Poet Laureate: Flying Whenever you cast a creature spell, Abigale becomes prepared. (While it's prepared, you may cast a copy of its spell. Doing so unprepares it.) // Heroic Stanza: Put a +1/+1 counter on target creature.</t>
  </si>
  <si>
    <t>{1}{W}{B} // {1}{W/B}</t>
  </si>
  <si>
    <t>High Priest of Penance / Alto Sacerdote de Penitência</t>
  </si>
  <si>
    <t>Whenever this creature is dealt damage, you may destroy target nonland permanent. / Toda vez que Alto Sacerdote de Penitência sofre dano, você pode destruir a permanente alvo que não seja um terreno.</t>
  </si>
  <si>
    <t>Aron, Benalia's Ruin / Aron, Ruína de Benália</t>
  </si>
  <si>
    <t>Legendary Creature — Phyrexian Human / Criatura Lendária — Phyrexiano Humano</t>
  </si>
  <si>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</si>
  <si>
    <t>{W}{W}{B}</t>
  </si>
  <si>
    <t>Nip Gwyllion / Gwyllion da Mordidela</t>
  </si>
  <si>
    <t>Creature — Hag / Criatura — Bruxa</t>
  </si>
  <si>
    <t>Lifelink (Damage dealt by this creature also causes you to gain that much life.) / Vínculo com a vida (Toda vez que esta criatura causa dano, você ganha aquela quantidade em pontos de vida.)</t>
  </si>
  <si>
    <t>Restless Apparition / Aparição Inquieta</t>
  </si>
  <si>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</si>
  <si>
    <t>Regal Bloodlord / Senhor Vampiro Régio</t>
  </si>
  <si>
    <t>Creature — Vampire Soldier / Criatura — Vampiro Soldado</t>
  </si>
  <si>
    <t>Flying At the beginning of each end step, if you gained life this turn, create a 1/1 black Bat creature token with flying. / Voar No início de cada etapa final, se você ganhou pontos de vida neste turno, crie uma ficha de criatura preta 1/1 do tipo Morcego com voar.</t>
  </si>
  <si>
    <t>Perda / Down // Lucro / Dirty</t>
  </si>
  <si>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</si>
  <si>
    <t>{2}{B} // {1}{W}</t>
  </si>
  <si>
    <t>Preto e Branco / Black and White</t>
  </si>
  <si>
    <t>Gravepurge / Expurgar Túmulo</t>
  </si>
  <si>
    <t>Put any number of target creature cards from your graveyard on top of your library. Draw a card. / Coloque qualquer número de cards de criatura alvo de seu cemitério no topo de seu grimório. Compre um card.</t>
  </si>
  <si>
    <t>Grim Roustabout / Servente Macabro</t>
  </si>
  <si>
    <t>Creature — Skeleton Warrior / Criatura — Esqueleto Guerreiro</t>
  </si>
  <si>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</si>
  <si>
    <t>Nocturnal Feeder</t>
  </si>
  <si>
    <t>Creature — Vampire Rogue</t>
  </si>
  <si>
    <t>Flying When this creature dies, each opponent loses 2 life and you gain 2 life.</t>
  </si>
  <si>
    <t>Diregraf Ghoul / Carniçal do Cemitério do Terror</t>
  </si>
  <si>
    <t>This creature enters tapped. / Carniçal do Cemitério do Terror entra no campo de batalha virado.</t>
  </si>
  <si>
    <t>Netcaster Spider / Aranha Lançadora de Rede</t>
  </si>
  <si>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</si>
  <si>
    <t>Mammoth Spider / Aranha Mamute</t>
  </si>
  <si>
    <t>Reach (This creature can block creatures with flying.) / Alcance</t>
  </si>
  <si>
    <t>Sejiri Steppe / Estepe de Sejiri</t>
  </si>
  <si>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</si>
  <si>
    <t>Tocasia's Dig Site / Sítio de Escavação de Tocasia</t>
  </si>
  <si>
    <t>{T}: Add {C}. {3}, {T}: Surveil 1. (Look at the top card of your library. You may put it into your graveyard.) / {T}: Adicione {C}. {3}, {T}: Use vigiar 1. (Olhe o card do topo de seu grimório. Você pode colocar aquele card em seu cemitério.)</t>
  </si>
  <si>
    <t>Shed Weakness / Eliminar Fraqueza</t>
  </si>
  <si>
    <t>Target creature gets +2/+2 until end of turn. You may remove a -1/-1 counter from it. / A criatura alvo recebe +2/+2 até o final do turno. Você pode remover um marcador -1/-1 dela.</t>
  </si>
  <si>
    <t>Greater Tanuki / Grande Tanuki</t>
  </si>
  <si>
    <t>Enchantment Creature — Dog / Criatura Encantamento — Cão</t>
  </si>
  <si>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</si>
  <si>
    <t>Bearer of Memory / Portadora da Memória</t>
  </si>
  <si>
    <t>Enchantment Creature — Human Monk / Criatura Encantamento — Humano Monge</t>
  </si>
  <si>
    <t>{5}{G}: Put a +1/+1 counter on target enchantment creature. It gains trample until end of turn. / {5}{G}: Coloque um marcador +1/+1 na criatura encantamento alvo. Ela ganha atropelar até o final do turno.</t>
  </si>
  <si>
    <t>Ionizar / Ionize</t>
  </si>
  <si>
    <t>Anule a mágica alvo. Ionizar causa 2 pontos de dano ao controlador daquela mágica. / Counter target spell. Ionize deals 2 damage to that spell's controller.</t>
  </si>
  <si>
    <t>Azul e Vermelho / Blue and Red</t>
  </si>
  <si>
    <t>Estupefazer / Bedazzle // Embelezar / Biggify</t>
  </si>
  <si>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</si>
  <si>
    <t>{4}{B}{R} // {R/G}{R/G}</t>
  </si>
  <si>
    <t>Preto e Vermelho / Black and Red</t>
  </si>
  <si>
    <t>Desarticulação / Connive // Descoberta / Discovery</t>
  </si>
  <si>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</si>
  <si>
    <t>{3}{U}{B} // {1}{U/B}</t>
  </si>
  <si>
    <t>Akoum Hellhound / Sabujo Infernal de Akoum</t>
  </si>
  <si>
    <t>Creature — Elemental Dog / Criatura — Elemental Cão</t>
  </si>
  <si>
    <t>Landfall — Whenever a land you control enters, this creature gets +2/+2 until end of turn. / Aterragem — Toda vez que um terreno entra no campo de batalha sob seu controle, Sabujo Infernal de Akoum recebe +2/+2 até o final do turno.</t>
  </si>
  <si>
    <t>Skyclave Geopede / Geopede do Enclave Celeste</t>
  </si>
  <si>
    <t>Trample Landfall — Whenever a land you control enters, this creature gets +2/+2 until end of turn. / Atropelar Aterragem — Toda vez que um terreno entra no campo de batalha sob seu controle, Geopede do Enclave Celeste recebe +2/+2 até o final do turno.</t>
  </si>
  <si>
    <t>Maw of Kozilek / Gorja de Kozilek</t>
  </si>
  <si>
    <t>Devoid (This card has no color.) {C}: This creature gets +2/-2 until end of turn. ({C} represents colorless mana.) / Desprovido (Este card não tem cor.) {C}: Gorja de Kozilek recebe +2/-2 até o final do turno. ({C} representa mana incolor.)</t>
  </si>
  <si>
    <t>Eldrazi Aggressor / Agressor Eldrazi</t>
  </si>
  <si>
    <t>Devoid (This card has no color.) This creature has haste as long as you control another colorless creature. / Desprovido (Este card não tem cor.) Agressor Eldrazi terá ímpeto enquanto você controlar outra criatura incolor.</t>
  </si>
  <si>
    <t>Fire Elemental / Elemental do Fogo</t>
  </si>
  <si>
    <t>Fling / Arremessar</t>
  </si>
  <si>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</si>
  <si>
    <t>Blindblast / Explosão Cegante</t>
  </si>
  <si>
    <t>Blindblast deals 1 damage to target creature. That creature can't block this turn. Draw a card. / Explosão Cegante causa 1 ponto de dano à criatura alvo. Aquela criatura não pode bloquear neste turno. Compre um card.</t>
  </si>
  <si>
    <t>Boulderfall / Queda-de-pedra</t>
  </si>
  <si>
    <t>Boulderfall deals 5 damage divided as you choose among any number of targets. / Queda-de-pedra causa 5 pontos de dano distribuídos à sua escolha entre qualquer número de criaturas e/ou jogadores alvo.</t>
  </si>
  <si>
    <t>Magma Jet</t>
  </si>
  <si>
    <t>Magma Jet deals 2 damage to target creature or player. Scry 2. (To scry 2, look at the top two cards of your library, then put any number of them on the bottom of your library and the rest on top in any order.)</t>
  </si>
  <si>
    <t xml:space="preserve">Duel Decks: Jace vs. Chandra </t>
  </si>
  <si>
    <t>Ancient Grudge / Rancor Antigo</t>
  </si>
  <si>
    <t>Destroy target artifact. Flashback {G} (You may cast this card from your graveyard for its flashback cost. Then exile it.) / Destrua o artefato alvo. Recapitular {G} (Você pode conjurar este card de seu cemitério pagando seu custo de recapitular. Depois, exile-o.)</t>
  </si>
  <si>
    <t>Time Spiral Remastered (TSR)</t>
  </si>
  <si>
    <t>Scorching Dragonfire / Fogo Dracônico Escaldante</t>
  </si>
  <si>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</si>
  <si>
    <t>Electrickery / Eletrotruque</t>
  </si>
  <si>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</si>
  <si>
    <t>Galvanic Blast / Explosão Galvânica</t>
  </si>
  <si>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</si>
  <si>
    <t>Abrade / Abrasão</t>
  </si>
  <si>
    <t>Choose one — • Abrade deals 3 damage to target creature. • Destroy target artifact. / Escolha um — • Abrasão causa 3 pontos de dano à criatura alvo. • Destrua o artefato alvo.</t>
  </si>
  <si>
    <t>Mardu Warshrieker / Bradador de Guerra Mardu</t>
  </si>
  <si>
    <t>Creature — Orc Shaman / Criatura — Orc Xamã</t>
  </si>
  <si>
    <t>Raid — When this creature enters, if you attacked this turn, add {R}{W}{B}. / Raide — Quando Bradador de Guerra Mardu entra no campo de batalha, se você atacou com uma criatura neste turno, adicione {R}{W}{B} à sua reserva de mana.</t>
  </si>
  <si>
    <t>Tuktuk Rubblefort / Forte dos Escombros Tuktuk</t>
  </si>
  <si>
    <t>Creature — Wall / Criatura — Barreira</t>
  </si>
  <si>
    <t>Defender, reach Creatures you control have haste. / Defensor, alcance As criaturas que você controla têm ímpeto.</t>
  </si>
  <si>
    <t>Raging Kronch / Kronch Enfurecido</t>
  </si>
  <si>
    <t>This creature can't attack alone. / Kronch Enfurecido não pode atacar sozinho.</t>
  </si>
  <si>
    <t>Hyena Pack / Alcateia de Hienas</t>
  </si>
  <si>
    <t>Creature — Hyena / Criatura — Hiena</t>
  </si>
  <si>
    <t>Crimson Fleet Commodore / Comodoro da Frota Carmesim</t>
  </si>
  <si>
    <t>Creature — Ogre Pirate / Criatura — Ogro Pirata</t>
  </si>
  <si>
    <t>Trample When this creature enters, you become the monarch. / Atropelar Quando Comodoro da Frota Carmesim entra no campo de batalha, você se torna o monarca.</t>
  </si>
  <si>
    <t>Lay of the Land / Configuração do Terreno</t>
  </si>
  <si>
    <t>Search your library for a basic land card, reveal it, put it into your hand, then shuffle. / Procure um card de terreno básico em seu grimório, revele-o, coloque-o em sua mão e, depois, embaralhe seu grimório.</t>
  </si>
  <si>
    <t>Defiant Khenra / Khenra Audaz</t>
  </si>
  <si>
    <t>Creature — Jackal Warrior / Criatura — Chacal Guerreiro</t>
  </si>
  <si>
    <t>Stampeding Horncrest / Cristocórneo Desembestado</t>
  </si>
  <si>
    <t>This creature has haste as long as you control another Dinosaur. / Cristocórneo Desembestado terá ímpeto enquanto você controlar outro Dinossauro.</t>
  </si>
  <si>
    <t>Lathnu Sailback / Dorsoveleiro de Lathnu</t>
  </si>
  <si>
    <t>Creature — Lizard / Criatura — Lagarto</t>
  </si>
  <si>
    <t>Burn the Accursed / Queimar os Amaldiçoados</t>
  </si>
  <si>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</si>
  <si>
    <t>Heartfire / Fogo Interior</t>
  </si>
  <si>
    <t>As an additional cost to cast this spell, sacrifice a creature or planeswalker. Heartfire deals 4 damage to any target. / Como custo adicional para conjurar esta mágica, sacrifique uma criatura ou um planeswalker. Fogo Interior causa 4 pontos de dano a qualquer alvo.</t>
  </si>
  <si>
    <t>Sure Strike / Golpe Certeiro</t>
  </si>
  <si>
    <t>Target creature gets +3/+0 and gains first strike until end of turn. (It deals combat damage before creatures without first strike.) / A criatura alvo recebe +3/+0 e ganha iniciativa até o final do turno.</t>
  </si>
  <si>
    <t>Final Flare / Fulgor Final</t>
  </si>
  <si>
    <t>As an additional cost to cast this spell, sacrifice a creature or enchantment. Final Flare deals 5 damage to target creature. / Como custo adicional para conjurar esta mágica, sacrifique uma criatura ou um encantamento. Fulgor Final causa 5 pontos de dano à criatura alvo.</t>
  </si>
  <si>
    <t>Inordinate Rage / Fúria Desmedida</t>
  </si>
  <si>
    <t>Target creature gets +3/+2 until end of turn. Scry 1. / A criatura alvo recebe +3/+2 até o final do turno. Use vidência 1.</t>
  </si>
  <si>
    <t>Smash to Smithereens / Reduzir a Cacos</t>
  </si>
  <si>
    <t>Destroy target artifact. Smash to Smithereens deals 3 damage to that artifact's controller. / Destrua o artefato alvo. Reduzir a Cacos causa 3 pontos de dano ao controlador daquele artefato.</t>
  </si>
  <si>
    <t>Friday Night Magic 2016 (F16)</t>
  </si>
  <si>
    <t xml:space="preserve">Pântano Sombrio </t>
  </si>
  <si>
    <t>Tiamat's Fanatics / Fanáticos de Tiamat</t>
  </si>
  <si>
    <t>Creature — Dragon Warrior / Criatura — Dragão Guerreiro</t>
  </si>
  <si>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</si>
  <si>
    <t>Hulking Devil / Diabo Brutamontes</t>
  </si>
  <si>
    <t>Shadows over Innistrad (SOI)</t>
  </si>
  <si>
    <t>Hoarding Ogre / Ogro Acumulador</t>
  </si>
  <si>
    <t>Creature — Ogre / Criatura — Ogro</t>
  </si>
  <si>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</si>
  <si>
    <t>Bloodfire Expert / Especialista Sangue-ígneo</t>
  </si>
  <si>
    <t>Creature — Efreet Monk / Criatura — Efrite Monge</t>
  </si>
  <si>
    <t>Prowess (Whenever you cast a noncreature spell, this creature gets +1/+1 until end of turn.) / Destreza (Toda vez que você conjura uma mágica que não seja de criatura, esta criatura recebe +1/+1 até o final do turno.)</t>
  </si>
  <si>
    <t>Nyxborn Brute / Bruto Nyxnato</t>
  </si>
  <si>
    <t>Enchantment Creature — Cyclops / Criatura Encantamento — Ciclope</t>
  </si>
  <si>
    <t>Cyclops of One-Eyed Pass / Ciclope da Passagem Caolha</t>
  </si>
  <si>
    <t>Creature — Cyclops / Criatura — Ciclope</t>
  </si>
  <si>
    <t>Nahiri's Stoneblades / Litolâminas de Nahiri</t>
  </si>
  <si>
    <t>Up to two target creatures each get +2/+0 until end of turn. / Até duas criaturas alvo recebem +2/+0 cada uma até o final do turno.</t>
  </si>
  <si>
    <t>Shatter / Estilhaçar</t>
  </si>
  <si>
    <t>Destroy target artifact. / Destrua o artefato alvo.</t>
  </si>
  <si>
    <t>Clash of Titans / Batalha dos Titãs</t>
  </si>
  <si>
    <t>Target creature fights another target creature. (Each deals damage equal to its power to the other.) / A criatura alvo luta com outra criatura alvo. (Cada uma causa dano igual ao seu poder à outra.)</t>
  </si>
  <si>
    <t>Swift Kick / Chute Veloz</t>
  </si>
  <si>
    <t>Target creature you control gets +1/+0 until end of turn. It fights target creature you don't control. / A criatura alvo que você controla recebe +1/+0 até o final do turno. Ela luta com a criatura alvo que você não controla.</t>
  </si>
  <si>
    <t>Trumpet Blast / Soar da Trombeta</t>
  </si>
  <si>
    <t>Attacking creatures get +2/+0 until end of turn. / As criaturas atacantes recebem +2/+0 até o final do turno.</t>
  </si>
  <si>
    <t>Dangerous Wager / Aposta Arriscada</t>
  </si>
  <si>
    <t>Discard your hand, then draw two cards. / Descarte sua mão e depois compre dois cards.</t>
  </si>
  <si>
    <t>Earth Elemental / Elemental da Terra</t>
  </si>
  <si>
    <t>Décima edição</t>
  </si>
  <si>
    <t>Ohran Yeti / Yeti de Ohran</t>
  </si>
  <si>
    <t>Snow Creature — Yeti / Criatura da Neve — Yeti</t>
  </si>
  <si>
    <t>{2}{S}: Target snow creature gains first strike until end of turn. ({S} can be paid with one mana from a snow source.) / {2}{S}: A criatura da neve alvo ganha iniciativa até o final do turno. ({S} pode ser pago com um mana de uma permanente da neve.)</t>
  </si>
  <si>
    <t>Skyraker Giant / Gigante Varredor do Céu</t>
  </si>
  <si>
    <t>Reach (This creature can block creatures with flying.) / Alcance (Esta criatura pode bloquear criaturas com voar.)</t>
  </si>
  <si>
    <t>Pharagax Giant / Gigante de Faragax</t>
  </si>
  <si>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</si>
  <si>
    <t>Hagi Mob / Turba de Hagis</t>
  </si>
  <si>
    <t>Creature — Troll Berserker / Criatura — Trol Amoque</t>
  </si>
  <si>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</si>
  <si>
    <t>Summit Prowler / Espreitador do Cume</t>
  </si>
  <si>
    <t>Creature — Yeti / Criatura — Yeti</t>
  </si>
  <si>
    <t>Jiwari, the Earth Aflame / Jiwari, a Terra em Chamas</t>
  </si>
  <si>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</si>
  <si>
    <t>Saviors of Kamigawa (SOK)</t>
  </si>
  <si>
    <t>Goblin Roughrider / Cavaleiro Valente Goblin</t>
  </si>
  <si>
    <t>Creature — Goblin Knight / Criatura — Goblin Cavaleiro</t>
  </si>
  <si>
    <t>Grotag Bug-Catcher / Pega-bicho Grotag</t>
  </si>
  <si>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</si>
  <si>
    <t>Russet Wolves / Lobos Castanhos</t>
  </si>
  <si>
    <t>Swarming Goblins / Enxame de Goblins</t>
  </si>
  <si>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</si>
  <si>
    <t>Stampede Rider / Ginete da Debandada</t>
  </si>
  <si>
    <t>Creature — Satyr / Criatura — Sátiro</t>
  </si>
  <si>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</si>
  <si>
    <t>Precise Strike / Golpe Preciso</t>
  </si>
  <si>
    <t>Target creature gets +1/+0 and gains first strike until end of turn. / A criatura alvo recebe +1/+0 e ganha iniciativa até o final do turno.</t>
  </si>
  <si>
    <t>Stonefury / Litofúria</t>
  </si>
  <si>
    <t>Stonefury deals damage to target creature equal to the number of lands you control. / Litofúria causa à criatura alvo uma quantidade de dano igual ao número de terrenos que você controla.</t>
  </si>
  <si>
    <t>Lunar Frenzy / Frenesi Lunar</t>
  </si>
  <si>
    <t>Target creature you control gets +X/+0 and gains first strike and trample until end of turn. / A criatura alvo que você controla recebe +X/+0 e ganha iniciativa e atropelar até o final do turno.</t>
  </si>
  <si>
    <t>{X}{R}</t>
  </si>
  <si>
    <t>Electrify / Eletrificar</t>
  </si>
  <si>
    <t>Electrify deals 4 damage to target creature. / Eletrificar causa 4 pontos de dano à criatura alvo.</t>
  </si>
  <si>
    <t>Unholy Heat / Calor Profano</t>
  </si>
  <si>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</si>
  <si>
    <t>Secret Lair Promo (SLP)</t>
  </si>
  <si>
    <t>Fight with Fire / Enfrentar com Fogo</t>
  </si>
  <si>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</si>
  <si>
    <t>Craterize / Craterizar</t>
  </si>
  <si>
    <t>Destroy target land. / Destrua o terreno alvo.</t>
  </si>
  <si>
    <t>Chain Lightning / Relâmpago em Cadeia</t>
  </si>
  <si>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</si>
  <si>
    <t>Fanged Flames / Chamas Dentadas</t>
  </si>
  <si>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</si>
  <si>
    <t>Skewer the Critics / Alfinetada nos Críticos</t>
  </si>
  <si>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</si>
  <si>
    <t>Faithless Looting / Pilhagem Infiel</t>
  </si>
  <si>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</si>
  <si>
    <t>Destructive Tampering / Modificação Destrutiva</t>
  </si>
  <si>
    <t>Choose one — • Destroy target artifact. • Creatures without flying can't block this turn. / Escolha um — • Destrua o artefato alvo. • As criaturas sem voar não podem bloquear neste turno.</t>
  </si>
  <si>
    <t>Mugging / Assaltar</t>
  </si>
  <si>
    <t>Mugging deals 2 damage to target creature. That creature can't block this turn. / Assaltar causa 2 pontos de dano à criatura alvo. Aquela criatura não pode bloquear neste turno.</t>
  </si>
  <si>
    <t>Thundering Rebuke / Repreensão Trovejante</t>
  </si>
  <si>
    <t>Thundering Rebuke deals 4 damage to target creature or planeswalker. / Repreensão Trovejante causa 4 pontos de dano à criatura ou ao planeswalker alvo.</t>
  </si>
  <si>
    <t>Reduce to Ashes / Reduzir a Cinzas</t>
  </si>
  <si>
    <t>Reduce to Ashes deals 5 damage to target creature. If that creature would die this turn, exile it instead. / Reduzir a Cinzas causa 5 pontos de dano à criatura alvo. Se aquela criatura for morrer neste turno, em vez disso, exile-a.</t>
  </si>
  <si>
    <t>Goblin Gathering / Encontro de Goblins</t>
  </si>
  <si>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</si>
  <si>
    <t>Hordeling Outburst / Ataque da Mini-horda</t>
  </si>
  <si>
    <t>Create three 1/1 red Goblin creature tokens. / Coloque no campo de batalha três fichas de criatura vermelhas 1/1 do tipo Goblin.</t>
  </si>
  <si>
    <t>{1}{R}{R}</t>
  </si>
  <si>
    <t>Cavalcade of Calamity / Parada da Calamidade</t>
  </si>
  <si>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</si>
  <si>
    <t>Trial of Zeal / Prova do Zelo</t>
  </si>
  <si>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</si>
  <si>
    <t>Fearsome Temper / Temperamento Medonho</t>
  </si>
  <si>
    <t>Enchant creature Enchanted creature gets +2/+2 and has "{2}{R}: Target creature can't block this creature this turn." / Encantar criatura A criatura encantada recebe +2/+2 e tem "{2}{R}: A criatura alvo não pode bloquear esta criatura neste turno."</t>
  </si>
  <si>
    <t>Battle Plan / Plano de Batalha</t>
  </si>
  <si>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</si>
  <si>
    <t>Dragon Grip / Garra do Dragão</t>
  </si>
  <si>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</si>
  <si>
    <t>Crackling Perimeter / Perímetro de Crepitação</t>
  </si>
  <si>
    <t>Tap an untapped Gate you control: This enchantment deals 1 damage to each opponent. / Vire um Portão desvirado que você controla: Perímetro de Crepitação causa 1 ponto de dano a cada oponente.</t>
  </si>
  <si>
    <t>Aspect of Manticore / Aspecto da Mantícora</t>
  </si>
  <si>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</si>
  <si>
    <t>Blood Sun / Sol Sangrento</t>
  </si>
  <si>
    <t>When this enchantment enters, draw a card. All lands lose all abilities except mana abilities. / Quando Sol Sangrento entrar no campo de batalha, compre um card. Todos os terrenos perdem todas as habilidades, exceto as habilidades de mana.</t>
  </si>
  <si>
    <t>The Flame of Keld / A Chama de Keld</t>
  </si>
  <si>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</si>
  <si>
    <t>Barbed Batterfist / Punho Batedor Farpado</t>
  </si>
  <si>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</si>
  <si>
    <t>Phyrexia: All Will Be One (ONE)</t>
  </si>
  <si>
    <t>Scavenged Blade / Lâmina Salvada</t>
  </si>
  <si>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</si>
  <si>
    <t>Shah of Naar Isle / Xá da Ilha Naar</t>
  </si>
  <si>
    <t>Creature — Efreet / Criatura — Efrite</t>
  </si>
  <si>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</si>
  <si>
    <t>Future Sight (FUT)</t>
  </si>
  <si>
    <t>Clamor Shaman / Xamã do Clamor</t>
  </si>
  <si>
    <t>Creature — Goblin Shaman / Criatura — Goblin Xamã</t>
  </si>
  <si>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</si>
  <si>
    <t>Goblin Brawler / Rufião Goblin</t>
  </si>
  <si>
    <t>First strike This creature can't be equipped. / Iniciativa Rufião Goblin não pode ser equipado.</t>
  </si>
  <si>
    <t>Krark-Clan Stoker / Foguista do Clã de Krark</t>
  </si>
  <si>
    <t>Creature — Goblin Shaman / Criatura — Xamã Goblin</t>
  </si>
  <si>
    <t>{T}, Sacrifice an artifact: Add {R}{R}. / {T}, Sacrifique um artefato: Adiciona {R}{R} à sua reserva de mana.</t>
  </si>
  <si>
    <t>Torpid Moloch / Moloch Tórpido</t>
  </si>
  <si>
    <t>Creature — Lizard / Criatura - Lagarto</t>
  </si>
  <si>
    <t>Defender (This creature can't attack.) Sacrifice three lands: This creature loses defender until end of turn. / Defensor (Esta criatura não pode atacar.) Sacrifique três terrenos: Moloch Tórpido perde a habilidade de defensor até o final do turno.</t>
  </si>
  <si>
    <t>Mardu Blazebringer / Arauto da Chama Mardu</t>
  </si>
  <si>
    <t>When this creature attacks or blocks, sacrifice it at end of combat. / Quando Arauto da Chama Mardu atacar ou bloquear, sacrifique-o no final do combate.</t>
  </si>
  <si>
    <t>Brothers Yamazaki</t>
  </si>
  <si>
    <t>Legendary Creature — Human Samurai</t>
  </si>
  <si>
    <t>Bushido 1 (Whenever this creature blocks or becomes blocked, it gets +1/+1 until end of turn.) If there are exactly two permanents named Brothers Yamazaki on the battlefield, the "legend rule" doesn't apply to them. Each other creature named Brothers Yamazaki gets +2/+2 and has haste.</t>
  </si>
  <si>
    <t>Warehouse Thief / Ladrão de Armazéns</t>
  </si>
  <si>
    <t>Creature — Tiefling Rogue / Criatura — Tiferino Ladino</t>
  </si>
  <si>
    <t>{2}, {T}, Sacrifice an artifact or creature: Exile the top card of your library. Until the end of your next turn, you may play that card. / {2}, {T}, sacrifique um artefato ou uma criatura: Exile o card do topo de seu grimório. Até o final do seu próximo turno, você pode jogar aquele card.</t>
  </si>
  <si>
    <t>Virado para a direita</t>
  </si>
  <si>
    <t>Grotag Night-Runner / Corredor Noturno Grotag</t>
  </si>
  <si>
    <t>Creature — Goblin Rogue / Criatura — Goblin Ladino</t>
  </si>
  <si>
    <t>Whenever this creature deals combat damage to a player, exile the top card of your library. You may play that card this turn. / Toda vez que Corredor Noturno Grotag causar dano de combate a um jogador, exile o card do topo de seu grimório. Você pode jogar aquele card neste turno.</t>
  </si>
  <si>
    <t>Reckless Fireweaver / Flamitecelão Temerário</t>
  </si>
  <si>
    <t>Creature — Human Artificer / Criatura — Humano Artesão</t>
  </si>
  <si>
    <t>Whenever an artifact you control enters, this creature deals 1 damage to each opponent. / Toda vez que um artefato entra no campo de batalha sob seu controle, Flamitecelão Temerário causa 1 ponto de dano a cada oponente.</t>
  </si>
  <si>
    <t>Brazen Freebooter / Filibusteira Brônzea</t>
  </si>
  <si>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</si>
  <si>
    <t>Creepy Puppeteer / Titereira Sinistra</t>
  </si>
  <si>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</si>
  <si>
    <t>Tilonalli's Knight / Cavaleiro de Tilonalli</t>
  </si>
  <si>
    <t>Whenever this creature attacks, if you control a Dinosaur, this creature gets +1/+1 until end of turn. / Toda vez que Cavaleiro de Tilonalli ataca, se você controlar um Dinossauro, Cavaleiro de Tilonalli recebe +1/+1 até o final do turno.</t>
  </si>
  <si>
    <t>Tiger-Tribe Hunter / Caçadora da Tribo do Tigre</t>
  </si>
  <si>
    <t>Creature — Human Barbarian / Criatura — Humano Bárbaro</t>
  </si>
  <si>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</si>
  <si>
    <t>Flamewake Phoenix / Fênix do Rastro Flamejante</t>
  </si>
  <si>
    <t>Creature — Phoenix / Criatura — Fênix</t>
  </si>
  <si>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</si>
  <si>
    <t>Krark-Clan Grunt / Recruta do Clã de Krark</t>
  </si>
  <si>
    <t>Sacrifice an artifact: This creature gets +1/+0 and gains first strike until end of turn. / Sacrifique um artefato: Recruta do Clã de Krark recebe +1/+0 e ganha iniciativa até o final do turno.</t>
  </si>
  <si>
    <t>Izzet Chemister / Quimiomante Izzet</t>
  </si>
  <si>
    <t>Creature — Goblin Wizard / Criatura — Goblin Mago</t>
  </si>
  <si>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</si>
  <si>
    <t>Krenko, Baron of Tin Street / Krenko, Barão da Rua do Estanho</t>
  </si>
  <si>
    <t>Legendary Creature — Goblin / Criatura Lendária — Goblin</t>
  </si>
  <si>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</si>
  <si>
    <t>Squee, the Immortal / Squee, o Imortal</t>
  </si>
  <si>
    <t>You may cast this card from your graveyard or from exile. / Você pode conjurar Squee, o Imortal, a partir de seu cemitério ou do exílio.</t>
  </si>
  <si>
    <t>Keldon Raider / Saqueadora Keldoniana</t>
  </si>
  <si>
    <t>When this creature enters, you may discard a card. If you do, draw a card. / Quando Saqueadora Keldoniana entra no campo de batalha, você pode descartar um card. Se fizer isso, compre um card.</t>
  </si>
  <si>
    <t>Rampaging Cyclops / Ciclope Enfurecido</t>
  </si>
  <si>
    <t>This creature gets -2/-0 as long as two or more creatures are blocking it. / Ciclope Enfurecido recebe -2/-0 enquanto duas ou mais criaturas o estiverem bloqueando.</t>
  </si>
  <si>
    <t>War-Name Aspirant / Aspirante a Nome de Guerra</t>
  </si>
  <si>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</si>
  <si>
    <t>Blistering Dieflyn / Dieflyn Ardente</t>
  </si>
  <si>
    <t>Creature — Imp / Criatura — Diabrete</t>
  </si>
  <si>
    <t>Flying {B/R}: This creature gets +1/+0 until end of turn. / Voar {B/R}: Dieflyn Ardente recebe +1/+0 até o final do turno.</t>
  </si>
  <si>
    <t>Regathan Firecat / Felino Ígneo Regathano</t>
  </si>
  <si>
    <t>Creature — Elemental Cat / Criatura — Elemental Felino</t>
  </si>
  <si>
    <t>Hero of the Games / Herói dos Jogos</t>
  </si>
  <si>
    <t>Whenever you cast a spell that targets this creature, creatures you control get +1/+0 until end of turn. / Toda vez que você conjura uma mágica que tenha como alvo Herói dos Jogos, as criaturas que você controla recebem +1/+0 até o final do turno.</t>
  </si>
  <si>
    <t>Flamewave Invoker / Invocador da Onda de Chamas</t>
  </si>
  <si>
    <t>Creature — Goblin Mutant / Criatura — Goblin Mutante</t>
  </si>
  <si>
    <t>{7}{R}: This creature deals 5 damage to target player or planeswalker. / {7}{R}: Invocador da Onda de Chamas causa 5 pontos de dano ao jogador alvo.</t>
  </si>
  <si>
    <t>Frenzied Raptor / Raptor Frenético</t>
  </si>
  <si>
    <t>Thundering Raiju / Raiju Trovejante</t>
  </si>
  <si>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</si>
  <si>
    <t>Viashino Fangtail / Viashino Cauda Canina</t>
  </si>
  <si>
    <t>Creature — Lizard Warrior / Criatura - Guerreiro Viashino</t>
  </si>
  <si>
    <t>{T}: This creature deals 1 damage to any target. / {T}: Viashino Cauda Canina causa 1 ponto de dano à criatura alvo ou ao jogador alvo.</t>
  </si>
  <si>
    <t>Spitfire Lagac / Lagac Cospe-fogo</t>
  </si>
  <si>
    <t>Landfall — Whenever a land you control enters, this creature deals 1 damage to each opponent. / Aterragem — Toda vez que um terreno entra no campo de batalha sob seu controle, Lagac Cospe-fogo causa 1 ponto de dano a cada oponente.</t>
  </si>
  <si>
    <t>Ripscale Predator / Predador da Escama Dilacerante</t>
  </si>
  <si>
    <t>Creature — Dinosaur / Criatura — Lagarto</t>
  </si>
  <si>
    <t>Menace (This creature can't be blocked except by two or more creatures.) / Predador da Escama Dilacerante só pode ser bloqueado por duas ou mais criaturas.</t>
  </si>
  <si>
    <t>Sun-Crowned Hunters / Caçadores Coroa-de-sol</t>
  </si>
  <si>
    <t>Enrage — Whenever this creature is dealt damage, it deals 3 damage to target opponent or planeswalker. / Enfurecer —Toda vez que Caçadores Coroa-de-sol sofre dano, ele causa 3 pontos de dano ao oponente alvo.</t>
  </si>
  <si>
    <t>Thrash of Raptors / Bando de Raptores</t>
  </si>
  <si>
    <t>As long as you control another Dinosaur, this creature gets +2/+0 and has trample. / Enquanto você controlar outro Dinossauro, Bando de Raptores receberá +2/+0 e terá atropelar.</t>
  </si>
  <si>
    <t>Voldaren Stinger / Ferroadora Voldaren</t>
  </si>
  <si>
    <t>This creature has first strike as long as it's attacking. {2}{R}: This creature gets +2/+0 until end of turn. / Ferroadora Voldaren tem iniciativa enquanto estiver atacando. {2}{R}: Ferroadora Voldaren recebe +2/+0 até o final do turno.</t>
  </si>
  <si>
    <t>Mounted Dreadknight / Cavaleiro do Pavor Montado</t>
  </si>
  <si>
    <t>Creature — Vampire Knight / Criatura — Vampiro Cavaleiro</t>
  </si>
  <si>
    <t>Trample This creature enters with a +1/+1 counter on it if an opponent lost life this turn. / Atropelar Cavaleiro do Pavor Montado entra no campo de batalha com um marcador +1/+1 se um oponente perdeu pontos de vida neste turno.</t>
  </si>
  <si>
    <t>Hissing Iguanar / Iguanar Sibilante</t>
  </si>
  <si>
    <t>Whenever another creature dies, you may have this creature deal 1 damage to target player or planeswalker. / Toda vez que outra criatura for colocada no cemitério vinda do jogo, você pode fazer com que Iguanar Sibilante cause 1 ponto de dano ao jogador alvo.</t>
  </si>
  <si>
    <t>Devastador de Lambholt / Lambholt Ravager</t>
  </si>
  <si>
    <t>Criatura — Lobo / Creature — Wolf</t>
  </si>
  <si>
    <t>{3}{R}: A criatura alvo não pode bloquear neste turno. / {3}{R}: Target creature can't block this turn.</t>
  </si>
  <si>
    <t>Vermelho / Red</t>
  </si>
  <si>
    <t>Ciclope do Chicote-corrente / Chainwhip Cyclops</t>
  </si>
  <si>
    <t>Criatura — Ciclope Guerreiro / Creature — Cyclops Warrior</t>
  </si>
  <si>
    <t>Caçador de Duas Cabeças / Two-Headed Hunter</t>
  </si>
  <si>
    <t>Criatura — Gigante / Creature — Giant</t>
  </si>
  <si>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</si>
  <si>
    <t>{4}{R} // {1}{R}</t>
  </si>
  <si>
    <t>Esguicho de Magma / Magma Spray</t>
  </si>
  <si>
    <t>Esguicho de Magma causa 2 pontos de dano à criatura alvo. Se aquela criatura for morrer neste turno, em vez disso, exile-a. / Magma Spray deals 2 damage to target creature. If that creature would die this turn, exile it instead.</t>
  </si>
  <si>
    <t>Guerreiro de Akoum / Akoum Warrior</t>
  </si>
  <si>
    <t>Criatura — Minotauro Guerreiro / Creature — Minotaur Warrior</t>
  </si>
  <si>
    <t>Atropelar. / Trample.</t>
  </si>
  <si>
    <t>Grizzly Bears / Ursos Cinzentos</t>
  </si>
  <si>
    <t>Creature — Bear / Criatura — Urso</t>
  </si>
  <si>
    <t>Runeclaw Bear / Urso Garra de Runa</t>
  </si>
  <si>
    <t>Magic 20105 (M15)</t>
  </si>
  <si>
    <t>Rise of the Ants / Ascensão das Formigas</t>
  </si>
  <si>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</si>
  <si>
    <t>Horrific Assault / Assalto Horripilante</t>
  </si>
  <si>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</si>
  <si>
    <t>Blessing of Frost / Bênção da Geada</t>
  </si>
  <si>
    <t>Snow Sorcery / Feitiço da Neve</t>
  </si>
  <si>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</si>
  <si>
    <t>Charge of the Forever-Beast / Carga da Fera Eterna</t>
  </si>
  <si>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</si>
  <si>
    <t>Adventure Awaits / Aventura à Espera</t>
  </si>
  <si>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</si>
  <si>
    <t>Bestial Menace / Ameaça Bestial</t>
  </si>
  <si>
    <t>Create a 1/1 green Snake creature token, a 2/2 green Wolf creature token, and a 3/3 green Elephant creature token. / Crie uma ficha de criatura Cobra verde 1/1, uma ficha de criatura Lobo verde 2/2 e uma ficha de criatura Elefante verde 3/3.</t>
  </si>
  <si>
    <t>Prey Upon / Apresar</t>
  </si>
  <si>
    <t>Target creature you control fights target creature you don't control. (Each deals damage equal to its power to the other.) / A criatura alvo que você controla luta com a criatura alvo que você não controla. (Cada uma causa à outra uma quantidade de dano igual ao próprio poder.)</t>
  </si>
  <si>
    <t>You Meet in a Tavern / Vocês se Encontram numa Taverna</t>
  </si>
  <si>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</si>
  <si>
    <t>Colossal Dreadmask / Máscara Sinistra Colossal</t>
  </si>
  <si>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</si>
  <si>
    <t>Boseiju Reaches Skyward // Branch of Boseiju / Boseiju Alcança as Alturas // Galho de Boseiju</t>
  </si>
  <si>
    <t>Enchantment — Saga // Enchantment Creature — Plant / Encantamento — Saga</t>
  </si>
  <si>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</si>
  <si>
    <t>Verdant Haven / Refúgio Verdejante</t>
  </si>
  <si>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</si>
  <si>
    <t>Vastwood Zendikon / Zendikon de Matavasta</t>
  </si>
  <si>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</si>
  <si>
    <t>Find the Path / Encontrar o Caminho</t>
  </si>
  <si>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</si>
  <si>
    <t>Feral Invocation / Invocação Feral</t>
  </si>
  <si>
    <t>Flash (You may cast this spell any time you could cast an instant.) Enchant creature Enchanted creature gets +2/+2. / Lampejo (Você poderá conjurar esta mágica a qualquer momento em que puder conjurar uma mágica instantânea.) Encantar criatura A criatura encantada recebe +2/+2.</t>
  </si>
  <si>
    <t>Grafted Growth / Crescimento Enxertado</t>
  </si>
  <si>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</si>
  <si>
    <t>Encroaching Dragonstorm</t>
  </si>
  <si>
    <t>When this enchantment enters, search your library for up to two basic land cards, put them onto the battlefield tapped, then shuffle. When a Dragon you control enters, return this enchantment to its owner's hand.</t>
  </si>
  <si>
    <t>Tarkir: Dragonstorm (TDM)</t>
  </si>
  <si>
    <t>Hunter's Mark / Marca do Predador</t>
  </si>
  <si>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</si>
  <si>
    <t>Clinging Mists / Brumas Pegajosas</t>
  </si>
  <si>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</si>
  <si>
    <t>Savage Hunger / Fome Selvagem</t>
  </si>
  <si>
    <t>Enchant creature Enchanted creature gets +1/+0 and has trample. Cycling {2} ({2}, Discard this card: Draw a card.) / Encantar criatura A criatura encantada recebe +1/+0 e tem atropelar. Reciclar {2} ({2}, Descarte este card: Compre um card.)</t>
  </si>
  <si>
    <t>Return to Nature / Retorno à Natureza</t>
  </si>
  <si>
    <t>Choose one — • Destroy target artifact. • Destroy target enchantment. • Exile target card from a graveyard. / Escolha um — • Destrua o artefato alvo. • Destrua o encantamento alvo. • Exile o card alvo de um cemitério.</t>
  </si>
  <si>
    <t>River Heralds' Boon / Bênção dos Arautos do Rio</t>
  </si>
  <si>
    <t>Put a +1/+1 counter on target creature and a +1/+1 counter on up to one target Merfolk. / Coloque um marcador +1/+1 na criatura alvo e um marcador +1/+1 em até um Tritão alvo.</t>
  </si>
  <si>
    <t>Plummet / Tombar</t>
  </si>
  <si>
    <t>Destroy target creature with flying. / Destrua a criatura alvo com voar.</t>
  </si>
  <si>
    <t>Glissa's Scorn / Escárnio de Glissa</t>
  </si>
  <si>
    <t>Destroy target artifact. Its controller loses 1 life. / Destrua o artefato alvo. Seu controlador perde 1 ponto de vida.</t>
  </si>
  <si>
    <t>Rampage of the Clans / Fúria dos Clãs</t>
  </si>
  <si>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</si>
  <si>
    <t>Haunted Fengraf / Cemitério Pantanoso Assombrado</t>
  </si>
  <si>
    <t>{T}: Add {C}. {3}, {T}, Sacrifice this land: Return a creature card at random from your graveyard to your hand. / {T}: Adicione {1} à sua reserva de mana. {3}, {T}, Sacrifique Cemitério Pantanoso Assombrado: Devolva um card de criatura aleatoriamente de seu cemitério para sua mão.</t>
  </si>
  <si>
    <t>Birthing Hulk / Brutamontes Procriador</t>
  </si>
  <si>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</si>
  <si>
    <t>Primordial Wurm / Vorme Primordial</t>
  </si>
  <si>
    <t>Creature — Wurm / Criatura — Vorme</t>
  </si>
  <si>
    <t>Lurking Roper / Estrangulador à Espreita</t>
  </si>
  <si>
    <t>Creature — Horror / Criatura — Horror</t>
  </si>
  <si>
    <t>This creature doesn't untap during your untap step. Whenever you gain life, untap this creature. / Estrangulador à Espreita não é desvirado durante sua etapa de desvirar. Toda vez que você ganhar pontos de vida, desvire Estrangulador à Espreita.</t>
  </si>
  <si>
    <t>Burr Grafter / Enxerta-Buril</t>
  </si>
  <si>
    <t>Creature — Spirit / Criatura - Espírito</t>
  </si>
  <si>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</si>
  <si>
    <t>Transluminant / Transluminante</t>
  </si>
  <si>
    <t>Creature — Dryad Shaman / Criatura - Dríade Xamã</t>
  </si>
  <si>
    <t>{W}, Sacrifice this creature: Create a 1/1 white Spirit creature token with flying at the beginning of the next end step. / {W}, Sacrifique Transluminante: Coloque em jogo uma ficha de criatura branca 1/1 do tipo Espírito, com a habilidade de voar, no final do turno.</t>
  </si>
  <si>
    <t>Armored Kincaller / Invocador da Raça Blindado</t>
  </si>
  <si>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</si>
  <si>
    <t>Villagers of Estwald // Howlpack of Estwald / Aldeões de Estwald // Alcateia Uivante de Estwald</t>
  </si>
  <si>
    <t>Creature — Human Werewolf // Creature — Werewolf / Criatura — Humano Lobisomem</t>
  </si>
  <si>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</si>
  <si>
    <t>Grazing Gladehart / Cervo-de-Clareira Pastejador</t>
  </si>
  <si>
    <t>Creature — Antelope / Criatura — Antílope</t>
  </si>
  <si>
    <t>Landfall — Whenever a land you control enters, you may gain 2 life. / Aterragem — Toda vez que um terreno entra no campo de batalha sob o seu controle, você pode ganhar 2 pontos de vida.</t>
  </si>
  <si>
    <t>Duel Decks: Zendikar vs. Eldrazi (DDP)</t>
  </si>
  <si>
    <t>Splinterfright / Assombro Farpado</t>
  </si>
  <si>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</si>
  <si>
    <t>Highland Game / Caça do Planalto</t>
  </si>
  <si>
    <t>Creature — Elk / Criatura — Alce</t>
  </si>
  <si>
    <t>When this creature dies, you gain 2 life. / Quando Caça do Planalto morre, você ganha 2 pontos de vida.</t>
  </si>
  <si>
    <t>Uproot / Desenraizar</t>
  </si>
  <si>
    <t>Sorcery — Arcane / Feitiço - Arcana</t>
  </si>
  <si>
    <t>Put target land on top of its owner's library. / Coloque o terreno alvo no topo do grimório de seu dono.</t>
  </si>
  <si>
    <t>Scout the Borders / Explorar as Fronteiras</t>
  </si>
  <si>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</si>
  <si>
    <t>Explosive Entry / Entrada Explosiva</t>
  </si>
  <si>
    <t>Destroy up to one target artifact. Put a +1/+1 counter on up to one target creature. / Destrua até um artefato alvo. Coloque um marcador +1/+1 em até uma criatura alvo.</t>
  </si>
  <si>
    <t>Crackling Emergence / Emergência Crepitante</t>
  </si>
  <si>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</si>
  <si>
    <t>Unstoppable Ogre / Ogro Irrefreável</t>
  </si>
  <si>
    <t>Artifact Creature — Ogre Warrior / Criatura Artefato — Ogro Guerreiro</t>
  </si>
  <si>
    <t>When this creature enters, target creature can't block this turn. / Quando Ogro Irrefreável entra no campo de batalha, a criatura alvo não pode bloquear neste turno.</t>
  </si>
  <si>
    <t>Kami's Flare / Labareda do Kami</t>
  </si>
  <si>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</si>
  <si>
    <t>Gift of Wrath / Dádiva da Ira</t>
  </si>
  <si>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</si>
  <si>
    <t>Ironhoof Boar / Javali Casco-de-ferro</t>
  </si>
  <si>
    <t>Artifact Creature — Boar / Criatura Artefato — Javali</t>
  </si>
  <si>
    <t>Trample, haste Channel — {1}{R}, Discard this card: Target creature gets +3/+1 and gains trample until end of turn. / Atropelar, ímpeto Canalizar — {1}{R}, descarte Javali Casco-de-ferro: A criatura alvo recebe +3/+1 e ganha atropelar até o final do turno.</t>
  </si>
  <si>
    <t>Voltage Surge / Surto Voltaico</t>
  </si>
  <si>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</si>
  <si>
    <t>The Shattered States Era // Nameless Conqueror / A Era dos Estados Despedaçados // Conquistador Sem Nome</t>
  </si>
  <si>
    <t>Enchantment — Saga // Enchantment Creature — Human Samurai / Encantamento — Saga</t>
  </si>
  <si>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</si>
  <si>
    <t>Vampire Sovereign / Soberana Vampira</t>
  </si>
  <si>
    <t>Creature — Vampire Noble / Criatura — Vampiro</t>
  </si>
  <si>
    <t>Flying When this creature enters, target opponent loses 3 life and you gain 3 life. / Voar Quando Soberana Vampira entra no campo de batalha, o oponente alvo perde 3 pontos de vida e você ganha 3 pontos de vida.</t>
  </si>
  <si>
    <t>Hunter of Eyeblights / Caçador de Seca-Olhos</t>
  </si>
  <si>
    <t>Creature — Elf Assassin / Criatura — Elfo Assassino</t>
  </si>
  <si>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</si>
  <si>
    <t>Lorwyn (LRW)</t>
  </si>
  <si>
    <t>Savor</t>
  </si>
  <si>
    <t>Target creature gets -2/-2 until end of turn. Create a Food token. (It's an artifact with "{2}, {T}, Sacrifice this token: You gain 3 life.")</t>
  </si>
  <si>
    <t>Gloomlance / Lança das Trevas</t>
  </si>
  <si>
    <t>Destroy target creature. If that creature was green or white, its controller discards a card. / Destrua a criatura alvo. Se aquela criatura for verde ou branca, seu controlador descartará um card.</t>
  </si>
  <si>
    <t>Harrowing Journey / Jornada Desgastante</t>
  </si>
  <si>
    <t>Target player draws three cards and loses 3 life. / O jogador alvo compra três cards e perde 3 pontos de vida.</t>
  </si>
  <si>
    <t>Guardiãs de Oboro / Oboro Enforcers</t>
  </si>
  <si>
    <t>Criatura — Cidadão-da-lua Samurai / Creature — Moonfolk Samurai</t>
  </si>
  <si>
    <t>Defensor. As criaturas modificadas que você controla podem atacar como se não tivessem defensor. / Defender. Modified creatures you control can attack as though they didn't have defender.</t>
  </si>
  <si>
    <t>Perturbador de Redes / Network Disruptor</t>
  </si>
  <si>
    <t>Criatura Artefato — Cidadão-da-lua Ladino / Artifact Creature — Moonfolk Rogue</t>
  </si>
  <si>
    <t>Voar. Quando Perturbador de Redes entrar no campo de batalha, vire a permanente alvo. / Flying. When Network Disruptor enters the battlefield, tap target permanent.</t>
  </si>
  <si>
    <t>Familiar Protetor de Pulso / Patchwork Rats</t>
  </si>
  <si>
    <t>Criatura Artefato — Equipamento Besta / Artifact Creature — Equipment Beast</t>
  </si>
  <si>
    <t>Salvaguarda {2}. A criatura equipada recebe +2/+1 e tem salvaguarda {2}. Reconfigurar {4}. / Ward {2}. Equipped creature gets +2/+1 and has ward {2}. Reconfigure {4}.</t>
  </si>
  <si>
    <t>Especialista em Lunilaço / Moon-Circuit Hacker</t>
  </si>
  <si>
    <t>Criatura — Humano Ninja / Creature — Human Ninja</t>
  </si>
  <si>
    <t>Ninjutsu {2}{U}. Quando Especialista em Lunilaço entrar no campo de batalha, devolva até uma criatura alvo para a mão de seu dono. / Ninjutsu {2}{U}. When Moon-Circuit Hacker enters the battlefield, return up to one target creature to its owner's hand.</t>
  </si>
  <si>
    <t>Esfera Mnemônica / Mnemonics Sphere</t>
  </si>
  <si>
    <t>Artefato / Artifact</t>
  </si>
  <si>
    <t>{1}{U}, sacrifique Esfera Mnemônica: Compre dois cards. Canalizar — {U}, descarte Esfera Mnemônica: Compre um card. / {1}{U}, Sacrifice Mnemonics Sphere: Draw two cards. Channel — {U}, Discard Mnemonics Sphere: Draw a card.</t>
  </si>
  <si>
    <t>Bogslither's Embrace</t>
  </si>
  <si>
    <t>As an additional cost to cast this spell, blight 1 or pay {3}. (To blight 1, put a -1/-1 counter on a creature you control.) Exile target creature.</t>
  </si>
  <si>
    <t>Fruit of Tizerus / Fruto de Tízero</t>
  </si>
  <si>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</si>
  <si>
    <t>Slaughter Drone / Zangão da Matança</t>
  </si>
  <si>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</si>
  <si>
    <t>Witch's Familiar / Familiar da Bruxa</t>
  </si>
  <si>
    <t>Creature — Frog / Criatura — Sapo</t>
  </si>
  <si>
    <t>Catacomb Slug / Lesma de Catacumba</t>
  </si>
  <si>
    <t>Creature — Slug / Criatura — Lesma</t>
  </si>
  <si>
    <t>Melancholic Poet</t>
  </si>
  <si>
    <t>Creature — Elf Bard</t>
  </si>
  <si>
    <t>Repartee — Whenever you cast an instant or sorcery spell that targets a creature, each opponent loses 1 life and you gain 1 life.</t>
  </si>
  <si>
    <t>Scathe Zombies / Zumbis de Scathe</t>
  </si>
  <si>
    <t>Seventh Edition (7ED)</t>
  </si>
  <si>
    <t>Zhalfirin Void / Vazio Zhalfiriano</t>
  </si>
  <si>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</si>
  <si>
    <t>Mage-Ring Network / Rede dos Anéis de Mago</t>
  </si>
  <si>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</si>
  <si>
    <t>Sea Gate Wreckage / Escombros de Portão Marinho</t>
  </si>
  <si>
    <t>{T}: Add {C}. ({C} represents colorless mana.) {2}{C}, {T}: Draw a card. Activate only if you have no cards in hand. / {T}: Adicione {C} à sua reserva de mana. ({C} representa mana incolor.) {2}{C}, {T}: Compre um card. Ative esta habilidade apenas se você não tiver nenhum card em sua mão.</t>
  </si>
  <si>
    <t>Orzhov Guildgate / Portão da Guilda Orzhov</t>
  </si>
  <si>
    <t>This land enters tapped. {T}: Add {W} or {B}. / Portão da Guilda Orzhov entra no campo de batalha virado. {T}: Adicione {W} ou {B}.</t>
  </si>
  <si>
    <t>Rupture Spire</t>
  </si>
  <si>
    <t>Rupture Spire enters the battlefield tapped. When Rupture Spire enters the battlefield, sacrifice it unless you pay {1}. {T}: Add one mana of any color to your mana pool.</t>
  </si>
  <si>
    <t>Unyielding Krumar / Krumar Inexorável</t>
  </si>
  <si>
    <t>Creature — Orc Warrior / Criatura — Orc Guerreiro</t>
  </si>
  <si>
    <t>{1}{W}: This creature gains first strike until end of turn. / {1}{W}: Krumar Inexorável ganha iniciativa até o final do turno.</t>
  </si>
  <si>
    <t>Death's Caress / Carícia da Morte</t>
  </si>
  <si>
    <t>Destroy target creature. If that creature was a Human, you gain life equal to its toughness. / Destrua a criatura alvo. Se aquela criatura era um Humano, você ganha uma quantidade de pontos de vida igual a sua resistência.</t>
  </si>
  <si>
    <t>Blood Tithe / Dízimo de Sangue</t>
  </si>
  <si>
    <t>Each opponent loses 3 life. You gain life equal to the life lost this way. / Cada oponente perde 3 pontos de vida. Você ganha uma quantidade de pontos de vida igual aos pontos de vida perdidos dessa maneira.</t>
  </si>
  <si>
    <t>Prickly Boggart / Papão Espinhoso</t>
  </si>
  <si>
    <t>Fear (This creature can't be blocked except by artifact creatures and/or black creatures.) / Amedrontar</t>
  </si>
  <si>
    <t>Morningtide (MOR)</t>
  </si>
  <si>
    <t>Lich's Caress / Carícia do Lich</t>
  </si>
  <si>
    <t>Destroy target creature. You gain 3 life. / Destrua a criatura alvo. Você ganha 3 pontos de vida.</t>
  </si>
  <si>
    <t>Mage Hunters' Onslaught / Investida dos Caça-magos</t>
  </si>
  <si>
    <t>Destroy target creature or planeswalker. Whenever a creature blocks this turn, its controller loses 1 life. / Destrua a criatura ou o planeswalker alvo. Toda vez que uma criatura bloqueia neste turno, seu controlador perde 1 ponto de vida.</t>
  </si>
  <si>
    <t>Grim Guardian / Guardião Sinistro</t>
  </si>
  <si>
    <t>Enchantment Creature — Zombie / Criatura Encantamento — Zumbi</t>
  </si>
  <si>
    <t>Constellation — Whenever this creature or another enchantment you control enters, each opponent loses 1 life. / Constelação — Toda vez que Guardião Sinistro ou outro encantamento entra no campo de batalha sob seu controle, cada oponente perde 1 ponto de vida.</t>
  </si>
  <si>
    <t>Daring Demolition / Demolição Ousada</t>
  </si>
  <si>
    <t>Destroy target creature or Vehicle. / Destrua a criatura ou o Veículo alvo.</t>
  </si>
  <si>
    <t>Festive Funeral / Funeral Festivo</t>
  </si>
  <si>
    <t>Target creature gets -X/-X until end of turn, where X is the number of cards in your graveyard. / A criatura alvo recebe -X/-X até o final do turno, sendo X o número de cards em seu cemitério.</t>
  </si>
  <si>
    <t>Dark Inquiry / Interrogatório Sombrio</t>
  </si>
  <si>
    <t>Target opponent reveals their hand. You choose a nonland card from it. That player discards that card. / O oponente alvo revela a própria mão. Você escolhe um card que não seja um terreno da mão dele. Aquele jogador descarta aquele card.</t>
  </si>
  <si>
    <t>Sugar Rush / Frenesi do Açúcar</t>
  </si>
  <si>
    <t>Target creature gets +3/+0 until end of turn. Draw a card. / A criatura alvo recebe +3/+0 até o final do turno. Compre um card.</t>
  </si>
  <si>
    <t>Crucible of the Spirit Dragon / Crisol do Dragão Espírito</t>
  </si>
  <si>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</si>
  <si>
    <t>Abnormal Endurance / Resistência Anormal</t>
  </si>
  <si>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</si>
  <si>
    <t>Sivriss, Nightmare Speaker / Sivriss, Orador do Pesadelo</t>
  </si>
  <si>
    <t>Legendary Creature — Snake Cleric Warlock / Criatura Lendária — Cobra Clérigo Bruxo</t>
  </si>
  <si>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</si>
  <si>
    <t>Lost Legion / Legião Perdida</t>
  </si>
  <si>
    <t>Creature — Spirit Knight / Criatura — Espírito Cavaleiro</t>
  </si>
  <si>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</si>
  <si>
    <t>Cruel Sadist / Sádico Cruel</t>
  </si>
  <si>
    <t>Creature — Human Assassin / Criatura — Humano Assassino</t>
  </si>
  <si>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</si>
  <si>
    <t>Radiant Fountain / Fonte Radiante</t>
  </si>
  <si>
    <t>When this land enters, you gain 2 life. {T}: Add {C}. / Quando Fonte Radiante entra no campo de batalha, você ganha 2 pontos de vida. {T}: Adicione {C}.</t>
  </si>
  <si>
    <t>Fake Your Own Death / Fingir a Própria Morte</t>
  </si>
  <si>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</si>
  <si>
    <t>Priest of the Blood Rite / Sacerdote do Ritual de Sangue</t>
  </si>
  <si>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</si>
  <si>
    <t>Boneclad Necromancer / Necromante da Veste Óssea</t>
  </si>
  <si>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</si>
  <si>
    <t>Soulflayer / Flagelador de Alma</t>
  </si>
  <si>
    <t>Creature — Demon / Criatura — Demônio</t>
  </si>
  <si>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</si>
  <si>
    <t>{4}{B}{B}</t>
  </si>
  <si>
    <t>Sightless Ghoul / Carniçal Cego</t>
  </si>
  <si>
    <t>Creature — Zombie Soldier / Criatura — Zumbi Soldado</t>
  </si>
  <si>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</si>
  <si>
    <t>Dokuchi Silencer / Silenciador Dokuchi</t>
  </si>
  <si>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</si>
  <si>
    <t>Soulstinger / Picador de Almas</t>
  </si>
  <si>
    <t>Creature — Scorpion Demon / Criatura — Escorpião Demônio</t>
  </si>
  <si>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</si>
  <si>
    <t>Bankrupt in Blood / Falir em Sangue</t>
  </si>
  <si>
    <t>As an additional cost to cast this spell, sacrifice two creatures. Draw three cards. / Como custo adicional para conjurar esta mágica, sacrifique duas criaturas. Compre três cards.</t>
  </si>
  <si>
    <t>Malicious Malfunction / Anomalia Maligna</t>
  </si>
  <si>
    <t>All creatures get -2/-2 until end of turn. If a creature would die this turn, exile it instead. / Todas as criaturas recebem -2/-2 até o final do turno. Se uma criatura morreria neste turno, em vez disso, exile-a.</t>
  </si>
  <si>
    <t>Chilling Shade / Sombra Congelante</t>
  </si>
  <si>
    <t>Snow Creature — Shade / Criatura da Neve — Sombra</t>
  </si>
  <si>
    <t>Flying {S}: This creature gets +1/+1 until end of turn. ({S} can be paid with one mana from a snow source.) / Voar {S}: Sombra Congelante recebe +1/+1 até o final do turno. ({S} pode ser pago com um mana de uma permanente da neve.)</t>
  </si>
  <si>
    <t>Debt to the Kami / Dívida com os Kami</t>
  </si>
  <si>
    <t>Choose one — • Target opponent exiles a creature they control. • Target opponent exiles an enchantment they control. / Escolha um — • O oponente alvo exila uma criatura que ele controla. • O oponente alvo exila um encantamento que ele controla.</t>
  </si>
  <si>
    <t>Psychic Whorl</t>
  </si>
  <si>
    <t>Target opponent discards two cards. Then if you control a Rat, surveil 2. (Look at the top two cards of your library, then put any number of them into your graveyard and the rest on top of your library in any order.)</t>
  </si>
  <si>
    <t>Surging Dementia / Demência Ondulante</t>
  </si>
  <si>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</si>
  <si>
    <t>Perplexing Chimera / Quimera Desconcertante</t>
  </si>
  <si>
    <t>Enchantment Creature — Chimera / Criatura Encantamento — Quimera</t>
  </si>
  <si>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</si>
  <si>
    <t>Thunder Drake / Dragonete do Trovão</t>
  </si>
  <si>
    <t>Creature — Elemental Drake / Criatura — Elemental Dragonete</t>
  </si>
  <si>
    <t>Flying Whenever you cast your second spell each turn, put a +1/+1 counter on this creature. / Voar Toda vez que você conjurar sua segunda mágica a cada turno, coloque um marcador +1/+1 em Dragonete do Trovão.</t>
  </si>
  <si>
    <t>Drowner of Hope / Afogador da Esperança</t>
  </si>
  <si>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</si>
  <si>
    <t>{5}{U}</t>
  </si>
  <si>
    <t>Court Hussar / Hussardo Real</t>
  </si>
  <si>
    <t>Creature — Vedalken Knight / Criatura — Cavaleiro Vedalkeano</t>
  </si>
  <si>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</si>
  <si>
    <t>Lunar Mystic / Místico Lunar</t>
  </si>
  <si>
    <t>Whenever you cast an instant spell, you may pay {1}. If you do, draw a card. / Toda vez que conjura uma mágica instantânea, você pode pagar {1}. Se fizer isso, compre um card.</t>
  </si>
  <si>
    <t>{2}{U}{U}</t>
  </si>
  <si>
    <t>Sultai Skullkeeper / Guardião de Crânios Sultai</t>
  </si>
  <si>
    <t>Creature — Snake Shaman / Criatura — Naga Xamã</t>
  </si>
  <si>
    <t>When this creature enters, mill two cards. / Quando Guardião de Crânios Sultai entrar no campo de batalha, coloque os dois cards do topo de seu grimório em seu cemitério.</t>
  </si>
  <si>
    <t>Harbinger of the Tides / Anunciador das Marés</t>
  </si>
  <si>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</si>
  <si>
    <t>{U}{U}</t>
  </si>
  <si>
    <t>Cogwork Wrestler / Lutador Mecânico</t>
  </si>
  <si>
    <t>Flash When this creature enters, target creature an opponent controls gets -2/-0 until end of turn. / Lampejo Quando Lutador Mecânico entra no campo de batalha, a criatura alvo que um oponente controla recebe -2/-0 até o final do turno.</t>
  </si>
  <si>
    <t>Reef Worm / Verme do Recife</t>
  </si>
  <si>
    <t>Creature — Worm / Criatura — Verme</t>
  </si>
  <si>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</si>
  <si>
    <t>Wetland Sambar / Sâmbar do Charco</t>
  </si>
  <si>
    <t>Etherium Spinner / Propulsor de Etherium</t>
  </si>
  <si>
    <t>Whenever you cast a spell with mana value 4 or greater, create a 1/1 colorless Thopter artifact creature token with flying. / Toda vez que você conjurar uma mágica com valor de mana igual ou superior a 4, crie uma ficha de criatura artefato Tóptero incolor 1/1 com voar.</t>
  </si>
  <si>
    <t>Blinding Drone / Zangão Cegante</t>
  </si>
  <si>
    <t>Devoid (This card has no color.) {C}, {T}: Tap target creature. ({C} represents colorless mana.) / Desprovido (Este card não tem cor.) {C}, {T}: Vire a criatura alvo. ({C} representa mana incolor.)</t>
  </si>
  <si>
    <t>Galvanic Alchemist / Alquimista Galvânico</t>
  </si>
  <si>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</si>
  <si>
    <t>Screeching Skaab / Skaab Guinchante</t>
  </si>
  <si>
    <t>When this creature enters, mill two cards. / Quando Skaab Guinchante entrar no campo de batalha, coloque os dois cards do topo de seu grimório em seu cemitério.</t>
  </si>
  <si>
    <t>Bubble Smuggler / Contrabandista Borbulhante</t>
  </si>
  <si>
    <t>Creature — Octopus Fish / Criatura — Polvo Peixe</t>
  </si>
  <si>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</si>
  <si>
    <t>Hullbreaker Horror / Horror Quebra-casco</t>
  </si>
  <si>
    <t>Creature — Kraken Horror / Criatura — Kraken Horror</t>
  </si>
  <si>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</si>
  <si>
    <t>{5}{U}{U}</t>
  </si>
  <si>
    <t>Tome Anima / Anima dos Tomos</t>
  </si>
  <si>
    <t>This creature can't be blocked as long as you've drawn two or more cards this turn. / Anima dos Tomos não pode ser bloqueado desde que você tenha comprado dois ou mais cards neste turno.</t>
  </si>
  <si>
    <t>Jace's Mindseeker / Caça-mentes de Jace</t>
  </si>
  <si>
    <t>Creature — Fish Illusion / Criatura — Peixe Ilusão</t>
  </si>
  <si>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</si>
  <si>
    <t>{4}{U}{U}</t>
  </si>
  <si>
    <t>Dreamshackle Geist / Geist do Grilhão Onírico</t>
  </si>
  <si>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</si>
  <si>
    <t>{1}{U}{U}</t>
  </si>
  <si>
    <t>Futurist Sentinel / Sentinela Futurista</t>
  </si>
  <si>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</si>
  <si>
    <t>Genju of the Falls / Genju das Cataratas</t>
  </si>
  <si>
    <t>Enchantment — Aura / Encantar Ilha</t>
  </si>
  <si>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</si>
  <si>
    <t>Chronic Flooding / Alagamento Crônico</t>
  </si>
  <si>
    <t>Enchant land Whenever enchanted land becomes tapped, its controller mills three cards. / Encantar terreno Toda vez que o terreno encantado é virado, seu controlador coloca os três cards do topo do grimório dele no próprio cemitério.</t>
  </si>
  <si>
    <t>Harrier Strix / Estrige Saqueadora</t>
  </si>
  <si>
    <t>Flying When this creature enters, tap target permanent. {2}{U}: Draw a card, then discard a card. / Voar Quando Estrige Saqueadora entrar no campo de batalha, vire a permanente alvo. {2}{U}: Compre um card e depois descarte um card.</t>
  </si>
  <si>
    <t>Stormrider Spirit / Espírito Ginete de Tempestade</t>
  </si>
  <si>
    <t>Flash Flying / Lampejo Voar</t>
  </si>
  <si>
    <t>The Mirari Conjecture / A Conjectura do Mirari</t>
  </si>
  <si>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</si>
  <si>
    <t>Helm of the Ghastlord / Elmo do Lorde Fantasmal</t>
  </si>
  <si>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</si>
  <si>
    <t>Cryoshatter</t>
  </si>
  <si>
    <t>Enchant creature Enchanted creature gets -5/-0. When enchanted creature becomes tapped or is dealt damage, destroy it.</t>
  </si>
  <si>
    <t>Weakstone's Subjugation / Subjugação da Pedra de Fraqueza</t>
  </si>
  <si>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</si>
  <si>
    <t>Jace, Vryn's Prodigy // Jace, Telepath Unbound / Jace, Prodígio de Vryn // Jace, Telepata Ilimitado</t>
  </si>
  <si>
    <t>Legendary Creature — Human Wizard // Legendary Planeswalker — Jace / Criatura Lendária — Humano Mago</t>
  </si>
  <si>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</si>
  <si>
    <t>Murk Strider / Andarilho do Lodo</t>
  </si>
  <si>
    <t>Creature — Eldrazi Processor / Criatura — Eldrazi Processador</t>
  </si>
  <si>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</si>
  <si>
    <t>Leech Bonder / Aplicador de Sanguessuga</t>
  </si>
  <si>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</si>
  <si>
    <t>Griptide / Corrente de Refluxo</t>
  </si>
  <si>
    <t>Put target creature on top of its owner's library. / Coloque a criatura alvo no topo do grimório de seu dono.</t>
  </si>
  <si>
    <t>Duel Decks: Jace vs. Vraska (DDM)</t>
  </si>
  <si>
    <t>Merrow Wavebreakers / Sirenídeos Saltadores</t>
  </si>
  <si>
    <t>{1}{U}, {Q}: This creature gains flying until end of turn. ({Q} is the untap symbol.) / {1}{U}, {Q}: Sirenídeos Saltadores ganha voar até o final do turno. ({Q} é o símbolo de desvirar.)</t>
  </si>
  <si>
    <t>Hightide Hermit / Eremita da Maré Alta</t>
  </si>
  <si>
    <t>Creature — Crab / Criatura — Caranguejo</t>
  </si>
  <si>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</si>
  <si>
    <t>Saving Grasp / Mão Salvadora</t>
  </si>
  <si>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</si>
  <si>
    <t>Ancient Crab / Caranguejo Ancião</t>
  </si>
  <si>
    <t>Wretched Throng / Multidão Abominável</t>
  </si>
  <si>
    <t>Creature — Zombie Horror / Criatura — Zumbi Horror</t>
  </si>
  <si>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</si>
  <si>
    <t>Headless Skaab / Skaab Sem Cabeça</t>
  </si>
  <si>
    <t>Creature — Zombie Warrior / Criatura — Zumbi Guerreiro</t>
  </si>
  <si>
    <t>As an additional cost to cast this spell, exile a creature card from your graveyard. This creature enters tapped. / Como custo adicional para conjurar Skaab Sem Cabeça, exile um card de criatura de seu cemitério. Skaab Sem Cabeça entra no campo de batalha virado.</t>
  </si>
  <si>
    <t>Exclude / Excluir</t>
  </si>
  <si>
    <t>Counter target creature spell. Draw a card. / Anule a mágica de criatura alvo. Compre um card.</t>
  </si>
  <si>
    <t>Dire Downdraft</t>
  </si>
  <si>
    <t>This spell costs {1} less to cast if it targets an attacking or tapped creature. Target creature's owner puts it on their choice of the top or bottom of their library.</t>
  </si>
  <si>
    <t>Summary Dismissal / Dispensa Sumária</t>
  </si>
  <si>
    <t>Exile all other spells and counter all abilities. / Exile todas as outras mágicas e anule todas as habilidades.</t>
  </si>
  <si>
    <t>Discover the Impossible / Descobrir o Impossível</t>
  </si>
  <si>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</si>
  <si>
    <t>Essence Capture / Captura de Essência</t>
  </si>
  <si>
    <t>Counter target creature spell. Put a +1/+1 counter on up to one target creature you control. / Anule a mágica de criatura alvo. Coloque um marcador +1/+1 em até uma criatura alvo que você controla.</t>
  </si>
  <si>
    <t>Thought Collapse / Colapso do Pensamento</t>
  </si>
  <si>
    <t>Counter target spell. Its controller mills three cards. / Anule a mágica alvo. Seu controlador coloca os três cards do topo do próprio grimório no próprio cemitério.</t>
  </si>
  <si>
    <t>Quench / Arrefecer</t>
  </si>
  <si>
    <t>Counter target spell unless its controller pays {2}. / Anule a mágica alvo, a menos que seu controlador pague {2}.</t>
  </si>
  <si>
    <t>Mystical Teachings / Ensinamentos Místicos</t>
  </si>
  <si>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</si>
  <si>
    <t>Make Disappear / Fazer Desaparecer</t>
  </si>
  <si>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</si>
  <si>
    <t>Deduce / Deduzir</t>
  </si>
  <si>
    <t>Draw a card. Investigate. (Create a Clue token. It's an artifact with "{2}, Sacrifice this token: Draw a card.") / Compre um card. Investigue. (Crie uma ficha de Pista. Ela é um artefato com "{2}, sacrifique este artefato: Compre um card".)</t>
  </si>
  <si>
    <t>Blink of an Eye / Piscar de Olhos</t>
  </si>
  <si>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</si>
  <si>
    <t>Steel Sabotage / Sabotagem de Aço</t>
  </si>
  <si>
    <t>Choose one — • Counter target artifact spell. • Return target artifact to its owner's hand. / Escolha um — Anule a mágica de artefato alvo; ou devolva o artefato alvo para a mão de seu dono.</t>
  </si>
  <si>
    <t>Moment of Truth / Hora da Verdade</t>
  </si>
  <si>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</si>
  <si>
    <t>Think Twice / Pensar Duas Vezes</t>
  </si>
  <si>
    <t>Draw a card. Flashback {2}{U} (You may cast this card from your graveyard for its flashback cost. Then exile it.) / Compre um card. Recapitular {2}{U} (Você pode conjurar este card de seu cemitério pagando seu custo de recapitular. Depois, exile-o.)</t>
  </si>
  <si>
    <t>Historic Anthology 4 (HA4)</t>
  </si>
  <si>
    <t>Radical Idea / Ideia Radical</t>
  </si>
  <si>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</si>
  <si>
    <t>Deep-Sea Terror / Terror das Profundezas</t>
  </si>
  <si>
    <t>Creature — Serpent / Criatura — Serpente</t>
  </si>
  <si>
    <t>This creature can't attack unless there are seven or more cards in your graveyard. / Terror das Profundezas não pode atacar a menos que haja sete cards ou mais em seu cemitério.</t>
  </si>
  <si>
    <t>Tolarian Scholar / Escolástico Tolariano</t>
  </si>
  <si>
    <t>Naga Eternal / Eterna Naga</t>
  </si>
  <si>
    <t>Creature — Zombie Snake / Criatura — Zumbi Naga</t>
  </si>
  <si>
    <t>Sage's Row Denizen / Habitante da Travessa dos Sábios</t>
  </si>
  <si>
    <t>Whenever another blue creature you control enters, target player mills two cards. / Toda vez que outra criatura azul entra no campo de batalha sob o seu controle, o jogador alvo coloca os dois cards do topo do grimório dele no próprio cemitério.</t>
  </si>
  <si>
    <t>Steelfin Whale / Baleia Barbatana-de-aço</t>
  </si>
  <si>
    <t>Creature — Whale / Criatura — Baleia</t>
  </si>
  <si>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</si>
  <si>
    <t>Wind Drake / Dragonete do Vento</t>
  </si>
  <si>
    <t>The List (PLST)</t>
  </si>
  <si>
    <t>Curio Vendor / Vendedora de Raridades</t>
  </si>
  <si>
    <t>Creature — Vedalken / Criatura — Vedalkeano</t>
  </si>
  <si>
    <t>Turn Aside / Desviar Olhar</t>
  </si>
  <si>
    <t>Counter target spell that targets a permanent you control. / Anule a mágica alvo que tenha como alvo uma permanente que você controla.</t>
  </si>
  <si>
    <t>Spell Pierce / Perfurar Mágica</t>
  </si>
  <si>
    <t>Counter target noncreature spell unless its controller pays {2}. / Anule a mágica não de criatura alvo, a menos que seu controlador pague {2}.</t>
  </si>
  <si>
    <t>Store Championships (SCH)</t>
  </si>
  <si>
    <t>Fading Hope / Esperança Evanescente</t>
  </si>
  <si>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</si>
  <si>
    <t>Spire Serpent / Serpente Pontiaguda</t>
  </si>
  <si>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</si>
  <si>
    <t>Shriekgeist / Geist do Grito</t>
  </si>
  <si>
    <t>Flying Whenever this creature deals combat damage to a player, that player mills two cards. / Voar Toda vez que Geist do Grito causa dano de combate a um jogador, aquele jogador coloca os dois cards do topo do grimório dele no próprio cemitério.</t>
  </si>
  <si>
    <t>Nephalia Seakite / Gavião Marinho de Nefália</t>
  </si>
  <si>
    <t>Flash (You may cast this spell any time you could cast an instant.) Flying / Lampejo (Você poderá conjurar esta mágica a qualquer momento em que puder conjurar uma mágica instantânea.)Voar</t>
  </si>
  <si>
    <t>Consider / Considerar</t>
  </si>
  <si>
    <t>Surveil 1. (Look at the top card of your library. You may put it into your graveyard.) Draw a card. / Olhe o card do topo de seu grimório. Você pode colocar aquele card em seu cemitério. Compre um card.</t>
  </si>
  <si>
    <t>Secret Lair Drop (SLD)</t>
  </si>
  <si>
    <t>Commence the Endgame / Iniciar Plano Final</t>
  </si>
  <si>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</si>
  <si>
    <t>Cackling Counterpart / Dupla de Bufões</t>
  </si>
  <si>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</si>
  <si>
    <t>Unsummon / Esconjurar</t>
  </si>
  <si>
    <t>Return target creature to its owner's hand. / Devolva a criatura alvo para a mão de seu dono.</t>
  </si>
  <si>
    <t>Ceremonious Rejection / Rejeição Cerimoniosa</t>
  </si>
  <si>
    <t>Counter target colorless spell. / Anule a mágica incolor alvo.</t>
  </si>
  <si>
    <t>Dive Down / Mergulhar</t>
  </si>
  <si>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</si>
  <si>
    <t>Into the Roil / Adentrar o Turbilhão</t>
  </si>
  <si>
    <t>Serpentine Ambush / Emboscada Serpentina</t>
  </si>
  <si>
    <t>Until end of turn, target creature becomes a blue Serpent with base power and toughness 5/5. / Até o final do turno, a criatura alvo torna-se uma Serpente azul com poder e resistência básicos 5/5.</t>
  </si>
  <si>
    <t>Self-Reflection / Autorreflexão</t>
  </si>
  <si>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</si>
  <si>
    <t>Clear the Mind / Limpar a Mente</t>
  </si>
  <si>
    <t>Target player shuffles their graveyard into their library. Draw a card. / O jogador alvo embaralha o próprio cemitério no próprio grimório. Compre um card.</t>
  </si>
  <si>
    <t>Third Path Savant / Erudito da Terceira Via</t>
  </si>
  <si>
    <t>{7}: Draw two cards. / {7}: Compre dois cards.</t>
  </si>
  <si>
    <t>Chant of the Skifsang / Cântico dos Skifsang</t>
  </si>
  <si>
    <t>Enchant creature Enchanted creature gets -13/-0. / Encantar criatura A criatura encantada recebe -13/-0.</t>
  </si>
  <si>
    <t>Wall of Lost Thoughts / Barreira dos Pensamentos Perdidos</t>
  </si>
  <si>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</si>
  <si>
    <t>Pteramander / Pteromandra</t>
  </si>
  <si>
    <t>Creature — Salamander Drake / Criatura — Salamandra Dragonete</t>
  </si>
  <si>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</si>
  <si>
    <t>Cloudkin Seer / Vidente Nubígena</t>
  </si>
  <si>
    <t>Creature — Elemental Wizard / Criatura — Elemental Mago</t>
  </si>
  <si>
    <t>Flying When this creature enters, draw a card. / Voar Quando Vidente Nubígena entrar no campo de batalha, compre um card.</t>
  </si>
  <si>
    <t>Mesmerizing Benthid / Bentídeo Hipnotizante</t>
  </si>
  <si>
    <t>Creature — Octopus / Criatura — Polvo</t>
  </si>
  <si>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</si>
  <si>
    <t>Stormbound Geist / Geist da Tempestade</t>
  </si>
  <si>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</si>
  <si>
    <t>Jeskai Infiltrator / Infiltradora Jeskai</t>
  </si>
  <si>
    <t>Creature — Human Monk / Criatura — Humano Monge</t>
  </si>
  <si>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</si>
  <si>
    <t>Meletis Charlatan / Charlatão de Meletis</t>
  </si>
  <si>
    <t>{2}{U}, {T}: The controller of target instant or sorcery spell copies it. That player may choose new targets for the copy. / {2}{U}, {T}: O controlador da mágica instantânea ou de feitiço alvo a copia. Aquele jogador pode escolher novos alvos para a cópia.</t>
  </si>
  <si>
    <t>Mocking Sprite / Sílfide Zombeteira</t>
  </si>
  <si>
    <t>Creature — Faerie Rogue / Criatura — Fada Ladino</t>
  </si>
  <si>
    <t>Flying Instant and sorcery spells you cast cost {1} less to cast. / Voar As mágicas instantâneas e os feitiços que você conjura custam {1} a menos para conjurar.</t>
  </si>
  <si>
    <t>Academy Wall / Muralha da Academia</t>
  </si>
  <si>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</si>
  <si>
    <t>Thieving Otter / Lontra Ladra</t>
  </si>
  <si>
    <t>Creature — Otter / Criatura — Lontra</t>
  </si>
  <si>
    <t>Whenever this creature deals damage to an opponent, draw a card. / Toda vez que Lontra Ladra causar dano a um oponente, compre um card.</t>
  </si>
  <si>
    <t>Mindwhisker</t>
  </si>
  <si>
    <t>Creature — Rat Wizard</t>
  </si>
  <si>
    <t>At the beginning of your upkeep, surveil 1. (Look at the top card of your library. You may put it into your graveyard.) Threshold — As long as there are seven or more cards in your graveyard, creatures your opponents control get -1/-0.</t>
  </si>
  <si>
    <t>Murmuring Phantasm / Fantasma Murmurante</t>
  </si>
  <si>
    <t>Defender / Defensor</t>
  </si>
  <si>
    <t>Opal Lake Gatekeepers / Porteiros do Lago de Opala</t>
  </si>
  <si>
    <t>Creature — Vedalken Soldier / Criatura — Vedalkeano Soldado</t>
  </si>
  <si>
    <t>When this creature enters, if you control two or more Gates, you may draw a card. / Quando Porteiros do Lago de Opala entrar no campo de batalha, se você controlar dois ou mais Portões, poderá comprar um card.</t>
  </si>
  <si>
    <t>Jace's Triumph / Triunfo de Jace</t>
  </si>
  <si>
    <t>Draw two cards. If you control a Jace planeswalker, draw three cards instead. / Compre dois cards. Se você controlar um planeswalker Jace, em vez disso, compre três cards.</t>
  </si>
  <si>
    <t>Maze Glider / Planador do Labirinto</t>
  </si>
  <si>
    <t>Flying Multicolored creatures you control have flying. / Voar As criaturas multicoloridas que você controla têm voar.</t>
  </si>
  <si>
    <t>Picklock Prankster // Free the Fae / Traquinas Arrombador // Libertar as Fadinas</t>
  </si>
  <si>
    <t>Creature — Faerie Rogue // Instant — Adventure / Criatura — Fada Ladino</t>
  </si>
  <si>
    <t>Picklock Prankster: Flying, vigilance // Free the Fae: Mill four cards. Then put an instant, sorcery, or Faerie card from among the milled cards into your hand. / Voar, vigilância</t>
  </si>
  <si>
    <t>{1}{U} // {1}{U}</t>
  </si>
  <si>
    <t>Labirinto do Dragão</t>
  </si>
  <si>
    <t>Aether Adept / Adepto do Éter</t>
  </si>
  <si>
    <t>When this creature enters, return target creature to its owner's hand. / Quando Adepto do Éter entrar no campo de batalha, devolva a criatura alvo para a mão de seu dono.</t>
  </si>
  <si>
    <t>Deranged Assistant / Assistente Insano</t>
  </si>
  <si>
    <t>{T}, Mill a card: Add {C}. (To mill a card, put the top card of your library into your graveyard.) / {T}, Coloque o card do topo de seu grimório no seu cemitério: Adicione {1} à sua reserva de mana.</t>
  </si>
  <si>
    <t>Chisei, Heart of Oceans / Chisei, Coração dos Oceanos</t>
  </si>
  <si>
    <t>Flying At the beginning of your upkeep, sacrifice Chisei unless you remove a counter from a permanent you control. / Voar No início de sua manutenção, sacrifique Chisei, Coração dos Oceanos a menos que você remova um marcador de uma permanente que você controla.</t>
  </si>
  <si>
    <t>Cultivator Drone / Zangão Cultivador</t>
  </si>
  <si>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</si>
  <si>
    <t>Sky Theater Strix / Strix do Palco Celeste</t>
  </si>
  <si>
    <t>Flying Whenever you cast a noncreature spell, this creature gets +1/+0 until end of turn. / Voar Toda vez que você conjura uma mágica que não seja de criatura, Strix do Palco Celeste recebe +1/+0 até o final do turno.</t>
  </si>
  <si>
    <t>Precognition Field / Campo de Precognição</t>
  </si>
  <si>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</si>
  <si>
    <t>Bind the Monster / Aprisionar o Monstro</t>
  </si>
  <si>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</si>
  <si>
    <t>Unable to Scream</t>
  </si>
  <si>
    <t>Enchant creature Enchanted creature loses all abilities and is a Toy artifact creature with base power and toughness 0/2 in addition to its other types. As long as enchanted creature is face down, it can't be turned face up.</t>
  </si>
  <si>
    <t>Smoke Shroud / Manto de Fumaça</t>
  </si>
  <si>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</si>
  <si>
    <t>Stratus Walk / Caminhar nos Estratos</t>
  </si>
  <si>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</si>
  <si>
    <t>Dictate of Kruphix / Decreto de Crufix</t>
  </si>
  <si>
    <t>Flash (You may cast this spell any time you could cast an instant.) At the beginning of each player's draw step, that player draws an additional card. / Lampejo No início da etapa de compra de cada jogador, aquele jogador compra um card adicional.</t>
  </si>
  <si>
    <t>Aqueous Form / Forma Aquosa</t>
  </si>
  <si>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</si>
  <si>
    <t>Temporal Fissure / Fissura Temporal</t>
  </si>
  <si>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</si>
  <si>
    <t>Scourge (SCG)</t>
  </si>
  <si>
    <t>Inspiration from Beyond</t>
  </si>
  <si>
    <t>Mill three cards, then return an instant or sorcery card from your graveyard to your hand. Flashback {5}{U}{U} (You may cast this card from your graveyard for its flashback cost. Then exile it.)</t>
  </si>
  <si>
    <t>Displacement Wave / Onda de Deslocamento</t>
  </si>
  <si>
    <t>Return all nonland permanents with mana value X or less to their owners' hands. / Devolva todas as permanentes que não sejam terreno com custo de mana convertido igual a X ou menos para as mãos de seus donos.</t>
  </si>
  <si>
    <t>{X}{U}{U}</t>
  </si>
  <si>
    <t>Shared Discovery / Descoberta Compartilhada</t>
  </si>
  <si>
    <t>As an additional cost to cast this spell, tap four untapped creatures you control. Draw three cards. / Como custo adicional para conjurar Descoberta Compartilhada, vire quatro criaturas desviradas que você controla. Compre três cards.</t>
  </si>
  <si>
    <t>Consuming Tide / Maré Consumidora</t>
  </si>
  <si>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</si>
  <si>
    <t>Innistrad: Crimson Vow Promos (PVOW)</t>
  </si>
  <si>
    <t>Divination / Divinação</t>
  </si>
  <si>
    <t>Contentious Plan / Plano Polêmico</t>
  </si>
  <si>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</si>
  <si>
    <t>Strategic Planning / Planejamento Estratégico</t>
  </si>
  <si>
    <t>Look at the top three cards of your library. Put one of them into your hand and the rest into your graveyard. / Olhe os três cards do topo de seu grimório. Coloque um deles em sua mão e o restante em seu cemitério.</t>
  </si>
  <si>
    <t>Strixhaven Mystical Archive (STA)</t>
  </si>
  <si>
    <t>Retraction Helix / Hélice de Retração</t>
  </si>
  <si>
    <t>Until end of turn, target creature gains "{T}: Return target nonland permanent to its owner's hand." / Até o final do turno, a criatura alvo ganha "{T}: Devolva a permanente alvo que não seja um terreno para a mão de seu dono."</t>
  </si>
  <si>
    <t>Bone to Ash / De Ossos a Cinzas</t>
  </si>
  <si>
    <t>Counter target creature spell. Draw a card. / Anule a mágica de criatura alvo.Compre um card.</t>
  </si>
  <si>
    <t>Distração Efêmera / Fleeting Distraction</t>
  </si>
  <si>
    <t>A criatura alvo recebe -1/-0 até o final do turno. Compre um card. / Target creature gets -1/-0 until end of turn. Draw a card.</t>
  </si>
  <si>
    <t>Divine Favor / Proteção Divina</t>
  </si>
  <si>
    <t>Enchant creature When this Aura enters, you gain 3 life. Enchanted creature gets +1/+3. / Encantar criatura Quando Proteção Divina entra no campo de batalha, você ganha 3 pontos de vida. A criatura encantada recebe +1/+3.</t>
  </si>
  <si>
    <t>Kill Shot / Tiro Mortal</t>
  </si>
  <si>
    <t>Destroy target attacking creature. / Destrua a criatura atacante alvo.</t>
  </si>
  <si>
    <t>Tarkir Khans</t>
  </si>
  <si>
    <t>Faith's Shield / Escudo da Fé</t>
  </si>
  <si>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</si>
  <si>
    <t>Join the Ranks / Junte-se aos Bons</t>
  </si>
  <si>
    <t>Create two 1/1 white Soldier Ally creature tokens. / Coloque no campo de batalha duas fichas de criatura brancas 1/1 do tipo Soldado Aliado.</t>
  </si>
  <si>
    <t>Karametra's Blessing / Bênção de Carametra</t>
  </si>
  <si>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</si>
  <si>
    <t>You Hear Something on Watch / Vocês Ouvem Algo Enquanto Vigiam</t>
  </si>
  <si>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</si>
  <si>
    <t>Divine Arrow / Flecha Divina</t>
  </si>
  <si>
    <t>Divine Arrow deals 4 damage to target attacking or blocking creature. / Flecha Divina causa 4 pontos de dano à criatura alvo atacante ou bloqueadora.</t>
  </si>
  <si>
    <t>Pacifism / Pacifismo</t>
  </si>
  <si>
    <t>Enchant creature Enchanted creature can't attack or block. / Encantar criatura A criatura encantada não pode atacar nem bloquear.</t>
  </si>
  <si>
    <t>Legion Conquistador / Conquistador da Legião</t>
  </si>
  <si>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</si>
  <si>
    <t>Angelic Wall / Barreira Angelical</t>
  </si>
  <si>
    <t>Defender (This creature can't attack.) Flying / Defensor (Esta criatura não pode atacar.)Voar</t>
  </si>
  <si>
    <t>Owlin Historian</t>
  </si>
  <si>
    <t>Creature — Bird Cleric</t>
  </si>
  <si>
    <t>Flying When this creature enters, surveil 1. (Look at the top card of your library. You may put it into your graveyard.) Whenever one or more cards leave your graveyard, this creature gets +1/+1 until end of turn.</t>
  </si>
  <si>
    <t>Lifecreed Duo</t>
  </si>
  <si>
    <t>Creature — Bat Bird</t>
  </si>
  <si>
    <t>Flying Whenever another creature you control enters, you gain 1 life.</t>
  </si>
  <si>
    <t>Conclave Equenaut / Viajante Eqüestre do Conclave</t>
  </si>
  <si>
    <t>Creature — Human Soldier / Criatura - Soldado Humano</t>
  </si>
  <si>
    <t>Convoke (Your creatures can help cast this spell. Each creature you tap while casting this spell pays for {1} or one mana of that creature's color.) Flying / Convocar (Cada criatura que você vira ao jogar esta mágica reduz seu custo em {1} ou em um mana da cor daquela criatura.) Voar</t>
  </si>
  <si>
    <t>Ravnica Remastered (RVR)</t>
  </si>
  <si>
    <t>Trained Caracal / Caracal Treinado</t>
  </si>
  <si>
    <t>Creature — Cat / Criatura — Felino</t>
  </si>
  <si>
    <t>Lifelink (Damage dealt by this creature also causes you to gain that much life.) / Vínculo com a vida (O dano causado por esta criatura faz com que você ganhe uma quantidade equivalente de pontos de vida.)</t>
  </si>
  <si>
    <t>{T}: Target attacking creature gets +1/+1 until end of turn. / {T}: A criatura alvo atacante recebe +1/+1 até o final do turno.</t>
  </si>
  <si>
    <t>Raptor Companion / Companheiro Raptor</t>
  </si>
  <si>
    <t>Angel of Mercy / Anjo de Misericórdia</t>
  </si>
  <si>
    <t>Flying When this creature enters, you gain 3 life. / Voar (Esta criatura só pode ser bloqueada por criaturas com a habilidade de voar.) Quando Anjo de Misericórdia entra em jogo, você ganha 3 pontos de vida.</t>
  </si>
  <si>
    <t>Sungrace Pegasus / Pégaso da Graça Solar</t>
  </si>
  <si>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</si>
  <si>
    <t>Inspiring Overseer / Supervisor Inspirador</t>
  </si>
  <si>
    <t>Creature — Angel Cleric / Criatura — Anjo Clérigo</t>
  </si>
  <si>
    <t>Flying When this creature enters, you gain 1 life and draw a card. / Voar Quando Supervisor Inspirador entra no campo de batalha, você ganha 1 ponto de vida e compra um card.</t>
  </si>
  <si>
    <t>Rumbling Sentry / Sentinela Ribombante</t>
  </si>
  <si>
    <t>When this creature enters, scry 1. / Quando Sentinela Ribombante entrar no campo de batalha, use vidência 1.</t>
  </si>
  <si>
    <t>Trusted Pegasus / Pégaso Confiável</t>
  </si>
  <si>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</si>
  <si>
    <t>Pterodon Knight / Cavaleira de Pterodontes</t>
  </si>
  <si>
    <t>This creature has flying as long as you control a Dinosaur. / Cavaleira de Pterodontes terá voar enquanto você controlar um Dinossauro.</t>
  </si>
  <si>
    <t>Talus Paladin / Paladino de Talus</t>
  </si>
  <si>
    <t>Creature — Human Knight Ally / Criatura — Humano Cavaleiro Aliado</t>
  </si>
  <si>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</si>
  <si>
    <t>Nebelgast Beguiler / Ludibriadora do Nebelgast</t>
  </si>
  <si>
    <t>{W}, {T}: Tap target creature. / {W}, {T}: Vire a criatura alvo.</t>
  </si>
  <si>
    <t>Hada Freeblade / Franco-Espadachim de Hada</t>
  </si>
  <si>
    <t>Creature — Human Soldier Ally / Criatura — Humano Soldado Aliado</t>
  </si>
  <si>
    <t>Whenever this creature or another Ally you control enters, you may put a +1/+1 counter on this creature. / Toda vez que Franco-Espadachim de Hada ou outro Aliado entra no campo de batalha sob o seu controle, você pode colocar um marcador +1/+1 em Franco-Espadachim de Hada.</t>
  </si>
  <si>
    <t>Fencing Ace / Ás da Esgrima</t>
  </si>
  <si>
    <t>Double strike (This creature deals both first-strike and regular combat damage.) / Golpe duplo (Esta criatura causa tanto o dano de iniciativa quanto o de combate normal.)</t>
  </si>
  <si>
    <t>Beloved Princess / Princesa Adorada</t>
  </si>
  <si>
    <t>Creature — Human Noble / Criatura — Humano Nobre</t>
  </si>
  <si>
    <t>Lifelink This creature can't be blocked by creatures with power 3 or greater. / Vínculo com a vida Princesa Adorada não pode ser bloqueada por criaturas de poder igual ou superior a 3.</t>
  </si>
  <si>
    <t>Dawnstrike Paladin / Paladino da Aurora</t>
  </si>
  <si>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</si>
  <si>
    <t>Sentinela Selesnya / Selesnya Sentry</t>
  </si>
  <si>
    <t>Criatura — Elefante Soldado / Creature — Elephant Soldier</t>
  </si>
  <si>
    <t>{5}{G}: Regenere Sentinela Selesnya. / {5}{G}: Regenerate Selesnya Sentry.</t>
  </si>
  <si>
    <t>Marsh Threader / Atravessador de Palude</t>
  </si>
  <si>
    <t>Creature — Kor Scout / Criatura — Kor Batedor</t>
  </si>
  <si>
    <t>Swampwalk (This creature can't be blocked as long as defending player controls a Swamp.) / Travessia de pântano</t>
  </si>
  <si>
    <t>Brago's Representative</t>
  </si>
  <si>
    <t>Creature — Human Advisor</t>
  </si>
  <si>
    <t>While voting, you get an additional vote. (The votes can be for different choices or for the same choice.)</t>
  </si>
  <si>
    <t>Conspiracy (CNS)</t>
  </si>
  <si>
    <t>Misthoof Kirin / Kirin Casconévoa</t>
  </si>
  <si>
    <t>Creature — Kirin / Criatura — Kirin</t>
  </si>
  <si>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</si>
  <si>
    <t>Thalia's Lancers / Lanceiras de Thalia</t>
  </si>
  <si>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</si>
  <si>
    <t>Nyxborn Shieldmate / Escudeiro Nyxnato</t>
  </si>
  <si>
    <t>Enchantment Creature — Human Soldier / Criatura Encantamento — Humano Soldado</t>
  </si>
  <si>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</si>
  <si>
    <t>Elite Interceptor // Rejoinder</t>
  </si>
  <si>
    <t>Creature — Human Wizard // Sorcery</t>
  </si>
  <si>
    <t>Elite Interceptor: This creature enters prepared. (While it's prepared, you may cast a copy of its spell. Doing so unprepares it.) // Rejoinder: You may tap or untap target creature. Draw a card.</t>
  </si>
  <si>
    <t>{W} // {1}{W}</t>
  </si>
  <si>
    <t>Dromoka Dunecaster / Conjurador de Dunas de Dromoka</t>
  </si>
  <si>
    <t>{1}{W}, {T}: Tap target creature without flying. / {1}{W}, {T}: Vire a criatura alvo sem voar.</t>
  </si>
  <si>
    <t>Scholar of Athreos / Escolástico de Atreos</t>
  </si>
  <si>
    <t>{2}{B}: Each opponent loses 1 life. You gain life equal to the life lost this way. / {2}{B}: Cada oponente perde 1 ponto de vida. Você ganha uma quantidade de pontos de vida igual ao total de pontos de vida perdidos dessa maneira.</t>
  </si>
  <si>
    <t>Welcoming Vampire / Vampira da Recepção</t>
  </si>
  <si>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</si>
  <si>
    <t>Kytheon's Irregulars / Subversivos de Quiteon</t>
  </si>
  <si>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</si>
  <si>
    <t>Loxodon Sergeant / Sargento Loxodonte</t>
  </si>
  <si>
    <t>Creature — Elephant Soldier / Criatura — Elefante Soldado</t>
  </si>
  <si>
    <t>Vigilance When this creature enters, other creatures you control gain vigilance until end of turn. / Vigilância Quando Sargento Loxodonte entra no campo de batalha, as outras criaturas que você controla ganham vigilância até o final do turno.</t>
  </si>
  <si>
    <t>Avacynian Priest / Sacerdote Avacyniano</t>
  </si>
  <si>
    <t>{1}, {T}: Tap target non-Human creature. / {1}, {T}: Vire a criatura alvo que não seja do tipo Humano.</t>
  </si>
  <si>
    <t>Sandstorm Charger / Atacante da Tempestade de Areia</t>
  </si>
  <si>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</si>
  <si>
    <t>Backup Agent / Agente de Reforço</t>
  </si>
  <si>
    <t>Creature — Human Citizen / Criatura — Humano Cidadão</t>
  </si>
  <si>
    <t>When this creature enters, put a +1/+1 counter on target creature. / Quando Agente de Reforço entrar no campo de batalha, coloque um marcador +1/+1 na criatura alvo.</t>
  </si>
  <si>
    <t>Dromoka Warrior / Guerreiro de Dromoka</t>
  </si>
  <si>
    <t>Nav Squad Commandos / Comandos do Esquadrão de Navegação</t>
  </si>
  <si>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</si>
  <si>
    <t>Sun-Crested Pterodon / Pterodonte Crista-solar</t>
  </si>
  <si>
    <t>Flying This creature has vigilance as long as you control another Dinosaur. / Voar Pterodonte Crista-solar terá vigilância enquanto você controlar outro Dinossauro.</t>
  </si>
  <si>
    <t>Goldnight Redeemer / Redentor dos Noite Dourada</t>
  </si>
  <si>
    <t>Flying When this creature enters, you gain 2 life for each other creature you control. / Voar Quando Redentor dos Noite Dourada entra no campo de batalha, você ganha 2 pontos de vida para cada outra criatura que você controla.</t>
  </si>
  <si>
    <t>Ondu War Cleric / Clérigo da Guerra de Ondu</t>
  </si>
  <si>
    <t>Creature — Human Cleric Ally / Criatura — Humano Clérigo Aliado</t>
  </si>
  <si>
    <t>Cohort — {T}, Tap an untapped Ally you control: You gain 2 life. / Companheiro — {T}, Vire um Aliado desvirado que você controla: Você ganha 2 pontos de vida.</t>
  </si>
  <si>
    <t>Martyr for the Cause / Mártir da Causa</t>
  </si>
  <si>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</si>
  <si>
    <t>Silent Artisan / Artesão Silencioso</t>
  </si>
  <si>
    <t>Kazandu Blademaster / Espadachim-Mestre de Kazandu</t>
  </si>
  <si>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</si>
  <si>
    <t>Sun-Dappled Celebrant</t>
  </si>
  <si>
    <t>Convoke (Your creatures can help cast this spell. Each creature you tap while casting this spell pays for {1} or one mana of that creature's color.) Vigilance</t>
  </si>
  <si>
    <t>Haazda Marshal / Agente de Haazda</t>
  </si>
  <si>
    <t>Whenever this creature and at least two other creatures attack, create a 1/1 white Soldier creature token with lifelink. / Toda vez que Agente de Haazda e ao menos duas outras criaturas atacarem, crie uma ficha de criatura branca 1/1 do tipo Soldado com vínculo com a vida.</t>
  </si>
  <si>
    <t>Ajani's Chosen / Escolhidos de Ajani</t>
  </si>
  <si>
    <t>Creature — Cat Soldier / Criatura — Felino Soldado</t>
  </si>
  <si>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</si>
  <si>
    <t>Avian Changeling / Morfolóide Áleo</t>
  </si>
  <si>
    <t>Creature — Shapeshifter / Criatura — Metamorfo</t>
  </si>
  <si>
    <t>Changeling (This card is every creature type.) Flying / Morfolóide (Este card é de todos os tipos de criatura sempre.) Voar</t>
  </si>
  <si>
    <t>Chapel Geist / Geist da Capela</t>
  </si>
  <si>
    <t>Griffin Dreamfinder / Grifo Apanha-sonhos</t>
  </si>
  <si>
    <t>Flying When this creature enters, return target enchantment card from your graveyard to your hand. / Voar Quando Grifo Apanha-sonhos entrar no campo de batalha, devolva o card de encantamento alvo de seu cemitério para sua mão.</t>
  </si>
  <si>
    <t>Celestial Flare / Clarão Celestial</t>
  </si>
  <si>
    <t>Target player sacrifices an attacking or blocking creature of their choice. / O jogador alvo sacrifica uma criatura atacante ou bloqueadora.</t>
  </si>
  <si>
    <t>Last Breath / Último Fôlego</t>
  </si>
  <si>
    <t>Exile target creature with power 2 or less. Its controller gains 4 life. / Exile a criatura alvo com poder menor ou igual a 2. Seu controlador ganha 4 pontos de vida.</t>
  </si>
  <si>
    <t>Pay No Heed / Desconsiderar</t>
  </si>
  <si>
    <t>Prevent all damage a source of your choice would deal this turn. / Previna todo o dano que uma fonte à sua escolha causaria neste turno.</t>
  </si>
  <si>
    <t>Renewed Faith / Fé Renovada</t>
  </si>
  <si>
    <t>You gain 6 life. Cycling {1}{W} ({1}{W}, Discard this card: Draw a card.) When you cycle this card, you may gain 2 life. / Você ganha 6 pontos de vida. Reciclar {1}{W} ({1}{W}, Descarte este card: Compre um card.) Quando recicla Fé Renovada, você pode ganhar 2 pontos de vida.</t>
  </si>
  <si>
    <t>Wanderer's Intervention / Intervenção da Errante</t>
  </si>
  <si>
    <t>Wanderer's Intervention deals 4 damage to target attacking or blocking creature. / Intervenção da Errante causa 4 pontos de dano à criatura atacante ou bloqueadora alvo.</t>
  </si>
  <si>
    <t>Fortify / Fortificar</t>
  </si>
  <si>
    <t>Choose one — • Creatures you control get +2/+0 until end of turn. • Creatures you control get +0/+2 until end of turn. / Escolha um — As criaturas que você controla recebem +2/+0 até o final do turno; ou as criaturas que você controla recebem +0/+2 até o final do turno.</t>
  </si>
  <si>
    <t>Zealous Strike / Golpe Zeloso</t>
  </si>
  <si>
    <t>Target creature gets +2/+2 and gains first strike until end of turn. / A criatura alvo recebe +2/+2 e ganha iniciativa até o final do turno.</t>
  </si>
  <si>
    <t>Trostani's Judgment / Julgamento de Trostani</t>
  </si>
  <si>
    <t>Exile target creature, then populate. (Create a token that's a copy of a creature token you control.) / Exile a criatura alvo e depois povoe. (Coloque no campo de batalha uma ficha que seja uma cópia de uma ficha de criatura que você controla.)</t>
  </si>
  <si>
    <t>Battlefield Promotion / Promoção em Campo</t>
  </si>
  <si>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</si>
  <si>
    <t>Leave No Trace / Sem vestígios</t>
  </si>
  <si>
    <t>Radiance — Destroy target enchantment and each other enchantment that shares a color with it. / Radiação Destrói o encantamento alvo e cada outro encantamento que compartilhe uma cor com ele.</t>
  </si>
  <si>
    <t>Spare from Evil / Poupar do Mal</t>
  </si>
  <si>
    <t>Creatures you control gain protection from non-Human creatures until end of turn. / As criaturas que você controla ganham proteção contra criaturas que não sejam do tipo Humano até o final do turno.</t>
  </si>
  <si>
    <t>Hopeful Vigil / Vigília Esperançosa</t>
  </si>
  <si>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</si>
  <si>
    <t>Increasing Devotion / Devoção Crescente</t>
  </si>
  <si>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</si>
  <si>
    <t>Adamant Will / Vontade Adamantina</t>
  </si>
  <si>
    <t>Target creature gets +2/+2 and gains indestructible until end of turn. (Damage and effects that say "destroy" don't destroy it.) / A criatura alvo recebe +2/+2 e ganha indestrutível até o final do turno. (Dano e efeitos que dizem "destrua" não a destroem.)</t>
  </si>
  <si>
    <t>Knight Watch / Vigilância de Cavaleiros</t>
  </si>
  <si>
    <t>Create two 2/2 white Knight creature tokens with vigilance. / Coloque no campo de batalha duas fichas de criatura brancas 2/2 do tipo Cavaleiro com vigilância.</t>
  </si>
  <si>
    <t>Aerial Maneuver / Manobra Aérea</t>
  </si>
  <si>
    <t>Target creature gets +1/+1 and gains flying and first strike until end of turn. / A criatura alvo recebe +1/+1 e ganha voar e iniciativa até o final do turno.</t>
  </si>
  <si>
    <t>Ray of Dissolution / Raio de Dissolução</t>
  </si>
  <si>
    <t>Destroy target enchantment. You gain 3 life. / Destrua o encantamento alvo. Você ganha 3 pontos de vida.</t>
  </si>
  <si>
    <t>Righteous Blow / Golpe Justo</t>
  </si>
  <si>
    <t>Righteous Blow deals 2 damage to target attacking or blocking creature. / Golpe Justo causa 2 pontos de dano à criatura atacante ou bloqueadora alvo.</t>
  </si>
  <si>
    <t>Metal Fatigue / Fadiga do Metal</t>
  </si>
  <si>
    <t>Tap all artifacts. / Vira todos os artefatos.</t>
  </si>
  <si>
    <t>Apostle's Blessing / Bênção do Apóstolo</t>
  </si>
  <si>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</si>
  <si>
    <t>{1}{W/P}</t>
  </si>
  <si>
    <t>Your Temple Is Under Attack / Seu Templo Está Sendo Atacado</t>
  </si>
  <si>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</si>
  <si>
    <t>Revoke Existence / Revogar Existência</t>
  </si>
  <si>
    <t>Duel Decks: Venser vs. Koth (DDI)</t>
  </si>
  <si>
    <t>Double Masters</t>
  </si>
  <si>
    <t>Theros além da morte</t>
  </si>
  <si>
    <t>Gods Willing / Vontade dos Deuses</t>
  </si>
  <si>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</si>
  <si>
    <t>Dawn Charm / Medalhão da Aurora</t>
  </si>
  <si>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</si>
  <si>
    <t>Planar Chaos (PLC)</t>
  </si>
  <si>
    <t>Sonar Strike</t>
  </si>
  <si>
    <t>Sonar Strike deals 4 damage to target attacking, blocking, or tapped creature. You gain 3 life if you control a Bat.</t>
  </si>
  <si>
    <t>Time Stop / Parar o Tempo</t>
  </si>
  <si>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</si>
  <si>
    <t>Channel Harm / Canalizar Dano</t>
  </si>
  <si>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</si>
  <si>
    <t>Smite / Castigo</t>
  </si>
  <si>
    <t>Destroy target blocked creature. / Destrua a criatura bloqueada alvo.</t>
  </si>
  <si>
    <t>Jump Scare</t>
  </si>
  <si>
    <t>Until end of turn, target creature gets +2/+2, gains flying, and becomes a Horror enchantment creature in addition to its other types.</t>
  </si>
  <si>
    <t>Promise of Bunrei / Promessa de Bunrei</t>
  </si>
  <si>
    <t>When a creature you control dies, sacrifice this enchantment. If you do, create four 1/1 colorless Spirit creature tokens. / Quando uma criatura que você controla morrer, sacrifique Promessa de Bunrei. Se fizer isso, crie quatro fichas de criatura Espírito incolor 1/1.</t>
  </si>
  <si>
    <t>Lifelink / Vínculo com a Vida</t>
  </si>
  <si>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</si>
  <si>
    <t>Keep Out</t>
  </si>
  <si>
    <t>Choose one — • Keep Out deals 4 damage to target tapped creature. • Destroy target enchantment.</t>
  </si>
  <si>
    <t>Topple the Statue / Derrubar a Estátua</t>
  </si>
  <si>
    <t>Tap target permanent. If it's an artifact, destroy it. Draw a card. / Vire a permanente alvo. Se ela for um artefato, destrua-a. Compre um card.</t>
  </si>
  <si>
    <t>Rally the Peasants / Reunir os Camponeses</t>
  </si>
  <si>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</si>
  <si>
    <t>Guardian Zendikon / Zendikon Guardião</t>
  </si>
  <si>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</si>
  <si>
    <t>Bound in Silence / Prisioneiro do Silêncio</t>
  </si>
  <si>
    <t>Kindred Enchantment — Rebel Aura / Encantamento Tribal — Rebelde Aura</t>
  </si>
  <si>
    <t>Chaplain's Blessing / Bênção da Capelã</t>
  </si>
  <si>
    <t>You gain 5 life. / Você ganha 5 pontos de vida.</t>
  </si>
  <si>
    <t>Patrician's Scorn / Desprezo de Compatrício</t>
  </si>
  <si>
    <t>If you've cast another white spell this turn, you may cast this spell without paying its mana cost. Destroy all enchantments. / Se você jogou outra mágica branca neste turno, poderá jogar Desprezo de Compatrício sem pagar seu custo de mana. Destrua todos os encantamentos.</t>
  </si>
  <si>
    <t>Setessan Griffin / Grifo Setessano</t>
  </si>
  <si>
    <t>Flying {2}{G}{G}: This creature gets +2/+2 until end of turn. Activate only once each turn. / Voar {2}{G}{G}: Grifo Setessano recebe +2/+2 até o final do turno. Ative esta habilidade apenas uma vez a cada turno.</t>
  </si>
  <si>
    <t>Dutiful Servants / Servos Obedientes</t>
  </si>
  <si>
    <t>Armory Guard / Guarda do Arsenal</t>
  </si>
  <si>
    <t>Creature — Giant Soldier / Criatura — Gigante Soldado</t>
  </si>
  <si>
    <t>This creature has vigilance as long as you control a Gate. / Guarda do Arsenal terá vigilância enquanto você controlar um terreno do tipo Portão.</t>
  </si>
  <si>
    <t>Extraction Specialist / Especialista em Resgates</t>
  </si>
  <si>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</si>
  <si>
    <t>Mummy Paramount / Múmia Suprema</t>
  </si>
  <si>
    <t>Whenever another Zombie you control enters, this creature gets +1/+1 until end of turn. / Toda vez que outro Zumbi entra no campo de batalha sob seu controle, Múmia Suprema recebe +1/+1 até o final do turno.</t>
  </si>
  <si>
    <t>Thriving Ibex / Íbex Vigoroso</t>
  </si>
  <si>
    <t>Creature — Goat / Criatura — Bode</t>
  </si>
  <si>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</si>
  <si>
    <t>Oreskos Swiftclaw / Garra-veloz de Oreskos</t>
  </si>
  <si>
    <t>Creature — Cat Warrior / Criatura — Felino Guerreiro</t>
  </si>
  <si>
    <t>Silvercoat Lion / Leão Pele-de-Prata</t>
  </si>
  <si>
    <t>Hundred-Handed One / Centomano</t>
  </si>
  <si>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</si>
  <si>
    <t>Dawnbringer Cleric / Clérigo Arauto da Aurora</t>
  </si>
  <si>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</si>
  <si>
    <t>Savannah Lions / Leões da Savana</t>
  </si>
  <si>
    <t>Teshar, Ancestor's Apostle / Teshar, Apóstolo da Ancestral</t>
  </si>
  <si>
    <t>Legendary Creature — Bird Cleric / Criatura Lendária — Ave Clérigo</t>
  </si>
  <si>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</si>
  <si>
    <t>Goldenglow Moth / Mariposa da Luz Dourada</t>
  </si>
  <si>
    <t>Flying Whenever this creature blocks, you may gain 4 life. / Voar Toda vez que Mariposa da Luz Dourada bloqueia, você pode ganhar 4 pontos de vida.</t>
  </si>
  <si>
    <t>Archway Angel / Anjo do Arco</t>
  </si>
  <si>
    <t>Flying When this creature enters, you gain 2 life for each Gate you control. / Voar Quando Anjo do Arco entra no campo de batalha, você ganha 2 pontos de vida para cada Portão que você controla.</t>
  </si>
  <si>
    <t>Ministrant of Obligation / Ministrante da Obrigação</t>
  </si>
  <si>
    <t>Afterlife 2 (When this creature dies, create two 1/1 white and black Spirit creature tokens with flying.) / Pós-vida 2 (Quando esta criatura morrer, crie duas fichas de criatura branca e preta 1/1 do tipo Espírito com voar. )</t>
  </si>
  <si>
    <t>Daghatar the Adamant / Daghatar, o Inflexível</t>
  </si>
  <si>
    <t>Legendary Creature — Human Warrior / Criatura Lendária — Humano Guerreiro</t>
  </si>
  <si>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</si>
  <si>
    <t>Yoked Plowbeast / Besta Lavradora Bridada</t>
  </si>
  <si>
    <t>Cycling {2} ({2}, Discard this card: Draw a card.) / Reciclar {2} ({2}, Descarte este card: Compre um card.)</t>
  </si>
  <si>
    <t>Warclamp Mastiff / Mastim Torno-de-Guerra</t>
  </si>
  <si>
    <t>Creature — Dog / Criatura — Sabujo</t>
  </si>
  <si>
    <t>First strike (This creature deals combat damage before creatures without first strike.) / Iniciativa (Esta criatura causa dano de combate antes das criaturas sem iniciativa.)</t>
  </si>
  <si>
    <t>Looming Altisaur / Altissauro Assomador</t>
  </si>
  <si>
    <t>Mesa Lynx / Lince da Meseta</t>
  </si>
  <si>
    <t>During turns other than yours, this creature gets +0/+2. / Enquanto não for o seu turno, Lince da Meseta receberá +0/+2.</t>
  </si>
  <si>
    <t>Aven Tactician / Estrategista Aviano</t>
  </si>
  <si>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</si>
  <si>
    <t>Tazeem Raptor / Raptor de Tazeem</t>
  </si>
  <si>
    <t>Flying When this creature enters, you may return a land you control to its owner's hand. / Voar Quando Raptor de Tazeem entra no campo de batalha, você pode devolver um terreno que você controla para a mão de seu dono.</t>
  </si>
  <si>
    <t>Rustwing Falcon / Falcão da Asa Rubiginosa</t>
  </si>
  <si>
    <t>Seven-Tail Mentor / Mentora das Sete Caudas</t>
  </si>
  <si>
    <t>Creature — Fox Samurai / Criatura — Raposa Samurai</t>
  </si>
  <si>
    <t>When this creature enters or dies, put a +1/+1 counter on target creature or Vehicle you control. / Quando Mentora das Sete Caudas entrar no campo de batalha ou morrer, coloque um marcador +1/+1 na criatura ou no Veículo alvo que você controla.</t>
  </si>
  <si>
    <t>Helpful Hunter</t>
  </si>
  <si>
    <t>When this creature enters, draw a card.</t>
  </si>
  <si>
    <t>Traveling Philosopher / Filósofo Viajante</t>
  </si>
  <si>
    <t>Creature — Human Advisor / Criatura — Humano Conselheiro</t>
  </si>
  <si>
    <t>Unholy Officiant / Celebrante Profano</t>
  </si>
  <si>
    <t>Vigilance {4}{W}: Put a +1/+1 counter on this creature. / Vigilância {4}{W}: Coloque um marcador +1/+1 em Celebrante Profano.</t>
  </si>
  <si>
    <t>Charmed Stray / Vira-lata Encantado</t>
  </si>
  <si>
    <t>Lifelink When this creature enters, put a +1/+1 counter on each other creature you control named Charmed Stray. / Vínculo com a vida Quando Vira-lata Encantado entrar no campo de batalha, coloque um marcador +1/+1 em cada outra criatura que você controla com o nome Vira-lata Encantado.</t>
  </si>
  <si>
    <t>Mandibular Kite / Dragão Mandibular</t>
  </si>
  <si>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</si>
  <si>
    <t>Devilthorn Fox / Raposa de Espinho do Diabo</t>
  </si>
  <si>
    <t>Creature — Fox / Criatura — Raposa</t>
  </si>
  <si>
    <t>Healer's Hawk / Falcão do Curandeiro</t>
  </si>
  <si>
    <t>Flying Lifelink (Damage dealt by this creature also causes you to gain that much life.) / Voar, vínculo com a vida</t>
  </si>
  <si>
    <t>Woeleecher / Suga-Desgraça</t>
  </si>
  <si>
    <t>{W}, {T}: Remove a -1/-1 counter from target creature. If you do, you gain 2 life. / {W}, {T}: Remova um marcador -1/-1 da criatura alvo. Se fizer isso, você ganhará 2 pontos de vida.</t>
  </si>
  <si>
    <t>Worship / Adoração</t>
  </si>
  <si>
    <t>If you control a creature, damage that would reduce your life total to less than 1 reduces it to 1 instead. / Se você controlar uma criatura, o dano que reduziria seu total de pontos de vida para menos do que 1, em vez disso, o reduzirá para 1.</t>
  </si>
  <si>
    <t>Signature Spellbook: Gideon (SS2)</t>
  </si>
  <si>
    <t>Knightly Valor / Heroísmo Cavaleiroso</t>
  </si>
  <si>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</si>
  <si>
    <t>Vryn Wingmare / Égua Alada de Vryn</t>
  </si>
  <si>
    <t>Flying Noncreature spells cost {1} more to cast. / Voar As mágicas que não sejam de criatura custam {1} a mais para serem conjuradas.</t>
  </si>
  <si>
    <t>Befriending the Moths // Imperial Moth / Confraternizar com as Mariposas // Mariposa Imperial</t>
  </si>
  <si>
    <t>Enchantment — Saga // Enchantment Creature — Insect / Encantamento — Saga</t>
  </si>
  <si>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</si>
  <si>
    <t>Era of Enlightenment // Hand of Enlightenment / Era da Iluminação // Mão da Iluminação</t>
  </si>
  <si>
    <t>Enchantment — Saga // Enchantment Creature — Human Monk / Encantamento — Saga</t>
  </si>
  <si>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</si>
  <si>
    <t>Intercessor's Arrest / Prisão do Intercessor</t>
  </si>
  <si>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</si>
  <si>
    <t>Destroy Evil / Destruir o Mal</t>
  </si>
  <si>
    <t>Choose one — • Destroy target creature with toughness 4 or greater. • Destroy target enchantment. / Escolha um — • Destrua a criatura alvo com resistência igual ou superior a 4. • Destrua o encantamento alvo.</t>
  </si>
  <si>
    <t>Regent's Authority / Autoridade da Regente</t>
  </si>
  <si>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</si>
  <si>
    <t>Eiganjo Exemplar / Exemplar de Eiganjo</t>
  </si>
  <si>
    <t>Enchantment Creature — Human Samurai / Criatura Encantamento — Humano Samurai</t>
  </si>
  <si>
    <t>Whenever a Samurai or Warrior you control attacks alone, it gets +1/+1 until end of turn. / Toda vez que um Samurai ou Guerreiro que você controla ataca sozinho, ele recebe +1/+1 até o final do turno.</t>
  </si>
  <si>
    <t>White Lotus Hideout</t>
  </si>
  <si>
    <t>{T}: Add {C}. {T}: Add one mana of any color. Spend this mana only to cast a Lesson or Shrine spell. {1}, {T}: Add one mana of any color.</t>
  </si>
  <si>
    <t>Avatar: The Last Airbender (TLA)</t>
  </si>
  <si>
    <t>Abandoned Air Temple</t>
  </si>
  <si>
    <t>This land enters tapped unless you control a basic land. {T}: Add {W}. {3}{W}, {T}: Put a +1/+1 counter on each creature you control.</t>
  </si>
  <si>
    <t>Boiling Rock Prison</t>
  </si>
  <si>
    <t>This land enters tapped. {T}: Add {B} or {R}. {4}, {T}, Sacrifice this land: Draw a card.</t>
  </si>
  <si>
    <t>Sun-Blessed Peak</t>
  </si>
  <si>
    <t>This land enters tapped. {T}: Add {R} or {W}. {4}, {T}, Sacrifice this land: Draw a card.</t>
  </si>
  <si>
    <t>Kyoshi Village</t>
  </si>
  <si>
    <t>This land enters tapped. {T}: Add {G} or {W}. {4}, {T}, Sacrifice this land: Draw a card.</t>
  </si>
  <si>
    <t>North Pole Gates</t>
  </si>
  <si>
    <t>This land enters tapped. {T}: Add {W} or {U}. {4}, {T}, Sacrifice this land: Draw a card.</t>
  </si>
  <si>
    <t>Trusty Boomerang</t>
  </si>
  <si>
    <t>Equipped creature has "{1}, {T}: Tap target creature. Return Trusty Boomerang to its owner's hand." Equip {1} ({1}: Attach to target creature you control. Equip only as a sorcery.)</t>
  </si>
  <si>
    <t>Bender's Waterskin</t>
  </si>
  <si>
    <t>Untap this artifact during each other player's untap step. {T}: Add one mana of any color.</t>
  </si>
  <si>
    <t>Kyoshi Battle Fan</t>
  </si>
  <si>
    <t>When this Equipment enters, create a 1/1 white Ally creature token, then attach this Equipment to it. Equipped creature gets +1/+0. Equip {2} ({2}: Attach to target creature you control. Equip only as a sorcery.)</t>
  </si>
  <si>
    <t>Aang's Journey</t>
  </si>
  <si>
    <t>Sorcery — Lesson</t>
  </si>
  <si>
    <t>Kicker {2} (You may pay an additional {2} as you cast this spell.) Search your library for a basic land card. If this spell was kicked, instead search your library for a basic land card and a Shrine card. Reveal those cards, put them into your hand, then shuffle. You gain 2 life.</t>
  </si>
  <si>
    <t>Energybending</t>
  </si>
  <si>
    <t>Instant — Lesson</t>
  </si>
  <si>
    <t>Lands you control gain all basic land types until end of turn. Draw a card.</t>
  </si>
  <si>
    <t>Meteor Sword</t>
  </si>
  <si>
    <t>When this Equipment enters, destroy target permanent. Equipped creature gets +3/+3. Equip {3} ({3}: Attach to target creature you control. Equip only as a sorcery.)</t>
  </si>
  <si>
    <t>Fire Nation Warship</t>
  </si>
  <si>
    <t>Artifact — Vehicle</t>
  </si>
  <si>
    <t>Reach When this Vehicle dies, create a Clue token. (It's an artifact with "{2}, Sacrifice this token: Draw a card.") Crew 2 (Tap any number of creatures you control with total power 2 or more: This Vehicle becomes an artifact creature until end of turn.)</t>
  </si>
  <si>
    <t>Fire Navy Trebuchet</t>
  </si>
  <si>
    <t>Artifact Creature — Wall</t>
  </si>
  <si>
    <t>Defender, reach Whenever you attack, create a 2/1 colorless Construct artifact creature token with flying named Ballistic Boulder that's tapped and attacking. Sacrifice that token at the beginning of the next end step.</t>
  </si>
  <si>
    <t>Airbending Lesson</t>
  </si>
  <si>
    <t>Airbend target nonland permanent. (Exile it. While it's exiled, its owner may cast it for {2} rather than its mana cost.) Draw a card.</t>
  </si>
  <si>
    <t>Rabaroo Troop</t>
  </si>
  <si>
    <t>Creature — Rabbit Kangaroo</t>
  </si>
  <si>
    <t>Landfall — Whenever a land you control enters, this creature gains flying until end of turn and you gain 1 life. Plainscycling {2} ({2}, Discard this card: Search your library for a Plains card, reveal it, put it into your hand, then shuffle.)</t>
  </si>
  <si>
    <t>Curious Farm Animals</t>
  </si>
  <si>
    <t>Creature — Boar Elk Bird Ox</t>
  </si>
  <si>
    <t>When this creature dies, you gain 3 life. {2}, Sacrifice this creature: Destroy up to one target artifact or enchantment.</t>
  </si>
  <si>
    <t>Avatar Enthusiasts</t>
  </si>
  <si>
    <t>Creature — Human Peasant Ally</t>
  </si>
  <si>
    <t>Whenever another Ally you control enters, put a +1/+1 counter on this creature.</t>
  </si>
  <si>
    <t>Enter the Avatar State</t>
  </si>
  <si>
    <t>Until end of turn, target creature you control becomes an Avatar in addition to its other types and gains flying, first strike, lifelink, and hexproof. (A creature with hexproof can't be the target of spells or abilities your opponents control.)</t>
  </si>
  <si>
    <t>Path to Redemption</t>
  </si>
  <si>
    <t>Enchant creature Enchanted creature can't attack or block. {5}, Sacrifice this Aura: Exile enchanted creature. Create a 1/1 white Ally creature token. Activate only during your turn.</t>
  </si>
  <si>
    <t>Water Tribe Rallier</t>
  </si>
  <si>
    <t>Creature — Human Soldier Ally</t>
  </si>
  <si>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</si>
  <si>
    <t>Glider Staff</t>
  </si>
  <si>
    <t>When this Equipment enters, airbend up to one target creature. (Exile it. While it's exiled, its owner may cast it for {2} rather than its mana cost.) Equipped creature gets +1/+1 and has flying. Equip {2}</t>
  </si>
  <si>
    <t>Momo, Friendly Flier</t>
  </si>
  <si>
    <t>Legendary Creature — Lemur Bat Ally</t>
  </si>
  <si>
    <t>Flying The first non-Lemur creature spell with flying you cast during each of your turns costs {1} less to cast. Whenever another creature you control with flying enters, Momo gets +1/+1 until end of turn.</t>
  </si>
  <si>
    <t>Avatar: The Last Airbender (TLA) PR</t>
  </si>
  <si>
    <t>Master Piandao</t>
  </si>
  <si>
    <t>Legendary Creature — Human Warrior Ally</t>
  </si>
  <si>
    <t>First strike Whenever Master Piandao attacks, look at the top four cards of your library. You may reveal an Ally, Equipment, or Lesson card from among them and put it into your hand. Put the rest on the bottom of your library in a random order.</t>
  </si>
  <si>
    <t>Aang, the Last Airbender</t>
  </si>
  <si>
    <t>Legendary Creature — Human Avatar Ally</t>
  </si>
  <si>
    <t>Flying When Aang enters, airbend up to one other target nonland permanent. (Exile it. While it's exiled, its owner may cast it for {2} rather than its mana cost.) Whenever you cast a Lesson spell, Aang gains lifelink until end of turn.</t>
  </si>
  <si>
    <t>Jeong Jeong's Deserters</t>
  </si>
  <si>
    <t>Creature — Human Rebel Ally</t>
  </si>
  <si>
    <t>When this creature enters, put a +1/+1 counter on target creature.</t>
  </si>
  <si>
    <t>Kyoshi Warriors</t>
  </si>
  <si>
    <t>Creature — Human Warrior Ally</t>
  </si>
  <si>
    <t>When this creature enters, create a 1/1 white Ally creature token.</t>
  </si>
  <si>
    <t>Water Tribe Captain</t>
  </si>
  <si>
    <t>{5}: Creatures you control get +1/+1 until end of turn.</t>
  </si>
  <si>
    <t>Yip Yip!</t>
  </si>
  <si>
    <t>Target creature you control gets +2/+2 until end of turn. If that creature is an Ally, it also gains flying until end of turn.</t>
  </si>
  <si>
    <t>Fancy Footwork</t>
  </si>
  <si>
    <t>Untap one or two target creatures. They each get +2/+2 until end of turn.</t>
  </si>
  <si>
    <t>Airbender's Reversal</t>
  </si>
  <si>
    <t>Choose one — • Destroy target attacking creature. • Airbend target creature you control. (Exile it. While it's exiled, its owner may cast it for {2} rather than its mana cost.)</t>
  </si>
  <si>
    <t>Invasion Reinforcements</t>
  </si>
  <si>
    <t>Flash When this creature enters, create a 1/1 white Ally creature token.</t>
  </si>
  <si>
    <t>Razor Rings</t>
  </si>
  <si>
    <t>Razor Rings deals 4 damage to target attacking or blocking creature. You gain life equal to the excess damage dealt this way.</t>
  </si>
  <si>
    <t>Sokka, Lateral Strategist</t>
  </si>
  <si>
    <t>Vigilance Whenever Sokka and at least one other creature attack, draw a card.</t>
  </si>
  <si>
    <t>{1}{W/U}{W/U}</t>
  </si>
  <si>
    <t>Cat-Owl</t>
  </si>
  <si>
    <t>Creature — Cat Bird</t>
  </si>
  <si>
    <t>Flying Whenever this creature attacks, untap target artifact or creature.</t>
  </si>
  <si>
    <t>{3}{W/U}</t>
  </si>
  <si>
    <t>Earth Village Ruffians</t>
  </si>
  <si>
    <t>Creature — Human Soldier Rogue</t>
  </si>
  <si>
    <t>When this creature dies, earthbend 2. (Target land you control becomes a 0/0 creature with haste that's still a land. Put two +1/+1 counters on it. When it dies or is exiled, return it to the battlefield tapped.)</t>
  </si>
  <si>
    <t>{2}{B/G}</t>
  </si>
  <si>
    <t>Long Feng, Grand Secretariat</t>
  </si>
  <si>
    <t>Legendary Creature — Human Advisor</t>
  </si>
  <si>
    <t>Whenever another creature you control or a land you control is put into a graveyard from the battlefield, put a +1/+1 counter on target creature you control.</t>
  </si>
  <si>
    <t>{1}{B/G}{B/G}</t>
  </si>
  <si>
    <t>Katara, the Fearless</t>
  </si>
  <si>
    <t>If a triggered ability of an Ally you control triggers, that ability triggers an additional time.</t>
  </si>
  <si>
    <t>{G}{W}{U}</t>
  </si>
  <si>
    <t>Verde, Azul, Branco</t>
  </si>
  <si>
    <t>Aang, at the Crossroads // Aang, Destined Savior</t>
  </si>
  <si>
    <t>Legendary Creature — Human Avatar Ally // Legendary Creature — Avatar Ally</t>
  </si>
  <si>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</si>
  <si>
    <t>{2}{G}{W}{U}</t>
  </si>
  <si>
    <t>Iroh, Grand Lotus</t>
  </si>
  <si>
    <t>Legendary Creature — Human Noble Ally</t>
  </si>
  <si>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</si>
  <si>
    <t>Toph, Hardheaded Teacher</t>
  </si>
  <si>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</si>
  <si>
    <t>{2}{R}{G}</t>
  </si>
  <si>
    <t>Earth Rumble</t>
  </si>
  <si>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</si>
  <si>
    <t>Wandering Musicians</t>
  </si>
  <si>
    <t>Creature — Human Bard Ally</t>
  </si>
  <si>
    <t>Whenever this creature attacks, creatures you control get +1/+0 until end of turn.</t>
  </si>
  <si>
    <t>{3}{R/W}</t>
  </si>
  <si>
    <t>Jet, Freedom Fighter</t>
  </si>
  <si>
    <t>Legendary Creature — Human Rebel Ally</t>
  </si>
  <si>
    <t>When Jet enters, he deals damage equal to the number of creatures you control to target creature an opponent controls. When Jet dies, put a +1/+1 counter on each of up to two target creatures.</t>
  </si>
  <si>
    <t>{2}{R/W}{R/W}{R/W}</t>
  </si>
  <si>
    <t>Sun Warriors</t>
  </si>
  <si>
    <t>Firebending X, where X is the number of creatures you control. (Whenever this creature attacks, add X {R}. This mana lasts until end of combat.) {5}: Create a 1/1 white Ally creature token.</t>
  </si>
  <si>
    <t>{2}{R}{W}</t>
  </si>
  <si>
    <t>Dragonfly Swarm</t>
  </si>
  <si>
    <t>Creature — Dragon Insect</t>
  </si>
  <si>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</si>
  <si>
    <t>Sokka, Bold Boomeranger</t>
  </si>
  <si>
    <t>When Sokka enters, discard up to two cards, then draw that many cards. Whenever you cast an artifact or Lesson spell, put a +1/+1 counter on Sokka.</t>
  </si>
  <si>
    <t>Professor Zei, Anthropologist</t>
  </si>
  <si>
    <t>Legendary Creature — Human Advisor Ally</t>
  </si>
  <si>
    <t>{T}, Discard a card: Draw a card. {1}, {T}, Sacrifice Professor Zei: Return target instant or sorcery card from your graveyard to your hand. Activate only during your turn.</t>
  </si>
  <si>
    <t>{U/R}{U/R}</t>
  </si>
  <si>
    <t>Abandon Attachments</t>
  </si>
  <si>
    <t>You may discard a card. If you do, draw two cards.</t>
  </si>
  <si>
    <t>{1}{U/R}</t>
  </si>
  <si>
    <t>Suki, Kyoshi Warrior</t>
  </si>
  <si>
    <t>Suki's power is equal to the number of creatures you control. Whenever Suki attacks, create a 1/1 white Ally creature token that's tapped and attacking.</t>
  </si>
  <si>
    <t>{2}{G/W}{G/W}</t>
  </si>
  <si>
    <t>Earth Kingdom Soldier</t>
  </si>
  <si>
    <t>Vigilance When this creature enters, put a +1/+1 counter on each of up to two target creatures you control.</t>
  </si>
  <si>
    <t>{4}{G/W}</t>
  </si>
  <si>
    <t>White Lotus Reinforcements</t>
  </si>
  <si>
    <t>Vigilance Other Allies you control get +1/+1.</t>
  </si>
  <si>
    <t>Azula, Cunning Usurper</t>
  </si>
  <si>
    <t>Legendary Creature — Human Noble Rogue</t>
  </si>
  <si>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</si>
  <si>
    <t>{2}{U}{B}{B}</t>
  </si>
  <si>
    <t>Hama, the Bloodbender</t>
  </si>
  <si>
    <t>Legendary Creature — Human Warlock</t>
  </si>
  <si>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</si>
  <si>
    <t>{2}{U/B}{U/B}{U/B}</t>
  </si>
  <si>
    <t>Messenger Hawk</t>
  </si>
  <si>
    <t>Creature — Bird Scout</t>
  </si>
  <si>
    <t>Flying When this creature enters, create a Clue token. (It's an artifact with "{2}, Sacrifice this token: Draw a card.") This creature gets +2/+0 as long as you've drawn two or more cards this turn.</t>
  </si>
  <si>
    <t>{2}{U/B}</t>
  </si>
  <si>
    <t>Platypus-Bear</t>
  </si>
  <si>
    <t>Creature — Platypus Bear</t>
  </si>
  <si>
    <t>Defender When this creature enters, mill two cards. (Put the top two cards of your library into your graveyard.) As long as there is a Lesson card in your graveyard, this creature can attack as though it didn't have defender.</t>
  </si>
  <si>
    <t>{1}{G/U}</t>
  </si>
  <si>
    <t>Hermitic Herbalist</t>
  </si>
  <si>
    <t>Creature — Human Druid Ally</t>
  </si>
  <si>
    <t>{T}: Add one mana of any color. {T}: Add two mana in any combination of colors. Spend this mana only to cast Lesson spells.</t>
  </si>
  <si>
    <t>Vindictive Warden</t>
  </si>
  <si>
    <t>Menace (This creature can't be blocked except by two or more creatures.) Firebending 1 (Whenever this creature attacks, add {R}. This mana lasts until end of combat.) {3}: This creature deals 1 damage to each opponent.</t>
  </si>
  <si>
    <t>Hei Bai, Spirit of Balance</t>
  </si>
  <si>
    <t>Legendary Creature — Bear Spirit</t>
  </si>
  <si>
    <t>Whenever Hei Bai enters or attacks, you may sacrifice another creature or artifact. If you do, put two +1/+1 counters on Hei Bai. When Hei Bai leaves the battlefield, put its counters on target creature you control.</t>
  </si>
  <si>
    <t>{2}{W/B}{W/B}</t>
  </si>
  <si>
    <t>Zuko, Conflicted</t>
  </si>
  <si>
    <t>Legendary Creature — Human Rogue</t>
  </si>
  <si>
    <t>At the beginning of your first main phase, choose one that hasn't been chosen and you lose 2 life — • Draw a card. • Put a +1/+1 counter on Zuko. • Add {R}. • Exile Zuko, then return him to the battlefield under an opponent's control.</t>
  </si>
  <si>
    <t>Azula Always Lies</t>
  </si>
  <si>
    <t>Choose one or both — • Target creature gets -1/-1 until end of turn. • Put a +1/+1 counter on target creature.</t>
  </si>
  <si>
    <t>Foggy Swamp Hunters</t>
  </si>
  <si>
    <t>Creature — Human Ranger Ally</t>
  </si>
  <si>
    <t>As long as you've drawn two or more cards this turn, this creature has lifelink and menace. (It can't be blocked except by two or more creatures.)</t>
  </si>
  <si>
    <t>Tundra Tank</t>
  </si>
  <si>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</si>
  <si>
    <t>Wolfbat</t>
  </si>
  <si>
    <t>Creature — Wolf Bat</t>
  </si>
  <si>
    <t>Flying Whenever you draw your second card each turn, you may pay {B}. If you do, return this card from your graveyard to the battlefield with a finality counter on it. (If a creature with a finality counter on it would die, exile it instead.)</t>
  </si>
  <si>
    <t>Buzzard-Wasp Colony</t>
  </si>
  <si>
    <t>Creature — Bird Insect</t>
  </si>
  <si>
    <t>Flying When this creature enters, you may sacrifice an artifact or creature. If you do, draw a card. Whenever another creature you control dies, if it had counters on it, put its counters on this creature.</t>
  </si>
  <si>
    <t>Ruinous Waterbending</t>
  </si>
  <si>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</si>
  <si>
    <t>Deadly Precision</t>
  </si>
  <si>
    <t>As an additional cost to cast this spell, pay {4} or sacrifice an artifact or creature. Destroy target creature.</t>
  </si>
  <si>
    <t>Joo Dee, One of Many</t>
  </si>
  <si>
    <t>{B}, {T}: Surveil 1. Create a token that's a copy of this creature, then sacrifice an artifact or creature. Activate only as a sorcery. (To surveil 1, look at the top card of your library. You may put it into your graveyard.)</t>
  </si>
  <si>
    <t>Fire Nation Engineer</t>
  </si>
  <si>
    <t>Creature — Human Artificer</t>
  </si>
  <si>
    <t>Raid — At the beginning of your end step, if you attacked this turn, put a +1/+1 counter on another target creature or Vehicle you control.</t>
  </si>
  <si>
    <t>Merchant of Many Hats</t>
  </si>
  <si>
    <t>{2}{B}: Return this card from your graveyard to your hand.</t>
  </si>
  <si>
    <t>Beetle-Headed Merchants</t>
  </si>
  <si>
    <t>Creature — Human Citizen</t>
  </si>
  <si>
    <t>Whenever this creature attacks, you may sacrifice another creature or artifact. If you do, draw a card and put a +1/+1 counter on this creature.</t>
  </si>
  <si>
    <t>Callous Inspector</t>
  </si>
  <si>
    <t>Menace (This creature can't be blocked except by two or more creatures.) When this creature dies, it deals 1 damage to you. Create a Clue token. (It's an artifact with "{2}, Sacrifice this token: Draw a card.")</t>
  </si>
  <si>
    <t>Corrupt Court Official / Magistrado Corrupto</t>
  </si>
  <si>
    <t>When this creature enters, target opponent discards a card. / Quando Magistrado Corrupto entra no campo de batalha, o oponente alvo descarta um card.</t>
  </si>
  <si>
    <t>Canyon Crawler</t>
  </si>
  <si>
    <t>Creature — Spider Beast</t>
  </si>
  <si>
    <t>Deathtouch When this creature enters, create a Food token. (It's an artifact with "{2}, {T}, Sacrifice this token: You gain 3 life.") Swampcycling {2} ({2}, Discard this card: Search your library for a Swamp card, reveal it, put it into your hand, then shuffle.)</t>
  </si>
  <si>
    <t>Swampsnare Trap</t>
  </si>
  <si>
    <t>This spell costs {1} less to cast if it targets a creature with flying. Enchant creature Enchanted creature gets -5/-3.</t>
  </si>
  <si>
    <t>Hog-Monkey</t>
  </si>
  <si>
    <t>Creature — Boar Monkey</t>
  </si>
  <si>
    <t>At the beginning of combat on your turn, target creature you control with a +1/+1 counter on it gains menace until end of turn. (It can't be blocked except by two or more creatures.) Exhaust — {5}: Put two +1/+1 counters on this creature. (Activate each exhaust ability only once.)</t>
  </si>
  <si>
    <t>June, Bounty Hunter</t>
  </si>
  <si>
    <t>Legendary Creature — Human Mercenary</t>
  </si>
  <si>
    <t>June can't be blocked as long as you've drawn two or more cards this turn. {1}, Sacrifice another creature: Create a Clue token. Activate only during your turn. (It's an artifact with "{2}, Sacrifice this token: Draw a card.")</t>
  </si>
  <si>
    <t>Fatal Fissure</t>
  </si>
  <si>
    <t>Choose target creature. When that creature dies this turn, you earthbend 4. (Target land you control becomes a 0/0 creature with haste that's still a land. Put four +1/+1 counters on it. When it dies or is exiled, return it to the battlefield tapped.)</t>
  </si>
  <si>
    <t>Iguana Parrot</t>
  </si>
  <si>
    <t>Creature — Lizard Bird Pirate</t>
  </si>
  <si>
    <t>Flying, vigilance Prowess (Whenever you cast a noncreature spell, this creature gets +1/+1 until end of turn.)</t>
  </si>
  <si>
    <t>Knowledge Seeker</t>
  </si>
  <si>
    <t>Creature — Fox Spirit</t>
  </si>
  <si>
    <t>Vigilance Whenever you draw your second card each turn, put a +1/+1 counter on this creature. When this creature dies, create a Clue token. (It's an artifact with "{2}, Sacrifice this token: Draw a card.")</t>
  </si>
  <si>
    <t>Crashing Wave</t>
  </si>
  <si>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</si>
  <si>
    <t>The Spirit Oasis</t>
  </si>
  <si>
    <t>Legendary Enchantment — Shrine</t>
  </si>
  <si>
    <t>When The Spirit Oasis enters, draw a card for each Shrine you control. Whenever another Shrine you control enters, draw a card.</t>
  </si>
  <si>
    <t>Waterbending Scroll</t>
  </si>
  <si>
    <t>{6}, {T}: Draw a card. This ability costs {1} less to activate for each Island you control.</t>
  </si>
  <si>
    <t>Geyser Leaper</t>
  </si>
  <si>
    <t>Flying Waterbend {4}: Draw a card, then discard a card. (While paying a waterbend cost, you can tap your artifacts and creatures to help. Each one pays for {1}.)</t>
  </si>
  <si>
    <t>Master Pakku</t>
  </si>
  <si>
    <t>Prowess (Whenever you cast a noncreature spell, this creature gets +1/+1 until end of turn.) Whenever Master Pakku becomes tapped, target player mills X cards, where X is the number of Lesson cards in your graveyard. (They put the top X cards of their library into their graveyard.)</t>
  </si>
  <si>
    <t>Ty Lee, Chi Blocker</t>
  </si>
  <si>
    <t>Legendary Creature — Human Performer Ally</t>
  </si>
  <si>
    <t>Flash Prowess (Whenever you cast a noncreature spell, this creature gets +1/+1 until end of turn.) When Ty Lee enters, tap up to one target creature. It doesn't untap during its controller's untap step for as long as you control Ty Lee.</t>
  </si>
  <si>
    <t>Serpent of the Pass</t>
  </si>
  <si>
    <t>Creature — Serpent</t>
  </si>
  <si>
    <t>If there are three or more Lesson cards in your graveyard, you may cast this spell as though it had flash. This spell costs {1} less to cast for each noncreature, nonland card in your graveyard.</t>
  </si>
  <si>
    <t>First-Time Flyer</t>
  </si>
  <si>
    <t>Creature — Human Pilot Ally</t>
  </si>
  <si>
    <t>Flying This creature gets +1/+1 as long as there's a Lesson card in your graveyard.</t>
  </si>
  <si>
    <t>It'll Quench Ya!</t>
  </si>
  <si>
    <t>Counter target spell unless its controller pays {2}.</t>
  </si>
  <si>
    <t>Octopus Form</t>
  </si>
  <si>
    <t>Target creature you control gets +1/+1 and gains hexproof until end of turn. Untap it. (It can't be the target of spells or abilities your opponents control.)</t>
  </si>
  <si>
    <t>Lost Days</t>
  </si>
  <si>
    <t>The owner of target creature or enchantment puts it into their library second from the top or on the bottom. You create a Clue token. (It's an artifact with "{2}, Sacrifice this token: Draw a card.")</t>
  </si>
  <si>
    <t>Accumulate Wisdom</t>
  </si>
  <si>
    <t>Look at the top three cards of your library. Put one of those cards into your hand and the rest on the bottom of your library in any order. Put each of those cards into your hand instead if there are three or more Lesson cards in your graveyard.</t>
  </si>
  <si>
    <t>Rowdy Snowballers</t>
  </si>
  <si>
    <t>When this creature enters, tap target creature an opponent controls and put a stun counter on it. (If a permanent with a stun counter would become untapped, remove one from it instead.)</t>
  </si>
  <si>
    <t>Katara, Bending Prodigy</t>
  </si>
  <si>
    <t>At the beginning of your end step, if Katara is tapped, put a +1/+1 counter on her. Waterbend {6}: Draw a card. (While paying a waterbend cost, you can tap your artifacts and creatures to help. Each one pays for {1}.)</t>
  </si>
  <si>
    <t>Giant Koi</t>
  </si>
  <si>
    <t>Creature — Fish</t>
  </si>
  <si>
    <t>Waterbend {3}: This creature can't be blocked this turn. (While paying a waterbend cost, you can tap your artifacts and creatures to help. Each one pays for {1}.) Islandcycling {2} ({2}, Discard this card: Search your library for an Island card, reveal it, put it into your hand, then shuffle.)</t>
  </si>
  <si>
    <t>Waterbending Lesson</t>
  </si>
  <si>
    <t>Draw three cards. Then discard a card unless you waterbend {2}. (While paying a waterbend cost, you can tap your artifacts and creatures to help. Each one pays for {1}.)</t>
  </si>
  <si>
    <t>Watery Grasp</t>
  </si>
  <si>
    <t>Enchant creature Enchanted creature doesn't untap during its controller's untap step. Waterbend {5}: Enchanted creature's owner shuffles it into their library. (While paying a waterbend cost, you can tap your artifacts and creatures to help. Each one pays for {1}.)</t>
  </si>
  <si>
    <t>Honest Work</t>
  </si>
  <si>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</si>
  <si>
    <t>Ember Island Production</t>
  </si>
  <si>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</si>
  <si>
    <t>North Pole Patrol</t>
  </si>
  <si>
    <t>{T}: Untap another target permanent you control. Waterbend {3}, {T}: Tap target creature an opponent controls. (While paying a waterbend cost, you can tap your artifacts and creatures to help. Each one pays for {1}.)</t>
  </si>
  <si>
    <t>Otter-Penguin</t>
  </si>
  <si>
    <t>Creature — Otter Bird</t>
  </si>
  <si>
    <t>Whenever you draw your second card each turn, this creature gets +1/+2 until end of turn and can't be blocked this turn.</t>
  </si>
  <si>
    <t>Firebending Lesson</t>
  </si>
  <si>
    <t>Kicker {4} (You may pay an additional {4} as you cast this spell.) Firebending Lesson deals 2 damage to target creature. If this spell was kicked, it deals 5 damage to that creature instead.</t>
  </si>
  <si>
    <t>Deserter's Disciple</t>
  </si>
  <si>
    <t>{T}: Another target creature you control with power 2 or less can't be blocked this turn.</t>
  </si>
  <si>
    <t>Yuyan Archers</t>
  </si>
  <si>
    <t>Creature — Human Archer</t>
  </si>
  <si>
    <t>Reach When this creature enters, you may discard a card. If you do, draw a card.</t>
  </si>
  <si>
    <t>Mai, Jaded Edge</t>
  </si>
  <si>
    <t>Legendary Creature — Human Noble</t>
  </si>
  <si>
    <t>Prowess (Whenever you cast a noncreature spell, this creature gets +1/+1 until end of turn.) Exhaust — {3}: Put a double strike counter on Mai. (Activate each exhaust ability only once.)</t>
  </si>
  <si>
    <t>Treetop Freedom Fighters</t>
  </si>
  <si>
    <t>Haste When this creature enters, create a 1/1 white Ally creature token.</t>
  </si>
  <si>
    <t>Fire Nation Raider</t>
  </si>
  <si>
    <t>Raid — When this creature enters, if you attacked this turn, create a Clue token. (It's an artifact with "{2}, Sacrifice this token: Draw a card.")</t>
  </si>
  <si>
    <t>War Balloon</t>
  </si>
  <si>
    <t>Flying {1}: Put a fire counter on this Vehicle. As long as this Vehicle has three or more fire counters on it, it's an artifact creature. Crew 3 (Tap any number of creatures you control with total power 3 or more: This Vehicle becomes an artifact creature until end of turn.)</t>
  </si>
  <si>
    <t>Zuko, Exiled Prince</t>
  </si>
  <si>
    <t>Firebending 3 (Whenever this creature attacks, add {R}{R}{R}. This mana lasts until end of combat.) {3}: Exile the top card of your library. You may play that card this turn.</t>
  </si>
  <si>
    <t>Ran and Shaw</t>
  </si>
  <si>
    <t>Legendary Creature — Dragon</t>
  </si>
  <si>
    <t>Flying, firebending 2 When Ran and Shaw enter, if you cast them and there are three or more Dragon and/or Lesson cards in your graveyard, create a token that's a copy of Ran and Shaw, except it's not legendary. {3}{R}: Dragons you control get +2/+0 until end of turn.</t>
  </si>
  <si>
    <t>Solstice Revelations</t>
  </si>
  <si>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</si>
  <si>
    <t>Jet's Brainwashing</t>
  </si>
  <si>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</si>
  <si>
    <t>Rough Rhino Cavalry</t>
  </si>
  <si>
    <t>Creature — Human Mercenary</t>
  </si>
  <si>
    <t>Firebending 2 (Whenever this creature attacks, add {R}{R}. This mana lasts until end of combat.) Exhaust — {8}: Put two +1/+1 counters on this creature. It gains trample until end of turn. (Activate each exhaust ability only once.)</t>
  </si>
  <si>
    <t>Boar-q-pine</t>
  </si>
  <si>
    <t>Creature — Boar Porcupine</t>
  </si>
  <si>
    <t>Whenever you cast a noncreature spell, put a +1/+1 counter on this creature.</t>
  </si>
  <si>
    <t>Fire Nation Cadets</t>
  </si>
  <si>
    <t>This creature has firebending 2 as long as there's a Lesson card in your graveyard. (Whenever this creature attacks, add {R}{R}. This mana lasts until end of combat.) {2}: This creature gets +1/+0 until end of turn.</t>
  </si>
  <si>
    <t>How to Start a Riot</t>
  </si>
  <si>
    <t>Target creature gains menace until end of turn. (It can't be blocked except by two or more creatures.) Creatures target player controls get +2/+0 until end of turn.</t>
  </si>
  <si>
    <t>Fire Sages</t>
  </si>
  <si>
    <t>Creature — Human Cleric</t>
  </si>
  <si>
    <t>Firebending 1 (Whenever this creature attacks, add {R}. This mana lasts until end of combat.) {1}{R}{R}: Put a +1/+1 counter on this creature.</t>
  </si>
  <si>
    <t>Tiger-Dillo</t>
  </si>
  <si>
    <t>Creature — Cat Armadillo</t>
  </si>
  <si>
    <t>This creature can't attack or block unless you control another creature with power 4 or greater.</t>
  </si>
  <si>
    <t>Mongoose Lizard</t>
  </si>
  <si>
    <t>Creature — Mongoose Lizard</t>
  </si>
  <si>
    <t>Menace (This creature can't be blocked except by two or more creatures.) When this creature enters, it deals 1 damage to any target. Mountaincycling {2} ({2}, Discard this card: Search your library for a Mountain card, reveal it, put it into your hand, then shuffle.)</t>
  </si>
  <si>
    <t>Ty Lee, Artful Acrobat</t>
  </si>
  <si>
    <t>Legendary Creature — Human Performer</t>
  </si>
  <si>
    <t>Prowess (Whenever you cast a noncreature spell, this creature gets +1/+1 until end of turn.) Whenever Ty Lee attacks, you may pay {1}. When you do, target creature can't block this turn.</t>
  </si>
  <si>
    <t>Price of Freedom</t>
  </si>
  <si>
    <t>Destroy target artifact or land an opponent controls. Its controller may search their library for a basic land card, put it onto the battlefield tapped, then shuffle. Draw a card.</t>
  </si>
  <si>
    <t>Badgermole</t>
  </si>
  <si>
    <t>Creature — Badger Mole</t>
  </si>
  <si>
    <t>When this creature enters, earthbend 2. (Target land you control becomes a 0/0 creature with haste that's still a land. Put two +1/+1 counters on it. When it dies or is exiled, return it to the battlefield tapped.) Creatures you control with +1/+1 counters on them have trample.</t>
  </si>
  <si>
    <t>Turtle-Duck</t>
  </si>
  <si>
    <t>Creature — Turtle Bird</t>
  </si>
  <si>
    <t>{3}: Until end of turn, this creature has base power 4 and gains trample.</t>
  </si>
  <si>
    <t>Shared Roots</t>
  </si>
  <si>
    <t>Search your library for a basic land card, put it onto the battlefield tapped, then shuffle.</t>
  </si>
  <si>
    <t>Cycle of Renewal</t>
  </si>
  <si>
    <t>Sacrifice a land. Search your library for up to two basic land cards, put them onto the battlefield tapped, then shuffle.</t>
  </si>
  <si>
    <t>Diligent Zookeeper</t>
  </si>
  <si>
    <t>Creature — Human Citizen Ally</t>
  </si>
  <si>
    <t>Each non-Human creature you control gets +1/+1 for each of its creature types, to a maximum of 10.</t>
  </si>
  <si>
    <t>Rocky Rebuke</t>
  </si>
  <si>
    <t>Target creature you control deals damage equal to its power to target creature an opponent controls.</t>
  </si>
  <si>
    <t>Ostrich-Horse</t>
  </si>
  <si>
    <t>Creature — Bird Horse</t>
  </si>
  <si>
    <t>When this creature enters, mill three cards. You may put a land card from among them into your hand. If you don't, put a +1/+1 counter on this creature. (To mill three cards, put the top three cards of your library into your graveyard.)</t>
  </si>
  <si>
    <t>Allies at Last</t>
  </si>
  <si>
    <t>Affinity for Allies (This spell costs {1} less to cast for each Ally you control.) Up to two target creatures you control each deal damage equal to their power to target creature an opponent controls.</t>
  </si>
  <si>
    <t>Toph, the Blind Bandit</t>
  </si>
  <si>
    <t>When Toph enters, earthbend 2. (Target land you control becomes a 0/0 creature with haste that's still a land. Put two +1/+1 counters on it. When it dies or is exiled, return it to the battlefield tapped.) Toph's power is equal to the number of +1/+1 counters on lands you control.</t>
  </si>
  <si>
    <t>Haru, Hidden Talent</t>
  </si>
  <si>
    <t>Legendary Creature — Human Peasant Ally</t>
  </si>
  <si>
    <t>Whenever another Ally you control enters, earthbend 1. (Target land you control becomes a 0/0 creature with haste that's still a land. Put a +1/+1 counter on it. When it dies or is exiled, return it to the battlefield tapped.)</t>
  </si>
  <si>
    <t>Earthbender Ascension</t>
  </si>
  <si>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</si>
  <si>
    <t>Walltop Sentries</t>
  </si>
  <si>
    <t>Reach, deathtouch When this creature dies, if there's a Lesson card in your graveyard, you gain 2 life.</t>
  </si>
  <si>
    <t>Earth Kingdom General</t>
  </si>
  <si>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</si>
  <si>
    <t>Unlucky Cabbage Merchant</t>
  </si>
  <si>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</si>
  <si>
    <t>Saber-Tooth Moose-Lion</t>
  </si>
  <si>
    <t>Creature — Elk Cat</t>
  </si>
  <si>
    <t>Reach Forestcycling {2} ({2}, Discard this card: Search your library for a Forest card, reveal it, put it into your hand, then shuffle.)</t>
  </si>
  <si>
    <t>Pillar Launch</t>
  </si>
  <si>
    <t>Target creature gets +2/+2 and gains reach until end of turn. Untap it.</t>
  </si>
  <si>
    <t>Foggy Swamp Vinebender</t>
  </si>
  <si>
    <t>Creature — Human Plant Ally</t>
  </si>
  <si>
    <t>This creature can't be blocked by creatures with power 2 or less. Waterbend {5}: Put a +1/+1 counter on this creature. Activate only during your turn. (While paying a waterbend cost, you can tap your artifacts and creatures to help. Each one pays for {1}.)</t>
  </si>
  <si>
    <t>Raucous Audience</t>
  </si>
  <si>
    <t>{T}: Add {G}. If you control a creature with power 4 or greater, add {G}{G} instead.</t>
  </si>
  <si>
    <t>Seismic Sense</t>
  </si>
  <si>
    <t>Look at the top X cards of your library, where X is the number of lands you control. You may reveal a creature or land card from among them and put it into your hand. Put the rest on the bottom of your library in a random order.</t>
  </si>
  <si>
    <t>Kyoshi Island Plaza</t>
  </si>
  <si>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</si>
  <si>
    <t>Leaves from the Vine</t>
  </si>
  <si>
    <t>Enchantment — Saga</t>
  </si>
  <si>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</si>
  <si>
    <t>Flopsie, Bumi's Buddy</t>
  </si>
  <si>
    <t>Legendary Creature — Ape Goat</t>
  </si>
  <si>
    <t>When Flopsie enters, put a +1/+1 counter on each creature you control. Each creature you control with power 4 or greater can't be blocked by more than one creature.</t>
  </si>
  <si>
    <t>Rebellious Captives</t>
  </si>
  <si>
    <t>Exhaust — {6}: Put two +1/+1 counters on this creature, then earthbend 2. (Target land you control becomes a 0/0 creature with haste that's still a land. Put two +1/+1 counters on it. When it dies or is exiled, return it to the battlefield tapped. Activate each exhaust ability only once.)</t>
  </si>
  <si>
    <t>The Earth King</t>
  </si>
  <si>
    <t>When The Earth King enters, create a 4/4 green Bear creature token. Whenever one or more creatures you control with power 4 or greater attack, search your library for up to that many basic land cards, put them onto the battlefield tapped, then shuffle.</t>
  </si>
  <si>
    <t>Bumi, King of Three Trials</t>
  </si>
  <si>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</si>
  <si>
    <t>{5}{G}</t>
  </si>
  <si>
    <t>Shriekdiver / Guinchador de Mergulho</t>
  </si>
  <si>
    <t>Creature — Zombie Bird Warrior / Criatura — Zumbi Ave Guerreiro</t>
  </si>
  <si>
    <t>Flying {1}: This creature gains haste until end of turn. / Voar {1}: Guinchador de Mergulho ganha ímpeto até o final do turno.</t>
  </si>
  <si>
    <t>Yargle, Glutton of Urborg / Yargle, Glutão de Urborg</t>
  </si>
  <si>
    <t>Legendary Creature — Frog Spirit / Criatura Lendária — Sapo Espírito</t>
  </si>
  <si>
    <t>Multiverse Legends (MUL)</t>
  </si>
  <si>
    <t>Dusk Mangler / Desmembrador do Ocaso</t>
  </si>
  <si>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</si>
  <si>
    <t>{5}{B}{B}</t>
  </si>
  <si>
    <t>Undercity Scavenger / Necrófago do Submundo</t>
  </si>
  <si>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</si>
  <si>
    <t>Pitiless Vizier / Vizir Impiedosa</t>
  </si>
  <si>
    <t>Creature — Minotaur Cleric / Criatura — Minotauro Clérigo</t>
  </si>
  <si>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</si>
  <si>
    <t>Cruel Deceiver / Impostor Cruel</t>
  </si>
  <si>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</si>
  <si>
    <t>Slate Street Ruffian / Rufião da Rua de Ardósia</t>
  </si>
  <si>
    <t>Whenever this creature becomes blocked, defending player discards a card. / Toda vez que Rufião da Rua de Ardósia é bloqueado, o jogador defensor descarta um card.</t>
  </si>
  <si>
    <t>Vulturous Aven / Aviano Rapace</t>
  </si>
  <si>
    <t>Creature — Bird Shaman / Criatura — Ave Xamã</t>
  </si>
  <si>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</si>
  <si>
    <t>Tithebearer Giant / Gigante Porta-dízimos</t>
  </si>
  <si>
    <t>Creature — Giant Warrior / Criatura — Gigante Guerreiro</t>
  </si>
  <si>
    <t>When this creature enters, you draw a card and you lose 1 life. / Quando Gigante Porta-dízimos entra no campo de batalha, você compra um card e perde 1 ponto de vida.</t>
  </si>
  <si>
    <t>Twisted Abomination / Abominação Distorcida</t>
  </si>
  <si>
    <t>Creature — Zombie Mutant / Criatura — Mutante Zumbi</t>
  </si>
  <si>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</si>
  <si>
    <t>Premium Deck Series: Graveborn</t>
  </si>
  <si>
    <t>Night Market Aeronaut / Aeronauta do Mercado Noturno</t>
  </si>
  <si>
    <t>Creature — Aetherborn Warrior / Criatura — Etergênito Guerreiro</t>
  </si>
  <si>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</si>
  <si>
    <t>Sickle Ripper / Estripador da Foice</t>
  </si>
  <si>
    <t>Creature — Elemental Warrior / Criatura — Elemental Guerreiro</t>
  </si>
  <si>
    <t>Wither (This deals damage to creatures in the form of -1/-1 counters.) / Murchar (Esta fonte causa dano a criaturas na forma de marcadores -1/-1.)</t>
  </si>
  <si>
    <t>Turtle Lair</t>
  </si>
  <si>
    <t>{T}: Add {C}. {T}: Add one mana of any color. Spend this mana only to cast a Ninja or Turtle spell. {3}, {T}: Target Ninja or Turtle can't be blocked this turn.</t>
  </si>
  <si>
    <t>Teenage Mutant Ninja Turtles (TMT)</t>
  </si>
  <si>
    <t>Foot Headquarters</t>
  </si>
  <si>
    <t>This land enters tapped. When this land enters, you gain 1 life. {T}: Add {W} or {B}.</t>
  </si>
  <si>
    <t>Mutant Town</t>
  </si>
  <si>
    <t>This land enters tapped. When this land enters, you gain 1 life. {T}: Add {G} or {U}.</t>
  </si>
  <si>
    <t>TCRI Building</t>
  </si>
  <si>
    <t>This land enters tapped. When this land enters, you gain 1 life. {T}: Add {U} or {R}.</t>
  </si>
  <si>
    <t>Illegitimate Business</t>
  </si>
  <si>
    <t>This land enters tapped. When this land enters, you gain 1 life. {T}: Add {B} or {G}.</t>
  </si>
  <si>
    <t>Escape Tunnel / Túnel de Fuga</t>
  </si>
  <si>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</si>
  <si>
    <t>Henchbots</t>
  </si>
  <si>
    <t>Artifact Creature — Robot</t>
  </si>
  <si>
    <t>When this creature enters, exile target tapped creature an opponent controls until this creature leaves the battlefield.</t>
  </si>
  <si>
    <t>Anchovy &amp; Banana Pizza</t>
  </si>
  <si>
    <t>When this artifact enters, destroy target creature. {2}, {T}, Sacrifice this artifact: You gain 3 life.</t>
  </si>
  <si>
    <t>Turtle Van</t>
  </si>
  <si>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</si>
  <si>
    <t>Turtle Blimp</t>
  </si>
  <si>
    <t>Flying When this Vehicle enters, create a 2/2 red Mutant creature token. Crew 2 (Tap any number of creatures you control with total power 2 or more: This Vehicle becomes an artifact creature until end of turn.)</t>
  </si>
  <si>
    <t>Skateboard</t>
  </si>
  <si>
    <t>When this Equipment enters, tap target permanent. Equipped creature gets +1/+0 and has haste. Equip {1} ({1}: Attach to target creature you control. Equip only as a sorcery.)</t>
  </si>
  <si>
    <t>Everything Pizza</t>
  </si>
  <si>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</si>
  <si>
    <t>Preto, Verde, Vermelho, Azul, Branco</t>
  </si>
  <si>
    <t>Omni-Cheese Pizza</t>
  </si>
  <si>
    <t>When this artifact enters, draw a card. {1}, {T}, Sacrifice this artifact: Add one mana of any color. {2}, {T}, Sacrifice this artifact: You gain 3 life.</t>
  </si>
  <si>
    <t>Courier of Comestibles</t>
  </si>
  <si>
    <t>When this creature enters, you may search your library for a Food card, reveal it, put it into your hand, then shuffle. If you don't put a card into your hand this way, create a Food token. (It's an artifact with "{2}, {T}, Sacrifice this token: You gain 3 life.")</t>
  </si>
  <si>
    <t>Rocksteady, Crash Courser</t>
  </si>
  <si>
    <t>Legendary Creature — Rhino Mutant</t>
  </si>
  <si>
    <t>Rocksteady can't be blocked by more than one creature. Boars you control can't be blocked by more than one creature. Forestcycling {2} ({2}, Discard this card: Search your library for a Forest card, reveal it, put it into your hand, then shuffle.)</t>
  </si>
  <si>
    <t>Turtle Power!</t>
  </si>
  <si>
    <t>Flash Turtles you control get +2/+2.</t>
  </si>
  <si>
    <t>Mutant Chain Reaction</t>
  </si>
  <si>
    <t>Destroy up to one target artifact, enchantment, or creature with flying. Create a Mutagen token. (It's an artifact with "{1}, {T}, Sacrifice this token: Put a +1/+1 counter on target creature. Activate only as a sorcery.")</t>
  </si>
  <si>
    <t>Venus, Torn Between Worlds</t>
  </si>
  <si>
    <t>Legendary Creature — Mutant Frog Turtle</t>
  </si>
  <si>
    <t>Whenever Venus is dealt damage, put that many +1/+1 counters on her. (She must survive the damage to get the counters.) Whenever a creature you control with a counter on it deals combat damage to a player, you may pay {U}. If you do, draw a card.</t>
  </si>
  <si>
    <t>Guac &amp; Marshmallow Pizza</t>
  </si>
  <si>
    <t>Flash When this artifact enters, target creature gets +2/+2 until end of turn. Untap it. {2}, {T}, Sacrifice this artifact: You gain 3 life.</t>
  </si>
  <si>
    <t>New Generation's Technique</t>
  </si>
  <si>
    <t>Sneak {2}{G} (You may cast this spell for {2}{G} if you also return an unblocked attacker you control to hand during the declare blockers step.) Search your library for up to two basic land cards, put them onto the battlefield tapped, then shuffle.</t>
  </si>
  <si>
    <t>Primordial Pachyderm</t>
  </si>
  <si>
    <t>Creature — Elephant Avatar</t>
  </si>
  <si>
    <t>Reach, trample When this creature enters, you gain 2 life.</t>
  </si>
  <si>
    <t>Zoo Escapees</t>
  </si>
  <si>
    <t>Creature — Boar Rhino</t>
  </si>
  <si>
    <t>When this creature leaves the battlefield, create a Mutagen token. (It's an artifact with "{1}, {T}, Sacrifice this token: Put a +1/+1 counter on target creature. Activate only as a sorcery.")</t>
  </si>
  <si>
    <t>Cowabunga!</t>
  </si>
  <si>
    <t>Look at the top four cards of your library. You may reveal a Mutant, Ninja, Turtle, or land card from among them and put it into your hand. Put the rest on the bottom of your library in a random order.</t>
  </si>
  <si>
    <t>Mona Lisa, Science Geek</t>
  </si>
  <si>
    <t>Legendary Creature — Lizard Mutant</t>
  </si>
  <si>
    <t>Reach {T}: Add X mana of any one color, where X is Mona Lisa's power.</t>
  </si>
  <si>
    <t>Michelangelo, Mutant BFF</t>
  </si>
  <si>
    <t>Legendary Creature — Mutant Ninja Turtle</t>
  </si>
  <si>
    <t>Each creature you control with a counter on it can't be blocked by more than one creature. Whenever Michelangelo enters or attacks, create a Mutagen token. (It's an artifact with "{1}, {T}, Sacrifice this token: Put a +1/+1 counter on target creature. Activate only as a sorcery.")</t>
  </si>
  <si>
    <t>West Wind Avatar</t>
  </si>
  <si>
    <t>Creature — Cat Spirit Avatar</t>
  </si>
  <si>
    <t>Trample Whenever this creature enters or attacks, you may sacrifice a token or a land. If you do, you gain 3 life. Disappear — At the beginning of your end step, if a permanent left the battlefield under your control this turn, draw a card.</t>
  </si>
  <si>
    <t>{5}{G}{G}</t>
  </si>
  <si>
    <t>Frog Butler</t>
  </si>
  <si>
    <t>Creature — Frog Spirit</t>
  </si>
  <si>
    <t>Deathtouch {T}: Add one mana of any color. {2}: This creature gains reach until end of turn.</t>
  </si>
  <si>
    <t>Ragamuffin Raptor</t>
  </si>
  <si>
    <t>Creature — Dinosaur</t>
  </si>
  <si>
    <t>When this creature enters, return up to one target creature or Food card from your graveyard to your hand.</t>
  </si>
  <si>
    <t>Leatherhead, Swamp Stalker</t>
  </si>
  <si>
    <t>Legendary Creature — Crocodile Mutant Rogue</t>
  </si>
  <si>
    <t>Trample Leatherhead enters with a hexproof counter on her. Whenever Leatherhead deals combat damage to a player, you may remove a counter from her. When you do, destroy target artifact or enchantment that player controls.</t>
  </si>
  <si>
    <t>Tenderize</t>
  </si>
  <si>
    <t>Novel Nunchaku</t>
  </si>
  <si>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</si>
  <si>
    <t>Saved by the Shell</t>
  </si>
  <si>
    <t>This spell costs {1} less to cast if you control a Turtle. Put a +1/+1 counter on target creature you control. It gains trample, hexproof, and indestructible until end of turn.</t>
  </si>
  <si>
    <t>Shark Shredder, Killer Clone</t>
  </si>
  <si>
    <t>Legendary Creature — Shark Octopus Ninja</t>
  </si>
  <si>
    <t>Sneak {3}{B}{B} First strike Whenever Shark Shredder deals combat damage to a player, put up to one target creature card from that player's graveyard onto the battlefield under your control. It enters tapped and attacking that player.</t>
  </si>
  <si>
    <t>Bebop, Warthog Warrior</t>
  </si>
  <si>
    <t>Legendary Creature — Boar Mutant Warrior</t>
  </si>
  <si>
    <t>Menace (This creature can't be blocked except by two or more creatures.) Rhinos you control have menace. Swampcycling {2} ({2}, Discard this card: Search your library for a Swamp card, reveal it, put it into your hand, then shuffle.)</t>
  </si>
  <si>
    <t>Armaggon, Future Shark</t>
  </si>
  <si>
    <t>Legendary Creature — Shark Horror Mutant</t>
  </si>
  <si>
    <t>Flash When Armaggon enters, destroy up to three target creatures.</t>
  </si>
  <si>
    <t>Stomped by the Foot</t>
  </si>
  <si>
    <t>Kicker—Sacrifice an artifact or creature. (You may sacrifice an artifact or creature in addition to any other costs as you cast this spell.) Target creature gets -2/-2 until end of turn. If this spell was kicked, that creature gets -5/-5 until end of turn instead.</t>
  </si>
  <si>
    <t>Dream Beavers</t>
  </si>
  <si>
    <t>Creature — Beaver Nightmare</t>
  </si>
  <si>
    <t>Flying When this creature enters, each opponent loses 1 life and you gain 1 life. Scry 1. (Look at the top card of your library. You may put that card on the bottom.)</t>
  </si>
  <si>
    <t>Oroku Saki, Shredder Rising</t>
  </si>
  <si>
    <t>Legendary Creature — Human Ninja</t>
  </si>
  <si>
    <t>Sneak {1}{B} (You may cast this spell for {1}{B} if you also return an unblocked attacker you control to hand during the declare blockers step. He enters tapped and attacking.) Whenever Oroku Saki deals combat damage to a player, you draw a card and lose 1 life.</t>
  </si>
  <si>
    <t>Savanti Romero, Time's Exile</t>
  </si>
  <si>
    <t>Legendary Creature — Demon Wizard</t>
  </si>
  <si>
    <t>Trample At the beginning of combat on your turn, put a +1/+1 counter on Savanti Romero. Then you draw X cards and lose X life, where X is the number of counters on Savanti Romero.</t>
  </si>
  <si>
    <t>Shredder's Revenge</t>
  </si>
  <si>
    <t>Choose one — • Target player discards two cards. • Target player draws two cards and loses 2 life.</t>
  </si>
  <si>
    <t>Tunnel Rats</t>
  </si>
  <si>
    <t>Creature — Rat</t>
  </si>
  <si>
    <t>{4}{B}: Return this card from your graveyard to the battlefield tapped.</t>
  </si>
  <si>
    <t>Paramecia Coloniex</t>
  </si>
  <si>
    <t>Creature — Zombie Worm</t>
  </si>
  <si>
    <t>When this creature enters, mill three cards. (Put the top three cards of your library into your graveyard.) When this creature dies, you may exile it. When you do, put target creature card from your graveyard on top of your library.</t>
  </si>
  <si>
    <t>Shredder's Armor</t>
  </si>
  <si>
    <t>Equipped creature gets +2/+1. When this Equipment enters, attach it to target creature you control. Equip—Sacrifice another nonland permanent. Activate only once each turn.</t>
  </si>
  <si>
    <t>Death in the Family</t>
  </si>
  <si>
    <t>Exile target creature with mana value 3 or less.</t>
  </si>
  <si>
    <t>Lord Dregg, Insect Invader</t>
  </si>
  <si>
    <t>Legendary Creature — Insect Warrior</t>
  </si>
  <si>
    <t>Flying Disappear — At the beginning of your end step, if a permanent left the battlefield under your control this turn, create a 1/1 black Insect Warrior creature token with flying. {3}{G}, Sacrifice a token: Draw a card.</t>
  </si>
  <si>
    <t>Insectoid Exterminator</t>
  </si>
  <si>
    <t>Creature — Insect Mutant</t>
  </si>
  <si>
    <t>Flying Disappear — At the beginning of your end step, if a permanent left the battlefield under your control this turn, scry 1. (Look at the top card of your library. You may put that card on the bottom.)</t>
  </si>
  <si>
    <t>Squirrelanoids</t>
  </si>
  <si>
    <t>Creature — Squirrel Mutant</t>
  </si>
  <si>
    <t>Deathtouch</t>
  </si>
  <si>
    <t>Foot Mystic</t>
  </si>
  <si>
    <t>Creature — Human Ninja Warlock</t>
  </si>
  <si>
    <t>Lifelink Disappear — When this creature enters, if a permanent left the battlefield under your control this turn, create a 1/1 black Ninja creature token.</t>
  </si>
  <si>
    <t>The Cloning of Shredder</t>
  </si>
  <si>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</si>
  <si>
    <t>Shredder, Unrelenting</t>
  </si>
  <si>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</si>
  <si>
    <t>Michelangelo, Game Master</t>
  </si>
  <si>
    <t>Disappear — At the beginning of your end step, if a permanent left the battlefield under your control this turn, put a +1/+1 counter on Michelangelo.</t>
  </si>
  <si>
    <t>The Wasp, Winsome Avenger</t>
  </si>
  <si>
    <t>Legendary Creature — Human Hero</t>
  </si>
  <si>
    <t>Flash Flying When The Wasp enters, target Hero gains hexproof until end of turn. Whenever The Wasp attacks, tap target creature defending player controls.</t>
  </si>
  <si>
    <t>Marvel Super Heroes Commander (MSC)</t>
  </si>
  <si>
    <t>Austere Command / Comando Austero</t>
  </si>
  <si>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</si>
  <si>
    <t>Captain America, Team Leader</t>
  </si>
  <si>
    <t>Legendary Creature — Human Soldier Hero</t>
  </si>
  <si>
    <t>Whenever another Hero you control enters, it gains vigilance and haste until end of turn. Put a +1/+1 counter on that Hero and a +1/+1 counter on Captain America.</t>
  </si>
  <si>
    <t>{R}{W}{U}</t>
  </si>
  <si>
    <t>Vermelho, Azul, Branco</t>
  </si>
  <si>
    <t>Vision, Synthezoid Avenger</t>
  </si>
  <si>
    <t>Legendary Artifact Creature — Robot Hero</t>
  </si>
  <si>
    <t>Flying Whenever a player casts a spell, if it isn't that player's turn, choose one — • Put a +1/+1 counter on Vision. • Vision phases out. (Treat him and anything attached to him as though they don't exist until your next turn.)</t>
  </si>
  <si>
    <t>Exotic Orchard / Pomar Exótico</t>
  </si>
  <si>
    <t>{T}: Add one mana of any color that a land an opponent controls could produce. / {T}: Adicione um mana de qualquer cor que um terreno controlado por um oponente possa gerar.</t>
  </si>
  <si>
    <t>Rip Apart / Fender</t>
  </si>
  <si>
    <t>Choose one — • Rip Apart deals 3 damage to target creature or planeswalker. • Destroy target artifact or enchantment. / Escolha um — • Fender causa 3 pontos de dano à criatura ou ao planeswalker alvo. • Destrua o artefato ou o encantamento alvo.</t>
  </si>
  <si>
    <t>Bastion Protector / Protetora do Bastião</t>
  </si>
  <si>
    <t>Commander creatures you control get +2/+2 and have indestructible. / As criaturas comandantes que você controla recebem +2/+2 e têm indestrutível.</t>
  </si>
  <si>
    <t>Plains // Plains / Planície</t>
  </si>
  <si>
    <t>Card // Card / Terreno Básico — Planície</t>
  </si>
  <si>
    <t>Folk Hero / Herói do Povo</t>
  </si>
  <si>
    <t>Legendary Enchantment — Background / Encantamento Lendário — Antecedente</t>
  </si>
  <si>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</si>
  <si>
    <t>Scavenger Grounds / Território dos Necrófagos</t>
  </si>
  <si>
    <t>Land — Desert / Terreno — Deserto</t>
  </si>
  <si>
    <t>{T}: Add {C}. {2}, {T}, Sacrifice a Desert: Exile all graveyards. / {T}: Adicione {C} à sua reserva de mana. {2}, {T}, sacrifique um Deserto: Exile todos os cards de todos os cemitérios.</t>
  </si>
  <si>
    <t>Coastal Peak</t>
  </si>
  <si>
    <t>Land — Island Mountain</t>
  </si>
  <si>
    <t>({T}: Add {U} or {R}.) This land enters tapped. Cycling {2} ({2}, Discard this card: Draw a card.)</t>
  </si>
  <si>
    <t>Scarlet Witch, Chaotic Avenger</t>
  </si>
  <si>
    <t>Legendary Creature — Mutant Warlock Hero</t>
  </si>
  <si>
    <t>Flying Whenever Scarlet Witch deals combat damage to a player, look at the top two cards of your library, then exile them face down. Then you may cast a Hero or noncreature spell from among cards exiled with Scarlet Witch without paying its mana cost.</t>
  </si>
  <si>
    <t>{2}{U}{R}</t>
  </si>
  <si>
    <t>Unclaimed Territory / Território Não Reivindicado</t>
  </si>
  <si>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</si>
  <si>
    <t>Captain Mar-Vell, Space-Born</t>
  </si>
  <si>
    <t>Legendary Creature — Kree Soldier Hero</t>
  </si>
  <si>
    <t>Flying, vigilance Cosmic Awareness — As long as an opponent has cast a spell this turn, you may cast spells as though they had flash.</t>
  </si>
  <si>
    <t>Marvel Super Heroes (MSH)</t>
  </si>
  <si>
    <t>This land enters tapped. {T}: Add {U}, {R}, or {W}. / Monastério Místico entra no campo de batalha virado. {T}: Adicione {U}, {R} ou {W} à sua reserva de mana.</t>
  </si>
  <si>
    <t>Thor, Asgard's Avenger</t>
  </si>
  <si>
    <t>Legendary Creature — God Warrior Hero</t>
  </si>
  <si>
    <t>Flying If another source you control would deal damage to an opponent or a permanent an opponent controls, it deals that much damage plus 1 instead.</t>
  </si>
  <si>
    <t>Avengers Quinjet</t>
  </si>
  <si>
    <t>Flying Whenever this Vehicle enters or attacks, choose one — • You may put a Hero creature card from your hand onto the battlefield. • Return target Hero creature card from your graveyard to your hand. Crew 3</t>
  </si>
  <si>
    <t>Hulkbuster Armor</t>
  </si>
  <si>
    <t>Legendary Artifact — Equipment</t>
  </si>
  <si>
    <t>Equipped creature has base power and toughness 9/9 and has flying. Equip Hero {3} Equip {6}</t>
  </si>
  <si>
    <t>Mountain / Montanha</t>
  </si>
  <si>
    <t>Basic Land — Mountain / Terreno Básico — Montanha</t>
  </si>
  <si>
    <t>({T}: Add {R}.) / R</t>
  </si>
  <si>
    <t>Port Town / Cidade Portuária</t>
  </si>
  <si>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</si>
  <si>
    <t>Thought Vessel / Receptáculo de Pensamentos</t>
  </si>
  <si>
    <t>You have no maximum hand size. {T}: Add {C}. / Não há limite para o número máximo de cards em sua mão. {T}: Adicione {C}.</t>
  </si>
  <si>
    <t>Jocasta, Automaton Avenger</t>
  </si>
  <si>
    <t>Flying Whenever your commander deals combat damage to a player, put a +1/+1 counter on Jocasta. Whenever you attack with your commander, if this card is in your graveyard, you may return it to the battlefield tapped and attacking.</t>
  </si>
  <si>
    <t>Raise the Palisade / Erguer a Paliçada</t>
  </si>
  <si>
    <t>Choose a creature type. Return all creatures that aren't of the chosen type to their owners' hands. / Escolha um tipo de criatura. Devolva todas as criaturas que não sejam do tipo escolhido para a mão de seus donos.</t>
  </si>
  <si>
    <t>Plains / Planície</t>
  </si>
  <si>
    <t>Basic Land — Plains / Terreno Básico — Planície</t>
  </si>
  <si>
    <t>({T}: Add {W}.) / W</t>
  </si>
  <si>
    <t>Shang-Chi and the Ten Rings</t>
  </si>
  <si>
    <t>Legendary Creature — Human Warrior Hero</t>
  </si>
  <si>
    <t>First strike Whenever you draw a card, put a +1/+1 counter on Shang-Chi. When the tenth +1/+1 counter is put on Shang-Chi, you draw five cards and gain 5 life.</t>
  </si>
  <si>
    <t>{1}{W}{U}</t>
  </si>
  <si>
    <t>Door of Destinies / Porta dos Destinos</t>
  </si>
  <si>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</si>
  <si>
    <t>Glacial Fortress / Fortaleza Glacial</t>
  </si>
  <si>
    <t>This land enters tapped unless you control a Plains or an Island. {T}: Add {W} or {U}. / Fortaleza Glacial entra no campo de batalha virado a menos que você controle uma Planície ou uma Ilha. {T}: Adicione {W} ou {U} à sua reserva de mana.</t>
  </si>
  <si>
    <t>Tome of Legends</t>
  </si>
  <si>
    <t>Artifact — Book</t>
  </si>
  <si>
    <t>This artifact enters with a page counter on it. Whenever your commander enters or attacks, put a page counter on this artifact. {1}, {T}, Remove a page counter from this artifact: Draw a card.</t>
  </si>
  <si>
    <t>Dismantling Wave / Onda Desmanteladora</t>
  </si>
  <si>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</si>
  <si>
    <t>Rescue, Pepper Potts</t>
  </si>
  <si>
    <t>Legendary Artifact Creature — Human Hero</t>
  </si>
  <si>
    <t>Flash Flying When Rescue enters, return up to one other target artifact or creature you control to its owner's hand. If it was an artifact, put a +1/+1 counter on Rescue.</t>
  </si>
  <si>
    <t>Command Tower / Torre de Comando</t>
  </si>
  <si>
    <t>{T}: Add one mana of any color in your commander's color identity. / {T}: Adicione um mana de qualquer cor da identidade de cor de seu comandante.</t>
  </si>
  <si>
    <t>Quicksilver, Speedster</t>
  </si>
  <si>
    <t>Legendary Creature — Mutant Hero</t>
  </si>
  <si>
    <t>Flash Double strike, haste As long as Quicksilver is tapped, you may cast spells as though they had flash.</t>
  </si>
  <si>
    <t>Make Your Move / Faça Sua Jogada</t>
  </si>
  <si>
    <t>Destroy target artifact, enchantment, or creature with power 4 or greater. / Destrua o artefato, o encantamento ou a criatura com poder igual ou superior a 4 alvo.</t>
  </si>
  <si>
    <t>Island / Ilha</t>
  </si>
  <si>
    <t>Basic Land — Island / Terreno Básico — Ilha</t>
  </si>
  <si>
    <t>({T}: Add {U}.) / U</t>
  </si>
  <si>
    <t>Secluded Courtyard / Pátio Reservado</t>
  </si>
  <si>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</si>
  <si>
    <t>Love on the Battlefield</t>
  </si>
  <si>
    <t>Whenever you attack with exactly two creatures, those creatures gain first strike until end of turn, then draw a card. Whenever either of those creatures deals combat damage to a player this combat, put a +1/+1 counter on it.</t>
  </si>
  <si>
    <t>Gift of Immortality / Dádiva da Imortalidade</t>
  </si>
  <si>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</si>
  <si>
    <t>Path of Ancestry / Caminho da Ascendência</t>
  </si>
  <si>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</si>
  <si>
    <t>Frostboil Snarl / Liame da Pirogeada</t>
  </si>
  <si>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</si>
  <si>
    <t>Photon, Mighty Marvel</t>
  </si>
  <si>
    <t>Flying Whenever Photon deals combat damage to a player, add that much mana of any one color. Until end of turn, you don't lose this mana as steps and phases end.</t>
  </si>
  <si>
    <t>Hawkeye, Avenging Archer</t>
  </si>
  <si>
    <t>Legendary Creature — Human Archer Hero</t>
  </si>
  <si>
    <t>Reach Whenever a creature an opponent controls dies, if Hawkeye dealt damage to it this turn, draw a card. {T}: Hawkeye deals 1 damage to any target.</t>
  </si>
  <si>
    <t>Swords to Plowshares / Espadas em Arados</t>
  </si>
  <si>
    <t>Exile target creature. Its controller gains life equal to its power. / Exile a criatura alvo. O controlador da criatura ganha uma quantidade de pontos de vida igual ao poder dela.</t>
  </si>
  <si>
    <t>Glittering Massif</t>
  </si>
  <si>
    <t>Land — Mountain Plains</t>
  </si>
  <si>
    <t>({T}: Add {R} or {W}.) This land enters tapped. Cycling {2} ({2}, Discard this card: Draw a card.)</t>
  </si>
  <si>
    <t>Talisman of Progress / Talismã do Progresso</t>
  </si>
  <si>
    <t>{T}: Add {C}. {T}: Add {W} or {U}. This artifact deals 1 damage to you. / {T}: Adicione {C}. {T}: Adicione {W} ou {U}. Talismã do Progresso causa 1 ponto de dano a você.</t>
  </si>
  <si>
    <t>Director Nick Fury</t>
  </si>
  <si>
    <t>Legendary Creature — Human Spy Hero</t>
  </si>
  <si>
    <t>Hero spells you cast cost {1} less to cast. Whenever you attack, look at the top four cards of your library. You may reveal a Hero card from among them and put that card into your hand. Put the rest on the bottom of your library in a random order.</t>
  </si>
  <si>
    <t>{U}{R}{W}</t>
  </si>
  <si>
    <t>Scorched Geyser</t>
  </si>
  <si>
    <t>({T}: Add {U} or {R}.) This land enters tapped unless you control two or more basic lands.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</si>
</sst>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R$ -416]#,##0.00"/>
    <numFmt numFmtId="165" formatCode="d/m"/>
  </numFmts>
  <fonts count="3">
    <font>
      <sz val="10.0"/>
      <color rgb="FF000000"/>
      <name val="Arial"/>
      <scheme val="minor"/>
    </font>
    <font>
      <b/>
      <color theme="1"/>
      <name val="Arial"/>
      <scheme val="minor"/>
    </font>
    <font>
      <color theme="1"/>
      <name val="Arial"/>
      <scheme val="minor"/>
    </font>
  </fonts>
  <fills count="3">
    <fill>
      <patternFill patternType="none"/>
    </fill>
    <fill>
      <patternFill patternType="lightGray"/>
    </fill>
    <fill>
      <patternFill patternType="solid">
        <fgColor theme="6"/>
        <bgColor theme="6"/>
      </patternFill>
    </fill>
  </fills>
  <borders count="1">
    <border/>
  </borders>
  <cellStyleXfs count="1">
    <xf borderId="0" fillId="0" fontId="0" numFmtId="0" applyAlignment="1" applyFont="1"/>
  </cellStyleXfs>
  <cellXfs count="12">
    <xf borderId="0" fillId="0" fontId="0" numFmtId="0" xfId="0" applyAlignment="1" applyFont="1">
      <alignment readingOrder="0" shrinkToFit="0" vertical="bottom" wrapText="0"/>
    </xf>
    <xf borderId="0" fillId="0" fontId="1" numFmtId="0" xfId="0" applyAlignment="1" applyFont="1">
      <alignment readingOrder="0"/>
    </xf>
    <xf borderId="0" fillId="0" fontId="1" numFmtId="164" xfId="0" applyAlignment="1" applyFont="1" applyNumberFormat="1">
      <alignment readingOrder="0"/>
    </xf>
    <xf borderId="0" fillId="0" fontId="1" numFmtId="164" xfId="0" applyFont="1" applyNumberFormat="1"/>
    <xf borderId="0" fillId="0" fontId="1" numFmtId="0" xfId="0" applyFont="1"/>
    <xf borderId="0" fillId="0" fontId="2" numFmtId="0" xfId="0" applyAlignment="1" applyFont="1">
      <alignment readingOrder="0"/>
    </xf>
    <xf borderId="0" fillId="0" fontId="2" numFmtId="164" xfId="0" applyAlignment="1" applyFont="1" applyNumberFormat="1">
      <alignment readingOrder="0"/>
    </xf>
    <xf borderId="0" fillId="0" fontId="2" numFmtId="164" xfId="0" applyFont="1" applyNumberFormat="1"/>
    <xf borderId="0" fillId="0" fontId="2" numFmtId="165" xfId="0" applyAlignment="1" applyFont="1" applyNumberFormat="1">
      <alignment readingOrder="0"/>
    </xf>
    <xf borderId="0" fillId="2" fontId="2" numFmtId="0" xfId="0" applyAlignment="1" applyFill="1" applyFont="1">
      <alignment readingOrder="0"/>
    </xf>
    <xf borderId="0" fillId="2" fontId="2" numFmtId="165" xfId="0" applyAlignment="1" applyFont="1" applyNumberFormat="1">
      <alignment readingOrder="0"/>
    </xf>
    <xf borderId="0" fillId="2"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6.75"/>
    <col customWidth="1" min="2" max="2" width="16.75"/>
    <col customWidth="1" min="3" max="3" width="8.13"/>
    <col customWidth="1" min="4" max="4" width="14.25"/>
    <col customWidth="1" min="5" max="5" width="10.5"/>
    <col customWidth="1" min="6" max="6" width="15.13"/>
    <col customWidth="1" min="7" max="7" width="12.0"/>
    <col customWidth="1" min="8" max="8" width="40.0"/>
    <col customWidth="1" min="9" max="9" width="6.13"/>
    <col customWidth="1" min="10" max="10" width="4.75"/>
    <col customWidth="1" min="11" max="11" width="5.75"/>
    <col customWidth="1" min="12" max="12" width="3.88"/>
    <col customWidth="1" min="13" max="13" width="7.75"/>
    <col customWidth="1" min="14" max="14" width="10.13"/>
    <col customWidth="1" min="15" max="15" width="4.75"/>
    <col customWidth="1" min="16" max="16" width="6.88"/>
  </cols>
  <sheetData>
    <row r="1">
      <c r="A1" s="1" t="s">
        <v>0</v>
      </c>
      <c r="B1" s="1" t="s">
        <v>1</v>
      </c>
      <c r="C1" s="1" t="s">
        <v>2</v>
      </c>
      <c r="D1" s="1" t="s">
        <v>3</v>
      </c>
      <c r="E1" s="1" t="s">
        <v>4</v>
      </c>
      <c r="F1" s="1" t="s">
        <v>5</v>
      </c>
      <c r="G1" s="2" t="s">
        <v>6</v>
      </c>
      <c r="H1" s="1" t="s">
        <v>7</v>
      </c>
      <c r="I1" s="1" t="s">
        <v>8</v>
      </c>
      <c r="J1" s="1" t="s">
        <v>9</v>
      </c>
      <c r="K1" s="1" t="s">
        <v>10</v>
      </c>
      <c r="L1" s="1" t="s">
        <v>11</v>
      </c>
      <c r="M1" s="2" t="s">
        <v>12</v>
      </c>
      <c r="N1" s="3">
        <f>sum(M:M)</f>
        <v>1472.71</v>
      </c>
      <c r="O1" s="4">
        <f>sum(L:L)</f>
        <v>3843</v>
      </c>
      <c r="P1" s="3">
        <f>N1/O1</f>
        <v>0.3832188394</v>
      </c>
      <c r="Q1" s="4"/>
      <c r="R1" s="4"/>
      <c r="S1" s="4"/>
      <c r="T1" s="4"/>
      <c r="U1" s="4"/>
      <c r="V1" s="4"/>
      <c r="W1" s="4"/>
      <c r="X1" s="4"/>
      <c r="Y1" s="4"/>
    </row>
    <row r="2">
      <c r="A2" s="5" t="s">
        <v>13</v>
      </c>
      <c r="B2" s="5" t="s">
        <v>14</v>
      </c>
      <c r="C2" s="5" t="s">
        <v>15</v>
      </c>
      <c r="D2" s="5" t="s">
        <v>16</v>
      </c>
      <c r="E2" s="5" t="s">
        <v>17</v>
      </c>
      <c r="F2" s="5" t="s">
        <v>18</v>
      </c>
      <c r="G2" s="6">
        <v>0.03</v>
      </c>
      <c r="H2" s="5" t="s">
        <v>19</v>
      </c>
      <c r="I2" s="5" t="s">
        <v>20</v>
      </c>
      <c r="J2" s="5">
        <v>2014.0</v>
      </c>
      <c r="L2" s="5">
        <v>1.0</v>
      </c>
      <c r="M2" s="7">
        <f t="shared" ref="M2:M126" si="1">L2*G2</f>
        <v>0.03</v>
      </c>
    </row>
    <row r="3">
      <c r="A3" s="5" t="s">
        <v>21</v>
      </c>
      <c r="B3" s="5" t="s">
        <v>14</v>
      </c>
      <c r="C3" s="5" t="s">
        <v>22</v>
      </c>
      <c r="D3" s="5" t="s">
        <v>23</v>
      </c>
      <c r="E3" s="5" t="s">
        <v>24</v>
      </c>
      <c r="F3" s="5" t="s">
        <v>18</v>
      </c>
      <c r="G3" s="6">
        <v>0.05</v>
      </c>
      <c r="H3" s="5" t="s">
        <v>19</v>
      </c>
      <c r="I3" s="5" t="s">
        <v>20</v>
      </c>
      <c r="J3" s="5">
        <v>2014.0</v>
      </c>
      <c r="L3" s="5">
        <v>1.0</v>
      </c>
      <c r="M3" s="7">
        <f t="shared" si="1"/>
        <v>0.05</v>
      </c>
    </row>
    <row r="4">
      <c r="A4" s="5" t="s">
        <v>25</v>
      </c>
      <c r="B4" s="5" t="s">
        <v>14</v>
      </c>
      <c r="C4" s="5" t="s">
        <v>22</v>
      </c>
      <c r="D4" s="5" t="s">
        <v>26</v>
      </c>
      <c r="E4" s="5" t="s">
        <v>24</v>
      </c>
      <c r="F4" s="5" t="s">
        <v>18</v>
      </c>
      <c r="G4" s="6">
        <v>0.02</v>
      </c>
      <c r="H4" s="5" t="s">
        <v>19</v>
      </c>
      <c r="I4" s="5" t="s">
        <v>20</v>
      </c>
      <c r="J4" s="5">
        <v>2014.0</v>
      </c>
      <c r="L4" s="5">
        <v>1.0</v>
      </c>
      <c r="M4" s="7">
        <f t="shared" si="1"/>
        <v>0.02</v>
      </c>
    </row>
    <row r="5">
      <c r="A5" s="5" t="s">
        <v>27</v>
      </c>
      <c r="B5" s="5" t="s">
        <v>28</v>
      </c>
      <c r="C5" s="5" t="s">
        <v>22</v>
      </c>
      <c r="D5" s="5" t="s">
        <v>29</v>
      </c>
      <c r="E5" s="5" t="s">
        <v>30</v>
      </c>
      <c r="F5" s="5" t="s">
        <v>18</v>
      </c>
      <c r="G5" s="6">
        <v>0.03</v>
      </c>
      <c r="H5" s="5" t="s">
        <v>19</v>
      </c>
      <c r="I5" s="5" t="s">
        <v>31</v>
      </c>
      <c r="J5" s="5">
        <v>2014.0</v>
      </c>
      <c r="K5" s="8">
        <v>46147.0</v>
      </c>
      <c r="L5" s="5">
        <v>1.0</v>
      </c>
      <c r="M5" s="7">
        <f t="shared" si="1"/>
        <v>0.03</v>
      </c>
    </row>
    <row r="6">
      <c r="A6" s="5" t="s">
        <v>32</v>
      </c>
      <c r="B6" s="5" t="s">
        <v>33</v>
      </c>
      <c r="C6" s="5" t="s">
        <v>15</v>
      </c>
      <c r="D6" s="5" t="s">
        <v>34</v>
      </c>
      <c r="E6" s="5" t="s">
        <v>35</v>
      </c>
      <c r="F6" s="5" t="s">
        <v>18</v>
      </c>
      <c r="G6" s="6">
        <v>0.03</v>
      </c>
      <c r="H6" s="5" t="s">
        <v>19</v>
      </c>
      <c r="I6" s="5" t="s">
        <v>20</v>
      </c>
      <c r="J6" s="5">
        <v>2014.0</v>
      </c>
      <c r="L6" s="5">
        <v>1.0</v>
      </c>
      <c r="M6" s="7">
        <f t="shared" si="1"/>
        <v>0.03</v>
      </c>
    </row>
    <row r="7">
      <c r="A7" s="5" t="s">
        <v>36</v>
      </c>
      <c r="B7" s="5" t="s">
        <v>37</v>
      </c>
      <c r="C7" s="5" t="s">
        <v>15</v>
      </c>
      <c r="D7" s="5" t="s">
        <v>38</v>
      </c>
      <c r="E7" s="5" t="s">
        <v>39</v>
      </c>
      <c r="F7" s="5" t="s">
        <v>40</v>
      </c>
      <c r="G7" s="6">
        <v>0.03</v>
      </c>
      <c r="H7" s="5" t="s">
        <v>19</v>
      </c>
      <c r="I7" s="5" t="s">
        <v>20</v>
      </c>
      <c r="J7" s="5">
        <v>2014.0</v>
      </c>
      <c r="K7" s="8">
        <v>46117.0</v>
      </c>
      <c r="L7" s="5">
        <v>2.0</v>
      </c>
      <c r="M7" s="7">
        <f t="shared" si="1"/>
        <v>0.06</v>
      </c>
    </row>
    <row r="8">
      <c r="A8" s="5" t="s">
        <v>41</v>
      </c>
      <c r="B8" s="5" t="s">
        <v>14</v>
      </c>
      <c r="C8" s="5" t="s">
        <v>22</v>
      </c>
      <c r="D8" s="5" t="s">
        <v>42</v>
      </c>
      <c r="E8" s="5" t="s">
        <v>43</v>
      </c>
      <c r="F8" s="5" t="s">
        <v>40</v>
      </c>
      <c r="G8" s="6">
        <v>0.05</v>
      </c>
      <c r="H8" s="5" t="s">
        <v>19</v>
      </c>
      <c r="I8" s="5" t="s">
        <v>20</v>
      </c>
      <c r="J8" s="5">
        <v>2014.0</v>
      </c>
      <c r="L8" s="5">
        <v>1.0</v>
      </c>
      <c r="M8" s="7">
        <f t="shared" si="1"/>
        <v>0.05</v>
      </c>
    </row>
    <row r="9">
      <c r="A9" s="5" t="s">
        <v>44</v>
      </c>
      <c r="B9" s="5" t="s">
        <v>45</v>
      </c>
      <c r="C9" s="5" t="s">
        <v>15</v>
      </c>
      <c r="D9" s="5" t="s">
        <v>46</v>
      </c>
      <c r="E9" s="5" t="s">
        <v>47</v>
      </c>
      <c r="F9" s="5" t="s">
        <v>40</v>
      </c>
      <c r="G9" s="6">
        <v>0.03</v>
      </c>
      <c r="H9" s="5" t="s">
        <v>19</v>
      </c>
      <c r="I9" s="5" t="s">
        <v>20</v>
      </c>
      <c r="J9" s="5">
        <v>2014.0</v>
      </c>
      <c r="K9" s="8">
        <v>46056.0</v>
      </c>
      <c r="L9" s="5">
        <v>4.0</v>
      </c>
      <c r="M9" s="7">
        <f t="shared" si="1"/>
        <v>0.12</v>
      </c>
    </row>
    <row r="10">
      <c r="A10" s="5" t="s">
        <v>48</v>
      </c>
      <c r="B10" s="5" t="s">
        <v>14</v>
      </c>
      <c r="C10" s="5" t="s">
        <v>15</v>
      </c>
      <c r="D10" s="5" t="s">
        <v>49</v>
      </c>
      <c r="E10" s="5" t="s">
        <v>50</v>
      </c>
      <c r="F10" s="5" t="s">
        <v>40</v>
      </c>
      <c r="G10" s="6">
        <v>0.03</v>
      </c>
      <c r="H10" s="5" t="s">
        <v>19</v>
      </c>
      <c r="I10" s="5" t="s">
        <v>20</v>
      </c>
      <c r="J10" s="5">
        <v>2014.0</v>
      </c>
      <c r="L10" s="5">
        <v>3.0</v>
      </c>
      <c r="M10" s="7">
        <f t="shared" si="1"/>
        <v>0.09</v>
      </c>
    </row>
    <row r="11">
      <c r="A11" s="5" t="s">
        <v>51</v>
      </c>
      <c r="B11" s="5" t="s">
        <v>52</v>
      </c>
      <c r="C11" s="5" t="s">
        <v>15</v>
      </c>
      <c r="D11" s="5" t="s">
        <v>53</v>
      </c>
      <c r="E11" s="5" t="s">
        <v>54</v>
      </c>
      <c r="F11" s="5" t="s">
        <v>40</v>
      </c>
      <c r="G11" s="6">
        <v>0.04</v>
      </c>
      <c r="H11" s="5" t="s">
        <v>19</v>
      </c>
      <c r="I11" s="5" t="s">
        <v>20</v>
      </c>
      <c r="J11" s="5">
        <v>2014.0</v>
      </c>
      <c r="K11" s="8">
        <v>46024.0</v>
      </c>
      <c r="L11" s="5">
        <v>2.0</v>
      </c>
      <c r="M11" s="7">
        <f t="shared" si="1"/>
        <v>0.08</v>
      </c>
    </row>
    <row r="12">
      <c r="A12" s="5" t="s">
        <v>55</v>
      </c>
      <c r="B12" s="5" t="s">
        <v>56</v>
      </c>
      <c r="C12" s="5" t="s">
        <v>15</v>
      </c>
      <c r="D12" s="5" t="s">
        <v>57</v>
      </c>
      <c r="E12" s="5" t="s">
        <v>58</v>
      </c>
      <c r="F12" s="5" t="s">
        <v>40</v>
      </c>
      <c r="G12" s="6">
        <v>0.03</v>
      </c>
      <c r="H12" s="5" t="s">
        <v>19</v>
      </c>
      <c r="I12" s="5" t="s">
        <v>20</v>
      </c>
      <c r="J12" s="5">
        <v>2014.0</v>
      </c>
      <c r="K12" s="8">
        <v>46083.0</v>
      </c>
      <c r="L12" s="5">
        <v>4.0</v>
      </c>
      <c r="M12" s="7">
        <f t="shared" si="1"/>
        <v>0.12</v>
      </c>
    </row>
    <row r="13">
      <c r="A13" s="5" t="s">
        <v>59</v>
      </c>
      <c r="B13" s="5" t="s">
        <v>14</v>
      </c>
      <c r="C13" s="5" t="s">
        <v>15</v>
      </c>
      <c r="D13" s="5" t="s">
        <v>60</v>
      </c>
      <c r="E13" s="5" t="s">
        <v>61</v>
      </c>
      <c r="F13" s="5" t="s">
        <v>40</v>
      </c>
      <c r="G13" s="6">
        <v>0.03</v>
      </c>
      <c r="H13" s="5" t="s">
        <v>19</v>
      </c>
      <c r="I13" s="5" t="s">
        <v>20</v>
      </c>
      <c r="J13" s="5">
        <v>2014.0</v>
      </c>
      <c r="L13" s="5">
        <v>5.0</v>
      </c>
      <c r="M13" s="7">
        <f t="shared" si="1"/>
        <v>0.15</v>
      </c>
    </row>
    <row r="14">
      <c r="A14" s="5" t="s">
        <v>62</v>
      </c>
      <c r="B14" s="5" t="s">
        <v>63</v>
      </c>
      <c r="C14" s="5" t="s">
        <v>15</v>
      </c>
      <c r="D14" s="5" t="s">
        <v>64</v>
      </c>
      <c r="E14" s="5" t="s">
        <v>54</v>
      </c>
      <c r="F14" s="5" t="s">
        <v>40</v>
      </c>
      <c r="G14" s="6">
        <v>0.03</v>
      </c>
      <c r="H14" s="5" t="s">
        <v>19</v>
      </c>
      <c r="I14" s="5" t="s">
        <v>20</v>
      </c>
      <c r="J14" s="5">
        <v>2014.0</v>
      </c>
      <c r="L14" s="5">
        <v>3.0</v>
      </c>
      <c r="M14" s="7">
        <f t="shared" si="1"/>
        <v>0.09</v>
      </c>
    </row>
    <row r="15">
      <c r="A15" s="5" t="s">
        <v>65</v>
      </c>
      <c r="B15" s="5" t="s">
        <v>14</v>
      </c>
      <c r="C15" s="5" t="s">
        <v>15</v>
      </c>
      <c r="D15" s="5" t="s">
        <v>66</v>
      </c>
      <c r="E15" s="5" t="s">
        <v>50</v>
      </c>
      <c r="F15" s="5" t="s">
        <v>40</v>
      </c>
      <c r="G15" s="6">
        <v>0.05</v>
      </c>
      <c r="H15" s="5" t="s">
        <v>19</v>
      </c>
      <c r="I15" s="5" t="s">
        <v>20</v>
      </c>
      <c r="J15" s="5">
        <v>2014.0</v>
      </c>
      <c r="L15" s="5">
        <v>3.0</v>
      </c>
      <c r="M15" s="7">
        <f t="shared" si="1"/>
        <v>0.15</v>
      </c>
    </row>
    <row r="16">
      <c r="A16" s="5" t="s">
        <v>67</v>
      </c>
      <c r="B16" s="5" t="s">
        <v>68</v>
      </c>
      <c r="C16" s="5" t="s">
        <v>22</v>
      </c>
      <c r="D16" s="5" t="s">
        <v>69</v>
      </c>
      <c r="E16" s="5" t="s">
        <v>61</v>
      </c>
      <c r="F16" s="5" t="s">
        <v>40</v>
      </c>
      <c r="G16" s="6">
        <v>0.03</v>
      </c>
      <c r="H16" s="5" t="s">
        <v>19</v>
      </c>
      <c r="I16" s="5" t="s">
        <v>20</v>
      </c>
      <c r="J16" s="5">
        <v>2014.0</v>
      </c>
      <c r="L16" s="5">
        <v>2.0</v>
      </c>
      <c r="M16" s="7">
        <f t="shared" si="1"/>
        <v>0.06</v>
      </c>
    </row>
    <row r="17">
      <c r="A17" s="5" t="s">
        <v>70</v>
      </c>
      <c r="B17" s="5" t="s">
        <v>33</v>
      </c>
      <c r="C17" s="5" t="s">
        <v>15</v>
      </c>
      <c r="D17" s="5" t="s">
        <v>71</v>
      </c>
      <c r="E17" s="5" t="s">
        <v>50</v>
      </c>
      <c r="F17" s="5" t="s">
        <v>40</v>
      </c>
      <c r="G17" s="6">
        <v>0.03</v>
      </c>
      <c r="H17" s="5" t="s">
        <v>19</v>
      </c>
      <c r="I17" s="5" t="s">
        <v>20</v>
      </c>
      <c r="J17" s="5">
        <v>2014.0</v>
      </c>
      <c r="L17" s="5">
        <v>3.0</v>
      </c>
      <c r="M17" s="7">
        <f t="shared" si="1"/>
        <v>0.09</v>
      </c>
    </row>
    <row r="18">
      <c r="A18" s="5" t="s">
        <v>72</v>
      </c>
      <c r="B18" s="5" t="s">
        <v>33</v>
      </c>
      <c r="C18" s="5" t="s">
        <v>15</v>
      </c>
      <c r="D18" s="5" t="s">
        <v>73</v>
      </c>
      <c r="E18" s="5" t="s">
        <v>39</v>
      </c>
      <c r="F18" s="5" t="s">
        <v>40</v>
      </c>
      <c r="G18" s="6">
        <v>0.03</v>
      </c>
      <c r="H18" s="5" t="s">
        <v>19</v>
      </c>
      <c r="I18" s="5" t="s">
        <v>20</v>
      </c>
      <c r="J18" s="5">
        <v>2014.0</v>
      </c>
      <c r="L18" s="5">
        <v>2.0</v>
      </c>
      <c r="M18" s="7">
        <f t="shared" si="1"/>
        <v>0.06</v>
      </c>
    </row>
    <row r="19">
      <c r="A19" s="5" t="s">
        <v>74</v>
      </c>
      <c r="B19" s="5" t="s">
        <v>75</v>
      </c>
      <c r="C19" s="5" t="s">
        <v>15</v>
      </c>
      <c r="D19" s="5" t="s">
        <v>76</v>
      </c>
      <c r="E19" s="5" t="s">
        <v>50</v>
      </c>
      <c r="F19" s="5" t="s">
        <v>40</v>
      </c>
      <c r="G19" s="6">
        <v>0.03</v>
      </c>
      <c r="H19" s="5" t="s">
        <v>19</v>
      </c>
      <c r="I19" s="5" t="s">
        <v>20</v>
      </c>
      <c r="J19" s="5">
        <v>2014.0</v>
      </c>
      <c r="K19" s="8">
        <v>46023.0</v>
      </c>
      <c r="L19" s="5">
        <v>5.0</v>
      </c>
      <c r="M19" s="7">
        <f t="shared" si="1"/>
        <v>0.15</v>
      </c>
    </row>
    <row r="20">
      <c r="A20" s="5" t="s">
        <v>77</v>
      </c>
      <c r="B20" s="5" t="s">
        <v>78</v>
      </c>
      <c r="C20" s="5" t="s">
        <v>22</v>
      </c>
      <c r="D20" s="5" t="s">
        <v>79</v>
      </c>
      <c r="E20" s="5">
        <v>6.0</v>
      </c>
      <c r="F20" s="5" t="s">
        <v>80</v>
      </c>
      <c r="G20" s="6">
        <v>0.05</v>
      </c>
      <c r="H20" s="5" t="s">
        <v>19</v>
      </c>
      <c r="I20" s="5" t="s">
        <v>20</v>
      </c>
      <c r="J20" s="5">
        <v>2014.0</v>
      </c>
      <c r="K20" s="8">
        <v>46116.0</v>
      </c>
      <c r="L20" s="5">
        <v>1.0</v>
      </c>
      <c r="M20" s="7">
        <f t="shared" si="1"/>
        <v>0.05</v>
      </c>
    </row>
    <row r="21">
      <c r="A21" s="5" t="s">
        <v>81</v>
      </c>
      <c r="B21" s="5" t="s">
        <v>82</v>
      </c>
      <c r="C21" s="5" t="s">
        <v>22</v>
      </c>
      <c r="D21" s="5" t="s">
        <v>83</v>
      </c>
      <c r="E21" s="5">
        <v>2.0</v>
      </c>
      <c r="F21" s="5" t="s">
        <v>80</v>
      </c>
      <c r="G21" s="6">
        <v>0.05</v>
      </c>
      <c r="H21" s="5" t="s">
        <v>19</v>
      </c>
      <c r="I21" s="5" t="s">
        <v>20</v>
      </c>
      <c r="J21" s="5">
        <v>2014.0</v>
      </c>
      <c r="L21" s="5">
        <v>1.0</v>
      </c>
      <c r="M21" s="7">
        <f t="shared" si="1"/>
        <v>0.05</v>
      </c>
    </row>
    <row r="22">
      <c r="A22" s="5" t="s">
        <v>81</v>
      </c>
      <c r="B22" s="5" t="s">
        <v>82</v>
      </c>
      <c r="C22" s="5" t="s">
        <v>22</v>
      </c>
      <c r="D22" s="5" t="s">
        <v>83</v>
      </c>
      <c r="E22" s="5">
        <v>2.0</v>
      </c>
      <c r="F22" s="5" t="s">
        <v>80</v>
      </c>
      <c r="G22" s="6">
        <v>0.25</v>
      </c>
      <c r="H22" s="5" t="s">
        <v>19</v>
      </c>
      <c r="I22" s="5" t="s">
        <v>31</v>
      </c>
      <c r="J22" s="5">
        <v>2014.0</v>
      </c>
      <c r="L22" s="5">
        <v>1.0</v>
      </c>
      <c r="M22" s="7">
        <f t="shared" si="1"/>
        <v>0.25</v>
      </c>
    </row>
    <row r="23">
      <c r="A23" s="5" t="s">
        <v>84</v>
      </c>
      <c r="B23" s="5" t="s">
        <v>85</v>
      </c>
      <c r="C23" s="5" t="s">
        <v>15</v>
      </c>
      <c r="D23" s="5" t="s">
        <v>86</v>
      </c>
      <c r="E23" s="5" t="s">
        <v>87</v>
      </c>
      <c r="F23" s="5" t="s">
        <v>88</v>
      </c>
      <c r="G23" s="6">
        <v>0.03</v>
      </c>
      <c r="H23" s="5" t="s">
        <v>19</v>
      </c>
      <c r="I23" s="5" t="s">
        <v>20</v>
      </c>
      <c r="J23" s="5">
        <v>2014.0</v>
      </c>
      <c r="K23" s="5" t="s">
        <v>89</v>
      </c>
      <c r="L23" s="5">
        <v>5.0</v>
      </c>
      <c r="M23" s="7">
        <f t="shared" si="1"/>
        <v>0.15</v>
      </c>
    </row>
    <row r="24">
      <c r="A24" s="5" t="s">
        <v>90</v>
      </c>
      <c r="B24" s="5" t="s">
        <v>28</v>
      </c>
      <c r="C24" s="5" t="s">
        <v>15</v>
      </c>
      <c r="D24" s="5" t="s">
        <v>91</v>
      </c>
      <c r="E24" s="5" t="s">
        <v>92</v>
      </c>
      <c r="F24" s="5" t="s">
        <v>88</v>
      </c>
      <c r="G24" s="6">
        <v>0.03</v>
      </c>
      <c r="H24" s="5" t="s">
        <v>19</v>
      </c>
      <c r="I24" s="5" t="s">
        <v>20</v>
      </c>
      <c r="J24" s="5">
        <v>2014.0</v>
      </c>
      <c r="K24" s="8">
        <v>46175.0</v>
      </c>
      <c r="L24" s="5">
        <v>2.0</v>
      </c>
      <c r="M24" s="7">
        <f t="shared" si="1"/>
        <v>0.06</v>
      </c>
    </row>
    <row r="25">
      <c r="A25" s="5" t="s">
        <v>93</v>
      </c>
      <c r="B25" s="5" t="s">
        <v>94</v>
      </c>
      <c r="C25" s="5" t="s">
        <v>15</v>
      </c>
      <c r="D25" s="5" t="s">
        <v>95</v>
      </c>
      <c r="E25" s="5" t="s">
        <v>96</v>
      </c>
      <c r="F25" s="5" t="s">
        <v>88</v>
      </c>
      <c r="G25" s="6">
        <v>0.03</v>
      </c>
      <c r="H25" s="5" t="s">
        <v>19</v>
      </c>
      <c r="I25" s="5" t="s">
        <v>20</v>
      </c>
      <c r="J25" s="5">
        <v>2014.0</v>
      </c>
      <c r="K25" s="8">
        <v>46147.0</v>
      </c>
      <c r="L25" s="5">
        <v>2.0</v>
      </c>
      <c r="M25" s="7">
        <f t="shared" si="1"/>
        <v>0.06</v>
      </c>
    </row>
    <row r="26">
      <c r="A26" s="5" t="s">
        <v>97</v>
      </c>
      <c r="B26" s="5" t="s">
        <v>33</v>
      </c>
      <c r="C26" s="5" t="s">
        <v>15</v>
      </c>
      <c r="D26" s="5" t="s">
        <v>98</v>
      </c>
      <c r="E26" s="5" t="s">
        <v>87</v>
      </c>
      <c r="F26" s="5" t="s">
        <v>88</v>
      </c>
      <c r="G26" s="6">
        <v>0.03</v>
      </c>
      <c r="H26" s="5" t="s">
        <v>19</v>
      </c>
      <c r="I26" s="5" t="s">
        <v>20</v>
      </c>
      <c r="J26" s="5">
        <v>2014.0</v>
      </c>
      <c r="L26" s="5">
        <v>3.0</v>
      </c>
      <c r="M26" s="7">
        <f t="shared" si="1"/>
        <v>0.09</v>
      </c>
    </row>
    <row r="27">
      <c r="A27" s="5" t="s">
        <v>97</v>
      </c>
      <c r="B27" s="5" t="s">
        <v>33</v>
      </c>
      <c r="C27" s="5" t="s">
        <v>15</v>
      </c>
      <c r="D27" s="5" t="s">
        <v>98</v>
      </c>
      <c r="E27" s="5" t="s">
        <v>87</v>
      </c>
      <c r="F27" s="5" t="s">
        <v>88</v>
      </c>
      <c r="G27" s="6">
        <v>0.26</v>
      </c>
      <c r="H27" s="5" t="s">
        <v>19</v>
      </c>
      <c r="I27" s="5" t="s">
        <v>20</v>
      </c>
      <c r="J27" s="5">
        <v>2014.0</v>
      </c>
      <c r="L27" s="5">
        <v>1.0</v>
      </c>
      <c r="M27" s="7">
        <f t="shared" si="1"/>
        <v>0.26</v>
      </c>
    </row>
    <row r="28">
      <c r="A28" s="5" t="s">
        <v>99</v>
      </c>
      <c r="B28" s="5" t="s">
        <v>100</v>
      </c>
      <c r="C28" s="5" t="s">
        <v>101</v>
      </c>
      <c r="D28" s="5" t="s">
        <v>102</v>
      </c>
      <c r="E28" s="5" t="s">
        <v>103</v>
      </c>
      <c r="F28" s="5" t="s">
        <v>88</v>
      </c>
      <c r="G28" s="6">
        <v>0.03</v>
      </c>
      <c r="H28" s="5" t="s">
        <v>19</v>
      </c>
      <c r="I28" s="5" t="s">
        <v>20</v>
      </c>
      <c r="J28" s="5">
        <v>2014.0</v>
      </c>
      <c r="K28" s="8">
        <v>46083.0</v>
      </c>
      <c r="L28" s="5">
        <v>1.0</v>
      </c>
      <c r="M28" s="7">
        <f t="shared" si="1"/>
        <v>0.03</v>
      </c>
    </row>
    <row r="29">
      <c r="A29" s="5" t="s">
        <v>104</v>
      </c>
      <c r="B29" s="5" t="s">
        <v>105</v>
      </c>
      <c r="C29" s="5" t="s">
        <v>101</v>
      </c>
      <c r="D29" s="5" t="s">
        <v>106</v>
      </c>
      <c r="E29" s="5" t="s">
        <v>87</v>
      </c>
      <c r="F29" s="5" t="s">
        <v>88</v>
      </c>
      <c r="G29" s="6">
        <v>0.25</v>
      </c>
      <c r="H29" s="5" t="s">
        <v>19</v>
      </c>
      <c r="I29" s="5" t="s">
        <v>20</v>
      </c>
      <c r="J29" s="5">
        <v>2014.0</v>
      </c>
      <c r="K29" s="8">
        <v>46024.0</v>
      </c>
      <c r="L29" s="5">
        <v>2.0</v>
      </c>
      <c r="M29" s="7">
        <f t="shared" si="1"/>
        <v>0.5</v>
      </c>
    </row>
    <row r="30">
      <c r="A30" s="5" t="s">
        <v>107</v>
      </c>
      <c r="B30" s="5" t="s">
        <v>108</v>
      </c>
      <c r="C30" s="5" t="s">
        <v>101</v>
      </c>
      <c r="D30" s="5" t="s">
        <v>109</v>
      </c>
      <c r="E30" s="5" t="s">
        <v>110</v>
      </c>
      <c r="F30" s="5" t="s">
        <v>88</v>
      </c>
      <c r="G30" s="6">
        <v>0.85</v>
      </c>
      <c r="H30" s="5" t="s">
        <v>19</v>
      </c>
      <c r="I30" s="5" t="s">
        <v>31</v>
      </c>
      <c r="J30" s="5">
        <v>2014.0</v>
      </c>
      <c r="K30" s="8">
        <v>46179.0</v>
      </c>
      <c r="L30" s="5">
        <v>1.0</v>
      </c>
      <c r="M30" s="7">
        <f t="shared" si="1"/>
        <v>0.85</v>
      </c>
    </row>
    <row r="31">
      <c r="A31" s="5" t="s">
        <v>107</v>
      </c>
      <c r="B31" s="5" t="s">
        <v>108</v>
      </c>
      <c r="C31" s="5" t="s">
        <v>101</v>
      </c>
      <c r="D31" s="5" t="s">
        <v>109</v>
      </c>
      <c r="E31" s="5" t="s">
        <v>110</v>
      </c>
      <c r="F31" s="5" t="s">
        <v>88</v>
      </c>
      <c r="G31" s="6">
        <v>0.56</v>
      </c>
      <c r="H31" s="5" t="s">
        <v>19</v>
      </c>
      <c r="I31" s="5" t="s">
        <v>20</v>
      </c>
      <c r="J31" s="5">
        <v>2014.0</v>
      </c>
      <c r="K31" s="8">
        <v>46179.0</v>
      </c>
      <c r="L31" s="5">
        <v>2.0</v>
      </c>
      <c r="M31" s="7">
        <f t="shared" si="1"/>
        <v>1.12</v>
      </c>
    </row>
    <row r="32">
      <c r="A32" s="5" t="s">
        <v>111</v>
      </c>
      <c r="B32" s="5" t="s">
        <v>14</v>
      </c>
      <c r="C32" s="5" t="s">
        <v>22</v>
      </c>
      <c r="D32" s="5" t="s">
        <v>112</v>
      </c>
      <c r="E32" s="5" t="s">
        <v>113</v>
      </c>
      <c r="F32" s="5" t="s">
        <v>88</v>
      </c>
      <c r="G32" s="6">
        <v>0.03</v>
      </c>
      <c r="H32" s="5" t="s">
        <v>19</v>
      </c>
      <c r="I32" s="5" t="s">
        <v>20</v>
      </c>
      <c r="J32" s="5">
        <v>2014.0</v>
      </c>
      <c r="L32" s="5">
        <v>5.0</v>
      </c>
      <c r="M32" s="7">
        <f t="shared" si="1"/>
        <v>0.15</v>
      </c>
    </row>
    <row r="33">
      <c r="A33" s="5" t="s">
        <v>114</v>
      </c>
      <c r="B33" s="5" t="s">
        <v>115</v>
      </c>
      <c r="C33" s="5" t="s">
        <v>15</v>
      </c>
      <c r="D33" s="5" t="s">
        <v>116</v>
      </c>
      <c r="E33" s="5" t="s">
        <v>113</v>
      </c>
      <c r="F33" s="5" t="s">
        <v>88</v>
      </c>
      <c r="G33" s="6">
        <v>0.26</v>
      </c>
      <c r="H33" s="5" t="s">
        <v>19</v>
      </c>
      <c r="I33" s="5" t="s">
        <v>20</v>
      </c>
      <c r="J33" s="5">
        <v>2014.0</v>
      </c>
      <c r="K33" s="8">
        <v>46023.0</v>
      </c>
      <c r="L33" s="5">
        <v>6.0</v>
      </c>
      <c r="M33" s="7">
        <f t="shared" si="1"/>
        <v>1.56</v>
      </c>
    </row>
    <row r="34">
      <c r="A34" s="5" t="s">
        <v>117</v>
      </c>
      <c r="B34" s="5" t="s">
        <v>14</v>
      </c>
      <c r="C34" s="5" t="s">
        <v>15</v>
      </c>
      <c r="D34" s="5" t="s">
        <v>118</v>
      </c>
      <c r="E34" s="5" t="s">
        <v>87</v>
      </c>
      <c r="F34" s="5" t="s">
        <v>88</v>
      </c>
      <c r="G34" s="6">
        <v>0.03</v>
      </c>
      <c r="H34" s="5" t="s">
        <v>19</v>
      </c>
      <c r="I34" s="5" t="s">
        <v>20</v>
      </c>
      <c r="J34" s="5">
        <v>2014.0</v>
      </c>
      <c r="L34" s="5">
        <v>6.0</v>
      </c>
      <c r="M34" s="7">
        <f t="shared" si="1"/>
        <v>0.18</v>
      </c>
    </row>
    <row r="35">
      <c r="A35" s="5" t="s">
        <v>119</v>
      </c>
      <c r="B35" s="5" t="s">
        <v>63</v>
      </c>
      <c r="C35" s="5" t="s">
        <v>15</v>
      </c>
      <c r="D35" s="5" t="s">
        <v>120</v>
      </c>
      <c r="E35" s="5" t="s">
        <v>87</v>
      </c>
      <c r="F35" s="5" t="s">
        <v>88</v>
      </c>
      <c r="G35" s="6">
        <v>0.03</v>
      </c>
      <c r="H35" s="5" t="s">
        <v>19</v>
      </c>
      <c r="I35" s="5" t="s">
        <v>20</v>
      </c>
      <c r="J35" s="5">
        <v>2014.0</v>
      </c>
      <c r="L35" s="5">
        <v>3.0</v>
      </c>
      <c r="M35" s="7">
        <f t="shared" si="1"/>
        <v>0.09</v>
      </c>
    </row>
    <row r="36">
      <c r="A36" s="5" t="s">
        <v>121</v>
      </c>
      <c r="B36" s="5" t="s">
        <v>122</v>
      </c>
      <c r="C36" s="5" t="s">
        <v>15</v>
      </c>
      <c r="D36" s="5" t="s">
        <v>123</v>
      </c>
      <c r="E36" s="5" t="s">
        <v>124</v>
      </c>
      <c r="F36" s="5" t="s">
        <v>88</v>
      </c>
      <c r="G36" s="6">
        <v>0.03</v>
      </c>
      <c r="H36" s="5" t="s">
        <v>19</v>
      </c>
      <c r="I36" s="5" t="s">
        <v>20</v>
      </c>
      <c r="J36" s="5">
        <v>2014.0</v>
      </c>
      <c r="K36" s="8">
        <v>46056.0</v>
      </c>
      <c r="L36" s="5">
        <v>4.0</v>
      </c>
      <c r="M36" s="7">
        <f t="shared" si="1"/>
        <v>0.12</v>
      </c>
    </row>
    <row r="37">
      <c r="A37" s="5" t="s">
        <v>125</v>
      </c>
      <c r="B37" s="5" t="s">
        <v>68</v>
      </c>
      <c r="C37" s="5" t="s">
        <v>22</v>
      </c>
      <c r="D37" s="5" t="s">
        <v>126</v>
      </c>
      <c r="E37" s="5" t="s">
        <v>96</v>
      </c>
      <c r="F37" s="5" t="s">
        <v>88</v>
      </c>
      <c r="G37" s="6">
        <v>0.05</v>
      </c>
      <c r="H37" s="5" t="s">
        <v>19</v>
      </c>
      <c r="I37" s="5" t="s">
        <v>20</v>
      </c>
      <c r="J37" s="5">
        <v>2014.0</v>
      </c>
      <c r="L37" s="5">
        <v>2.0</v>
      </c>
      <c r="M37" s="7">
        <f t="shared" si="1"/>
        <v>0.1</v>
      </c>
    </row>
    <row r="38">
      <c r="A38" s="5" t="s">
        <v>127</v>
      </c>
      <c r="B38" s="5" t="s">
        <v>14</v>
      </c>
      <c r="C38" s="5" t="s">
        <v>15</v>
      </c>
      <c r="D38" s="5" t="s">
        <v>128</v>
      </c>
      <c r="E38" s="5" t="s">
        <v>129</v>
      </c>
      <c r="F38" s="5" t="s">
        <v>88</v>
      </c>
      <c r="G38" s="6">
        <v>0.03</v>
      </c>
      <c r="H38" s="5" t="s">
        <v>19</v>
      </c>
      <c r="I38" s="5" t="s">
        <v>20</v>
      </c>
      <c r="J38" s="5">
        <v>2014.0</v>
      </c>
      <c r="L38" s="5">
        <v>2.0</v>
      </c>
      <c r="M38" s="7">
        <f t="shared" si="1"/>
        <v>0.06</v>
      </c>
    </row>
    <row r="39">
      <c r="A39" s="5" t="s">
        <v>130</v>
      </c>
      <c r="B39" s="5" t="s">
        <v>131</v>
      </c>
      <c r="C39" s="5" t="s">
        <v>22</v>
      </c>
      <c r="D39" s="5" t="s">
        <v>132</v>
      </c>
      <c r="E39" s="5" t="s">
        <v>103</v>
      </c>
      <c r="F39" s="5" t="s">
        <v>88</v>
      </c>
      <c r="G39" s="6">
        <v>0.05</v>
      </c>
      <c r="H39" s="5" t="s">
        <v>19</v>
      </c>
      <c r="I39" s="5" t="s">
        <v>20</v>
      </c>
      <c r="J39" s="5">
        <v>2014.0</v>
      </c>
      <c r="K39" s="8">
        <v>46116.0</v>
      </c>
      <c r="L39" s="5">
        <v>1.0</v>
      </c>
      <c r="M39" s="7">
        <f t="shared" si="1"/>
        <v>0.05</v>
      </c>
    </row>
    <row r="40">
      <c r="A40" s="5" t="s">
        <v>133</v>
      </c>
      <c r="B40" s="5" t="s">
        <v>134</v>
      </c>
      <c r="C40" s="5" t="s">
        <v>15</v>
      </c>
      <c r="D40" s="5" t="s">
        <v>135</v>
      </c>
      <c r="E40" s="5" t="s">
        <v>103</v>
      </c>
      <c r="F40" s="5" t="s">
        <v>88</v>
      </c>
      <c r="G40" s="6">
        <v>0.03</v>
      </c>
      <c r="H40" s="5" t="s">
        <v>19</v>
      </c>
      <c r="I40" s="5" t="s">
        <v>20</v>
      </c>
      <c r="J40" s="5">
        <v>2014.0</v>
      </c>
      <c r="K40" s="8">
        <v>46082.0</v>
      </c>
      <c r="L40" s="5">
        <v>2.0</v>
      </c>
      <c r="M40" s="7">
        <f t="shared" si="1"/>
        <v>0.06</v>
      </c>
    </row>
    <row r="41">
      <c r="A41" s="5" t="s">
        <v>136</v>
      </c>
      <c r="B41" s="5" t="s">
        <v>14</v>
      </c>
      <c r="C41" s="5" t="s">
        <v>22</v>
      </c>
      <c r="D41" s="5" t="s">
        <v>137</v>
      </c>
      <c r="E41" s="5" t="s">
        <v>103</v>
      </c>
      <c r="F41" s="5" t="s">
        <v>88</v>
      </c>
      <c r="G41" s="6">
        <v>0.08</v>
      </c>
      <c r="H41" s="5" t="s">
        <v>19</v>
      </c>
      <c r="I41" s="5" t="s">
        <v>20</v>
      </c>
      <c r="J41" s="5">
        <v>2014.0</v>
      </c>
      <c r="L41" s="5">
        <v>1.0</v>
      </c>
      <c r="M41" s="7">
        <f t="shared" si="1"/>
        <v>0.08</v>
      </c>
    </row>
    <row r="42">
      <c r="A42" s="5" t="s">
        <v>138</v>
      </c>
      <c r="B42" s="5" t="s">
        <v>139</v>
      </c>
      <c r="C42" s="5" t="s">
        <v>22</v>
      </c>
      <c r="D42" s="5" t="s">
        <v>140</v>
      </c>
      <c r="E42" s="5" t="s">
        <v>141</v>
      </c>
      <c r="F42" s="5" t="s">
        <v>88</v>
      </c>
      <c r="G42" s="6">
        <v>0.06</v>
      </c>
      <c r="H42" s="5" t="s">
        <v>19</v>
      </c>
      <c r="I42" s="5" t="s">
        <v>20</v>
      </c>
      <c r="J42" s="5">
        <v>2014.0</v>
      </c>
      <c r="K42" s="8">
        <v>46116.0</v>
      </c>
      <c r="L42" s="5">
        <v>1.0</v>
      </c>
      <c r="M42" s="7">
        <f t="shared" si="1"/>
        <v>0.06</v>
      </c>
    </row>
    <row r="43">
      <c r="A43" s="5" t="s">
        <v>142</v>
      </c>
      <c r="B43" s="5" t="s">
        <v>143</v>
      </c>
      <c r="C43" s="5" t="s">
        <v>22</v>
      </c>
      <c r="D43" s="5" t="s">
        <v>144</v>
      </c>
      <c r="E43" s="5" t="s">
        <v>124</v>
      </c>
      <c r="F43" s="5" t="s">
        <v>88</v>
      </c>
      <c r="G43" s="6">
        <v>0.05</v>
      </c>
      <c r="H43" s="5" t="s">
        <v>19</v>
      </c>
      <c r="I43" s="5" t="s">
        <v>20</v>
      </c>
      <c r="J43" s="5">
        <v>2014.0</v>
      </c>
      <c r="K43" s="8">
        <v>46114.0</v>
      </c>
      <c r="L43" s="5">
        <v>1.0</v>
      </c>
      <c r="M43" s="7">
        <f t="shared" si="1"/>
        <v>0.05</v>
      </c>
    </row>
    <row r="44">
      <c r="A44" s="5" t="s">
        <v>145</v>
      </c>
      <c r="B44" s="5" t="s">
        <v>14</v>
      </c>
      <c r="C44" s="5" t="s">
        <v>22</v>
      </c>
      <c r="D44" s="5" t="s">
        <v>146</v>
      </c>
      <c r="E44" s="5" t="s">
        <v>113</v>
      </c>
      <c r="F44" s="5" t="s">
        <v>88</v>
      </c>
      <c r="G44" s="6">
        <v>0.05</v>
      </c>
      <c r="H44" s="5" t="s">
        <v>19</v>
      </c>
      <c r="I44" s="5" t="s">
        <v>20</v>
      </c>
      <c r="J44" s="5">
        <v>2014.0</v>
      </c>
      <c r="L44" s="5">
        <v>1.0</v>
      </c>
      <c r="M44" s="7">
        <f t="shared" si="1"/>
        <v>0.05</v>
      </c>
    </row>
    <row r="45">
      <c r="A45" s="5" t="s">
        <v>147</v>
      </c>
      <c r="B45" s="5" t="s">
        <v>148</v>
      </c>
      <c r="C45" s="5" t="s">
        <v>149</v>
      </c>
      <c r="D45" s="5" t="s">
        <v>150</v>
      </c>
      <c r="E45" s="5" t="s">
        <v>151</v>
      </c>
      <c r="F45" s="5" t="s">
        <v>152</v>
      </c>
      <c r="G45" s="6">
        <v>5.44</v>
      </c>
      <c r="H45" s="5" t="s">
        <v>19</v>
      </c>
      <c r="I45" s="5" t="s">
        <v>20</v>
      </c>
      <c r="J45" s="5">
        <v>2014.0</v>
      </c>
      <c r="L45" s="5">
        <v>1.0</v>
      </c>
      <c r="M45" s="7">
        <f t="shared" si="1"/>
        <v>5.44</v>
      </c>
    </row>
    <row r="46">
      <c r="A46" s="5" t="s">
        <v>153</v>
      </c>
      <c r="B46" s="5" t="s">
        <v>154</v>
      </c>
      <c r="C46" s="5" t="s">
        <v>149</v>
      </c>
      <c r="D46" s="5" t="s">
        <v>155</v>
      </c>
      <c r="E46" s="5" t="s">
        <v>156</v>
      </c>
      <c r="F46" s="5" t="s">
        <v>157</v>
      </c>
      <c r="G46" s="6">
        <v>5.95</v>
      </c>
      <c r="H46" s="5" t="s">
        <v>19</v>
      </c>
      <c r="I46" s="5" t="s">
        <v>20</v>
      </c>
      <c r="J46" s="5">
        <v>2014.0</v>
      </c>
      <c r="K46" s="8">
        <v>46207.0</v>
      </c>
      <c r="L46" s="5">
        <v>1.0</v>
      </c>
      <c r="M46" s="7">
        <f t="shared" si="1"/>
        <v>5.95</v>
      </c>
    </row>
    <row r="47">
      <c r="A47" s="5" t="s">
        <v>158</v>
      </c>
      <c r="B47" s="5" t="s">
        <v>154</v>
      </c>
      <c r="C47" s="5" t="s">
        <v>149</v>
      </c>
      <c r="D47" s="5" t="s">
        <v>159</v>
      </c>
      <c r="E47" s="5" t="s">
        <v>160</v>
      </c>
      <c r="F47" s="5" t="s">
        <v>157</v>
      </c>
      <c r="G47" s="6">
        <v>29.5</v>
      </c>
      <c r="H47" s="5" t="s">
        <v>19</v>
      </c>
      <c r="I47" s="5" t="s">
        <v>20</v>
      </c>
      <c r="J47" s="5">
        <v>2014.0</v>
      </c>
      <c r="K47" s="8">
        <v>46147.0</v>
      </c>
      <c r="L47" s="5">
        <v>1.0</v>
      </c>
      <c r="M47" s="7">
        <f t="shared" si="1"/>
        <v>29.5</v>
      </c>
    </row>
    <row r="48">
      <c r="A48" s="5" t="s">
        <v>161</v>
      </c>
      <c r="B48" s="5" t="s">
        <v>154</v>
      </c>
      <c r="C48" s="5" t="s">
        <v>149</v>
      </c>
      <c r="D48" s="5" t="s">
        <v>162</v>
      </c>
      <c r="E48" s="5" t="s">
        <v>163</v>
      </c>
      <c r="F48" s="5" t="s">
        <v>157</v>
      </c>
      <c r="G48" s="6">
        <v>0.41</v>
      </c>
      <c r="H48" s="5" t="s">
        <v>19</v>
      </c>
      <c r="I48" s="5" t="s">
        <v>20</v>
      </c>
      <c r="J48" s="5">
        <v>2014.0</v>
      </c>
      <c r="K48" s="8">
        <v>46117.0</v>
      </c>
      <c r="L48" s="5">
        <v>1.0</v>
      </c>
      <c r="M48" s="7">
        <f t="shared" si="1"/>
        <v>0.41</v>
      </c>
    </row>
    <row r="49">
      <c r="A49" s="5" t="s">
        <v>164</v>
      </c>
      <c r="B49" s="5" t="s">
        <v>68</v>
      </c>
      <c r="C49" s="5" t="s">
        <v>22</v>
      </c>
      <c r="D49" s="5" t="s">
        <v>165</v>
      </c>
      <c r="E49" s="5" t="s">
        <v>50</v>
      </c>
      <c r="F49" s="5" t="s">
        <v>166</v>
      </c>
      <c r="G49" s="6">
        <v>0.05</v>
      </c>
      <c r="H49" s="5" t="s">
        <v>19</v>
      </c>
      <c r="I49" s="5" t="s">
        <v>20</v>
      </c>
      <c r="J49" s="5">
        <v>2014.0</v>
      </c>
      <c r="L49" s="5">
        <v>2.0</v>
      </c>
      <c r="M49" s="7">
        <f t="shared" si="1"/>
        <v>0.1</v>
      </c>
    </row>
    <row r="50">
      <c r="A50" s="5" t="s">
        <v>167</v>
      </c>
      <c r="B50" s="5" t="s">
        <v>139</v>
      </c>
      <c r="C50" s="5" t="s">
        <v>15</v>
      </c>
      <c r="D50" s="5" t="s">
        <v>168</v>
      </c>
      <c r="E50" s="5" t="s">
        <v>169</v>
      </c>
      <c r="F50" s="5" t="s">
        <v>166</v>
      </c>
      <c r="G50" s="6">
        <v>0.05</v>
      </c>
      <c r="H50" s="5" t="s">
        <v>19</v>
      </c>
      <c r="I50" s="5" t="s">
        <v>20</v>
      </c>
      <c r="J50" s="5">
        <v>2014.0</v>
      </c>
      <c r="K50" s="8">
        <v>46057.0</v>
      </c>
      <c r="L50" s="5">
        <v>2.0</v>
      </c>
      <c r="M50" s="7">
        <f t="shared" si="1"/>
        <v>0.1</v>
      </c>
    </row>
    <row r="51">
      <c r="A51" s="5" t="s">
        <v>170</v>
      </c>
      <c r="B51" s="5" t="s">
        <v>68</v>
      </c>
      <c r="C51" s="5" t="s">
        <v>22</v>
      </c>
      <c r="D51" s="5" t="s">
        <v>171</v>
      </c>
      <c r="E51" s="5" t="s">
        <v>43</v>
      </c>
      <c r="F51" s="5" t="s">
        <v>166</v>
      </c>
      <c r="G51" s="6">
        <v>0.05</v>
      </c>
      <c r="H51" s="5" t="s">
        <v>19</v>
      </c>
      <c r="I51" s="5" t="s">
        <v>20</v>
      </c>
      <c r="J51" s="5">
        <v>2014.0</v>
      </c>
      <c r="L51" s="5">
        <v>2.0</v>
      </c>
      <c r="M51" s="7">
        <f t="shared" si="1"/>
        <v>0.1</v>
      </c>
    </row>
    <row r="52">
      <c r="A52" s="5" t="s">
        <v>172</v>
      </c>
      <c r="B52" s="5" t="s">
        <v>173</v>
      </c>
      <c r="C52" s="5" t="s">
        <v>101</v>
      </c>
      <c r="D52" s="5" t="s">
        <v>174</v>
      </c>
      <c r="E52" s="5" t="s">
        <v>175</v>
      </c>
      <c r="F52" s="5" t="s">
        <v>166</v>
      </c>
      <c r="G52" s="6">
        <v>0.25</v>
      </c>
      <c r="H52" s="5" t="s">
        <v>19</v>
      </c>
      <c r="I52" s="5" t="s">
        <v>20</v>
      </c>
      <c r="J52" s="5">
        <v>2014.0</v>
      </c>
      <c r="K52" s="8">
        <v>46305.0</v>
      </c>
      <c r="L52" s="5">
        <v>1.0</v>
      </c>
      <c r="M52" s="7">
        <f t="shared" si="1"/>
        <v>0.25</v>
      </c>
    </row>
    <row r="53">
      <c r="A53" s="5" t="s">
        <v>176</v>
      </c>
      <c r="B53" s="5" t="s">
        <v>68</v>
      </c>
      <c r="C53" s="5" t="s">
        <v>15</v>
      </c>
      <c r="D53" s="5" t="s">
        <v>177</v>
      </c>
      <c r="E53" s="5" t="s">
        <v>50</v>
      </c>
      <c r="F53" s="5" t="s">
        <v>166</v>
      </c>
      <c r="G53" s="6">
        <v>0.05</v>
      </c>
      <c r="H53" s="5" t="s">
        <v>19</v>
      </c>
      <c r="I53" s="5" t="s">
        <v>20</v>
      </c>
      <c r="J53" s="5">
        <v>2014.0</v>
      </c>
      <c r="L53" s="5">
        <v>1.0</v>
      </c>
      <c r="M53" s="7">
        <f t="shared" si="1"/>
        <v>0.05</v>
      </c>
    </row>
    <row r="54">
      <c r="A54" s="5" t="s">
        <v>178</v>
      </c>
      <c r="B54" s="5" t="s">
        <v>179</v>
      </c>
      <c r="C54" s="5" t="s">
        <v>22</v>
      </c>
      <c r="D54" s="5" t="s">
        <v>180</v>
      </c>
      <c r="E54" s="5" t="s">
        <v>61</v>
      </c>
      <c r="F54" s="5" t="s">
        <v>166</v>
      </c>
      <c r="G54" s="6">
        <v>0.05</v>
      </c>
      <c r="H54" s="5" t="s">
        <v>19</v>
      </c>
      <c r="I54" s="5" t="s">
        <v>20</v>
      </c>
      <c r="J54" s="5">
        <v>2014.0</v>
      </c>
      <c r="K54" s="8">
        <v>46085.0</v>
      </c>
      <c r="L54" s="5">
        <v>1.0</v>
      </c>
      <c r="M54" s="7">
        <f t="shared" si="1"/>
        <v>0.05</v>
      </c>
    </row>
    <row r="55">
      <c r="A55" s="5" t="s">
        <v>181</v>
      </c>
      <c r="B55" s="5" t="s">
        <v>182</v>
      </c>
      <c r="C55" s="5" t="s">
        <v>101</v>
      </c>
      <c r="D55" s="5" t="s">
        <v>183</v>
      </c>
      <c r="E55" s="5" t="s">
        <v>184</v>
      </c>
      <c r="F55" s="5" t="s">
        <v>166</v>
      </c>
      <c r="G55" s="6">
        <v>0.33</v>
      </c>
      <c r="H55" s="5" t="s">
        <v>19</v>
      </c>
      <c r="I55" s="5" t="s">
        <v>20</v>
      </c>
      <c r="J55" s="5">
        <v>2014.0</v>
      </c>
      <c r="K55" s="8">
        <v>46147.0</v>
      </c>
      <c r="L55" s="5">
        <v>1.0</v>
      </c>
      <c r="M55" s="7">
        <f t="shared" si="1"/>
        <v>0.33</v>
      </c>
    </row>
    <row r="56">
      <c r="A56" s="5" t="s">
        <v>185</v>
      </c>
      <c r="B56" s="5" t="s">
        <v>186</v>
      </c>
      <c r="C56" s="5" t="s">
        <v>15</v>
      </c>
      <c r="D56" s="5" t="s">
        <v>187</v>
      </c>
      <c r="E56" s="5" t="s">
        <v>188</v>
      </c>
      <c r="F56" s="5" t="s">
        <v>80</v>
      </c>
      <c r="G56" s="6">
        <v>0.19</v>
      </c>
      <c r="H56" s="5" t="s">
        <v>189</v>
      </c>
      <c r="I56" s="5" t="s">
        <v>190</v>
      </c>
      <c r="J56" s="5">
        <v>2014.0</v>
      </c>
      <c r="L56" s="5">
        <v>2.0</v>
      </c>
      <c r="M56" s="7">
        <f t="shared" si="1"/>
        <v>0.38</v>
      </c>
    </row>
    <row r="57">
      <c r="A57" s="5" t="s">
        <v>185</v>
      </c>
      <c r="B57" s="5" t="s">
        <v>186</v>
      </c>
      <c r="C57" s="5" t="s">
        <v>15</v>
      </c>
      <c r="D57" s="5" t="s">
        <v>187</v>
      </c>
      <c r="E57" s="5" t="s">
        <v>188</v>
      </c>
      <c r="F57" s="5" t="s">
        <v>80</v>
      </c>
      <c r="G57" s="6">
        <v>0.12</v>
      </c>
      <c r="H57" s="5" t="s">
        <v>191</v>
      </c>
      <c r="I57" s="5" t="s">
        <v>190</v>
      </c>
      <c r="J57" s="5">
        <v>2020.0</v>
      </c>
      <c r="L57" s="5">
        <v>2.0</v>
      </c>
      <c r="M57" s="7">
        <f t="shared" si="1"/>
        <v>0.24</v>
      </c>
    </row>
    <row r="58">
      <c r="A58" s="5" t="s">
        <v>192</v>
      </c>
      <c r="B58" s="5" t="s">
        <v>186</v>
      </c>
      <c r="C58" s="5" t="s">
        <v>22</v>
      </c>
      <c r="D58" s="5" t="s">
        <v>193</v>
      </c>
      <c r="E58" s="5" t="s">
        <v>188</v>
      </c>
      <c r="F58" s="5" t="s">
        <v>157</v>
      </c>
      <c r="G58" s="6">
        <v>0.34</v>
      </c>
      <c r="H58" s="5" t="s">
        <v>189</v>
      </c>
      <c r="I58" s="5" t="s">
        <v>194</v>
      </c>
      <c r="J58" s="5">
        <v>2014.0</v>
      </c>
      <c r="L58" s="5">
        <v>2.0</v>
      </c>
      <c r="M58" s="7">
        <f t="shared" si="1"/>
        <v>0.68</v>
      </c>
    </row>
    <row r="59">
      <c r="A59" s="5" t="s">
        <v>195</v>
      </c>
      <c r="B59" s="5" t="s">
        <v>186</v>
      </c>
      <c r="C59" s="5" t="s">
        <v>22</v>
      </c>
      <c r="D59" s="5" t="s">
        <v>196</v>
      </c>
      <c r="E59" s="5" t="s">
        <v>188</v>
      </c>
      <c r="F59" s="5" t="s">
        <v>166</v>
      </c>
      <c r="G59" s="6">
        <v>0.44</v>
      </c>
      <c r="H59" s="5" t="s">
        <v>189</v>
      </c>
      <c r="I59" s="5" t="s">
        <v>197</v>
      </c>
      <c r="J59" s="5">
        <v>2014.0</v>
      </c>
      <c r="L59" s="5">
        <v>1.0</v>
      </c>
      <c r="M59" s="7">
        <f t="shared" si="1"/>
        <v>0.44</v>
      </c>
    </row>
    <row r="60">
      <c r="A60" s="5" t="s">
        <v>198</v>
      </c>
      <c r="B60" s="5" t="s">
        <v>199</v>
      </c>
      <c r="C60" s="5" t="s">
        <v>22</v>
      </c>
      <c r="D60" s="5" t="s">
        <v>200</v>
      </c>
      <c r="E60" s="5" t="s">
        <v>201</v>
      </c>
      <c r="F60" s="5" t="s">
        <v>157</v>
      </c>
      <c r="G60" s="6">
        <v>0.09</v>
      </c>
      <c r="H60" s="5" t="s">
        <v>189</v>
      </c>
      <c r="I60" s="5" t="s">
        <v>202</v>
      </c>
      <c r="J60" s="5">
        <v>2014.0</v>
      </c>
      <c r="K60" s="8">
        <v>46055.0</v>
      </c>
      <c r="L60" s="5">
        <v>1.0</v>
      </c>
      <c r="M60" s="7">
        <f t="shared" si="1"/>
        <v>0.09</v>
      </c>
    </row>
    <row r="61">
      <c r="A61" s="5" t="s">
        <v>203</v>
      </c>
      <c r="B61" s="5" t="s">
        <v>204</v>
      </c>
      <c r="C61" s="5" t="s">
        <v>15</v>
      </c>
      <c r="D61" s="5" t="s">
        <v>205</v>
      </c>
      <c r="E61" s="5" t="s">
        <v>206</v>
      </c>
      <c r="F61" s="5" t="s">
        <v>157</v>
      </c>
      <c r="G61" s="6">
        <v>0.09</v>
      </c>
      <c r="H61" s="5" t="s">
        <v>189</v>
      </c>
      <c r="I61" s="5" t="s">
        <v>207</v>
      </c>
      <c r="J61" s="5">
        <v>2014.0</v>
      </c>
      <c r="K61" s="8">
        <v>46025.0</v>
      </c>
      <c r="L61" s="5">
        <v>1.0</v>
      </c>
      <c r="M61" s="7">
        <f t="shared" si="1"/>
        <v>0.09</v>
      </c>
    </row>
    <row r="62">
      <c r="A62" s="5" t="s">
        <v>208</v>
      </c>
      <c r="B62" s="5" t="s">
        <v>209</v>
      </c>
      <c r="C62" s="5" t="s">
        <v>22</v>
      </c>
      <c r="D62" s="5" t="s">
        <v>210</v>
      </c>
      <c r="E62" s="5" t="s">
        <v>211</v>
      </c>
      <c r="F62" s="5" t="s">
        <v>157</v>
      </c>
      <c r="G62" s="6">
        <v>0.09</v>
      </c>
      <c r="H62" s="5" t="s">
        <v>189</v>
      </c>
      <c r="I62" s="5" t="s">
        <v>212</v>
      </c>
      <c r="J62" s="5">
        <v>2014.0</v>
      </c>
      <c r="K62" s="8">
        <v>46085.0</v>
      </c>
      <c r="L62" s="5">
        <v>1.0</v>
      </c>
      <c r="M62" s="7">
        <f t="shared" si="1"/>
        <v>0.09</v>
      </c>
    </row>
    <row r="63">
      <c r="A63" s="5" t="s">
        <v>208</v>
      </c>
      <c r="B63" s="5" t="s">
        <v>209</v>
      </c>
      <c r="C63" s="5" t="s">
        <v>22</v>
      </c>
      <c r="D63" s="5" t="s">
        <v>210</v>
      </c>
      <c r="E63" s="5" t="s">
        <v>211</v>
      </c>
      <c r="F63" s="5" t="s">
        <v>157</v>
      </c>
      <c r="G63" s="6">
        <v>0.13</v>
      </c>
      <c r="H63" s="5" t="s">
        <v>189</v>
      </c>
      <c r="I63" s="5" t="s">
        <v>20</v>
      </c>
      <c r="J63" s="5">
        <v>2014.0</v>
      </c>
      <c r="K63" s="8">
        <v>46085.0</v>
      </c>
      <c r="L63" s="5">
        <v>1.0</v>
      </c>
      <c r="M63" s="7">
        <f t="shared" si="1"/>
        <v>0.13</v>
      </c>
    </row>
    <row r="64">
      <c r="A64" s="5" t="s">
        <v>213</v>
      </c>
      <c r="B64" s="5" t="s">
        <v>214</v>
      </c>
      <c r="C64" s="5" t="s">
        <v>149</v>
      </c>
      <c r="D64" s="5" t="s">
        <v>215</v>
      </c>
      <c r="E64" s="5" t="s">
        <v>216</v>
      </c>
      <c r="F64" s="5" t="s">
        <v>157</v>
      </c>
      <c r="G64" s="6">
        <v>3.48</v>
      </c>
      <c r="H64" s="5" t="s">
        <v>189</v>
      </c>
      <c r="I64" s="5" t="s">
        <v>20</v>
      </c>
      <c r="J64" s="5">
        <v>2014.0</v>
      </c>
      <c r="K64" s="8">
        <v>46060.0</v>
      </c>
      <c r="L64" s="5">
        <v>1.0</v>
      </c>
      <c r="M64" s="7">
        <f t="shared" si="1"/>
        <v>3.48</v>
      </c>
    </row>
    <row r="65">
      <c r="A65" s="5" t="s">
        <v>217</v>
      </c>
      <c r="B65" s="5" t="s">
        <v>204</v>
      </c>
      <c r="C65" s="5" t="s">
        <v>22</v>
      </c>
      <c r="D65" s="5" t="s">
        <v>218</v>
      </c>
      <c r="E65" s="5" t="s">
        <v>169</v>
      </c>
      <c r="F65" s="5" t="s">
        <v>166</v>
      </c>
      <c r="G65" s="6">
        <v>0.5</v>
      </c>
      <c r="H65" s="5" t="s">
        <v>189</v>
      </c>
      <c r="I65" s="5" t="s">
        <v>20</v>
      </c>
      <c r="J65" s="5">
        <v>2014.0</v>
      </c>
      <c r="K65" s="8">
        <v>46055.0</v>
      </c>
      <c r="L65" s="5">
        <v>2.0</v>
      </c>
      <c r="M65" s="7">
        <f t="shared" si="1"/>
        <v>1</v>
      </c>
    </row>
    <row r="66">
      <c r="A66" s="5" t="s">
        <v>217</v>
      </c>
      <c r="B66" s="5" t="s">
        <v>204</v>
      </c>
      <c r="C66" s="5" t="s">
        <v>22</v>
      </c>
      <c r="D66" s="5" t="s">
        <v>218</v>
      </c>
      <c r="E66" s="5" t="s">
        <v>169</v>
      </c>
      <c r="F66" s="5" t="s">
        <v>166</v>
      </c>
      <c r="G66" s="6">
        <v>0.25</v>
      </c>
      <c r="H66" s="5" t="s">
        <v>189</v>
      </c>
      <c r="I66" s="5" t="s">
        <v>20</v>
      </c>
      <c r="J66" s="5">
        <v>2014.0</v>
      </c>
      <c r="K66" s="8">
        <v>46055.0</v>
      </c>
      <c r="L66" s="5">
        <v>2.0</v>
      </c>
      <c r="M66" s="7">
        <f t="shared" si="1"/>
        <v>0.5</v>
      </c>
    </row>
    <row r="67">
      <c r="A67" s="5" t="s">
        <v>219</v>
      </c>
      <c r="B67" s="5" t="s">
        <v>14</v>
      </c>
      <c r="C67" s="5" t="s">
        <v>15</v>
      </c>
      <c r="D67" s="5" t="s">
        <v>220</v>
      </c>
      <c r="E67" s="5" t="s">
        <v>39</v>
      </c>
      <c r="F67" s="5" t="s">
        <v>166</v>
      </c>
      <c r="G67" s="6">
        <v>0.06</v>
      </c>
      <c r="H67" s="5" t="s">
        <v>189</v>
      </c>
      <c r="I67" s="5" t="s">
        <v>20</v>
      </c>
      <c r="J67" s="5">
        <v>2014.0</v>
      </c>
      <c r="K67" s="5" t="s">
        <v>221</v>
      </c>
      <c r="L67" s="5">
        <v>2.0</v>
      </c>
      <c r="M67" s="7">
        <f t="shared" si="1"/>
        <v>0.12</v>
      </c>
    </row>
    <row r="68">
      <c r="A68" s="5" t="s">
        <v>222</v>
      </c>
      <c r="B68" s="5" t="s">
        <v>223</v>
      </c>
      <c r="C68" s="5" t="s">
        <v>101</v>
      </c>
      <c r="D68" s="5" t="s">
        <v>224</v>
      </c>
      <c r="E68" s="5" t="s">
        <v>225</v>
      </c>
      <c r="F68" s="5" t="s">
        <v>166</v>
      </c>
      <c r="G68" s="6">
        <v>0.42</v>
      </c>
      <c r="H68" s="5" t="s">
        <v>189</v>
      </c>
      <c r="I68" s="5" t="s">
        <v>20</v>
      </c>
      <c r="J68" s="5">
        <v>2014.0</v>
      </c>
      <c r="K68" s="8">
        <v>46116.0</v>
      </c>
      <c r="L68" s="5">
        <v>1.0</v>
      </c>
      <c r="M68" s="7">
        <f t="shared" si="1"/>
        <v>0.42</v>
      </c>
    </row>
    <row r="69">
      <c r="A69" s="5" t="s">
        <v>226</v>
      </c>
      <c r="B69" s="5" t="s">
        <v>14</v>
      </c>
      <c r="C69" s="5" t="s">
        <v>15</v>
      </c>
      <c r="D69" s="5" t="s">
        <v>227</v>
      </c>
      <c r="E69" s="5" t="s">
        <v>50</v>
      </c>
      <c r="F69" s="5" t="s">
        <v>166</v>
      </c>
      <c r="G69" s="6">
        <v>0.09</v>
      </c>
      <c r="H69" s="5" t="s">
        <v>189</v>
      </c>
      <c r="I69" s="5" t="s">
        <v>20</v>
      </c>
      <c r="J69" s="5">
        <v>2014.0</v>
      </c>
      <c r="K69" s="5" t="s">
        <v>221</v>
      </c>
      <c r="L69" s="5">
        <v>1.0</v>
      </c>
      <c r="M69" s="7">
        <f t="shared" si="1"/>
        <v>0.09</v>
      </c>
    </row>
    <row r="70">
      <c r="A70" s="5" t="s">
        <v>228</v>
      </c>
      <c r="B70" s="5" t="s">
        <v>68</v>
      </c>
      <c r="C70" s="5" t="s">
        <v>15</v>
      </c>
      <c r="D70" s="5" t="s">
        <v>229</v>
      </c>
      <c r="E70" s="5" t="s">
        <v>50</v>
      </c>
      <c r="F70" s="5" t="s">
        <v>166</v>
      </c>
      <c r="G70" s="6">
        <v>3.15</v>
      </c>
      <c r="H70" s="5" t="s">
        <v>189</v>
      </c>
      <c r="I70" s="5" t="s">
        <v>20</v>
      </c>
      <c r="J70" s="5">
        <v>2014.0</v>
      </c>
      <c r="K70" s="5" t="s">
        <v>221</v>
      </c>
      <c r="L70" s="5">
        <v>1.0</v>
      </c>
      <c r="M70" s="7">
        <f t="shared" si="1"/>
        <v>3.15</v>
      </c>
    </row>
    <row r="71">
      <c r="A71" s="5" t="s">
        <v>230</v>
      </c>
      <c r="B71" s="5" t="s">
        <v>231</v>
      </c>
      <c r="C71" s="5" t="s">
        <v>22</v>
      </c>
      <c r="D71" s="5" t="s">
        <v>232</v>
      </c>
      <c r="E71" s="5" t="s">
        <v>39</v>
      </c>
      <c r="F71" s="5" t="s">
        <v>166</v>
      </c>
      <c r="G71" s="6">
        <v>0.1</v>
      </c>
      <c r="H71" s="5" t="s">
        <v>189</v>
      </c>
      <c r="I71" s="5" t="s">
        <v>20</v>
      </c>
      <c r="J71" s="5">
        <v>2014.0</v>
      </c>
      <c r="K71" s="8">
        <v>46148.0</v>
      </c>
      <c r="L71" s="5">
        <v>1.0</v>
      </c>
      <c r="M71" s="7">
        <f t="shared" si="1"/>
        <v>0.1</v>
      </c>
    </row>
    <row r="72">
      <c r="A72" s="5" t="s">
        <v>233</v>
      </c>
      <c r="B72" s="5" t="s">
        <v>234</v>
      </c>
      <c r="C72" s="5" t="s">
        <v>22</v>
      </c>
      <c r="D72" s="5" t="s">
        <v>235</v>
      </c>
      <c r="E72" s="5" t="s">
        <v>61</v>
      </c>
      <c r="F72" s="5" t="s">
        <v>166</v>
      </c>
      <c r="G72" s="6">
        <v>0.09</v>
      </c>
      <c r="H72" s="5" t="s">
        <v>189</v>
      </c>
      <c r="I72" s="5" t="s">
        <v>20</v>
      </c>
      <c r="J72" s="5">
        <v>2014.0</v>
      </c>
      <c r="K72" s="8">
        <v>46084.0</v>
      </c>
      <c r="L72" s="5">
        <v>1.0</v>
      </c>
      <c r="M72" s="7">
        <f t="shared" si="1"/>
        <v>0.09</v>
      </c>
    </row>
    <row r="73">
      <c r="A73" s="5" t="s">
        <v>236</v>
      </c>
      <c r="B73" s="5" t="s">
        <v>68</v>
      </c>
      <c r="C73" s="5" t="s">
        <v>15</v>
      </c>
      <c r="D73" s="5" t="s">
        <v>237</v>
      </c>
      <c r="E73" s="5" t="s">
        <v>58</v>
      </c>
      <c r="F73" s="5" t="s">
        <v>166</v>
      </c>
      <c r="G73" s="6">
        <v>0.13</v>
      </c>
      <c r="H73" s="5" t="s">
        <v>189</v>
      </c>
      <c r="I73" s="5" t="s">
        <v>20</v>
      </c>
      <c r="J73" s="5">
        <v>2014.0</v>
      </c>
      <c r="L73" s="5">
        <v>1.0</v>
      </c>
      <c r="M73" s="7">
        <f t="shared" si="1"/>
        <v>0.13</v>
      </c>
    </row>
    <row r="74">
      <c r="A74" s="5" t="s">
        <v>236</v>
      </c>
      <c r="B74" s="5" t="s">
        <v>68</v>
      </c>
      <c r="C74" s="5" t="s">
        <v>15</v>
      </c>
      <c r="D74" s="5" t="s">
        <v>237</v>
      </c>
      <c r="E74" s="5" t="s">
        <v>58</v>
      </c>
      <c r="F74" s="5" t="s">
        <v>166</v>
      </c>
      <c r="G74" s="6">
        <v>0.03</v>
      </c>
      <c r="H74" s="5" t="s">
        <v>238</v>
      </c>
      <c r="I74" s="5" t="s">
        <v>20</v>
      </c>
      <c r="J74" s="5">
        <v>2019.0</v>
      </c>
      <c r="L74" s="5">
        <v>1.0</v>
      </c>
      <c r="M74" s="7">
        <f t="shared" si="1"/>
        <v>0.03</v>
      </c>
    </row>
    <row r="75">
      <c r="A75" s="5" t="s">
        <v>239</v>
      </c>
      <c r="B75" s="5" t="s">
        <v>63</v>
      </c>
      <c r="C75" s="5" t="s">
        <v>22</v>
      </c>
      <c r="D75" s="5" t="s">
        <v>240</v>
      </c>
      <c r="E75" s="5" t="s">
        <v>54</v>
      </c>
      <c r="F75" s="5" t="s">
        <v>166</v>
      </c>
      <c r="G75" s="6">
        <v>14.99</v>
      </c>
      <c r="H75" s="5" t="s">
        <v>189</v>
      </c>
      <c r="I75" s="5" t="s">
        <v>20</v>
      </c>
      <c r="J75" s="5">
        <v>2014.0</v>
      </c>
      <c r="L75" s="5">
        <v>1.0</v>
      </c>
      <c r="M75" s="7">
        <f t="shared" si="1"/>
        <v>14.99</v>
      </c>
    </row>
    <row r="76">
      <c r="A76" s="5" t="s">
        <v>241</v>
      </c>
      <c r="B76" s="5" t="s">
        <v>68</v>
      </c>
      <c r="C76" s="5" t="s">
        <v>22</v>
      </c>
      <c r="D76" s="5" t="s">
        <v>242</v>
      </c>
      <c r="E76" s="5" t="s">
        <v>54</v>
      </c>
      <c r="F76" s="5" t="s">
        <v>166</v>
      </c>
      <c r="G76" s="6">
        <v>0.09</v>
      </c>
      <c r="H76" s="5" t="s">
        <v>189</v>
      </c>
      <c r="I76" s="5" t="s">
        <v>20</v>
      </c>
      <c r="J76" s="5">
        <v>2014.0</v>
      </c>
      <c r="L76" s="5">
        <v>1.0</v>
      </c>
      <c r="M76" s="7">
        <f t="shared" si="1"/>
        <v>0.09</v>
      </c>
    </row>
    <row r="77">
      <c r="A77" s="5" t="s">
        <v>243</v>
      </c>
      <c r="B77" s="5" t="s">
        <v>14</v>
      </c>
      <c r="C77" s="5" t="s">
        <v>15</v>
      </c>
      <c r="D77" s="5" t="s">
        <v>244</v>
      </c>
      <c r="E77" s="5" t="s">
        <v>225</v>
      </c>
      <c r="F77" s="5" t="s">
        <v>166</v>
      </c>
      <c r="G77" s="6">
        <v>0.06</v>
      </c>
      <c r="H77" s="5" t="s">
        <v>189</v>
      </c>
      <c r="I77" s="5" t="s">
        <v>20</v>
      </c>
      <c r="J77" s="5">
        <v>2014.0</v>
      </c>
      <c r="L77" s="5">
        <v>1.0</v>
      </c>
      <c r="M77" s="7">
        <f t="shared" si="1"/>
        <v>0.06</v>
      </c>
    </row>
    <row r="78">
      <c r="A78" s="5" t="s">
        <v>245</v>
      </c>
      <c r="B78" s="5" t="s">
        <v>68</v>
      </c>
      <c r="C78" s="5" t="s">
        <v>101</v>
      </c>
      <c r="D78" s="5" t="s">
        <v>246</v>
      </c>
      <c r="E78" s="5" t="s">
        <v>247</v>
      </c>
      <c r="F78" s="5" t="s">
        <v>166</v>
      </c>
      <c r="G78" s="6">
        <v>0.84</v>
      </c>
      <c r="H78" s="5" t="s">
        <v>189</v>
      </c>
      <c r="I78" s="5" t="s">
        <v>20</v>
      </c>
      <c r="J78" s="5">
        <v>2014.0</v>
      </c>
      <c r="L78" s="5">
        <v>1.0</v>
      </c>
      <c r="M78" s="7">
        <f t="shared" si="1"/>
        <v>0.84</v>
      </c>
    </row>
    <row r="79">
      <c r="A79" s="5" t="s">
        <v>248</v>
      </c>
      <c r="B79" s="5" t="s">
        <v>68</v>
      </c>
      <c r="C79" s="5" t="s">
        <v>101</v>
      </c>
      <c r="D79" s="5" t="s">
        <v>249</v>
      </c>
      <c r="E79" s="5" t="s">
        <v>184</v>
      </c>
      <c r="F79" s="5" t="s">
        <v>166</v>
      </c>
      <c r="G79" s="6">
        <v>17.95</v>
      </c>
      <c r="H79" s="5" t="s">
        <v>189</v>
      </c>
      <c r="I79" s="5" t="s">
        <v>20</v>
      </c>
      <c r="J79" s="5">
        <v>2014.0</v>
      </c>
      <c r="L79" s="5">
        <v>1.0</v>
      </c>
      <c r="M79" s="7">
        <f t="shared" si="1"/>
        <v>17.95</v>
      </c>
    </row>
    <row r="80">
      <c r="A80" s="5" t="s">
        <v>250</v>
      </c>
      <c r="B80" s="5" t="s">
        <v>251</v>
      </c>
      <c r="C80" s="5" t="s">
        <v>101</v>
      </c>
      <c r="D80" s="5" t="s">
        <v>252</v>
      </c>
      <c r="E80" s="5" t="s">
        <v>169</v>
      </c>
      <c r="F80" s="5" t="s">
        <v>166</v>
      </c>
      <c r="G80" s="6">
        <v>2.39</v>
      </c>
      <c r="H80" s="5" t="s">
        <v>189</v>
      </c>
      <c r="I80" s="5" t="s">
        <v>20</v>
      </c>
      <c r="J80" s="5">
        <v>2014.0</v>
      </c>
      <c r="K80" s="8">
        <v>46084.0</v>
      </c>
      <c r="L80" s="5">
        <v>1.0</v>
      </c>
      <c r="M80" s="7">
        <f t="shared" si="1"/>
        <v>2.39</v>
      </c>
    </row>
    <row r="81">
      <c r="A81" s="5" t="s">
        <v>253</v>
      </c>
      <c r="B81" s="5" t="s">
        <v>254</v>
      </c>
      <c r="C81" s="5" t="s">
        <v>101</v>
      </c>
      <c r="D81" s="5" t="s">
        <v>255</v>
      </c>
      <c r="E81" s="5" t="s">
        <v>169</v>
      </c>
      <c r="F81" s="5" t="s">
        <v>166</v>
      </c>
      <c r="G81" s="6">
        <v>9.5</v>
      </c>
      <c r="H81" s="5" t="s">
        <v>189</v>
      </c>
      <c r="I81" s="5" t="s">
        <v>20</v>
      </c>
      <c r="J81" s="5">
        <v>2014.0</v>
      </c>
      <c r="K81" s="8">
        <v>46084.0</v>
      </c>
      <c r="L81" s="5">
        <v>1.0</v>
      </c>
      <c r="M81" s="7">
        <f t="shared" si="1"/>
        <v>9.5</v>
      </c>
    </row>
    <row r="82">
      <c r="A82" s="5" t="s">
        <v>256</v>
      </c>
      <c r="B82" s="5" t="s">
        <v>257</v>
      </c>
      <c r="C82" s="5" t="s">
        <v>22</v>
      </c>
      <c r="D82" s="5" t="s">
        <v>258</v>
      </c>
      <c r="E82" s="5" t="s">
        <v>50</v>
      </c>
      <c r="F82" s="5" t="s">
        <v>166</v>
      </c>
      <c r="G82" s="6">
        <v>0.09</v>
      </c>
      <c r="H82" s="5" t="s">
        <v>189</v>
      </c>
      <c r="I82" s="5" t="s">
        <v>20</v>
      </c>
      <c r="J82" s="5">
        <v>2014.0</v>
      </c>
      <c r="K82" s="8">
        <v>46023.0</v>
      </c>
      <c r="L82" s="5">
        <v>1.0</v>
      </c>
      <c r="M82" s="7">
        <f t="shared" si="1"/>
        <v>0.09</v>
      </c>
    </row>
    <row r="83">
      <c r="A83" s="5" t="s">
        <v>259</v>
      </c>
      <c r="B83" s="5" t="s">
        <v>257</v>
      </c>
      <c r="C83" s="5" t="s">
        <v>22</v>
      </c>
      <c r="D83" s="5" t="s">
        <v>260</v>
      </c>
      <c r="E83" s="5" t="s">
        <v>58</v>
      </c>
      <c r="F83" s="5" t="s">
        <v>166</v>
      </c>
      <c r="G83" s="6">
        <v>0.17</v>
      </c>
      <c r="H83" s="5" t="s">
        <v>189</v>
      </c>
      <c r="I83" s="5" t="s">
        <v>20</v>
      </c>
      <c r="J83" s="5">
        <v>2014.0</v>
      </c>
      <c r="K83" s="8">
        <v>46055.0</v>
      </c>
      <c r="L83" s="5">
        <v>1.0</v>
      </c>
      <c r="M83" s="7">
        <f t="shared" si="1"/>
        <v>0.17</v>
      </c>
    </row>
    <row r="84">
      <c r="A84" s="5" t="s">
        <v>261</v>
      </c>
      <c r="B84" s="5" t="s">
        <v>204</v>
      </c>
      <c r="C84" s="5" t="s">
        <v>22</v>
      </c>
      <c r="D84" s="5" t="s">
        <v>262</v>
      </c>
      <c r="E84" s="5" t="s">
        <v>225</v>
      </c>
      <c r="F84" s="5" t="s">
        <v>166</v>
      </c>
      <c r="G84" s="6">
        <v>1.99</v>
      </c>
      <c r="H84" s="5" t="s">
        <v>189</v>
      </c>
      <c r="I84" s="5" t="s">
        <v>20</v>
      </c>
      <c r="J84" s="5">
        <v>2014.0</v>
      </c>
      <c r="K84" s="8">
        <v>46055.0</v>
      </c>
      <c r="L84" s="5">
        <v>1.0</v>
      </c>
      <c r="M84" s="7">
        <f t="shared" si="1"/>
        <v>1.99</v>
      </c>
    </row>
    <row r="85">
      <c r="A85" s="5" t="s">
        <v>263</v>
      </c>
      <c r="B85" s="5" t="s">
        <v>264</v>
      </c>
      <c r="C85" s="5" t="s">
        <v>22</v>
      </c>
      <c r="D85" s="5" t="s">
        <v>265</v>
      </c>
      <c r="E85" s="5" t="s">
        <v>47</v>
      </c>
      <c r="F85" s="5" t="s">
        <v>166</v>
      </c>
      <c r="G85" s="6">
        <v>0.06</v>
      </c>
      <c r="H85" s="5" t="s">
        <v>189</v>
      </c>
      <c r="I85" s="5" t="s">
        <v>20</v>
      </c>
      <c r="J85" s="5">
        <v>2014.0</v>
      </c>
      <c r="K85" s="8">
        <v>46083.0</v>
      </c>
      <c r="L85" s="5">
        <v>1.0</v>
      </c>
      <c r="M85" s="7">
        <f t="shared" si="1"/>
        <v>0.06</v>
      </c>
    </row>
    <row r="86">
      <c r="A86" s="5" t="s">
        <v>266</v>
      </c>
      <c r="B86" s="5" t="s">
        <v>14</v>
      </c>
      <c r="C86" s="5" t="s">
        <v>22</v>
      </c>
      <c r="D86" s="5" t="s">
        <v>267</v>
      </c>
      <c r="E86" s="5" t="s">
        <v>268</v>
      </c>
      <c r="F86" s="5" t="s">
        <v>152</v>
      </c>
      <c r="G86" s="6">
        <v>0.06</v>
      </c>
      <c r="H86" s="5" t="s">
        <v>189</v>
      </c>
      <c r="I86" s="5" t="s">
        <v>20</v>
      </c>
      <c r="J86" s="5">
        <v>2014.0</v>
      </c>
      <c r="K86" s="5" t="s">
        <v>221</v>
      </c>
      <c r="L86" s="5">
        <v>1.0</v>
      </c>
      <c r="M86" s="7">
        <f t="shared" si="1"/>
        <v>0.06</v>
      </c>
    </row>
    <row r="87">
      <c r="A87" s="5" t="s">
        <v>269</v>
      </c>
      <c r="B87" s="5" t="s">
        <v>270</v>
      </c>
      <c r="C87" s="5" t="s">
        <v>15</v>
      </c>
      <c r="D87" s="5" t="s">
        <v>271</v>
      </c>
      <c r="E87" s="5" t="s">
        <v>272</v>
      </c>
      <c r="F87" s="5" t="s">
        <v>152</v>
      </c>
      <c r="G87" s="6">
        <v>0.06</v>
      </c>
      <c r="H87" s="5" t="s">
        <v>189</v>
      </c>
      <c r="I87" s="5" t="s">
        <v>20</v>
      </c>
      <c r="J87" s="5">
        <v>2014.0</v>
      </c>
      <c r="K87" s="8">
        <v>46024.0</v>
      </c>
      <c r="L87" s="5">
        <v>2.0</v>
      </c>
      <c r="M87" s="7">
        <f t="shared" si="1"/>
        <v>0.12</v>
      </c>
    </row>
    <row r="88">
      <c r="A88" s="5" t="s">
        <v>273</v>
      </c>
      <c r="B88" s="5" t="s">
        <v>274</v>
      </c>
      <c r="C88" s="5" t="s">
        <v>15</v>
      </c>
      <c r="D88" s="5" t="s">
        <v>275</v>
      </c>
      <c r="E88" s="5" t="s">
        <v>276</v>
      </c>
      <c r="F88" s="5" t="s">
        <v>152</v>
      </c>
      <c r="G88" s="6">
        <v>0.06</v>
      </c>
      <c r="H88" s="5" t="s">
        <v>189</v>
      </c>
      <c r="I88" s="5" t="s">
        <v>20</v>
      </c>
      <c r="J88" s="5">
        <v>2014.0</v>
      </c>
      <c r="K88" s="8">
        <v>46023.0</v>
      </c>
      <c r="L88" s="5">
        <v>1.0</v>
      </c>
      <c r="M88" s="7">
        <f t="shared" si="1"/>
        <v>0.06</v>
      </c>
    </row>
    <row r="89">
      <c r="A89" s="5" t="s">
        <v>277</v>
      </c>
      <c r="B89" s="5" t="s">
        <v>68</v>
      </c>
      <c r="C89" s="5" t="s">
        <v>15</v>
      </c>
      <c r="D89" s="5" t="s">
        <v>278</v>
      </c>
      <c r="E89" s="5" t="s">
        <v>279</v>
      </c>
      <c r="F89" s="5" t="s">
        <v>280</v>
      </c>
      <c r="G89" s="6">
        <v>0.08</v>
      </c>
      <c r="H89" s="5" t="s">
        <v>189</v>
      </c>
      <c r="I89" s="5" t="s">
        <v>20</v>
      </c>
      <c r="J89" s="5">
        <v>2014.0</v>
      </c>
      <c r="L89" s="5">
        <v>1.0</v>
      </c>
      <c r="M89" s="7">
        <f t="shared" si="1"/>
        <v>0.08</v>
      </c>
    </row>
    <row r="90">
      <c r="A90" s="5" t="s">
        <v>277</v>
      </c>
      <c r="B90" s="5" t="s">
        <v>68</v>
      </c>
      <c r="C90" s="5" t="s">
        <v>15</v>
      </c>
      <c r="D90" s="5" t="s">
        <v>278</v>
      </c>
      <c r="E90" s="5" t="s">
        <v>279</v>
      </c>
      <c r="F90" s="5" t="s">
        <v>280</v>
      </c>
      <c r="G90" s="6">
        <v>0.05</v>
      </c>
      <c r="H90" s="5" t="s">
        <v>281</v>
      </c>
      <c r="I90" s="5" t="s">
        <v>20</v>
      </c>
      <c r="J90" s="5">
        <v>2019.0</v>
      </c>
      <c r="L90" s="5">
        <v>1.0</v>
      </c>
      <c r="M90" s="7">
        <f t="shared" si="1"/>
        <v>0.05</v>
      </c>
    </row>
    <row r="91">
      <c r="A91" s="5" t="s">
        <v>282</v>
      </c>
      <c r="B91" s="5" t="s">
        <v>283</v>
      </c>
      <c r="C91" s="5" t="s">
        <v>22</v>
      </c>
      <c r="D91" s="5" t="s">
        <v>284</v>
      </c>
      <c r="E91" s="5" t="s">
        <v>285</v>
      </c>
      <c r="F91" s="5" t="s">
        <v>280</v>
      </c>
      <c r="G91" s="6">
        <v>0.49</v>
      </c>
      <c r="H91" s="5" t="s">
        <v>189</v>
      </c>
      <c r="I91" s="5" t="s">
        <v>20</v>
      </c>
      <c r="J91" s="5">
        <v>2014.0</v>
      </c>
      <c r="K91" s="8">
        <v>46025.0</v>
      </c>
      <c r="L91" s="5">
        <v>1.0</v>
      </c>
      <c r="M91" s="7">
        <f t="shared" si="1"/>
        <v>0.49</v>
      </c>
    </row>
    <row r="92">
      <c r="A92" s="5" t="s">
        <v>282</v>
      </c>
      <c r="B92" s="5" t="s">
        <v>283</v>
      </c>
      <c r="C92" s="5" t="s">
        <v>22</v>
      </c>
      <c r="D92" s="5" t="s">
        <v>284</v>
      </c>
      <c r="E92" s="5" t="s">
        <v>285</v>
      </c>
      <c r="F92" s="5" t="s">
        <v>280</v>
      </c>
      <c r="G92" s="6">
        <v>0.4</v>
      </c>
      <c r="H92" s="5" t="s">
        <v>286</v>
      </c>
      <c r="I92" s="5" t="s">
        <v>20</v>
      </c>
      <c r="J92" s="5">
        <v>2015.0</v>
      </c>
      <c r="K92" s="8">
        <v>46025.0</v>
      </c>
      <c r="L92" s="5">
        <v>2.0</v>
      </c>
      <c r="M92" s="7">
        <f t="shared" si="1"/>
        <v>0.8</v>
      </c>
    </row>
    <row r="93">
      <c r="A93" s="5" t="s">
        <v>282</v>
      </c>
      <c r="B93" s="5" t="s">
        <v>283</v>
      </c>
      <c r="C93" s="5" t="s">
        <v>22</v>
      </c>
      <c r="D93" s="5" t="s">
        <v>284</v>
      </c>
      <c r="E93" s="5" t="s">
        <v>285</v>
      </c>
      <c r="F93" s="5" t="s">
        <v>280</v>
      </c>
      <c r="G93" s="6">
        <v>1.19</v>
      </c>
      <c r="H93" s="5" t="s">
        <v>287</v>
      </c>
      <c r="I93" s="5" t="s">
        <v>20</v>
      </c>
      <c r="J93" s="5">
        <v>2018.0</v>
      </c>
      <c r="K93" s="8">
        <v>46025.0</v>
      </c>
      <c r="L93" s="5">
        <v>1.0</v>
      </c>
      <c r="M93" s="7">
        <f t="shared" si="1"/>
        <v>1.19</v>
      </c>
    </row>
    <row r="94">
      <c r="A94" s="5" t="s">
        <v>288</v>
      </c>
      <c r="B94" s="5" t="s">
        <v>105</v>
      </c>
      <c r="C94" s="5" t="s">
        <v>15</v>
      </c>
      <c r="D94" s="5" t="s">
        <v>289</v>
      </c>
      <c r="E94" s="5" t="s">
        <v>54</v>
      </c>
      <c r="F94" s="5" t="s">
        <v>166</v>
      </c>
      <c r="G94" s="6">
        <v>0.09</v>
      </c>
      <c r="H94" s="5" t="s">
        <v>189</v>
      </c>
      <c r="I94" s="5" t="s">
        <v>20</v>
      </c>
      <c r="J94" s="5">
        <v>2014.0</v>
      </c>
      <c r="K94" s="8">
        <v>46023.0</v>
      </c>
      <c r="L94" s="5">
        <v>1.0</v>
      </c>
      <c r="M94" s="7">
        <f t="shared" si="1"/>
        <v>0.09</v>
      </c>
    </row>
    <row r="95">
      <c r="A95" s="5" t="s">
        <v>290</v>
      </c>
      <c r="B95" s="5" t="s">
        <v>291</v>
      </c>
      <c r="C95" s="5" t="s">
        <v>22</v>
      </c>
      <c r="D95" s="5" t="s">
        <v>292</v>
      </c>
      <c r="E95" s="5" t="s">
        <v>47</v>
      </c>
      <c r="F95" s="5" t="s">
        <v>166</v>
      </c>
      <c r="G95" s="6">
        <v>0.06</v>
      </c>
      <c r="H95" s="5" t="s">
        <v>189</v>
      </c>
      <c r="I95" s="5" t="s">
        <v>20</v>
      </c>
      <c r="J95" s="5">
        <v>2014.0</v>
      </c>
      <c r="K95" s="5" t="s">
        <v>221</v>
      </c>
      <c r="L95" s="5">
        <v>1.0</v>
      </c>
      <c r="M95" s="7">
        <f t="shared" si="1"/>
        <v>0.06</v>
      </c>
    </row>
    <row r="96">
      <c r="A96" s="5" t="s">
        <v>293</v>
      </c>
      <c r="B96" s="5" t="s">
        <v>186</v>
      </c>
      <c r="C96" s="5" t="s">
        <v>15</v>
      </c>
      <c r="D96" s="5" t="s">
        <v>294</v>
      </c>
      <c r="E96" s="5" t="s">
        <v>221</v>
      </c>
      <c r="F96" s="5" t="s">
        <v>80</v>
      </c>
      <c r="G96" s="6">
        <v>0.19</v>
      </c>
      <c r="H96" s="5" t="s">
        <v>189</v>
      </c>
      <c r="I96" s="5" t="s">
        <v>20</v>
      </c>
      <c r="J96" s="5">
        <v>2014.0</v>
      </c>
      <c r="K96" s="5" t="s">
        <v>221</v>
      </c>
      <c r="L96" s="5">
        <v>2.0</v>
      </c>
      <c r="M96" s="7">
        <f t="shared" si="1"/>
        <v>0.38</v>
      </c>
    </row>
    <row r="97">
      <c r="A97" s="5" t="s">
        <v>295</v>
      </c>
      <c r="B97" s="5" t="s">
        <v>296</v>
      </c>
      <c r="C97" s="5" t="s">
        <v>297</v>
      </c>
      <c r="D97" s="5" t="s">
        <v>298</v>
      </c>
      <c r="E97" s="5"/>
      <c r="F97" s="5" t="s">
        <v>80</v>
      </c>
      <c r="G97" s="6">
        <v>0.1</v>
      </c>
      <c r="H97" s="5" t="s">
        <v>299</v>
      </c>
      <c r="I97" s="5" t="s">
        <v>20</v>
      </c>
      <c r="J97" s="5">
        <v>2026.0</v>
      </c>
      <c r="K97" s="5"/>
      <c r="L97" s="5">
        <v>1.0</v>
      </c>
      <c r="M97" s="7">
        <f t="shared" si="1"/>
        <v>0.1</v>
      </c>
    </row>
    <row r="98">
      <c r="A98" s="5" t="s">
        <v>300</v>
      </c>
      <c r="B98" s="5" t="s">
        <v>186</v>
      </c>
      <c r="C98" s="5" t="s">
        <v>22</v>
      </c>
      <c r="D98" s="5" t="s">
        <v>301</v>
      </c>
      <c r="E98" s="5" t="s">
        <v>221</v>
      </c>
      <c r="F98" s="5" t="s">
        <v>80</v>
      </c>
      <c r="G98" s="6">
        <v>0.39</v>
      </c>
      <c r="H98" s="5" t="s">
        <v>189</v>
      </c>
      <c r="I98" s="5" t="s">
        <v>20</v>
      </c>
      <c r="J98" s="5">
        <v>2014.0</v>
      </c>
      <c r="K98" s="5" t="s">
        <v>221</v>
      </c>
      <c r="L98" s="5">
        <v>2.0</v>
      </c>
      <c r="M98" s="7">
        <f t="shared" si="1"/>
        <v>0.78</v>
      </c>
    </row>
    <row r="99">
      <c r="A99" s="5" t="s">
        <v>302</v>
      </c>
      <c r="B99" s="5" t="s">
        <v>303</v>
      </c>
      <c r="C99" s="5" t="s">
        <v>101</v>
      </c>
      <c r="D99" s="5" t="s">
        <v>304</v>
      </c>
      <c r="E99" s="5" t="s">
        <v>305</v>
      </c>
      <c r="F99" s="5" t="s">
        <v>157</v>
      </c>
      <c r="G99" s="6">
        <v>0.9</v>
      </c>
      <c r="H99" s="5" t="s">
        <v>189</v>
      </c>
      <c r="I99" s="5" t="s">
        <v>20</v>
      </c>
      <c r="J99" s="5">
        <v>2014.0</v>
      </c>
      <c r="K99" s="8">
        <v>46115.0</v>
      </c>
      <c r="L99" s="5">
        <v>1.0</v>
      </c>
      <c r="M99" s="7">
        <f t="shared" si="1"/>
        <v>0.9</v>
      </c>
    </row>
    <row r="100">
      <c r="A100" s="5" t="s">
        <v>306</v>
      </c>
      <c r="B100" s="5" t="s">
        <v>14</v>
      </c>
      <c r="C100" s="5" t="s">
        <v>101</v>
      </c>
      <c r="D100" s="5" t="s">
        <v>307</v>
      </c>
      <c r="E100" s="5" t="s">
        <v>308</v>
      </c>
      <c r="F100" s="5" t="s">
        <v>157</v>
      </c>
      <c r="G100" s="6">
        <v>0.23</v>
      </c>
      <c r="H100" s="5" t="s">
        <v>189</v>
      </c>
      <c r="I100" s="5" t="s">
        <v>20</v>
      </c>
      <c r="J100" s="5">
        <v>2014.0</v>
      </c>
      <c r="K100" s="5" t="s">
        <v>221</v>
      </c>
      <c r="L100" s="5">
        <v>1.0</v>
      </c>
      <c r="M100" s="7">
        <f t="shared" si="1"/>
        <v>0.23</v>
      </c>
    </row>
    <row r="101">
      <c r="A101" s="5" t="s">
        <v>309</v>
      </c>
      <c r="B101" s="5" t="s">
        <v>310</v>
      </c>
      <c r="C101" s="5" t="s">
        <v>15</v>
      </c>
      <c r="D101" s="5" t="s">
        <v>311</v>
      </c>
      <c r="E101" s="5" t="s">
        <v>312</v>
      </c>
      <c r="F101" s="5" t="s">
        <v>157</v>
      </c>
      <c r="G101" s="6">
        <v>0.06</v>
      </c>
      <c r="H101" s="5" t="s">
        <v>189</v>
      </c>
      <c r="I101" s="5" t="s">
        <v>20</v>
      </c>
      <c r="J101" s="5">
        <v>2014.0</v>
      </c>
      <c r="K101" s="8">
        <v>46114.0</v>
      </c>
      <c r="L101" s="5">
        <v>1.0</v>
      </c>
      <c r="M101" s="7">
        <f t="shared" si="1"/>
        <v>0.06</v>
      </c>
    </row>
    <row r="102">
      <c r="A102" s="5" t="s">
        <v>313</v>
      </c>
      <c r="B102" s="5" t="s">
        <v>14</v>
      </c>
      <c r="C102" s="5" t="s">
        <v>22</v>
      </c>
      <c r="D102" s="5" t="s">
        <v>314</v>
      </c>
      <c r="E102" s="5" t="s">
        <v>315</v>
      </c>
      <c r="F102" s="5" t="s">
        <v>157</v>
      </c>
      <c r="G102" s="6">
        <v>0.44</v>
      </c>
      <c r="H102" s="5" t="s">
        <v>189</v>
      </c>
      <c r="I102" s="5" t="s">
        <v>20</v>
      </c>
      <c r="J102" s="5">
        <v>2014.0</v>
      </c>
      <c r="K102" s="5" t="s">
        <v>221</v>
      </c>
      <c r="L102" s="5">
        <v>1.0</v>
      </c>
      <c r="M102" s="7">
        <f t="shared" si="1"/>
        <v>0.44</v>
      </c>
    </row>
    <row r="103">
      <c r="A103" s="5" t="s">
        <v>316</v>
      </c>
      <c r="B103" s="5" t="s">
        <v>291</v>
      </c>
      <c r="C103" s="5" t="s">
        <v>22</v>
      </c>
      <c r="D103" s="5" t="s">
        <v>317</v>
      </c>
      <c r="E103" s="5" t="s">
        <v>318</v>
      </c>
      <c r="F103" s="5" t="s">
        <v>152</v>
      </c>
      <c r="G103" s="6">
        <v>0.08</v>
      </c>
      <c r="H103" s="5" t="s">
        <v>189</v>
      </c>
      <c r="I103" s="5" t="s">
        <v>20</v>
      </c>
      <c r="J103" s="5">
        <v>2014.0</v>
      </c>
      <c r="K103" s="5" t="s">
        <v>221</v>
      </c>
      <c r="L103" s="5">
        <v>1.0</v>
      </c>
      <c r="M103" s="7">
        <f t="shared" si="1"/>
        <v>0.08</v>
      </c>
    </row>
    <row r="104">
      <c r="A104" s="5" t="s">
        <v>319</v>
      </c>
      <c r="B104" s="5" t="s">
        <v>320</v>
      </c>
      <c r="C104" s="5" t="s">
        <v>15</v>
      </c>
      <c r="D104" s="5" t="s">
        <v>321</v>
      </c>
      <c r="E104" s="5" t="s">
        <v>272</v>
      </c>
      <c r="F104" s="5" t="s">
        <v>152</v>
      </c>
      <c r="G104" s="6">
        <v>0.94</v>
      </c>
      <c r="H104" s="5" t="s">
        <v>189</v>
      </c>
      <c r="I104" s="5" t="s">
        <v>20</v>
      </c>
      <c r="J104" s="5">
        <v>2014.0</v>
      </c>
      <c r="K104" s="8">
        <v>46024.0</v>
      </c>
      <c r="L104" s="5">
        <v>1.0</v>
      </c>
      <c r="M104" s="7">
        <f t="shared" si="1"/>
        <v>0.94</v>
      </c>
    </row>
    <row r="105">
      <c r="A105" s="5" t="s">
        <v>322</v>
      </c>
      <c r="B105" s="5" t="s">
        <v>274</v>
      </c>
      <c r="C105" s="5" t="s">
        <v>15</v>
      </c>
      <c r="D105" s="5" t="s">
        <v>323</v>
      </c>
      <c r="E105" s="5" t="s">
        <v>272</v>
      </c>
      <c r="F105" s="5" t="s">
        <v>152</v>
      </c>
      <c r="G105" s="6">
        <v>0.06</v>
      </c>
      <c r="H105" s="5" t="s">
        <v>189</v>
      </c>
      <c r="I105" s="5" t="s">
        <v>20</v>
      </c>
      <c r="J105" s="5">
        <v>2014.0</v>
      </c>
      <c r="K105" s="8">
        <v>46054.0</v>
      </c>
      <c r="L105" s="5">
        <v>1.0</v>
      </c>
      <c r="M105" s="7">
        <f t="shared" si="1"/>
        <v>0.06</v>
      </c>
    </row>
    <row r="106">
      <c r="A106" s="5" t="s">
        <v>324</v>
      </c>
      <c r="B106" s="5" t="s">
        <v>14</v>
      </c>
      <c r="C106" s="5" t="s">
        <v>101</v>
      </c>
      <c r="D106" s="5" t="s">
        <v>325</v>
      </c>
      <c r="E106" s="5" t="s">
        <v>151</v>
      </c>
      <c r="F106" s="5" t="s">
        <v>152</v>
      </c>
      <c r="G106" s="6">
        <v>0.45</v>
      </c>
      <c r="H106" s="5" t="s">
        <v>189</v>
      </c>
      <c r="I106" s="5" t="s">
        <v>20</v>
      </c>
      <c r="J106" s="5">
        <v>2014.0</v>
      </c>
      <c r="K106" s="5" t="s">
        <v>221</v>
      </c>
      <c r="L106" s="5">
        <v>1.0</v>
      </c>
      <c r="M106" s="7">
        <f t="shared" si="1"/>
        <v>0.45</v>
      </c>
    </row>
    <row r="107">
      <c r="A107" s="5" t="s">
        <v>326</v>
      </c>
      <c r="B107" s="5" t="s">
        <v>327</v>
      </c>
      <c r="C107" s="5" t="s">
        <v>22</v>
      </c>
      <c r="D107" s="5" t="s">
        <v>328</v>
      </c>
      <c r="E107" s="5" t="s">
        <v>268</v>
      </c>
      <c r="F107" s="5" t="s">
        <v>152</v>
      </c>
      <c r="G107" s="6">
        <v>0.15</v>
      </c>
      <c r="H107" s="5" t="s">
        <v>189</v>
      </c>
      <c r="I107" s="5" t="s">
        <v>20</v>
      </c>
      <c r="J107" s="5">
        <v>2014.0</v>
      </c>
      <c r="K107" s="8">
        <v>46056.0</v>
      </c>
      <c r="L107" s="5">
        <v>1.0</v>
      </c>
      <c r="M107" s="7">
        <f t="shared" si="1"/>
        <v>0.15</v>
      </c>
    </row>
    <row r="108">
      <c r="A108" s="5" t="s">
        <v>329</v>
      </c>
      <c r="B108" s="5" t="s">
        <v>330</v>
      </c>
      <c r="C108" s="5" t="s">
        <v>15</v>
      </c>
      <c r="D108" s="5" t="s">
        <v>331</v>
      </c>
      <c r="E108" s="5" t="s">
        <v>268</v>
      </c>
      <c r="F108" s="5" t="s">
        <v>152</v>
      </c>
      <c r="G108" s="6">
        <v>0.06</v>
      </c>
      <c r="H108" s="5" t="s">
        <v>189</v>
      </c>
      <c r="I108" s="5" t="s">
        <v>20</v>
      </c>
      <c r="J108" s="5">
        <v>2014.0</v>
      </c>
      <c r="K108" s="8">
        <v>46055.0</v>
      </c>
      <c r="L108" s="5">
        <v>1.0</v>
      </c>
      <c r="M108" s="7">
        <f t="shared" si="1"/>
        <v>0.06</v>
      </c>
    </row>
    <row r="109">
      <c r="A109" s="5" t="s">
        <v>332</v>
      </c>
      <c r="B109" s="5" t="s">
        <v>14</v>
      </c>
      <c r="C109" s="5" t="s">
        <v>15</v>
      </c>
      <c r="D109" s="5" t="s">
        <v>333</v>
      </c>
      <c r="E109" s="5" t="s">
        <v>276</v>
      </c>
      <c r="F109" s="5" t="s">
        <v>152</v>
      </c>
      <c r="G109" s="6">
        <v>0.06</v>
      </c>
      <c r="H109" s="5" t="s">
        <v>189</v>
      </c>
      <c r="I109" s="5" t="s">
        <v>20</v>
      </c>
      <c r="J109" s="5">
        <v>2014.0</v>
      </c>
      <c r="K109" s="5" t="s">
        <v>221</v>
      </c>
      <c r="L109" s="5">
        <v>1.0</v>
      </c>
      <c r="M109" s="7">
        <f t="shared" si="1"/>
        <v>0.06</v>
      </c>
    </row>
    <row r="110">
      <c r="A110" s="5" t="s">
        <v>334</v>
      </c>
      <c r="B110" s="5" t="s">
        <v>14</v>
      </c>
      <c r="C110" s="5" t="s">
        <v>15</v>
      </c>
      <c r="D110" s="5" t="s">
        <v>335</v>
      </c>
      <c r="E110" s="5" t="s">
        <v>276</v>
      </c>
      <c r="F110" s="5" t="s">
        <v>152</v>
      </c>
      <c r="G110" s="6">
        <v>0.19</v>
      </c>
      <c r="H110" s="5" t="s">
        <v>189</v>
      </c>
      <c r="I110" s="5" t="s">
        <v>20</v>
      </c>
      <c r="J110" s="5">
        <v>2014.0</v>
      </c>
      <c r="K110" s="5" t="s">
        <v>221</v>
      </c>
      <c r="L110" s="5">
        <v>1.0</v>
      </c>
      <c r="M110" s="7">
        <f t="shared" si="1"/>
        <v>0.19</v>
      </c>
    </row>
    <row r="111">
      <c r="A111" s="5" t="s">
        <v>336</v>
      </c>
      <c r="B111" s="5" t="s">
        <v>223</v>
      </c>
      <c r="C111" s="5" t="s">
        <v>101</v>
      </c>
      <c r="D111" s="5" t="s">
        <v>337</v>
      </c>
      <c r="E111" s="5" t="s">
        <v>338</v>
      </c>
      <c r="F111" s="5" t="s">
        <v>88</v>
      </c>
      <c r="G111" s="6">
        <v>0.15</v>
      </c>
      <c r="H111" s="5" t="s">
        <v>189</v>
      </c>
      <c r="I111" s="5" t="s">
        <v>20</v>
      </c>
      <c r="J111" s="5">
        <v>2014.0</v>
      </c>
      <c r="K111" s="8">
        <v>46178.0</v>
      </c>
      <c r="L111" s="5">
        <v>1.0</v>
      </c>
      <c r="M111" s="7">
        <f t="shared" si="1"/>
        <v>0.15</v>
      </c>
    </row>
    <row r="112">
      <c r="A112" s="5" t="s">
        <v>339</v>
      </c>
      <c r="B112" s="5" t="s">
        <v>340</v>
      </c>
      <c r="C112" s="5" t="s">
        <v>341</v>
      </c>
      <c r="D112" s="5" t="s">
        <v>342</v>
      </c>
      <c r="E112" s="5" t="s">
        <v>343</v>
      </c>
      <c r="F112" s="5" t="s">
        <v>88</v>
      </c>
      <c r="G112" s="6">
        <v>3.5</v>
      </c>
      <c r="H112" s="5" t="s">
        <v>189</v>
      </c>
      <c r="I112" s="5" t="s">
        <v>31</v>
      </c>
      <c r="J112" s="5">
        <v>2014.0</v>
      </c>
      <c r="K112" s="8">
        <v>46115.0</v>
      </c>
      <c r="L112" s="5">
        <v>1.0</v>
      </c>
      <c r="M112" s="7">
        <f t="shared" si="1"/>
        <v>3.5</v>
      </c>
    </row>
    <row r="113">
      <c r="A113" s="5" t="s">
        <v>344</v>
      </c>
      <c r="B113" s="5" t="s">
        <v>345</v>
      </c>
      <c r="C113" s="5" t="s">
        <v>15</v>
      </c>
      <c r="D113" s="5" t="s">
        <v>346</v>
      </c>
      <c r="E113" s="5" t="s">
        <v>129</v>
      </c>
      <c r="F113" s="5" t="s">
        <v>88</v>
      </c>
      <c r="G113" s="6">
        <v>0.06</v>
      </c>
      <c r="H113" s="5" t="s">
        <v>189</v>
      </c>
      <c r="I113" s="5" t="s">
        <v>20</v>
      </c>
      <c r="J113" s="5">
        <v>2014.0</v>
      </c>
      <c r="K113" s="5" t="s">
        <v>347</v>
      </c>
      <c r="L113" s="5">
        <v>2.0</v>
      </c>
      <c r="M113" s="7">
        <f t="shared" si="1"/>
        <v>0.12</v>
      </c>
    </row>
    <row r="114">
      <c r="A114" s="5" t="s">
        <v>348</v>
      </c>
      <c r="B114" s="5" t="s">
        <v>349</v>
      </c>
      <c r="C114" s="5" t="s">
        <v>22</v>
      </c>
      <c r="D114" s="5" t="s">
        <v>350</v>
      </c>
      <c r="E114" s="5" t="s">
        <v>113</v>
      </c>
      <c r="F114" s="5" t="s">
        <v>88</v>
      </c>
      <c r="G114" s="6">
        <v>0.09</v>
      </c>
      <c r="H114" s="5" t="s">
        <v>189</v>
      </c>
      <c r="I114" s="5" t="s">
        <v>20</v>
      </c>
      <c r="J114" s="5">
        <v>2014.0</v>
      </c>
      <c r="K114" s="8">
        <v>46024.0</v>
      </c>
      <c r="L114" s="5">
        <v>2.0</v>
      </c>
      <c r="M114" s="7">
        <f t="shared" si="1"/>
        <v>0.18</v>
      </c>
    </row>
    <row r="115">
      <c r="A115" s="5" t="s">
        <v>351</v>
      </c>
      <c r="B115" s="5" t="s">
        <v>352</v>
      </c>
      <c r="C115" s="5" t="s">
        <v>15</v>
      </c>
      <c r="D115" s="5" t="s">
        <v>353</v>
      </c>
      <c r="E115" s="5" t="s">
        <v>87</v>
      </c>
      <c r="F115" s="5" t="s">
        <v>88</v>
      </c>
      <c r="G115" s="6">
        <v>0.06</v>
      </c>
      <c r="H115" s="5" t="s">
        <v>189</v>
      </c>
      <c r="I115" s="5" t="s">
        <v>20</v>
      </c>
      <c r="J115" s="5">
        <v>2014.0</v>
      </c>
      <c r="K115" s="8">
        <v>46082.0</v>
      </c>
      <c r="L115" s="5">
        <v>1.0</v>
      </c>
      <c r="M115" s="7">
        <f t="shared" si="1"/>
        <v>0.06</v>
      </c>
    </row>
    <row r="116">
      <c r="A116" s="5" t="s">
        <v>354</v>
      </c>
      <c r="B116" s="5" t="s">
        <v>355</v>
      </c>
      <c r="C116" s="5" t="s">
        <v>15</v>
      </c>
      <c r="D116" s="5" t="s">
        <v>356</v>
      </c>
      <c r="E116" s="5" t="s">
        <v>87</v>
      </c>
      <c r="F116" s="5" t="s">
        <v>88</v>
      </c>
      <c r="G116" s="6">
        <v>0.06</v>
      </c>
      <c r="H116" s="5" t="s">
        <v>189</v>
      </c>
      <c r="I116" s="5" t="s">
        <v>20</v>
      </c>
      <c r="J116" s="5">
        <v>2014.0</v>
      </c>
      <c r="K116" s="8">
        <v>46024.0</v>
      </c>
      <c r="L116" s="5">
        <v>1.0</v>
      </c>
      <c r="M116" s="7">
        <f t="shared" si="1"/>
        <v>0.06</v>
      </c>
    </row>
    <row r="117">
      <c r="A117" s="5" t="s">
        <v>357</v>
      </c>
      <c r="B117" s="5" t="s">
        <v>14</v>
      </c>
      <c r="C117" s="5" t="s">
        <v>15</v>
      </c>
      <c r="D117" s="5" t="s">
        <v>358</v>
      </c>
      <c r="E117" s="5" t="s">
        <v>141</v>
      </c>
      <c r="F117" s="5" t="s">
        <v>88</v>
      </c>
      <c r="G117" s="6">
        <v>0.06</v>
      </c>
      <c r="H117" s="5" t="s">
        <v>189</v>
      </c>
      <c r="I117" s="5" t="s">
        <v>20</v>
      </c>
      <c r="J117" s="5">
        <v>2014.0</v>
      </c>
      <c r="K117" s="5" t="s">
        <v>221</v>
      </c>
      <c r="L117" s="5">
        <v>2.0</v>
      </c>
      <c r="M117" s="7">
        <f t="shared" si="1"/>
        <v>0.12</v>
      </c>
    </row>
    <row r="118">
      <c r="A118" s="5" t="s">
        <v>359</v>
      </c>
      <c r="B118" s="5" t="s">
        <v>360</v>
      </c>
      <c r="C118" s="5" t="s">
        <v>101</v>
      </c>
      <c r="D118" s="5" t="s">
        <v>361</v>
      </c>
      <c r="E118" s="5" t="s">
        <v>110</v>
      </c>
      <c r="F118" s="5" t="s">
        <v>88</v>
      </c>
      <c r="G118" s="6">
        <v>0.24</v>
      </c>
      <c r="H118" s="5" t="s">
        <v>189</v>
      </c>
      <c r="I118" s="5" t="s">
        <v>20</v>
      </c>
      <c r="J118" s="5">
        <v>2014.0</v>
      </c>
      <c r="K118" s="8">
        <v>46178.0</v>
      </c>
      <c r="L118" s="5">
        <v>1.0</v>
      </c>
      <c r="M118" s="7">
        <f t="shared" si="1"/>
        <v>0.24</v>
      </c>
    </row>
    <row r="119">
      <c r="A119" s="5" t="s">
        <v>362</v>
      </c>
      <c r="B119" s="5" t="s">
        <v>105</v>
      </c>
      <c r="C119" s="5" t="s">
        <v>15</v>
      </c>
      <c r="D119" s="5" t="s">
        <v>363</v>
      </c>
      <c r="E119" s="5" t="s">
        <v>103</v>
      </c>
      <c r="F119" s="5" t="s">
        <v>88</v>
      </c>
      <c r="G119" s="6">
        <v>0.25</v>
      </c>
      <c r="H119" s="5" t="s">
        <v>189</v>
      </c>
      <c r="I119" s="5" t="s">
        <v>20</v>
      </c>
      <c r="J119" s="5">
        <v>2014.0</v>
      </c>
      <c r="K119" s="8">
        <v>46055.0</v>
      </c>
      <c r="L119" s="5">
        <v>1.0</v>
      </c>
      <c r="M119" s="7">
        <f t="shared" si="1"/>
        <v>0.25</v>
      </c>
    </row>
    <row r="120">
      <c r="A120" s="5" t="s">
        <v>364</v>
      </c>
      <c r="B120" s="5" t="s">
        <v>105</v>
      </c>
      <c r="C120" s="5" t="s">
        <v>22</v>
      </c>
      <c r="D120" s="5" t="s">
        <v>365</v>
      </c>
      <c r="E120" s="5" t="s">
        <v>87</v>
      </c>
      <c r="F120" s="5" t="s">
        <v>88</v>
      </c>
      <c r="G120" s="6">
        <v>0.13</v>
      </c>
      <c r="H120" s="5" t="s">
        <v>189</v>
      </c>
      <c r="I120" s="5" t="s">
        <v>20</v>
      </c>
      <c r="J120" s="5">
        <v>2014.0</v>
      </c>
      <c r="K120" s="8">
        <v>46054.0</v>
      </c>
      <c r="L120" s="5">
        <v>1.0</v>
      </c>
      <c r="M120" s="7">
        <f t="shared" si="1"/>
        <v>0.13</v>
      </c>
    </row>
    <row r="121">
      <c r="A121" s="5" t="s">
        <v>366</v>
      </c>
      <c r="B121" s="5" t="s">
        <v>367</v>
      </c>
      <c r="C121" s="5" t="s">
        <v>22</v>
      </c>
      <c r="D121" s="5" t="s">
        <v>368</v>
      </c>
      <c r="E121" s="5" t="s">
        <v>87</v>
      </c>
      <c r="F121" s="5" t="s">
        <v>88</v>
      </c>
      <c r="G121" s="6">
        <v>0.09</v>
      </c>
      <c r="H121" s="5" t="s">
        <v>189</v>
      </c>
      <c r="I121" s="5" t="s">
        <v>20</v>
      </c>
      <c r="J121" s="5">
        <v>2014.0</v>
      </c>
      <c r="K121" s="8">
        <v>46054.0</v>
      </c>
      <c r="L121" s="5">
        <v>1.0</v>
      </c>
      <c r="M121" s="7">
        <f t="shared" si="1"/>
        <v>0.09</v>
      </c>
    </row>
    <row r="122">
      <c r="A122" s="5" t="s">
        <v>369</v>
      </c>
      <c r="B122" s="5" t="s">
        <v>291</v>
      </c>
      <c r="C122" s="5" t="s">
        <v>15</v>
      </c>
      <c r="D122" s="5" t="s">
        <v>370</v>
      </c>
      <c r="E122" s="5" t="s">
        <v>141</v>
      </c>
      <c r="F122" s="5" t="s">
        <v>88</v>
      </c>
      <c r="G122" s="6">
        <v>0.08</v>
      </c>
      <c r="H122" s="5" t="s">
        <v>189</v>
      </c>
      <c r="I122" s="5" t="s">
        <v>20</v>
      </c>
      <c r="J122" s="5">
        <v>2014.0</v>
      </c>
      <c r="K122" s="5" t="s">
        <v>221</v>
      </c>
      <c r="L122" s="5">
        <v>1.0</v>
      </c>
      <c r="M122" s="7">
        <f t="shared" si="1"/>
        <v>0.08</v>
      </c>
    </row>
    <row r="123">
      <c r="A123" s="5" t="s">
        <v>371</v>
      </c>
      <c r="B123" s="5" t="s">
        <v>14</v>
      </c>
      <c r="C123" s="5" t="s">
        <v>15</v>
      </c>
      <c r="D123" s="5" t="s">
        <v>372</v>
      </c>
      <c r="E123" s="5" t="s">
        <v>373</v>
      </c>
      <c r="F123" s="5" t="s">
        <v>88</v>
      </c>
      <c r="G123" s="6">
        <v>0.09</v>
      </c>
      <c r="H123" s="5" t="s">
        <v>189</v>
      </c>
      <c r="I123" s="5" t="s">
        <v>20</v>
      </c>
      <c r="J123" s="5">
        <v>2014.0</v>
      </c>
      <c r="K123" s="5" t="s">
        <v>221</v>
      </c>
      <c r="L123" s="5">
        <v>1.0</v>
      </c>
      <c r="M123" s="7">
        <f t="shared" si="1"/>
        <v>0.09</v>
      </c>
    </row>
    <row r="124">
      <c r="A124" s="5" t="s">
        <v>374</v>
      </c>
      <c r="B124" s="5" t="s">
        <v>14</v>
      </c>
      <c r="C124" s="5" t="s">
        <v>15</v>
      </c>
      <c r="D124" s="5" t="s">
        <v>375</v>
      </c>
      <c r="E124" s="5" t="s">
        <v>113</v>
      </c>
      <c r="F124" s="5" t="s">
        <v>88</v>
      </c>
      <c r="G124" s="6">
        <v>0.06</v>
      </c>
      <c r="H124" s="5" t="s">
        <v>189</v>
      </c>
      <c r="I124" s="5" t="s">
        <v>20</v>
      </c>
      <c r="J124" s="5">
        <v>2014.0</v>
      </c>
      <c r="K124" s="5" t="s">
        <v>221</v>
      </c>
      <c r="L124" s="5">
        <v>1.0</v>
      </c>
      <c r="M124" s="7">
        <f t="shared" si="1"/>
        <v>0.06</v>
      </c>
    </row>
    <row r="125">
      <c r="A125" s="5" t="s">
        <v>376</v>
      </c>
      <c r="B125" s="5" t="s">
        <v>349</v>
      </c>
      <c r="C125" s="5" t="s">
        <v>15</v>
      </c>
      <c r="D125" s="5" t="s">
        <v>377</v>
      </c>
      <c r="E125" s="5" t="s">
        <v>92</v>
      </c>
      <c r="F125" s="5" t="s">
        <v>88</v>
      </c>
      <c r="G125" s="6">
        <v>0.06</v>
      </c>
      <c r="H125" s="5" t="s">
        <v>189</v>
      </c>
      <c r="I125" s="5" t="s">
        <v>20</v>
      </c>
      <c r="J125" s="5">
        <v>2014.0</v>
      </c>
      <c r="K125" s="8">
        <v>46084.0</v>
      </c>
      <c r="L125" s="5">
        <v>1.0</v>
      </c>
      <c r="M125" s="7">
        <f t="shared" si="1"/>
        <v>0.06</v>
      </c>
    </row>
    <row r="126">
      <c r="A126" s="5" t="s">
        <v>378</v>
      </c>
      <c r="B126" s="5" t="s">
        <v>14</v>
      </c>
      <c r="C126" s="5" t="s">
        <v>15</v>
      </c>
      <c r="D126" s="5" t="s">
        <v>379</v>
      </c>
      <c r="E126" s="5" t="s">
        <v>87</v>
      </c>
      <c r="F126" s="5" t="s">
        <v>88</v>
      </c>
      <c r="G126" s="6">
        <v>1.05</v>
      </c>
      <c r="H126" s="5" t="s">
        <v>189</v>
      </c>
      <c r="I126" s="5" t="s">
        <v>20</v>
      </c>
      <c r="J126" s="5">
        <v>2014.0</v>
      </c>
      <c r="K126" s="5" t="s">
        <v>221</v>
      </c>
      <c r="L126" s="5">
        <v>1.0</v>
      </c>
      <c r="M126" s="7">
        <f t="shared" si="1"/>
        <v>1.05</v>
      </c>
    </row>
    <row r="127">
      <c r="A127" s="5" t="s">
        <v>378</v>
      </c>
      <c r="B127" s="5" t="s">
        <v>380</v>
      </c>
      <c r="C127" s="5" t="s">
        <v>297</v>
      </c>
      <c r="D127" s="5" t="s">
        <v>381</v>
      </c>
      <c r="E127" s="5" t="s">
        <v>382</v>
      </c>
      <c r="F127" s="5" t="s">
        <v>88</v>
      </c>
      <c r="G127" s="6">
        <v>0.5</v>
      </c>
      <c r="H127" s="5" t="s">
        <v>383</v>
      </c>
      <c r="I127" s="5" t="s">
        <v>20</v>
      </c>
      <c r="J127" s="5">
        <v>2011.0</v>
      </c>
      <c r="K127" s="5"/>
      <c r="L127" s="5">
        <v>4.0</v>
      </c>
      <c r="M127" s="7"/>
    </row>
    <row r="128">
      <c r="A128" s="5" t="s">
        <v>384</v>
      </c>
      <c r="B128" s="5" t="s">
        <v>14</v>
      </c>
      <c r="C128" s="5" t="s">
        <v>15</v>
      </c>
      <c r="D128" s="5" t="s">
        <v>385</v>
      </c>
      <c r="E128" s="5" t="s">
        <v>87</v>
      </c>
      <c r="F128" s="5" t="s">
        <v>88</v>
      </c>
      <c r="G128" s="6">
        <v>1.0</v>
      </c>
      <c r="H128" s="5" t="s">
        <v>189</v>
      </c>
      <c r="I128" s="5" t="s">
        <v>20</v>
      </c>
      <c r="J128" s="5">
        <v>2014.0</v>
      </c>
      <c r="K128" s="5" t="s">
        <v>221</v>
      </c>
      <c r="L128" s="5">
        <v>1.0</v>
      </c>
      <c r="M128" s="7">
        <f t="shared" ref="M128:M515" si="2">L128*G128</f>
        <v>1</v>
      </c>
    </row>
    <row r="129">
      <c r="A129" s="5" t="s">
        <v>386</v>
      </c>
      <c r="B129" s="5" t="s">
        <v>387</v>
      </c>
      <c r="C129" s="5" t="s">
        <v>15</v>
      </c>
      <c r="D129" s="5" t="s">
        <v>388</v>
      </c>
      <c r="E129" s="5" t="s">
        <v>47</v>
      </c>
      <c r="F129" s="5" t="s">
        <v>40</v>
      </c>
      <c r="G129" s="6">
        <v>0.05</v>
      </c>
      <c r="H129" s="5" t="s">
        <v>389</v>
      </c>
      <c r="I129" s="5" t="s">
        <v>31</v>
      </c>
      <c r="J129" s="5">
        <v>2025.0</v>
      </c>
      <c r="L129" s="5">
        <v>1.0</v>
      </c>
      <c r="M129" s="7">
        <f t="shared" si="2"/>
        <v>0.05</v>
      </c>
    </row>
    <row r="130">
      <c r="A130" s="5" t="s">
        <v>390</v>
      </c>
      <c r="B130" s="5" t="s">
        <v>391</v>
      </c>
      <c r="C130" s="5" t="s">
        <v>15</v>
      </c>
      <c r="D130" s="5" t="s">
        <v>392</v>
      </c>
      <c r="E130" s="5" t="s">
        <v>58</v>
      </c>
      <c r="F130" s="5" t="s">
        <v>40</v>
      </c>
      <c r="G130" s="6">
        <v>0.24</v>
      </c>
      <c r="H130" s="5" t="s">
        <v>393</v>
      </c>
      <c r="I130" s="5" t="s">
        <v>31</v>
      </c>
      <c r="J130" s="5">
        <v>2025.0</v>
      </c>
      <c r="K130" s="8">
        <v>46056.0</v>
      </c>
      <c r="L130" s="5">
        <v>1.0</v>
      </c>
      <c r="M130" s="7">
        <f t="shared" si="2"/>
        <v>0.24</v>
      </c>
    </row>
    <row r="131">
      <c r="A131" s="5" t="s">
        <v>390</v>
      </c>
      <c r="B131" s="5" t="s">
        <v>391</v>
      </c>
      <c r="C131" s="5" t="s">
        <v>15</v>
      </c>
      <c r="D131" s="5" t="s">
        <v>392</v>
      </c>
      <c r="E131" s="5" t="s">
        <v>58</v>
      </c>
      <c r="F131" s="5" t="s">
        <v>40</v>
      </c>
      <c r="G131" s="6">
        <v>0.15</v>
      </c>
      <c r="H131" s="5" t="s">
        <v>393</v>
      </c>
      <c r="I131" s="5" t="s">
        <v>20</v>
      </c>
      <c r="J131" s="5">
        <v>2025.0</v>
      </c>
      <c r="K131" s="8">
        <v>46056.0</v>
      </c>
      <c r="L131" s="5">
        <v>7.0</v>
      </c>
      <c r="M131" s="7">
        <f t="shared" si="2"/>
        <v>1.05</v>
      </c>
    </row>
    <row r="132">
      <c r="A132" s="5" t="s">
        <v>394</v>
      </c>
      <c r="B132" s="5" t="s">
        <v>395</v>
      </c>
      <c r="C132" s="5" t="s">
        <v>22</v>
      </c>
      <c r="D132" s="5" t="s">
        <v>396</v>
      </c>
      <c r="E132" s="5" t="s">
        <v>61</v>
      </c>
      <c r="F132" s="5" t="s">
        <v>40</v>
      </c>
      <c r="G132" s="6">
        <v>0.2</v>
      </c>
      <c r="H132" s="5" t="s">
        <v>397</v>
      </c>
      <c r="I132" s="5" t="s">
        <v>20</v>
      </c>
      <c r="J132" s="5">
        <v>2025.0</v>
      </c>
      <c r="K132" s="8">
        <v>46117.0</v>
      </c>
      <c r="L132" s="5">
        <v>1.0</v>
      </c>
      <c r="M132" s="7">
        <f t="shared" si="2"/>
        <v>0.2</v>
      </c>
    </row>
    <row r="133">
      <c r="A133" s="5" t="s">
        <v>386</v>
      </c>
      <c r="B133" s="5" t="s">
        <v>387</v>
      </c>
      <c r="C133" s="5" t="s">
        <v>15</v>
      </c>
      <c r="D133" s="5" t="s">
        <v>388</v>
      </c>
      <c r="E133" s="5" t="s">
        <v>47</v>
      </c>
      <c r="F133" s="5" t="s">
        <v>40</v>
      </c>
      <c r="G133" s="6">
        <v>0.05</v>
      </c>
      <c r="H133" s="5" t="s">
        <v>389</v>
      </c>
      <c r="I133" s="5" t="s">
        <v>20</v>
      </c>
      <c r="J133" s="5">
        <v>2025.0</v>
      </c>
      <c r="L133" s="5">
        <v>3.0</v>
      </c>
      <c r="M133" s="7">
        <f t="shared" si="2"/>
        <v>0.15</v>
      </c>
    </row>
    <row r="134">
      <c r="A134" s="5" t="s">
        <v>398</v>
      </c>
      <c r="B134" s="5" t="s">
        <v>68</v>
      </c>
      <c r="C134" s="5" t="s">
        <v>22</v>
      </c>
      <c r="D134" s="5" t="s">
        <v>399</v>
      </c>
      <c r="E134" s="5" t="s">
        <v>47</v>
      </c>
      <c r="F134" s="5" t="s">
        <v>166</v>
      </c>
      <c r="G134" s="6">
        <v>0.24</v>
      </c>
      <c r="H134" s="5" t="s">
        <v>400</v>
      </c>
      <c r="I134" s="5" t="s">
        <v>20</v>
      </c>
      <c r="J134" s="5">
        <v>2025.0</v>
      </c>
      <c r="K134" s="5" t="s">
        <v>221</v>
      </c>
      <c r="L134" s="5">
        <v>1.0</v>
      </c>
      <c r="M134" s="7">
        <f t="shared" si="2"/>
        <v>0.24</v>
      </c>
    </row>
    <row r="135">
      <c r="A135" s="5" t="s">
        <v>401</v>
      </c>
      <c r="B135" s="5" t="s">
        <v>14</v>
      </c>
      <c r="C135" s="5" t="s">
        <v>22</v>
      </c>
      <c r="D135" s="5" t="s">
        <v>402</v>
      </c>
      <c r="E135" s="5" t="s">
        <v>54</v>
      </c>
      <c r="F135" s="5" t="s">
        <v>166</v>
      </c>
      <c r="G135" s="6">
        <v>0.5</v>
      </c>
      <c r="H135" s="5" t="s">
        <v>400</v>
      </c>
      <c r="I135" s="5" t="s">
        <v>20</v>
      </c>
      <c r="J135" s="5">
        <v>2025.0</v>
      </c>
      <c r="K135" s="5" t="s">
        <v>221</v>
      </c>
      <c r="L135" s="5">
        <v>2.0</v>
      </c>
      <c r="M135" s="7">
        <f t="shared" si="2"/>
        <v>1</v>
      </c>
    </row>
    <row r="136">
      <c r="A136" s="5" t="s">
        <v>403</v>
      </c>
      <c r="B136" s="5" t="s">
        <v>14</v>
      </c>
      <c r="C136" s="5" t="s">
        <v>15</v>
      </c>
      <c r="D136" s="5" t="s">
        <v>404</v>
      </c>
      <c r="E136" s="5" t="s">
        <v>54</v>
      </c>
      <c r="F136" s="5" t="s">
        <v>166</v>
      </c>
      <c r="G136" s="6">
        <v>0.14</v>
      </c>
      <c r="H136" s="5" t="s">
        <v>400</v>
      </c>
      <c r="I136" s="5" t="s">
        <v>20</v>
      </c>
      <c r="J136" s="5">
        <v>2025.0</v>
      </c>
      <c r="K136" s="5" t="s">
        <v>221</v>
      </c>
      <c r="L136" s="5">
        <v>6.0</v>
      </c>
      <c r="M136" s="7">
        <f t="shared" si="2"/>
        <v>0.84</v>
      </c>
    </row>
    <row r="137">
      <c r="A137" s="5" t="s">
        <v>405</v>
      </c>
      <c r="B137" s="5" t="s">
        <v>406</v>
      </c>
      <c r="C137" s="5" t="s">
        <v>15</v>
      </c>
      <c r="D137" s="5" t="s">
        <v>407</v>
      </c>
      <c r="E137" s="5" t="s">
        <v>54</v>
      </c>
      <c r="F137" s="5" t="s">
        <v>166</v>
      </c>
      <c r="G137" s="6">
        <v>0.12</v>
      </c>
      <c r="H137" s="5" t="s">
        <v>400</v>
      </c>
      <c r="I137" s="5" t="s">
        <v>20</v>
      </c>
      <c r="J137" s="5">
        <v>2025.0</v>
      </c>
      <c r="K137" s="5" t="s">
        <v>221</v>
      </c>
      <c r="L137" s="5">
        <v>5.0</v>
      </c>
      <c r="M137" s="7">
        <f t="shared" si="2"/>
        <v>0.6</v>
      </c>
    </row>
    <row r="138">
      <c r="A138" s="5" t="s">
        <v>405</v>
      </c>
      <c r="B138" s="5" t="s">
        <v>406</v>
      </c>
      <c r="C138" s="5" t="s">
        <v>15</v>
      </c>
      <c r="D138" s="5" t="s">
        <v>407</v>
      </c>
      <c r="E138" s="5" t="s">
        <v>54</v>
      </c>
      <c r="F138" s="5" t="s">
        <v>166</v>
      </c>
      <c r="G138" s="6">
        <v>0.4</v>
      </c>
      <c r="H138" s="5" t="s">
        <v>400</v>
      </c>
      <c r="I138" s="5" t="s">
        <v>31</v>
      </c>
      <c r="J138" s="5">
        <v>2025.0</v>
      </c>
      <c r="K138" s="5" t="s">
        <v>221</v>
      </c>
      <c r="L138" s="5">
        <v>2.0</v>
      </c>
      <c r="M138" s="7">
        <f t="shared" si="2"/>
        <v>0.8</v>
      </c>
    </row>
    <row r="139">
      <c r="A139" s="5" t="s">
        <v>408</v>
      </c>
      <c r="B139" s="5" t="s">
        <v>173</v>
      </c>
      <c r="C139" s="5" t="s">
        <v>15</v>
      </c>
      <c r="D139" s="5" t="s">
        <v>409</v>
      </c>
      <c r="E139" s="5" t="s">
        <v>410</v>
      </c>
      <c r="F139" s="5" t="s">
        <v>166</v>
      </c>
      <c r="G139" s="6">
        <v>0.05</v>
      </c>
      <c r="H139" s="5" t="s">
        <v>400</v>
      </c>
      <c r="I139" s="5" t="s">
        <v>20</v>
      </c>
      <c r="J139" s="5">
        <v>2025.0</v>
      </c>
      <c r="K139" s="8">
        <v>46117.0</v>
      </c>
      <c r="L139" s="5">
        <v>4.0</v>
      </c>
      <c r="M139" s="7">
        <f t="shared" si="2"/>
        <v>0.2</v>
      </c>
    </row>
    <row r="140">
      <c r="A140" s="5" t="s">
        <v>408</v>
      </c>
      <c r="B140" s="5" t="s">
        <v>173</v>
      </c>
      <c r="C140" s="5" t="s">
        <v>15</v>
      </c>
      <c r="D140" s="5" t="s">
        <v>409</v>
      </c>
      <c r="E140" s="5" t="s">
        <v>410</v>
      </c>
      <c r="F140" s="5" t="s">
        <v>166</v>
      </c>
      <c r="G140" s="6">
        <v>0.35</v>
      </c>
      <c r="H140" s="5" t="s">
        <v>400</v>
      </c>
      <c r="I140" s="5" t="s">
        <v>31</v>
      </c>
      <c r="J140" s="5">
        <v>2025.0</v>
      </c>
      <c r="K140" s="8">
        <v>46117.0</v>
      </c>
      <c r="L140" s="5">
        <v>1.0</v>
      </c>
      <c r="M140" s="7">
        <f t="shared" si="2"/>
        <v>0.35</v>
      </c>
    </row>
    <row r="141">
      <c r="A141" s="5" t="s">
        <v>411</v>
      </c>
      <c r="B141" s="5" t="s">
        <v>406</v>
      </c>
      <c r="C141" s="5" t="s">
        <v>15</v>
      </c>
      <c r="D141" s="5" t="s">
        <v>412</v>
      </c>
      <c r="E141" s="5" t="s">
        <v>47</v>
      </c>
      <c r="F141" s="5" t="s">
        <v>166</v>
      </c>
      <c r="G141" s="6">
        <v>0.1</v>
      </c>
      <c r="H141" s="5" t="s">
        <v>400</v>
      </c>
      <c r="I141" s="5" t="s">
        <v>20</v>
      </c>
      <c r="J141" s="5">
        <v>2025.0</v>
      </c>
      <c r="K141" s="5" t="s">
        <v>221</v>
      </c>
      <c r="L141" s="5">
        <v>2.0</v>
      </c>
      <c r="M141" s="7">
        <f t="shared" si="2"/>
        <v>0.2</v>
      </c>
    </row>
    <row r="142">
      <c r="A142" s="5" t="s">
        <v>413</v>
      </c>
      <c r="B142" s="5" t="s">
        <v>414</v>
      </c>
      <c r="C142" s="5" t="s">
        <v>22</v>
      </c>
      <c r="D142" s="5" t="s">
        <v>415</v>
      </c>
      <c r="E142" s="5" t="s">
        <v>47</v>
      </c>
      <c r="F142" s="5" t="s">
        <v>166</v>
      </c>
      <c r="G142" s="6">
        <v>0.2</v>
      </c>
      <c r="H142" s="5" t="s">
        <v>400</v>
      </c>
      <c r="I142" s="5" t="s">
        <v>20</v>
      </c>
      <c r="J142" s="5">
        <v>2025.0</v>
      </c>
      <c r="K142" s="8">
        <v>46116.0</v>
      </c>
      <c r="L142" s="5">
        <v>2.0</v>
      </c>
      <c r="M142" s="7">
        <f t="shared" si="2"/>
        <v>0.4</v>
      </c>
    </row>
    <row r="143">
      <c r="A143" s="5" t="s">
        <v>416</v>
      </c>
      <c r="B143" s="5" t="s">
        <v>417</v>
      </c>
      <c r="C143" s="5" t="s">
        <v>22</v>
      </c>
      <c r="D143" s="5" t="s">
        <v>418</v>
      </c>
      <c r="E143" s="5" t="s">
        <v>54</v>
      </c>
      <c r="F143" s="5" t="s">
        <v>166</v>
      </c>
      <c r="G143" s="6">
        <v>0.25</v>
      </c>
      <c r="H143" s="5" t="s">
        <v>400</v>
      </c>
      <c r="I143" s="5" t="s">
        <v>20</v>
      </c>
      <c r="J143" s="5">
        <v>2025.0</v>
      </c>
      <c r="K143" s="8">
        <v>46055.0</v>
      </c>
      <c r="L143" s="5">
        <v>3.0</v>
      </c>
      <c r="M143" s="7">
        <f t="shared" si="2"/>
        <v>0.75</v>
      </c>
    </row>
    <row r="144">
      <c r="A144" s="5" t="s">
        <v>419</v>
      </c>
      <c r="B144" s="5" t="s">
        <v>105</v>
      </c>
      <c r="C144" s="5" t="s">
        <v>15</v>
      </c>
      <c r="D144" s="5" t="s">
        <v>420</v>
      </c>
      <c r="E144" s="5" t="s">
        <v>58</v>
      </c>
      <c r="F144" s="5" t="s">
        <v>166</v>
      </c>
      <c r="G144" s="6">
        <v>0.19</v>
      </c>
      <c r="H144" s="5" t="s">
        <v>400</v>
      </c>
      <c r="I144" s="5" t="s">
        <v>20</v>
      </c>
      <c r="J144" s="5">
        <v>2025.0</v>
      </c>
      <c r="K144" s="8">
        <v>46082.0</v>
      </c>
      <c r="L144" s="5">
        <v>10.0</v>
      </c>
      <c r="M144" s="7">
        <f t="shared" si="2"/>
        <v>1.9</v>
      </c>
    </row>
    <row r="145">
      <c r="A145" s="5" t="s">
        <v>419</v>
      </c>
      <c r="B145" s="5" t="s">
        <v>105</v>
      </c>
      <c r="C145" s="5" t="s">
        <v>15</v>
      </c>
      <c r="D145" s="5" t="s">
        <v>420</v>
      </c>
      <c r="E145" s="5" t="s">
        <v>58</v>
      </c>
      <c r="F145" s="5" t="s">
        <v>166</v>
      </c>
      <c r="G145" s="6">
        <v>0.3</v>
      </c>
      <c r="H145" s="5" t="s">
        <v>400</v>
      </c>
      <c r="I145" s="5" t="s">
        <v>31</v>
      </c>
      <c r="J145" s="5">
        <v>2025.0</v>
      </c>
      <c r="K145" s="8">
        <v>46082.0</v>
      </c>
      <c r="L145" s="5">
        <v>1.0</v>
      </c>
      <c r="M145" s="7">
        <f t="shared" si="2"/>
        <v>0.3</v>
      </c>
    </row>
    <row r="146">
      <c r="A146" s="5" t="s">
        <v>421</v>
      </c>
      <c r="B146" s="5" t="s">
        <v>422</v>
      </c>
      <c r="C146" s="5" t="s">
        <v>15</v>
      </c>
      <c r="D146" s="5" t="s">
        <v>423</v>
      </c>
      <c r="E146" s="5" t="s">
        <v>54</v>
      </c>
      <c r="F146" s="5" t="s">
        <v>166</v>
      </c>
      <c r="G146" s="6">
        <v>0.07</v>
      </c>
      <c r="H146" s="5" t="s">
        <v>400</v>
      </c>
      <c r="I146" s="5" t="s">
        <v>20</v>
      </c>
      <c r="J146" s="5">
        <v>2025.0</v>
      </c>
      <c r="K146" s="8">
        <v>46055.0</v>
      </c>
      <c r="L146" s="5">
        <v>6.0</v>
      </c>
      <c r="M146" s="7">
        <f t="shared" si="2"/>
        <v>0.42</v>
      </c>
    </row>
    <row r="147">
      <c r="A147" s="5" t="s">
        <v>421</v>
      </c>
      <c r="B147" s="5" t="s">
        <v>422</v>
      </c>
      <c r="C147" s="5" t="s">
        <v>15</v>
      </c>
      <c r="D147" s="5" t="s">
        <v>423</v>
      </c>
      <c r="E147" s="5" t="s">
        <v>54</v>
      </c>
      <c r="F147" s="5" t="s">
        <v>166</v>
      </c>
      <c r="G147" s="6">
        <v>0.24</v>
      </c>
      <c r="H147" s="5" t="s">
        <v>400</v>
      </c>
      <c r="I147" s="5" t="s">
        <v>31</v>
      </c>
      <c r="J147" s="5">
        <v>2025.0</v>
      </c>
      <c r="K147" s="8">
        <v>46055.0</v>
      </c>
      <c r="L147" s="5">
        <v>1.0</v>
      </c>
      <c r="M147" s="7">
        <f t="shared" si="2"/>
        <v>0.24</v>
      </c>
    </row>
    <row r="148">
      <c r="A148" s="5" t="s">
        <v>424</v>
      </c>
      <c r="B148" s="5" t="s">
        <v>425</v>
      </c>
      <c r="C148" s="5" t="s">
        <v>15</v>
      </c>
      <c r="D148" s="5" t="s">
        <v>426</v>
      </c>
      <c r="E148" s="5" t="s">
        <v>54</v>
      </c>
      <c r="F148" s="5" t="s">
        <v>166</v>
      </c>
      <c r="G148" s="6">
        <v>0.17</v>
      </c>
      <c r="H148" s="5" t="s">
        <v>400</v>
      </c>
      <c r="I148" s="5" t="s">
        <v>20</v>
      </c>
      <c r="J148" s="5">
        <v>2025.0</v>
      </c>
      <c r="K148" s="8">
        <v>46024.0</v>
      </c>
      <c r="L148" s="5">
        <v>10.0</v>
      </c>
      <c r="M148" s="7">
        <f t="shared" si="2"/>
        <v>1.7</v>
      </c>
    </row>
    <row r="149">
      <c r="A149" s="5" t="s">
        <v>424</v>
      </c>
      <c r="B149" s="5" t="s">
        <v>425</v>
      </c>
      <c r="C149" s="5" t="s">
        <v>15</v>
      </c>
      <c r="D149" s="5" t="s">
        <v>426</v>
      </c>
      <c r="E149" s="5" t="s">
        <v>54</v>
      </c>
      <c r="F149" s="5" t="s">
        <v>166</v>
      </c>
      <c r="G149" s="6">
        <v>0.24</v>
      </c>
      <c r="H149" s="5" t="s">
        <v>400</v>
      </c>
      <c r="I149" s="5" t="s">
        <v>31</v>
      </c>
      <c r="J149" s="5">
        <v>2025.0</v>
      </c>
      <c r="K149" s="8">
        <v>46024.0</v>
      </c>
      <c r="L149" s="5">
        <v>1.0</v>
      </c>
      <c r="M149" s="7">
        <f t="shared" si="2"/>
        <v>0.24</v>
      </c>
    </row>
    <row r="150">
      <c r="A150" s="5" t="s">
        <v>427</v>
      </c>
      <c r="B150" s="5" t="s">
        <v>68</v>
      </c>
      <c r="C150" s="5" t="s">
        <v>15</v>
      </c>
      <c r="D150" s="5" t="s">
        <v>428</v>
      </c>
      <c r="E150" s="5" t="s">
        <v>54</v>
      </c>
      <c r="F150" s="5" t="s">
        <v>166</v>
      </c>
      <c r="G150" s="6">
        <v>0.2</v>
      </c>
      <c r="H150" s="5" t="s">
        <v>400</v>
      </c>
      <c r="I150" s="5" t="s">
        <v>20</v>
      </c>
      <c r="J150" s="5">
        <v>2025.0</v>
      </c>
      <c r="L150" s="5">
        <v>3.0</v>
      </c>
      <c r="M150" s="7">
        <f t="shared" si="2"/>
        <v>0.6</v>
      </c>
    </row>
    <row r="151">
      <c r="A151" s="5" t="s">
        <v>429</v>
      </c>
      <c r="B151" s="5" t="s">
        <v>14</v>
      </c>
      <c r="C151" s="5" t="s">
        <v>15</v>
      </c>
      <c r="D151" s="5" t="s">
        <v>430</v>
      </c>
      <c r="E151" s="5" t="s">
        <v>58</v>
      </c>
      <c r="F151" s="5" t="s">
        <v>166</v>
      </c>
      <c r="G151" s="6">
        <v>0.1</v>
      </c>
      <c r="H151" s="5" t="s">
        <v>400</v>
      </c>
      <c r="I151" s="5" t="s">
        <v>20</v>
      </c>
      <c r="J151" s="5">
        <v>2025.0</v>
      </c>
      <c r="L151" s="5">
        <v>7.0</v>
      </c>
      <c r="M151" s="7">
        <f t="shared" si="2"/>
        <v>0.7</v>
      </c>
    </row>
    <row r="152">
      <c r="A152" s="5" t="s">
        <v>431</v>
      </c>
      <c r="B152" s="5" t="s">
        <v>223</v>
      </c>
      <c r="C152" s="5" t="s">
        <v>15</v>
      </c>
      <c r="D152" s="5" t="s">
        <v>432</v>
      </c>
      <c r="E152" s="5" t="s">
        <v>50</v>
      </c>
      <c r="F152" s="5" t="s">
        <v>166</v>
      </c>
      <c r="G152" s="6">
        <v>0.1</v>
      </c>
      <c r="H152" s="5" t="s">
        <v>400</v>
      </c>
      <c r="I152" s="5" t="s">
        <v>20</v>
      </c>
      <c r="J152" s="5">
        <v>2025.0</v>
      </c>
      <c r="K152" s="8">
        <v>46023.0</v>
      </c>
      <c r="L152" s="5">
        <v>6.0</v>
      </c>
      <c r="M152" s="7">
        <f t="shared" si="2"/>
        <v>0.6</v>
      </c>
    </row>
    <row r="153">
      <c r="A153" s="5" t="s">
        <v>433</v>
      </c>
      <c r="B153" s="5" t="s">
        <v>434</v>
      </c>
      <c r="C153" s="5" t="s">
        <v>101</v>
      </c>
      <c r="D153" s="5" t="s">
        <v>435</v>
      </c>
      <c r="E153" s="5" t="s">
        <v>54</v>
      </c>
      <c r="F153" s="5" t="s">
        <v>166</v>
      </c>
      <c r="G153" s="6">
        <v>1.7</v>
      </c>
      <c r="H153" s="5" t="s">
        <v>400</v>
      </c>
      <c r="I153" s="5" t="s">
        <v>20</v>
      </c>
      <c r="J153" s="5">
        <v>2025.0</v>
      </c>
      <c r="K153" s="8">
        <v>46055.0</v>
      </c>
      <c r="L153" s="5">
        <v>1.0</v>
      </c>
      <c r="M153" s="7">
        <f t="shared" si="2"/>
        <v>1.7</v>
      </c>
    </row>
    <row r="154">
      <c r="A154" s="5" t="s">
        <v>436</v>
      </c>
      <c r="B154" s="5" t="s">
        <v>437</v>
      </c>
      <c r="C154" s="5" t="s">
        <v>101</v>
      </c>
      <c r="D154" s="5" t="s">
        <v>438</v>
      </c>
      <c r="E154" s="5" t="s">
        <v>410</v>
      </c>
      <c r="F154" s="5" t="s">
        <v>166</v>
      </c>
      <c r="G154" s="6">
        <v>1.8</v>
      </c>
      <c r="H154" s="5" t="s">
        <v>400</v>
      </c>
      <c r="I154" s="5" t="s">
        <v>20</v>
      </c>
      <c r="J154" s="5">
        <v>2025.0</v>
      </c>
      <c r="K154" s="8">
        <v>46179.0</v>
      </c>
      <c r="L154" s="5">
        <v>1.0</v>
      </c>
      <c r="M154" s="7">
        <f t="shared" si="2"/>
        <v>1.8</v>
      </c>
    </row>
    <row r="155">
      <c r="A155" s="5" t="s">
        <v>439</v>
      </c>
      <c r="B155" s="5" t="s">
        <v>63</v>
      </c>
      <c r="C155" s="5" t="s">
        <v>101</v>
      </c>
      <c r="D155" s="5" t="s">
        <v>440</v>
      </c>
      <c r="E155" s="5" t="s">
        <v>441</v>
      </c>
      <c r="F155" s="5" t="s">
        <v>166</v>
      </c>
      <c r="G155" s="6">
        <v>2.66</v>
      </c>
      <c r="H155" s="5" t="s">
        <v>400</v>
      </c>
      <c r="I155" s="5" t="s">
        <v>20</v>
      </c>
      <c r="J155" s="5">
        <v>2025.0</v>
      </c>
      <c r="K155" s="5" t="s">
        <v>221</v>
      </c>
      <c r="L155" s="5">
        <v>1.0</v>
      </c>
      <c r="M155" s="7">
        <f t="shared" si="2"/>
        <v>2.66</v>
      </c>
    </row>
    <row r="156">
      <c r="A156" s="5" t="s">
        <v>442</v>
      </c>
      <c r="B156" s="5" t="s">
        <v>14</v>
      </c>
      <c r="C156" s="5" t="s">
        <v>22</v>
      </c>
      <c r="D156" s="5" t="s">
        <v>443</v>
      </c>
      <c r="E156" s="5" t="s">
        <v>50</v>
      </c>
      <c r="F156" s="5" t="s">
        <v>166</v>
      </c>
      <c r="G156" s="6">
        <v>8.5</v>
      </c>
      <c r="H156" s="5" t="s">
        <v>400</v>
      </c>
      <c r="I156" s="5" t="s">
        <v>20</v>
      </c>
      <c r="J156" s="5">
        <v>2025.0</v>
      </c>
      <c r="K156" s="5" t="s">
        <v>221</v>
      </c>
      <c r="L156" s="5">
        <v>1.0</v>
      </c>
      <c r="M156" s="7">
        <f t="shared" si="2"/>
        <v>8.5</v>
      </c>
    </row>
    <row r="157">
      <c r="A157" s="5" t="s">
        <v>444</v>
      </c>
      <c r="B157" s="5" t="s">
        <v>63</v>
      </c>
      <c r="C157" s="5" t="s">
        <v>22</v>
      </c>
      <c r="D157" s="5" t="s">
        <v>445</v>
      </c>
      <c r="E157" s="5" t="s">
        <v>58</v>
      </c>
      <c r="F157" s="5" t="s">
        <v>166</v>
      </c>
      <c r="G157" s="6">
        <v>0.1</v>
      </c>
      <c r="H157" s="5" t="s">
        <v>400</v>
      </c>
      <c r="I157" s="5" t="s">
        <v>20</v>
      </c>
      <c r="J157" s="5">
        <v>2025.0</v>
      </c>
      <c r="K157" s="5" t="s">
        <v>221</v>
      </c>
      <c r="L157" s="5">
        <v>1.0</v>
      </c>
      <c r="M157" s="7">
        <f t="shared" si="2"/>
        <v>0.1</v>
      </c>
    </row>
    <row r="158">
      <c r="A158" s="5" t="s">
        <v>446</v>
      </c>
      <c r="B158" s="5" t="s">
        <v>406</v>
      </c>
      <c r="C158" s="5" t="s">
        <v>22</v>
      </c>
      <c r="D158" s="5" t="s">
        <v>447</v>
      </c>
      <c r="E158" s="5" t="s">
        <v>58</v>
      </c>
      <c r="F158" s="5" t="s">
        <v>166</v>
      </c>
      <c r="G158" s="6">
        <v>0.2</v>
      </c>
      <c r="H158" s="5" t="s">
        <v>400</v>
      </c>
      <c r="I158" s="5" t="s">
        <v>20</v>
      </c>
      <c r="J158" s="5">
        <v>2025.0</v>
      </c>
      <c r="K158" s="5" t="s">
        <v>221</v>
      </c>
      <c r="L158" s="5">
        <v>1.0</v>
      </c>
      <c r="M158" s="7">
        <f t="shared" si="2"/>
        <v>0.2</v>
      </c>
    </row>
    <row r="159">
      <c r="A159" s="5" t="s">
        <v>448</v>
      </c>
      <c r="B159" s="5" t="s">
        <v>14</v>
      </c>
      <c r="C159" s="5" t="s">
        <v>15</v>
      </c>
      <c r="D159" s="5" t="s">
        <v>449</v>
      </c>
      <c r="E159" s="5" t="s">
        <v>50</v>
      </c>
      <c r="F159" s="5" t="s">
        <v>166</v>
      </c>
      <c r="G159" s="6">
        <v>0.15</v>
      </c>
      <c r="H159" s="5" t="s">
        <v>400</v>
      </c>
      <c r="I159" s="5" t="s">
        <v>20</v>
      </c>
      <c r="J159" s="5">
        <v>2025.0</v>
      </c>
      <c r="K159" s="5" t="s">
        <v>221</v>
      </c>
      <c r="L159" s="5">
        <v>3.0</v>
      </c>
      <c r="M159" s="7">
        <f t="shared" si="2"/>
        <v>0.45</v>
      </c>
    </row>
    <row r="160">
      <c r="A160" s="5" t="s">
        <v>448</v>
      </c>
      <c r="B160" s="5" t="s">
        <v>14</v>
      </c>
      <c r="C160" s="5" t="s">
        <v>15</v>
      </c>
      <c r="D160" s="5" t="s">
        <v>449</v>
      </c>
      <c r="E160" s="5" t="s">
        <v>50</v>
      </c>
      <c r="F160" s="5" t="s">
        <v>166</v>
      </c>
      <c r="G160" s="6">
        <v>0.45</v>
      </c>
      <c r="H160" s="5" t="s">
        <v>400</v>
      </c>
      <c r="I160" s="5" t="s">
        <v>31</v>
      </c>
      <c r="J160" s="5">
        <v>2025.0</v>
      </c>
      <c r="K160" s="5" t="s">
        <v>221</v>
      </c>
      <c r="L160" s="5">
        <v>1.0</v>
      </c>
      <c r="M160" s="7">
        <f t="shared" si="2"/>
        <v>0.45</v>
      </c>
    </row>
    <row r="161">
      <c r="A161" s="5" t="s">
        <v>450</v>
      </c>
      <c r="B161" s="5" t="s">
        <v>14</v>
      </c>
      <c r="C161" s="5" t="s">
        <v>15</v>
      </c>
      <c r="D161" s="5" t="s">
        <v>451</v>
      </c>
      <c r="E161" s="5" t="s">
        <v>61</v>
      </c>
      <c r="F161" s="5" t="s">
        <v>166</v>
      </c>
      <c r="G161" s="6">
        <v>0.05</v>
      </c>
      <c r="H161" s="5" t="s">
        <v>400</v>
      </c>
      <c r="I161" s="5" t="s">
        <v>20</v>
      </c>
      <c r="J161" s="5">
        <v>2025.0</v>
      </c>
      <c r="K161" s="5" t="s">
        <v>221</v>
      </c>
      <c r="L161" s="5">
        <v>11.0</v>
      </c>
      <c r="M161" s="7">
        <f t="shared" si="2"/>
        <v>0.55</v>
      </c>
    </row>
    <row r="162">
      <c r="A162" s="5" t="s">
        <v>452</v>
      </c>
      <c r="B162" s="5" t="s">
        <v>68</v>
      </c>
      <c r="C162" s="5" t="s">
        <v>22</v>
      </c>
      <c r="D162" s="5" t="s">
        <v>453</v>
      </c>
      <c r="E162" s="5" t="s">
        <v>58</v>
      </c>
      <c r="F162" s="5" t="s">
        <v>166</v>
      </c>
      <c r="G162" s="6">
        <v>0.15</v>
      </c>
      <c r="H162" s="5" t="s">
        <v>400</v>
      </c>
      <c r="I162" s="5" t="s">
        <v>20</v>
      </c>
      <c r="J162" s="5">
        <v>2025.0</v>
      </c>
      <c r="K162" s="5" t="s">
        <v>221</v>
      </c>
      <c r="L162" s="5">
        <v>2.0</v>
      </c>
      <c r="M162" s="7">
        <f t="shared" si="2"/>
        <v>0.3</v>
      </c>
    </row>
    <row r="163">
      <c r="A163" s="5" t="s">
        <v>452</v>
      </c>
      <c r="B163" s="5" t="s">
        <v>68</v>
      </c>
      <c r="C163" s="5" t="s">
        <v>22</v>
      </c>
      <c r="D163" s="5" t="s">
        <v>453</v>
      </c>
      <c r="E163" s="5" t="s">
        <v>58</v>
      </c>
      <c r="F163" s="5" t="s">
        <v>166</v>
      </c>
      <c r="G163" s="6">
        <v>0.25</v>
      </c>
      <c r="H163" s="5" t="s">
        <v>400</v>
      </c>
      <c r="I163" s="5" t="s">
        <v>31</v>
      </c>
      <c r="J163" s="5">
        <v>2025.0</v>
      </c>
      <c r="K163" s="5" t="s">
        <v>221</v>
      </c>
      <c r="L163" s="5">
        <v>1.0</v>
      </c>
      <c r="M163" s="7">
        <f t="shared" si="2"/>
        <v>0.25</v>
      </c>
    </row>
    <row r="164">
      <c r="A164" s="5" t="s">
        <v>454</v>
      </c>
      <c r="B164" s="5" t="s">
        <v>455</v>
      </c>
      <c r="C164" s="5" t="s">
        <v>22</v>
      </c>
      <c r="D164" s="5" t="s">
        <v>456</v>
      </c>
      <c r="E164" s="5" t="s">
        <v>58</v>
      </c>
      <c r="F164" s="5" t="s">
        <v>166</v>
      </c>
      <c r="G164" s="6">
        <v>0.25</v>
      </c>
      <c r="H164" s="5" t="s">
        <v>400</v>
      </c>
      <c r="I164" s="5" t="s">
        <v>20</v>
      </c>
      <c r="J164" s="5">
        <v>2025.0</v>
      </c>
      <c r="K164" s="8">
        <v>46024.0</v>
      </c>
      <c r="L164" s="5">
        <v>3.0</v>
      </c>
      <c r="M164" s="7">
        <f t="shared" si="2"/>
        <v>0.75</v>
      </c>
    </row>
    <row r="165">
      <c r="A165" s="5" t="s">
        <v>457</v>
      </c>
      <c r="B165" s="5" t="s">
        <v>458</v>
      </c>
      <c r="C165" s="5" t="s">
        <v>22</v>
      </c>
      <c r="D165" s="5" t="s">
        <v>459</v>
      </c>
      <c r="E165" s="5" t="s">
        <v>460</v>
      </c>
      <c r="F165" s="5" t="s">
        <v>461</v>
      </c>
      <c r="G165" s="6">
        <v>31.9</v>
      </c>
      <c r="H165" s="5" t="s">
        <v>400</v>
      </c>
      <c r="I165" s="5" t="s">
        <v>20</v>
      </c>
      <c r="J165" s="5">
        <v>2025.0</v>
      </c>
      <c r="K165" s="8">
        <v>46084.0</v>
      </c>
      <c r="L165" s="5">
        <v>1.0</v>
      </c>
      <c r="M165" s="7">
        <f t="shared" si="2"/>
        <v>31.9</v>
      </c>
    </row>
    <row r="166">
      <c r="A166" s="5" t="s">
        <v>457</v>
      </c>
      <c r="B166" s="5" t="s">
        <v>458</v>
      </c>
      <c r="C166" s="5" t="s">
        <v>22</v>
      </c>
      <c r="D166" s="5" t="s">
        <v>459</v>
      </c>
      <c r="E166" s="5" t="s">
        <v>460</v>
      </c>
      <c r="F166" s="5" t="s">
        <v>461</v>
      </c>
      <c r="G166" s="6">
        <v>1.0</v>
      </c>
      <c r="H166" s="5" t="s">
        <v>400</v>
      </c>
      <c r="I166" s="5" t="s">
        <v>31</v>
      </c>
      <c r="J166" s="5">
        <v>2025.0</v>
      </c>
      <c r="K166" s="8">
        <v>46084.0</v>
      </c>
      <c r="L166" s="5">
        <v>1.0</v>
      </c>
      <c r="M166" s="7">
        <f t="shared" si="2"/>
        <v>1</v>
      </c>
    </row>
    <row r="167">
      <c r="A167" s="5" t="s">
        <v>457</v>
      </c>
      <c r="B167" s="5" t="s">
        <v>458</v>
      </c>
      <c r="C167" s="5" t="s">
        <v>22</v>
      </c>
      <c r="D167" s="5" t="s">
        <v>459</v>
      </c>
      <c r="E167" s="5" t="s">
        <v>460</v>
      </c>
      <c r="F167" s="5" t="s">
        <v>461</v>
      </c>
      <c r="G167" s="6">
        <v>0.27</v>
      </c>
      <c r="H167" s="5" t="s">
        <v>400</v>
      </c>
      <c r="I167" s="5" t="s">
        <v>20</v>
      </c>
      <c r="J167" s="5">
        <v>2025.0</v>
      </c>
      <c r="K167" s="8">
        <v>46084.0</v>
      </c>
      <c r="L167" s="5">
        <v>1.0</v>
      </c>
      <c r="M167" s="7">
        <f t="shared" si="2"/>
        <v>0.27</v>
      </c>
    </row>
    <row r="168">
      <c r="A168" s="5" t="s">
        <v>462</v>
      </c>
      <c r="B168" s="5" t="s">
        <v>463</v>
      </c>
      <c r="C168" s="5" t="s">
        <v>22</v>
      </c>
      <c r="D168" s="5" t="s">
        <v>464</v>
      </c>
      <c r="E168" s="5" t="s">
        <v>315</v>
      </c>
      <c r="F168" s="5" t="s">
        <v>465</v>
      </c>
      <c r="G168" s="6">
        <v>0.19</v>
      </c>
      <c r="H168" s="5" t="s">
        <v>466</v>
      </c>
      <c r="I168" s="5" t="s">
        <v>20</v>
      </c>
      <c r="J168" s="5">
        <v>2025.0</v>
      </c>
      <c r="K168" s="8">
        <v>46023.0</v>
      </c>
      <c r="L168" s="5">
        <v>1.0</v>
      </c>
      <c r="M168" s="7">
        <f t="shared" si="2"/>
        <v>0.19</v>
      </c>
    </row>
    <row r="169">
      <c r="A169" s="5" t="s">
        <v>467</v>
      </c>
      <c r="B169" s="5" t="s">
        <v>468</v>
      </c>
      <c r="C169" s="5" t="s">
        <v>101</v>
      </c>
      <c r="D169" s="5" t="s">
        <v>469</v>
      </c>
      <c r="E169" s="5" t="s">
        <v>470</v>
      </c>
      <c r="F169" s="5" t="s">
        <v>471</v>
      </c>
      <c r="G169" s="6">
        <v>0.99</v>
      </c>
      <c r="H169" s="5" t="s">
        <v>400</v>
      </c>
      <c r="I169" s="5" t="s">
        <v>20</v>
      </c>
      <c r="J169" s="5">
        <v>2025.0</v>
      </c>
      <c r="K169" s="8">
        <v>46210.0</v>
      </c>
      <c r="L169" s="5">
        <v>1.0</v>
      </c>
      <c r="M169" s="7">
        <f t="shared" si="2"/>
        <v>0.99</v>
      </c>
    </row>
    <row r="170">
      <c r="A170" s="5" t="s">
        <v>472</v>
      </c>
      <c r="B170" s="5" t="s">
        <v>473</v>
      </c>
      <c r="C170" s="5" t="s">
        <v>101</v>
      </c>
      <c r="D170" s="5" t="s">
        <v>474</v>
      </c>
      <c r="E170" s="5" t="s">
        <v>475</v>
      </c>
      <c r="F170" s="5" t="s">
        <v>476</v>
      </c>
      <c r="G170" s="6">
        <v>2.9</v>
      </c>
      <c r="H170" s="5" t="s">
        <v>400</v>
      </c>
      <c r="I170" s="5" t="s">
        <v>20</v>
      </c>
      <c r="J170" s="5">
        <v>2025.0</v>
      </c>
      <c r="K170" s="8">
        <v>46082.0</v>
      </c>
      <c r="L170" s="5">
        <v>1.0</v>
      </c>
      <c r="M170" s="7">
        <f t="shared" si="2"/>
        <v>2.9</v>
      </c>
    </row>
    <row r="171">
      <c r="A171" s="5" t="s">
        <v>477</v>
      </c>
      <c r="B171" s="5" t="s">
        <v>478</v>
      </c>
      <c r="C171" s="5" t="s">
        <v>101</v>
      </c>
      <c r="D171" s="5" t="s">
        <v>479</v>
      </c>
      <c r="E171" s="5" t="s">
        <v>480</v>
      </c>
      <c r="F171" s="5" t="s">
        <v>481</v>
      </c>
      <c r="G171" s="6">
        <v>0.53</v>
      </c>
      <c r="H171" s="5" t="s">
        <v>400</v>
      </c>
      <c r="I171" s="5" t="s">
        <v>20</v>
      </c>
      <c r="J171" s="5">
        <v>2025.0</v>
      </c>
      <c r="K171" s="8">
        <v>46084.0</v>
      </c>
      <c r="L171" s="5">
        <v>1.0</v>
      </c>
      <c r="M171" s="7">
        <f t="shared" si="2"/>
        <v>0.53</v>
      </c>
    </row>
    <row r="172">
      <c r="A172" s="5" t="s">
        <v>482</v>
      </c>
      <c r="B172" s="5" t="s">
        <v>455</v>
      </c>
      <c r="C172" s="5" t="s">
        <v>101</v>
      </c>
      <c r="D172" s="5" t="s">
        <v>483</v>
      </c>
      <c r="E172" s="5" t="s">
        <v>484</v>
      </c>
      <c r="F172" s="5" t="s">
        <v>485</v>
      </c>
      <c r="G172" s="6">
        <v>2.79</v>
      </c>
      <c r="H172" s="5" t="s">
        <v>400</v>
      </c>
      <c r="I172" s="5" t="s">
        <v>20</v>
      </c>
      <c r="J172" s="5">
        <v>2025.0</v>
      </c>
      <c r="K172" s="8">
        <v>46085.0</v>
      </c>
      <c r="L172" s="5">
        <v>1.0</v>
      </c>
      <c r="M172" s="7">
        <f t="shared" si="2"/>
        <v>2.79</v>
      </c>
    </row>
    <row r="173">
      <c r="A173" s="5" t="s">
        <v>486</v>
      </c>
      <c r="B173" s="5" t="s">
        <v>340</v>
      </c>
      <c r="C173" s="5" t="s">
        <v>22</v>
      </c>
      <c r="D173" s="5" t="s">
        <v>487</v>
      </c>
      <c r="E173" s="5" t="s">
        <v>488</v>
      </c>
      <c r="F173" s="5" t="s">
        <v>489</v>
      </c>
      <c r="G173" s="6">
        <v>2.99</v>
      </c>
      <c r="H173" s="5" t="s">
        <v>400</v>
      </c>
      <c r="I173" s="5" t="s">
        <v>31</v>
      </c>
      <c r="J173" s="5">
        <v>2025.0</v>
      </c>
      <c r="K173" s="8">
        <v>46055.0</v>
      </c>
      <c r="L173" s="5">
        <v>1.0</v>
      </c>
      <c r="M173" s="7">
        <f t="shared" si="2"/>
        <v>2.99</v>
      </c>
    </row>
    <row r="174">
      <c r="A174" s="5" t="s">
        <v>490</v>
      </c>
      <c r="B174" s="5" t="s">
        <v>491</v>
      </c>
      <c r="C174" s="5" t="s">
        <v>22</v>
      </c>
      <c r="D174" s="5" t="s">
        <v>492</v>
      </c>
      <c r="E174" s="5" t="s">
        <v>493</v>
      </c>
      <c r="F174" s="5" t="s">
        <v>494</v>
      </c>
      <c r="G174" s="6">
        <v>0.15</v>
      </c>
      <c r="H174" s="5" t="s">
        <v>400</v>
      </c>
      <c r="I174" s="5" t="s">
        <v>20</v>
      </c>
      <c r="J174" s="5">
        <v>2025.0</v>
      </c>
      <c r="K174" s="8">
        <v>46054.0</v>
      </c>
      <c r="L174" s="5">
        <v>2.0</v>
      </c>
      <c r="M174" s="7">
        <f t="shared" si="2"/>
        <v>0.3</v>
      </c>
    </row>
    <row r="175">
      <c r="A175" s="5" t="s">
        <v>495</v>
      </c>
      <c r="B175" s="5" t="s">
        <v>496</v>
      </c>
      <c r="C175" s="5" t="s">
        <v>22</v>
      </c>
      <c r="D175" s="5" t="s">
        <v>497</v>
      </c>
      <c r="E175" s="5" t="s">
        <v>498</v>
      </c>
      <c r="F175" s="5" t="s">
        <v>499</v>
      </c>
      <c r="G175" s="6">
        <v>0.23</v>
      </c>
      <c r="H175" s="5" t="s">
        <v>400</v>
      </c>
      <c r="I175" s="5" t="s">
        <v>20</v>
      </c>
      <c r="J175" s="5">
        <v>2025.0</v>
      </c>
      <c r="K175" s="8">
        <v>46083.0</v>
      </c>
      <c r="L175" s="5">
        <v>4.0</v>
      </c>
      <c r="M175" s="7">
        <f t="shared" si="2"/>
        <v>0.92</v>
      </c>
    </row>
    <row r="176">
      <c r="A176" s="5" t="s">
        <v>500</v>
      </c>
      <c r="B176" s="5" t="s">
        <v>501</v>
      </c>
      <c r="C176" s="5" t="s">
        <v>22</v>
      </c>
      <c r="D176" s="5" t="s">
        <v>502</v>
      </c>
      <c r="E176" s="5" t="s">
        <v>503</v>
      </c>
      <c r="F176" s="5" t="s">
        <v>504</v>
      </c>
      <c r="G176" s="6">
        <v>0.2</v>
      </c>
      <c r="H176" s="5" t="s">
        <v>393</v>
      </c>
      <c r="I176" s="5" t="s">
        <v>20</v>
      </c>
      <c r="J176" s="5">
        <v>2025.0</v>
      </c>
      <c r="K176" s="8">
        <v>46116.0</v>
      </c>
      <c r="L176" s="5">
        <v>2.0</v>
      </c>
      <c r="M176" s="7">
        <f t="shared" si="2"/>
        <v>0.4</v>
      </c>
    </row>
    <row r="177">
      <c r="A177" s="5" t="s">
        <v>505</v>
      </c>
      <c r="B177" s="5" t="s">
        <v>455</v>
      </c>
      <c r="C177" s="5" t="s">
        <v>22</v>
      </c>
      <c r="D177" s="5" t="s">
        <v>506</v>
      </c>
      <c r="E177" s="5" t="s">
        <v>163</v>
      </c>
      <c r="F177" s="5" t="s">
        <v>507</v>
      </c>
      <c r="G177" s="6">
        <v>0.15</v>
      </c>
      <c r="H177" s="5" t="s">
        <v>400</v>
      </c>
      <c r="I177" s="5" t="s">
        <v>20</v>
      </c>
      <c r="J177" s="5">
        <v>2025.0</v>
      </c>
      <c r="K177" s="8">
        <v>46114.0</v>
      </c>
      <c r="L177" s="5">
        <v>6.0</v>
      </c>
      <c r="M177" s="7">
        <f t="shared" si="2"/>
        <v>0.9</v>
      </c>
    </row>
    <row r="178">
      <c r="A178" s="5" t="s">
        <v>505</v>
      </c>
      <c r="B178" s="5" t="s">
        <v>455</v>
      </c>
      <c r="C178" s="5" t="s">
        <v>22</v>
      </c>
      <c r="D178" s="5" t="s">
        <v>506</v>
      </c>
      <c r="E178" s="5" t="s">
        <v>163</v>
      </c>
      <c r="F178" s="5" t="s">
        <v>507</v>
      </c>
      <c r="G178" s="6">
        <v>0.4</v>
      </c>
      <c r="H178" s="5" t="s">
        <v>400</v>
      </c>
      <c r="I178" s="5" t="s">
        <v>31</v>
      </c>
      <c r="J178" s="5">
        <v>2025.0</v>
      </c>
      <c r="K178" s="8">
        <v>46114.0</v>
      </c>
      <c r="L178" s="5">
        <v>1.0</v>
      </c>
      <c r="M178" s="7">
        <f t="shared" si="2"/>
        <v>0.4</v>
      </c>
    </row>
    <row r="179">
      <c r="A179" s="5" t="s">
        <v>508</v>
      </c>
      <c r="B179" s="5" t="s">
        <v>509</v>
      </c>
      <c r="C179" s="5" t="s">
        <v>15</v>
      </c>
      <c r="D179" s="5" t="s">
        <v>510</v>
      </c>
      <c r="E179" s="5" t="s">
        <v>221</v>
      </c>
      <c r="F179" s="5" t="s">
        <v>80</v>
      </c>
      <c r="G179" s="6">
        <v>0.14</v>
      </c>
      <c r="H179" s="5" t="s">
        <v>400</v>
      </c>
      <c r="I179" s="5" t="s">
        <v>20</v>
      </c>
      <c r="J179" s="5">
        <v>2025.0</v>
      </c>
      <c r="K179" s="5" t="s">
        <v>221</v>
      </c>
      <c r="L179" s="5">
        <v>7.0</v>
      </c>
      <c r="M179" s="7">
        <f t="shared" si="2"/>
        <v>0.98</v>
      </c>
    </row>
    <row r="180">
      <c r="A180" s="5" t="s">
        <v>511</v>
      </c>
      <c r="B180" s="5" t="s">
        <v>509</v>
      </c>
      <c r="C180" s="5" t="s">
        <v>101</v>
      </c>
      <c r="D180" s="5" t="s">
        <v>512</v>
      </c>
      <c r="E180" s="5" t="s">
        <v>221</v>
      </c>
      <c r="F180" s="5" t="s">
        <v>80</v>
      </c>
      <c r="G180" s="6">
        <v>0.15</v>
      </c>
      <c r="H180" s="5" t="s">
        <v>400</v>
      </c>
      <c r="I180" s="5" t="s">
        <v>20</v>
      </c>
      <c r="J180" s="5">
        <v>2025.0</v>
      </c>
      <c r="K180" s="5" t="s">
        <v>221</v>
      </c>
      <c r="L180" s="5">
        <v>3.0</v>
      </c>
      <c r="M180" s="7">
        <f t="shared" si="2"/>
        <v>0.45</v>
      </c>
    </row>
    <row r="181">
      <c r="A181" s="5" t="s">
        <v>513</v>
      </c>
      <c r="B181" s="5" t="s">
        <v>509</v>
      </c>
      <c r="C181" s="5" t="s">
        <v>101</v>
      </c>
      <c r="D181" s="5" t="s">
        <v>514</v>
      </c>
      <c r="E181" s="5" t="s">
        <v>221</v>
      </c>
      <c r="F181" s="5" t="s">
        <v>80</v>
      </c>
      <c r="G181" s="6">
        <v>0.15</v>
      </c>
      <c r="H181" s="5" t="s">
        <v>400</v>
      </c>
      <c r="I181" s="5" t="s">
        <v>20</v>
      </c>
      <c r="J181" s="5">
        <v>2025.0</v>
      </c>
      <c r="K181" s="5" t="s">
        <v>221</v>
      </c>
      <c r="L181" s="5">
        <v>3.0</v>
      </c>
      <c r="M181" s="7">
        <f t="shared" si="2"/>
        <v>0.45</v>
      </c>
    </row>
    <row r="182">
      <c r="A182" s="5" t="s">
        <v>515</v>
      </c>
      <c r="B182" s="5" t="s">
        <v>509</v>
      </c>
      <c r="C182" s="5" t="s">
        <v>101</v>
      </c>
      <c r="D182" s="5" t="s">
        <v>516</v>
      </c>
      <c r="E182" s="5" t="s">
        <v>221</v>
      </c>
      <c r="F182" s="5" t="s">
        <v>80</v>
      </c>
      <c r="G182" s="6">
        <v>0.15</v>
      </c>
      <c r="H182" s="5" t="s">
        <v>400</v>
      </c>
      <c r="I182" s="5" t="s">
        <v>20</v>
      </c>
      <c r="J182" s="5">
        <v>2025.0</v>
      </c>
      <c r="K182" s="5" t="s">
        <v>221</v>
      </c>
      <c r="L182" s="5">
        <v>2.0</v>
      </c>
      <c r="M182" s="7">
        <f t="shared" si="2"/>
        <v>0.3</v>
      </c>
    </row>
    <row r="183">
      <c r="A183" s="5" t="s">
        <v>517</v>
      </c>
      <c r="B183" s="5" t="s">
        <v>509</v>
      </c>
      <c r="C183" s="5" t="s">
        <v>101</v>
      </c>
      <c r="D183" s="5" t="s">
        <v>518</v>
      </c>
      <c r="E183" s="5" t="s">
        <v>221</v>
      </c>
      <c r="F183" s="5" t="s">
        <v>80</v>
      </c>
      <c r="G183" s="6">
        <v>0.2</v>
      </c>
      <c r="H183" s="5" t="s">
        <v>400</v>
      </c>
      <c r="I183" s="5" t="s">
        <v>20</v>
      </c>
      <c r="J183" s="5">
        <v>2025.0</v>
      </c>
      <c r="K183" s="5" t="s">
        <v>221</v>
      </c>
      <c r="L183" s="5">
        <v>4.0</v>
      </c>
      <c r="M183" s="7">
        <f t="shared" si="2"/>
        <v>0.8</v>
      </c>
    </row>
    <row r="184">
      <c r="A184" s="5" t="s">
        <v>519</v>
      </c>
      <c r="B184" s="5" t="s">
        <v>509</v>
      </c>
      <c r="C184" s="5" t="s">
        <v>101</v>
      </c>
      <c r="D184" s="5" t="s">
        <v>520</v>
      </c>
      <c r="E184" s="5" t="s">
        <v>221</v>
      </c>
      <c r="F184" s="5" t="s">
        <v>80</v>
      </c>
      <c r="G184" s="6">
        <v>0.19</v>
      </c>
      <c r="H184" s="5" t="s">
        <v>400</v>
      </c>
      <c r="I184" s="5" t="s">
        <v>20</v>
      </c>
      <c r="J184" s="5">
        <v>2025.0</v>
      </c>
      <c r="K184" s="5" t="s">
        <v>221</v>
      </c>
      <c r="L184" s="5">
        <v>2.0</v>
      </c>
      <c r="M184" s="7">
        <f t="shared" si="2"/>
        <v>0.38</v>
      </c>
    </row>
    <row r="185">
      <c r="A185" s="5" t="s">
        <v>521</v>
      </c>
      <c r="B185" s="5" t="s">
        <v>509</v>
      </c>
      <c r="C185" s="5" t="s">
        <v>101</v>
      </c>
      <c r="D185" s="5" t="s">
        <v>522</v>
      </c>
      <c r="E185" s="5" t="s">
        <v>221</v>
      </c>
      <c r="F185" s="5" t="s">
        <v>80</v>
      </c>
      <c r="G185" s="6">
        <v>0.15</v>
      </c>
      <c r="H185" s="5" t="s">
        <v>400</v>
      </c>
      <c r="I185" s="5" t="s">
        <v>20</v>
      </c>
      <c r="J185" s="5">
        <v>2025.0</v>
      </c>
      <c r="K185" s="5" t="s">
        <v>221</v>
      </c>
      <c r="L185" s="5">
        <v>2.0</v>
      </c>
      <c r="M185" s="7">
        <f t="shared" si="2"/>
        <v>0.3</v>
      </c>
    </row>
    <row r="186">
      <c r="A186" s="5" t="s">
        <v>523</v>
      </c>
      <c r="B186" s="5" t="s">
        <v>509</v>
      </c>
      <c r="C186" s="5" t="s">
        <v>101</v>
      </c>
      <c r="D186" s="5" t="s">
        <v>524</v>
      </c>
      <c r="E186" s="5" t="s">
        <v>221</v>
      </c>
      <c r="F186" s="5" t="s">
        <v>80</v>
      </c>
      <c r="G186" s="6">
        <v>0.2</v>
      </c>
      <c r="H186" s="5" t="s">
        <v>400</v>
      </c>
      <c r="I186" s="5" t="s">
        <v>20</v>
      </c>
      <c r="J186" s="5">
        <v>2025.0</v>
      </c>
      <c r="K186" s="5" t="s">
        <v>221</v>
      </c>
      <c r="L186" s="5">
        <v>3.0</v>
      </c>
      <c r="M186" s="7">
        <f t="shared" si="2"/>
        <v>0.6</v>
      </c>
    </row>
    <row r="187">
      <c r="A187" s="5" t="s">
        <v>525</v>
      </c>
      <c r="B187" s="5" t="s">
        <v>509</v>
      </c>
      <c r="C187" s="5" t="s">
        <v>101</v>
      </c>
      <c r="D187" s="5" t="s">
        <v>526</v>
      </c>
      <c r="E187" s="5" t="s">
        <v>221</v>
      </c>
      <c r="F187" s="5" t="s">
        <v>80</v>
      </c>
      <c r="G187" s="6">
        <v>0.18</v>
      </c>
      <c r="H187" s="5" t="s">
        <v>400</v>
      </c>
      <c r="I187" s="5" t="s">
        <v>20</v>
      </c>
      <c r="J187" s="5">
        <v>2025.0</v>
      </c>
      <c r="K187" s="5" t="s">
        <v>221</v>
      </c>
      <c r="L187" s="5">
        <v>3.0</v>
      </c>
      <c r="M187" s="7">
        <f t="shared" si="2"/>
        <v>0.54</v>
      </c>
    </row>
    <row r="188">
      <c r="A188" s="5" t="s">
        <v>527</v>
      </c>
      <c r="B188" s="5" t="s">
        <v>509</v>
      </c>
      <c r="C188" s="5" t="s">
        <v>101</v>
      </c>
      <c r="D188" s="5" t="s">
        <v>528</v>
      </c>
      <c r="E188" s="5" t="s">
        <v>221</v>
      </c>
      <c r="F188" s="5" t="s">
        <v>80</v>
      </c>
      <c r="G188" s="6">
        <v>0.2</v>
      </c>
      <c r="H188" s="5" t="s">
        <v>400</v>
      </c>
      <c r="I188" s="5" t="s">
        <v>20</v>
      </c>
      <c r="J188" s="5">
        <v>2025.0</v>
      </c>
      <c r="K188" s="5" t="s">
        <v>221</v>
      </c>
      <c r="L188" s="5">
        <v>3.0</v>
      </c>
      <c r="M188" s="7">
        <f t="shared" si="2"/>
        <v>0.6</v>
      </c>
    </row>
    <row r="189">
      <c r="A189" s="5" t="s">
        <v>529</v>
      </c>
      <c r="B189" s="5" t="s">
        <v>509</v>
      </c>
      <c r="C189" s="5" t="s">
        <v>15</v>
      </c>
      <c r="D189" s="5" t="s">
        <v>530</v>
      </c>
      <c r="E189" s="5" t="s">
        <v>221</v>
      </c>
      <c r="F189" s="5" t="s">
        <v>80</v>
      </c>
      <c r="G189" s="6">
        <v>0.25</v>
      </c>
      <c r="H189" s="5" t="s">
        <v>400</v>
      </c>
      <c r="I189" s="5" t="s">
        <v>20</v>
      </c>
      <c r="J189" s="5">
        <v>2025.0</v>
      </c>
      <c r="K189" s="5" t="s">
        <v>221</v>
      </c>
      <c r="L189" s="5">
        <v>5.0</v>
      </c>
      <c r="M189" s="7">
        <f t="shared" si="2"/>
        <v>1.25</v>
      </c>
    </row>
    <row r="190">
      <c r="A190" s="5" t="s">
        <v>531</v>
      </c>
      <c r="B190" s="5" t="s">
        <v>509</v>
      </c>
      <c r="C190" s="5" t="s">
        <v>101</v>
      </c>
      <c r="D190" s="5" t="s">
        <v>532</v>
      </c>
      <c r="E190" s="5" t="s">
        <v>221</v>
      </c>
      <c r="F190" s="5" t="s">
        <v>80</v>
      </c>
      <c r="G190" s="6">
        <v>0.15</v>
      </c>
      <c r="H190" s="5" t="s">
        <v>400</v>
      </c>
      <c r="I190" s="5" t="s">
        <v>20</v>
      </c>
      <c r="J190" s="5">
        <v>2025.0</v>
      </c>
      <c r="K190" s="5" t="s">
        <v>221</v>
      </c>
      <c r="L190" s="5">
        <v>3.0</v>
      </c>
      <c r="M190" s="7">
        <f t="shared" si="2"/>
        <v>0.45</v>
      </c>
    </row>
    <row r="191">
      <c r="A191" s="5" t="s">
        <v>533</v>
      </c>
      <c r="B191" s="5" t="s">
        <v>509</v>
      </c>
      <c r="C191" s="5" t="s">
        <v>22</v>
      </c>
      <c r="D191" s="5" t="s">
        <v>534</v>
      </c>
      <c r="E191" s="5" t="s">
        <v>221</v>
      </c>
      <c r="F191" s="5" t="s">
        <v>80</v>
      </c>
      <c r="G191" s="6">
        <v>0.25</v>
      </c>
      <c r="H191" s="5" t="s">
        <v>400</v>
      </c>
      <c r="I191" s="5" t="s">
        <v>20</v>
      </c>
      <c r="J191" s="5">
        <v>2025.0</v>
      </c>
      <c r="K191" s="5" t="s">
        <v>221</v>
      </c>
      <c r="L191" s="5">
        <v>2.0</v>
      </c>
      <c r="M191" s="7">
        <f t="shared" si="2"/>
        <v>0.5</v>
      </c>
    </row>
    <row r="192">
      <c r="A192" s="5" t="s">
        <v>535</v>
      </c>
      <c r="B192" s="5" t="s">
        <v>509</v>
      </c>
      <c r="C192" s="5" t="s">
        <v>22</v>
      </c>
      <c r="D192" s="5" t="s">
        <v>536</v>
      </c>
      <c r="E192" s="5" t="s">
        <v>221</v>
      </c>
      <c r="F192" s="5" t="s">
        <v>80</v>
      </c>
      <c r="G192" s="6">
        <v>0.5</v>
      </c>
      <c r="H192" s="5" t="s">
        <v>400</v>
      </c>
      <c r="I192" s="5" t="s">
        <v>20</v>
      </c>
      <c r="J192" s="5">
        <v>2025.0</v>
      </c>
      <c r="K192" s="5" t="s">
        <v>221</v>
      </c>
      <c r="L192" s="5">
        <v>3.0</v>
      </c>
      <c r="M192" s="7">
        <f t="shared" si="2"/>
        <v>1.5</v>
      </c>
    </row>
    <row r="193">
      <c r="A193" s="5" t="s">
        <v>537</v>
      </c>
      <c r="B193" s="5" t="s">
        <v>82</v>
      </c>
      <c r="C193" s="5" t="s">
        <v>22</v>
      </c>
      <c r="D193" s="5" t="s">
        <v>538</v>
      </c>
      <c r="E193" s="5">
        <v>3.0</v>
      </c>
      <c r="F193" s="5" t="s">
        <v>80</v>
      </c>
      <c r="G193" s="6">
        <v>0.85</v>
      </c>
      <c r="H193" s="5" t="s">
        <v>400</v>
      </c>
      <c r="I193" s="5" t="s">
        <v>20</v>
      </c>
      <c r="J193" s="5">
        <v>2025.0</v>
      </c>
      <c r="K193" s="5" t="s">
        <v>221</v>
      </c>
      <c r="L193" s="5">
        <v>1.0</v>
      </c>
      <c r="M193" s="7">
        <f t="shared" si="2"/>
        <v>0.85</v>
      </c>
    </row>
    <row r="194">
      <c r="A194" s="5" t="s">
        <v>539</v>
      </c>
      <c r="B194" s="5" t="s">
        <v>540</v>
      </c>
      <c r="C194" s="5" t="s">
        <v>101</v>
      </c>
      <c r="D194" s="5" t="s">
        <v>541</v>
      </c>
      <c r="E194" s="5">
        <v>5.0</v>
      </c>
      <c r="F194" s="5" t="s">
        <v>80</v>
      </c>
      <c r="G194" s="6">
        <v>4.34</v>
      </c>
      <c r="H194" s="5" t="s">
        <v>400</v>
      </c>
      <c r="I194" s="5" t="s">
        <v>20</v>
      </c>
      <c r="J194" s="5">
        <v>2025.0</v>
      </c>
      <c r="K194" s="8">
        <v>46116.0</v>
      </c>
      <c r="L194" s="5">
        <v>1.0</v>
      </c>
      <c r="M194" s="7">
        <f t="shared" si="2"/>
        <v>4.34</v>
      </c>
    </row>
    <row r="195">
      <c r="A195" s="5" t="s">
        <v>542</v>
      </c>
      <c r="B195" s="5" t="s">
        <v>148</v>
      </c>
      <c r="C195" s="5" t="s">
        <v>101</v>
      </c>
      <c r="D195" s="5" t="s">
        <v>543</v>
      </c>
      <c r="E195" s="5">
        <v>3.0</v>
      </c>
      <c r="F195" s="5" t="s">
        <v>80</v>
      </c>
      <c r="G195" s="6">
        <v>2.82</v>
      </c>
      <c r="H195" s="5" t="s">
        <v>400</v>
      </c>
      <c r="I195" s="5" t="s">
        <v>20</v>
      </c>
      <c r="J195" s="5">
        <v>2025.0</v>
      </c>
      <c r="K195" s="5" t="s">
        <v>221</v>
      </c>
      <c r="L195" s="5">
        <v>1.0</v>
      </c>
      <c r="M195" s="7">
        <f t="shared" si="2"/>
        <v>2.82</v>
      </c>
    </row>
    <row r="196">
      <c r="A196" s="5" t="s">
        <v>544</v>
      </c>
      <c r="B196" s="5" t="s">
        <v>545</v>
      </c>
      <c r="C196" s="5" t="s">
        <v>101</v>
      </c>
      <c r="D196" s="5" t="s">
        <v>546</v>
      </c>
      <c r="E196" s="5">
        <v>4.0</v>
      </c>
      <c r="F196" s="5" t="s">
        <v>80</v>
      </c>
      <c r="G196" s="6">
        <v>4.95</v>
      </c>
      <c r="H196" s="5" t="s">
        <v>400</v>
      </c>
      <c r="I196" s="5" t="s">
        <v>20</v>
      </c>
      <c r="J196" s="5">
        <v>2025.0</v>
      </c>
      <c r="K196" s="8">
        <v>46116.0</v>
      </c>
      <c r="L196" s="5">
        <v>1.0</v>
      </c>
      <c r="M196" s="7">
        <f t="shared" si="2"/>
        <v>4.95</v>
      </c>
    </row>
    <row r="197">
      <c r="A197" s="5" t="s">
        <v>547</v>
      </c>
      <c r="B197" s="5" t="s">
        <v>548</v>
      </c>
      <c r="C197" s="5" t="s">
        <v>15</v>
      </c>
      <c r="D197" s="5" t="s">
        <v>549</v>
      </c>
      <c r="E197" s="5">
        <v>7.0</v>
      </c>
      <c r="F197" s="5" t="s">
        <v>80</v>
      </c>
      <c r="G197" s="6">
        <v>0.05</v>
      </c>
      <c r="H197" s="5" t="s">
        <v>550</v>
      </c>
      <c r="I197" s="5" t="s">
        <v>20</v>
      </c>
      <c r="J197" s="5">
        <v>2025.0</v>
      </c>
      <c r="K197" s="8">
        <v>46179.0</v>
      </c>
      <c r="L197" s="5">
        <v>7.0</v>
      </c>
      <c r="M197" s="7">
        <f t="shared" si="2"/>
        <v>0.35</v>
      </c>
    </row>
    <row r="198">
      <c r="A198" s="5" t="s">
        <v>551</v>
      </c>
      <c r="B198" s="5" t="s">
        <v>552</v>
      </c>
      <c r="C198" s="5" t="s">
        <v>22</v>
      </c>
      <c r="D198" s="5" t="s">
        <v>553</v>
      </c>
      <c r="E198" s="5" t="s">
        <v>554</v>
      </c>
      <c r="F198" s="5" t="s">
        <v>280</v>
      </c>
      <c r="G198" s="6">
        <v>0.25</v>
      </c>
      <c r="H198" s="5" t="s">
        <v>400</v>
      </c>
      <c r="I198" s="5" t="s">
        <v>20</v>
      </c>
      <c r="J198" s="5">
        <v>2025.0</v>
      </c>
      <c r="K198" s="8">
        <v>46084.0</v>
      </c>
      <c r="L198" s="5">
        <v>1.0</v>
      </c>
      <c r="M198" s="7">
        <f t="shared" si="2"/>
        <v>0.25</v>
      </c>
    </row>
    <row r="199">
      <c r="A199" s="5" t="s">
        <v>555</v>
      </c>
      <c r="B199" s="5" t="s">
        <v>556</v>
      </c>
      <c r="C199" s="5" t="s">
        <v>15</v>
      </c>
      <c r="D199" s="5" t="s">
        <v>557</v>
      </c>
      <c r="E199" s="5">
        <v>1.0</v>
      </c>
      <c r="F199" s="5" t="s">
        <v>80</v>
      </c>
      <c r="G199" s="6">
        <v>0.05</v>
      </c>
      <c r="H199" s="5" t="s">
        <v>558</v>
      </c>
      <c r="I199" s="5" t="s">
        <v>20</v>
      </c>
      <c r="J199" s="5">
        <v>2025.0</v>
      </c>
      <c r="L199" s="5">
        <v>8.0</v>
      </c>
      <c r="M199" s="7">
        <f t="shared" si="2"/>
        <v>0.4</v>
      </c>
    </row>
    <row r="200">
      <c r="A200" s="5" t="s">
        <v>555</v>
      </c>
      <c r="B200" s="5" t="s">
        <v>556</v>
      </c>
      <c r="C200" s="5" t="s">
        <v>15</v>
      </c>
      <c r="D200" s="5" t="s">
        <v>557</v>
      </c>
      <c r="E200" s="5">
        <v>1.0</v>
      </c>
      <c r="F200" s="5" t="s">
        <v>80</v>
      </c>
      <c r="G200" s="6">
        <v>1.0</v>
      </c>
      <c r="H200" s="5" t="s">
        <v>558</v>
      </c>
      <c r="I200" s="5" t="s">
        <v>31</v>
      </c>
      <c r="J200" s="5">
        <v>2025.0</v>
      </c>
      <c r="L200" s="5">
        <v>2.0</v>
      </c>
      <c r="M200" s="7">
        <f t="shared" si="2"/>
        <v>2</v>
      </c>
    </row>
    <row r="201">
      <c r="A201" s="5" t="s">
        <v>559</v>
      </c>
      <c r="B201" s="5" t="s">
        <v>556</v>
      </c>
      <c r="C201" s="5" t="s">
        <v>22</v>
      </c>
      <c r="D201" s="5" t="s">
        <v>560</v>
      </c>
      <c r="E201" s="5">
        <v>1.0</v>
      </c>
      <c r="F201" s="5" t="s">
        <v>80</v>
      </c>
      <c r="G201" s="6">
        <v>0.25</v>
      </c>
      <c r="H201" s="5" t="s">
        <v>466</v>
      </c>
      <c r="I201" s="5" t="s">
        <v>20</v>
      </c>
      <c r="J201" s="5">
        <v>2025.0</v>
      </c>
      <c r="L201" s="5">
        <v>1.0</v>
      </c>
      <c r="M201" s="7">
        <f t="shared" si="2"/>
        <v>0.25</v>
      </c>
    </row>
    <row r="202">
      <c r="A202" s="5" t="s">
        <v>559</v>
      </c>
      <c r="B202" s="5" t="s">
        <v>556</v>
      </c>
      <c r="C202" s="5" t="s">
        <v>22</v>
      </c>
      <c r="D202" s="5" t="s">
        <v>560</v>
      </c>
      <c r="E202" s="5">
        <v>1.0</v>
      </c>
      <c r="F202" s="5" t="s">
        <v>80</v>
      </c>
      <c r="G202" s="6">
        <v>0.24</v>
      </c>
      <c r="H202" s="5" t="s">
        <v>466</v>
      </c>
      <c r="I202" s="5" t="s">
        <v>31</v>
      </c>
      <c r="J202" s="5">
        <v>2025.0</v>
      </c>
      <c r="L202" s="5">
        <v>1.0</v>
      </c>
      <c r="M202" s="7">
        <f t="shared" si="2"/>
        <v>0.24</v>
      </c>
    </row>
    <row r="203">
      <c r="A203" s="5" t="s">
        <v>561</v>
      </c>
      <c r="B203" s="5" t="s">
        <v>406</v>
      </c>
      <c r="C203" s="5" t="s">
        <v>22</v>
      </c>
      <c r="D203" s="5" t="s">
        <v>562</v>
      </c>
      <c r="E203" s="5">
        <v>4.0</v>
      </c>
      <c r="F203" s="5" t="s">
        <v>80</v>
      </c>
      <c r="G203" s="6">
        <v>0.15</v>
      </c>
      <c r="H203" s="5" t="s">
        <v>400</v>
      </c>
      <c r="I203" s="5" t="s">
        <v>20</v>
      </c>
      <c r="J203" s="5">
        <v>2025.0</v>
      </c>
      <c r="K203" s="5" t="s">
        <v>221</v>
      </c>
      <c r="L203" s="5">
        <v>1.0</v>
      </c>
      <c r="M203" s="7">
        <f t="shared" si="2"/>
        <v>0.15</v>
      </c>
    </row>
    <row r="204">
      <c r="A204" s="5" t="s">
        <v>563</v>
      </c>
      <c r="B204" s="5" t="s">
        <v>564</v>
      </c>
      <c r="C204" s="5" t="s">
        <v>22</v>
      </c>
      <c r="D204" s="5" t="s">
        <v>565</v>
      </c>
      <c r="E204" s="5">
        <v>2.0</v>
      </c>
      <c r="F204" s="5" t="s">
        <v>80</v>
      </c>
      <c r="G204" s="6">
        <v>0.23</v>
      </c>
      <c r="H204" s="5" t="s">
        <v>400</v>
      </c>
      <c r="I204" s="5" t="s">
        <v>20</v>
      </c>
      <c r="J204" s="5">
        <v>2025.0</v>
      </c>
      <c r="K204" s="5" t="s">
        <v>566</v>
      </c>
      <c r="L204" s="5">
        <v>1.0</v>
      </c>
      <c r="M204" s="7">
        <f t="shared" si="2"/>
        <v>0.23</v>
      </c>
    </row>
    <row r="205">
      <c r="A205" s="5" t="s">
        <v>567</v>
      </c>
      <c r="B205" s="5" t="s">
        <v>568</v>
      </c>
      <c r="C205" s="5" t="s">
        <v>22</v>
      </c>
      <c r="D205" s="5" t="s">
        <v>569</v>
      </c>
      <c r="E205" s="5">
        <v>4.0</v>
      </c>
      <c r="F205" s="5" t="s">
        <v>80</v>
      </c>
      <c r="G205" s="6">
        <v>0.25</v>
      </c>
      <c r="H205" s="5" t="s">
        <v>400</v>
      </c>
      <c r="I205" s="5" t="s">
        <v>20</v>
      </c>
      <c r="J205" s="5">
        <v>2025.0</v>
      </c>
      <c r="L205" s="5">
        <v>1.0</v>
      </c>
      <c r="M205" s="7">
        <f t="shared" si="2"/>
        <v>0.25</v>
      </c>
    </row>
    <row r="206">
      <c r="A206" s="5" t="s">
        <v>567</v>
      </c>
      <c r="B206" s="5" t="s">
        <v>568</v>
      </c>
      <c r="C206" s="5" t="s">
        <v>22</v>
      </c>
      <c r="D206" s="5" t="s">
        <v>569</v>
      </c>
      <c r="E206" s="5">
        <v>4.0</v>
      </c>
      <c r="F206" s="5" t="s">
        <v>80</v>
      </c>
      <c r="G206" s="6">
        <v>0.89</v>
      </c>
      <c r="H206" s="5" t="s">
        <v>400</v>
      </c>
      <c r="I206" s="5" t="s">
        <v>31</v>
      </c>
      <c r="J206" s="5">
        <v>2025.0</v>
      </c>
      <c r="L206" s="5">
        <v>1.0</v>
      </c>
      <c r="M206" s="7">
        <f t="shared" si="2"/>
        <v>0.89</v>
      </c>
    </row>
    <row r="207">
      <c r="A207" s="5" t="s">
        <v>570</v>
      </c>
      <c r="B207" s="5" t="s">
        <v>571</v>
      </c>
      <c r="C207" s="5" t="s">
        <v>15</v>
      </c>
      <c r="D207" s="5" t="s">
        <v>572</v>
      </c>
      <c r="E207" s="5">
        <v>3.0</v>
      </c>
      <c r="F207" s="5" t="s">
        <v>80</v>
      </c>
      <c r="G207" s="6">
        <v>0.05</v>
      </c>
      <c r="H207" s="5" t="s">
        <v>400</v>
      </c>
      <c r="I207" s="5" t="s">
        <v>20</v>
      </c>
      <c r="J207" s="5">
        <v>2025.0</v>
      </c>
      <c r="K207" s="8">
        <v>46056.0</v>
      </c>
      <c r="L207" s="5">
        <v>7.0</v>
      </c>
      <c r="M207" s="7">
        <f t="shared" si="2"/>
        <v>0.35</v>
      </c>
    </row>
    <row r="208">
      <c r="A208" s="5" t="s">
        <v>573</v>
      </c>
      <c r="B208" s="5" t="s">
        <v>574</v>
      </c>
      <c r="C208" s="5" t="s">
        <v>15</v>
      </c>
      <c r="D208" s="5" t="s">
        <v>575</v>
      </c>
      <c r="E208" s="5">
        <v>3.0</v>
      </c>
      <c r="F208" s="5" t="s">
        <v>80</v>
      </c>
      <c r="G208" s="6">
        <v>0.03</v>
      </c>
      <c r="H208" s="5" t="s">
        <v>400</v>
      </c>
      <c r="I208" s="5" t="s">
        <v>20</v>
      </c>
      <c r="J208" s="5">
        <v>2025.0</v>
      </c>
      <c r="K208" s="8">
        <v>46113.0</v>
      </c>
      <c r="L208" s="5">
        <v>10.0</v>
      </c>
      <c r="M208" s="7">
        <f t="shared" si="2"/>
        <v>0.3</v>
      </c>
    </row>
    <row r="209">
      <c r="A209" s="5" t="s">
        <v>576</v>
      </c>
      <c r="B209" s="5" t="s">
        <v>577</v>
      </c>
      <c r="C209" s="5" t="s">
        <v>15</v>
      </c>
      <c r="D209" s="5" t="s">
        <v>578</v>
      </c>
      <c r="E209" s="5">
        <v>2.0</v>
      </c>
      <c r="F209" s="5" t="s">
        <v>80</v>
      </c>
      <c r="G209" s="6">
        <v>0.15</v>
      </c>
      <c r="H209" s="5" t="s">
        <v>400</v>
      </c>
      <c r="I209" s="5" t="s">
        <v>20</v>
      </c>
      <c r="J209" s="5">
        <v>2025.0</v>
      </c>
      <c r="K209" s="5" t="s">
        <v>221</v>
      </c>
      <c r="L209" s="5">
        <v>11.0</v>
      </c>
      <c r="M209" s="7">
        <f t="shared" si="2"/>
        <v>1.65</v>
      </c>
    </row>
    <row r="210">
      <c r="A210" s="5" t="s">
        <v>579</v>
      </c>
      <c r="B210" s="5" t="s">
        <v>568</v>
      </c>
      <c r="C210" s="5" t="s">
        <v>15</v>
      </c>
      <c r="D210" s="5" t="s">
        <v>580</v>
      </c>
      <c r="E210" s="5">
        <v>1.0</v>
      </c>
      <c r="F210" s="5" t="s">
        <v>80</v>
      </c>
      <c r="G210" s="6">
        <v>0.1</v>
      </c>
      <c r="H210" s="5" t="s">
        <v>400</v>
      </c>
      <c r="I210" s="5" t="s">
        <v>20</v>
      </c>
      <c r="J210" s="5">
        <v>2025.0</v>
      </c>
      <c r="K210" s="5" t="s">
        <v>221</v>
      </c>
      <c r="L210" s="5">
        <v>12.0</v>
      </c>
      <c r="M210" s="7">
        <f t="shared" si="2"/>
        <v>1.2</v>
      </c>
    </row>
    <row r="211">
      <c r="A211" s="5" t="s">
        <v>579</v>
      </c>
      <c r="B211" s="5" t="s">
        <v>568</v>
      </c>
      <c r="C211" s="5" t="s">
        <v>15</v>
      </c>
      <c r="D211" s="5" t="s">
        <v>580</v>
      </c>
      <c r="E211" s="5">
        <v>1.0</v>
      </c>
      <c r="F211" s="5" t="s">
        <v>80</v>
      </c>
      <c r="G211" s="6">
        <v>0.4</v>
      </c>
      <c r="H211" s="5" t="s">
        <v>400</v>
      </c>
      <c r="I211" s="5" t="s">
        <v>31</v>
      </c>
      <c r="J211" s="5">
        <v>2025.0</v>
      </c>
      <c r="K211" s="5" t="s">
        <v>221</v>
      </c>
      <c r="L211" s="5">
        <v>8.0</v>
      </c>
      <c r="M211" s="7">
        <f t="shared" si="2"/>
        <v>3.2</v>
      </c>
    </row>
    <row r="212">
      <c r="A212" s="5" t="s">
        <v>581</v>
      </c>
      <c r="B212" s="5" t="s">
        <v>582</v>
      </c>
      <c r="C212" s="5" t="s">
        <v>22</v>
      </c>
      <c r="D212" s="5" t="s">
        <v>583</v>
      </c>
      <c r="E212" s="5">
        <v>6.0</v>
      </c>
      <c r="F212" s="5" t="s">
        <v>80</v>
      </c>
      <c r="G212" s="6">
        <v>0.4</v>
      </c>
      <c r="H212" s="5" t="s">
        <v>400</v>
      </c>
      <c r="I212" s="5" t="s">
        <v>31</v>
      </c>
      <c r="J212" s="5">
        <v>2025.0</v>
      </c>
      <c r="K212" s="8">
        <v>46148.0</v>
      </c>
      <c r="L212" s="5">
        <v>1.0</v>
      </c>
      <c r="M212" s="7">
        <f t="shared" si="2"/>
        <v>0.4</v>
      </c>
    </row>
    <row r="213">
      <c r="A213" s="5" t="s">
        <v>581</v>
      </c>
      <c r="B213" s="5" t="s">
        <v>582</v>
      </c>
      <c r="C213" s="5" t="s">
        <v>22</v>
      </c>
      <c r="D213" s="5" t="s">
        <v>583</v>
      </c>
      <c r="E213" s="5">
        <v>6.0</v>
      </c>
      <c r="F213" s="5" t="s">
        <v>80</v>
      </c>
      <c r="G213" s="6">
        <v>0.18</v>
      </c>
      <c r="H213" s="5" t="s">
        <v>400</v>
      </c>
      <c r="I213" s="5" t="s">
        <v>20</v>
      </c>
      <c r="J213" s="5">
        <v>2025.0</v>
      </c>
      <c r="K213" s="8">
        <v>46148.0</v>
      </c>
      <c r="L213" s="5">
        <v>1.0</v>
      </c>
      <c r="M213" s="7">
        <f t="shared" si="2"/>
        <v>0.18</v>
      </c>
    </row>
    <row r="214">
      <c r="A214" s="5" t="s">
        <v>584</v>
      </c>
      <c r="B214" s="5" t="s">
        <v>82</v>
      </c>
      <c r="C214" s="5" t="s">
        <v>15</v>
      </c>
      <c r="D214" s="5" t="s">
        <v>585</v>
      </c>
      <c r="E214" s="5">
        <v>3.0</v>
      </c>
      <c r="F214" s="5" t="s">
        <v>80</v>
      </c>
      <c r="G214" s="6">
        <v>0.14</v>
      </c>
      <c r="H214" s="5" t="s">
        <v>400</v>
      </c>
      <c r="I214" s="5" t="s">
        <v>20</v>
      </c>
      <c r="J214" s="5">
        <v>2025.0</v>
      </c>
      <c r="K214" s="5" t="s">
        <v>221</v>
      </c>
      <c r="L214" s="5">
        <v>5.0</v>
      </c>
      <c r="M214" s="7">
        <f t="shared" si="2"/>
        <v>0.7</v>
      </c>
    </row>
    <row r="215">
      <c r="A215" s="5" t="s">
        <v>586</v>
      </c>
      <c r="B215" s="5" t="s">
        <v>406</v>
      </c>
      <c r="C215" s="5" t="s">
        <v>15</v>
      </c>
      <c r="D215" s="5" t="s">
        <v>587</v>
      </c>
      <c r="E215" s="5">
        <v>2.0</v>
      </c>
      <c r="F215" s="5" t="s">
        <v>80</v>
      </c>
      <c r="G215" s="6">
        <v>0.04</v>
      </c>
      <c r="H215" s="5" t="s">
        <v>400</v>
      </c>
      <c r="I215" s="5" t="s">
        <v>20</v>
      </c>
      <c r="J215" s="5">
        <v>2025.0</v>
      </c>
      <c r="L215" s="5">
        <v>7.0</v>
      </c>
      <c r="M215" s="7">
        <f t="shared" si="2"/>
        <v>0.28</v>
      </c>
    </row>
    <row r="216">
      <c r="A216" s="5" t="s">
        <v>586</v>
      </c>
      <c r="B216" s="5" t="s">
        <v>406</v>
      </c>
      <c r="C216" s="5" t="s">
        <v>15</v>
      </c>
      <c r="D216" s="5" t="s">
        <v>587</v>
      </c>
      <c r="E216" s="5">
        <v>2.0</v>
      </c>
      <c r="F216" s="5" t="s">
        <v>80</v>
      </c>
      <c r="G216" s="6">
        <v>0.3</v>
      </c>
      <c r="H216" s="5" t="s">
        <v>400</v>
      </c>
      <c r="I216" s="5" t="s">
        <v>31</v>
      </c>
      <c r="J216" s="5">
        <v>2025.0</v>
      </c>
      <c r="L216" s="5">
        <v>1.0</v>
      </c>
      <c r="M216" s="7">
        <f t="shared" si="2"/>
        <v>0.3</v>
      </c>
    </row>
    <row r="217">
      <c r="A217" s="5" t="s">
        <v>588</v>
      </c>
      <c r="B217" s="5" t="s">
        <v>589</v>
      </c>
      <c r="C217" s="5" t="s">
        <v>22</v>
      </c>
      <c r="D217" s="5" t="s">
        <v>590</v>
      </c>
      <c r="E217" s="5" t="s">
        <v>591</v>
      </c>
      <c r="F217" s="5" t="s">
        <v>280</v>
      </c>
      <c r="G217" s="6">
        <v>0.21</v>
      </c>
      <c r="H217" s="5" t="s">
        <v>400</v>
      </c>
      <c r="I217" s="5" t="s">
        <v>20</v>
      </c>
      <c r="J217" s="5">
        <v>2025.0</v>
      </c>
      <c r="K217" s="8">
        <v>46024.0</v>
      </c>
      <c r="L217" s="5">
        <v>2.0</v>
      </c>
      <c r="M217" s="7">
        <f t="shared" si="2"/>
        <v>0.42</v>
      </c>
    </row>
    <row r="218">
      <c r="A218" s="5" t="s">
        <v>592</v>
      </c>
      <c r="B218" s="5" t="s">
        <v>593</v>
      </c>
      <c r="C218" s="5" t="s">
        <v>15</v>
      </c>
      <c r="D218" s="5" t="s">
        <v>594</v>
      </c>
      <c r="E218" s="5" t="s">
        <v>285</v>
      </c>
      <c r="F218" s="5" t="s">
        <v>595</v>
      </c>
      <c r="G218" s="6">
        <v>0.05</v>
      </c>
      <c r="H218" s="5" t="s">
        <v>389</v>
      </c>
      <c r="I218" s="5" t="s">
        <v>20</v>
      </c>
      <c r="J218" s="5">
        <v>2025.0</v>
      </c>
      <c r="K218" s="8">
        <v>46083.0</v>
      </c>
      <c r="L218" s="5">
        <v>13.0</v>
      </c>
      <c r="M218" s="7">
        <f t="shared" si="2"/>
        <v>0.65</v>
      </c>
    </row>
    <row r="219">
      <c r="A219" s="5" t="s">
        <v>592</v>
      </c>
      <c r="B219" s="5" t="s">
        <v>593</v>
      </c>
      <c r="C219" s="5" t="s">
        <v>15</v>
      </c>
      <c r="D219" s="5" t="s">
        <v>594</v>
      </c>
      <c r="E219" s="5" t="s">
        <v>285</v>
      </c>
      <c r="F219" s="5" t="s">
        <v>595</v>
      </c>
      <c r="G219" s="6">
        <v>0.05</v>
      </c>
      <c r="H219" s="5" t="s">
        <v>389</v>
      </c>
      <c r="I219" s="5" t="s">
        <v>31</v>
      </c>
      <c r="J219" s="5">
        <v>2025.0</v>
      </c>
      <c r="K219" s="8">
        <v>46083.0</v>
      </c>
      <c r="L219" s="5">
        <v>1.0</v>
      </c>
      <c r="M219" s="7">
        <f t="shared" si="2"/>
        <v>0.05</v>
      </c>
    </row>
    <row r="220">
      <c r="A220" s="5" t="s">
        <v>596</v>
      </c>
      <c r="B220" s="5" t="s">
        <v>597</v>
      </c>
      <c r="C220" s="5" t="s">
        <v>22</v>
      </c>
      <c r="D220" s="5" t="s">
        <v>598</v>
      </c>
      <c r="E220" s="5" t="s">
        <v>599</v>
      </c>
      <c r="F220" s="5" t="s">
        <v>595</v>
      </c>
      <c r="G220" s="6">
        <v>0.25</v>
      </c>
      <c r="H220" s="5" t="s">
        <v>600</v>
      </c>
      <c r="I220" s="5" t="s">
        <v>20</v>
      </c>
      <c r="J220" s="5">
        <v>2025.0</v>
      </c>
      <c r="K220" s="8">
        <v>46056.0</v>
      </c>
      <c r="L220" s="5">
        <v>2.0</v>
      </c>
      <c r="M220" s="7">
        <f t="shared" si="2"/>
        <v>0.5</v>
      </c>
    </row>
    <row r="221">
      <c r="A221" s="5" t="s">
        <v>601</v>
      </c>
      <c r="B221" s="5" t="s">
        <v>387</v>
      </c>
      <c r="C221" s="5" t="s">
        <v>15</v>
      </c>
      <c r="D221" s="5" t="s">
        <v>602</v>
      </c>
      <c r="E221" s="5" t="s">
        <v>591</v>
      </c>
      <c r="F221" s="5" t="s">
        <v>595</v>
      </c>
      <c r="G221" s="6">
        <v>0.1</v>
      </c>
      <c r="H221" s="5" t="s">
        <v>389</v>
      </c>
      <c r="I221" s="5" t="s">
        <v>20</v>
      </c>
      <c r="J221" s="5">
        <v>2025.0</v>
      </c>
      <c r="L221" s="5">
        <v>3.0</v>
      </c>
      <c r="M221" s="7">
        <f t="shared" si="2"/>
        <v>0.3</v>
      </c>
    </row>
    <row r="222">
      <c r="A222" s="5" t="s">
        <v>603</v>
      </c>
      <c r="B222" s="5" t="s">
        <v>387</v>
      </c>
      <c r="C222" s="5" t="s">
        <v>15</v>
      </c>
      <c r="D222" s="5" t="s">
        <v>604</v>
      </c>
      <c r="E222" s="5" t="s">
        <v>605</v>
      </c>
      <c r="F222" s="5" t="s">
        <v>595</v>
      </c>
      <c r="G222" s="6">
        <v>0.9</v>
      </c>
      <c r="H222" s="5" t="s">
        <v>606</v>
      </c>
      <c r="I222" s="5" t="s">
        <v>31</v>
      </c>
      <c r="J222" s="5">
        <v>2025.0</v>
      </c>
      <c r="L222" s="5">
        <v>1.0</v>
      </c>
      <c r="M222" s="7">
        <f t="shared" si="2"/>
        <v>0.9</v>
      </c>
    </row>
    <row r="223">
      <c r="A223" s="5" t="s">
        <v>603</v>
      </c>
      <c r="B223" s="5" t="s">
        <v>387</v>
      </c>
      <c r="C223" s="5" t="s">
        <v>15</v>
      </c>
      <c r="D223" s="5" t="s">
        <v>604</v>
      </c>
      <c r="E223" s="5" t="s">
        <v>605</v>
      </c>
      <c r="F223" s="5" t="s">
        <v>595</v>
      </c>
      <c r="G223" s="6">
        <v>0.2</v>
      </c>
      <c r="H223" s="5" t="s">
        <v>606</v>
      </c>
      <c r="I223" s="5" t="s">
        <v>20</v>
      </c>
      <c r="J223" s="5">
        <v>2025.0</v>
      </c>
      <c r="L223" s="5">
        <v>14.0</v>
      </c>
      <c r="M223" s="7">
        <f t="shared" si="2"/>
        <v>2.8</v>
      </c>
    </row>
    <row r="224">
      <c r="A224" s="5" t="s">
        <v>607</v>
      </c>
      <c r="B224" s="5" t="s">
        <v>608</v>
      </c>
      <c r="C224" s="5" t="s">
        <v>15</v>
      </c>
      <c r="D224" s="5" t="s">
        <v>609</v>
      </c>
      <c r="E224" s="5" t="s">
        <v>591</v>
      </c>
      <c r="F224" s="5" t="s">
        <v>595</v>
      </c>
      <c r="G224" s="6">
        <v>0.1</v>
      </c>
      <c r="H224" s="5" t="s">
        <v>610</v>
      </c>
      <c r="I224" s="5" t="s">
        <v>20</v>
      </c>
      <c r="J224" s="5">
        <v>2025.0</v>
      </c>
      <c r="K224" s="8">
        <v>46023.0</v>
      </c>
      <c r="L224" s="5">
        <v>6.0</v>
      </c>
      <c r="M224" s="7">
        <f t="shared" si="2"/>
        <v>0.6</v>
      </c>
    </row>
    <row r="225">
      <c r="A225" s="5" t="s">
        <v>607</v>
      </c>
      <c r="B225" s="5" t="s">
        <v>608</v>
      </c>
      <c r="C225" s="5" t="s">
        <v>15</v>
      </c>
      <c r="D225" s="5" t="s">
        <v>609</v>
      </c>
      <c r="E225" s="5" t="s">
        <v>591</v>
      </c>
      <c r="F225" s="5" t="s">
        <v>595</v>
      </c>
      <c r="G225" s="6">
        <v>0.1</v>
      </c>
      <c r="H225" s="5" t="s">
        <v>610</v>
      </c>
      <c r="I225" s="5" t="s">
        <v>31</v>
      </c>
      <c r="J225" s="5">
        <v>2025.0</v>
      </c>
      <c r="K225" s="8">
        <v>46023.0</v>
      </c>
      <c r="L225" s="5">
        <v>11.0</v>
      </c>
      <c r="M225" s="7">
        <f t="shared" si="2"/>
        <v>1.1</v>
      </c>
    </row>
    <row r="226">
      <c r="A226" s="5" t="s">
        <v>611</v>
      </c>
      <c r="B226" s="5" t="s">
        <v>612</v>
      </c>
      <c r="C226" s="5" t="s">
        <v>22</v>
      </c>
      <c r="D226" s="5" t="s">
        <v>613</v>
      </c>
      <c r="E226" s="5" t="s">
        <v>285</v>
      </c>
      <c r="F226" s="5" t="s">
        <v>595</v>
      </c>
      <c r="G226" s="6">
        <v>0.21</v>
      </c>
      <c r="H226" s="5" t="s">
        <v>614</v>
      </c>
      <c r="I226" s="5" t="s">
        <v>20</v>
      </c>
      <c r="J226" s="5">
        <v>2025.0</v>
      </c>
      <c r="L226" s="5">
        <v>1.0</v>
      </c>
      <c r="M226" s="7">
        <f t="shared" si="2"/>
        <v>0.21</v>
      </c>
    </row>
    <row r="227">
      <c r="A227" s="5" t="s">
        <v>615</v>
      </c>
      <c r="B227" s="5" t="s">
        <v>616</v>
      </c>
      <c r="C227" s="5" t="s">
        <v>15</v>
      </c>
      <c r="D227" s="5" t="s">
        <v>617</v>
      </c>
      <c r="E227" s="5" t="s">
        <v>285</v>
      </c>
      <c r="F227" s="5" t="s">
        <v>595</v>
      </c>
      <c r="G227" s="6">
        <v>0.05</v>
      </c>
      <c r="H227" s="5" t="s">
        <v>618</v>
      </c>
      <c r="I227" s="5" t="s">
        <v>20</v>
      </c>
      <c r="J227" s="5">
        <v>2025.0</v>
      </c>
      <c r="K227" s="8">
        <v>46056.0</v>
      </c>
      <c r="L227" s="5">
        <v>13.0</v>
      </c>
      <c r="M227" s="7">
        <f t="shared" si="2"/>
        <v>0.65</v>
      </c>
    </row>
    <row r="228">
      <c r="A228" s="5" t="s">
        <v>601</v>
      </c>
      <c r="B228" s="5" t="s">
        <v>387</v>
      </c>
      <c r="C228" s="5" t="s">
        <v>15</v>
      </c>
      <c r="D228" s="5" t="s">
        <v>602</v>
      </c>
      <c r="E228" s="5" t="s">
        <v>591</v>
      </c>
      <c r="F228" s="5" t="s">
        <v>595</v>
      </c>
      <c r="G228" s="6">
        <v>0.1</v>
      </c>
      <c r="H228" s="5" t="s">
        <v>389</v>
      </c>
      <c r="I228" s="5" t="s">
        <v>31</v>
      </c>
      <c r="J228" s="5">
        <v>2025.0</v>
      </c>
      <c r="L228" s="5">
        <v>10.0</v>
      </c>
      <c r="M228" s="7">
        <f t="shared" si="2"/>
        <v>1</v>
      </c>
    </row>
    <row r="229">
      <c r="A229" s="5" t="s">
        <v>619</v>
      </c>
      <c r="B229" s="5" t="s">
        <v>620</v>
      </c>
      <c r="C229" s="5" t="s">
        <v>22</v>
      </c>
      <c r="D229" s="5" t="s">
        <v>621</v>
      </c>
      <c r="E229" s="5" t="s">
        <v>622</v>
      </c>
      <c r="F229" s="5" t="s">
        <v>280</v>
      </c>
      <c r="G229" s="6">
        <v>0.05</v>
      </c>
      <c r="H229" s="5" t="s">
        <v>400</v>
      </c>
      <c r="I229" s="5" t="s">
        <v>20</v>
      </c>
      <c r="J229" s="5">
        <v>2025.0</v>
      </c>
      <c r="K229" s="8">
        <v>46084.0</v>
      </c>
      <c r="L229" s="5">
        <v>2.0</v>
      </c>
      <c r="M229" s="7">
        <f t="shared" si="2"/>
        <v>0.1</v>
      </c>
    </row>
    <row r="230">
      <c r="A230" s="5" t="s">
        <v>623</v>
      </c>
      <c r="B230" s="5" t="s">
        <v>68</v>
      </c>
      <c r="C230" s="5" t="s">
        <v>22</v>
      </c>
      <c r="D230" s="5" t="s">
        <v>624</v>
      </c>
      <c r="E230" s="5" t="s">
        <v>554</v>
      </c>
      <c r="F230" s="5" t="s">
        <v>280</v>
      </c>
      <c r="G230" s="6">
        <v>0.2</v>
      </c>
      <c r="H230" s="5" t="s">
        <v>400</v>
      </c>
      <c r="I230" s="5" t="s">
        <v>20</v>
      </c>
      <c r="J230" s="5">
        <v>2025.0</v>
      </c>
      <c r="L230" s="5">
        <v>1.0</v>
      </c>
      <c r="M230" s="7">
        <f t="shared" si="2"/>
        <v>0.2</v>
      </c>
    </row>
    <row r="231">
      <c r="A231" s="5" t="s">
        <v>625</v>
      </c>
      <c r="B231" s="5" t="s">
        <v>626</v>
      </c>
      <c r="C231" s="5" t="s">
        <v>22</v>
      </c>
      <c r="D231" s="5" t="s">
        <v>627</v>
      </c>
      <c r="E231" s="5" t="s">
        <v>622</v>
      </c>
      <c r="F231" s="5" t="s">
        <v>280</v>
      </c>
      <c r="G231" s="6">
        <v>0.2</v>
      </c>
      <c r="H231" s="5" t="s">
        <v>400</v>
      </c>
      <c r="I231" s="5" t="s">
        <v>20</v>
      </c>
      <c r="J231" s="5">
        <v>2025.0</v>
      </c>
      <c r="K231" s="8">
        <v>46083.0</v>
      </c>
      <c r="L231" s="5">
        <v>2.0</v>
      </c>
      <c r="M231" s="7">
        <f t="shared" si="2"/>
        <v>0.4</v>
      </c>
    </row>
    <row r="232">
      <c r="A232" s="5" t="s">
        <v>625</v>
      </c>
      <c r="B232" s="5" t="s">
        <v>626</v>
      </c>
      <c r="C232" s="5" t="s">
        <v>22</v>
      </c>
      <c r="D232" s="5" t="s">
        <v>627</v>
      </c>
      <c r="E232" s="5" t="s">
        <v>622</v>
      </c>
      <c r="F232" s="5" t="s">
        <v>280</v>
      </c>
      <c r="G232" s="6">
        <v>0.9</v>
      </c>
      <c r="H232" s="5" t="s">
        <v>400</v>
      </c>
      <c r="I232" s="5" t="s">
        <v>31</v>
      </c>
      <c r="J232" s="5">
        <v>2025.0</v>
      </c>
      <c r="K232" s="8">
        <v>46083.0</v>
      </c>
      <c r="L232" s="5">
        <v>1.0</v>
      </c>
      <c r="M232" s="7">
        <f t="shared" si="2"/>
        <v>0.9</v>
      </c>
    </row>
    <row r="233">
      <c r="A233" s="5" t="s">
        <v>628</v>
      </c>
      <c r="B233" s="5" t="s">
        <v>629</v>
      </c>
      <c r="C233" s="5" t="s">
        <v>22</v>
      </c>
      <c r="D233" s="5" t="s">
        <v>630</v>
      </c>
      <c r="E233" s="5" t="s">
        <v>631</v>
      </c>
      <c r="F233" s="5" t="s">
        <v>280</v>
      </c>
      <c r="G233" s="6">
        <v>0.2</v>
      </c>
      <c r="H233" s="5" t="s">
        <v>400</v>
      </c>
      <c r="I233" s="5" t="s">
        <v>20</v>
      </c>
      <c r="J233" s="5">
        <v>2025.0</v>
      </c>
      <c r="K233" s="8">
        <v>46024.0</v>
      </c>
      <c r="L233" s="5">
        <v>1.0</v>
      </c>
      <c r="M233" s="7">
        <f t="shared" si="2"/>
        <v>0.2</v>
      </c>
    </row>
    <row r="234">
      <c r="A234" s="5" t="s">
        <v>632</v>
      </c>
      <c r="B234" s="5" t="s">
        <v>633</v>
      </c>
      <c r="C234" s="5" t="s">
        <v>15</v>
      </c>
      <c r="D234" s="5" t="s">
        <v>634</v>
      </c>
      <c r="E234" s="5" t="s">
        <v>554</v>
      </c>
      <c r="F234" s="5" t="s">
        <v>280</v>
      </c>
      <c r="G234" s="6">
        <v>0.05</v>
      </c>
      <c r="H234" s="5" t="s">
        <v>400</v>
      </c>
      <c r="I234" s="5" t="s">
        <v>20</v>
      </c>
      <c r="J234" s="5">
        <v>2025.0</v>
      </c>
      <c r="K234" s="8">
        <v>46055.0</v>
      </c>
      <c r="L234" s="5">
        <v>16.0</v>
      </c>
      <c r="M234" s="7">
        <f t="shared" si="2"/>
        <v>0.8</v>
      </c>
    </row>
    <row r="235">
      <c r="A235" s="5" t="s">
        <v>635</v>
      </c>
      <c r="B235" s="5" t="s">
        <v>14</v>
      </c>
      <c r="C235" s="5" t="s">
        <v>22</v>
      </c>
      <c r="D235" s="5" t="s">
        <v>636</v>
      </c>
      <c r="E235" s="5" t="s">
        <v>631</v>
      </c>
      <c r="F235" s="5" t="s">
        <v>280</v>
      </c>
      <c r="G235" s="6">
        <v>3.8</v>
      </c>
      <c r="H235" s="5" t="s">
        <v>400</v>
      </c>
      <c r="I235" s="5" t="s">
        <v>20</v>
      </c>
      <c r="J235" s="5">
        <v>2025.0</v>
      </c>
      <c r="L235" s="5">
        <v>1.0</v>
      </c>
      <c r="M235" s="7">
        <f t="shared" si="2"/>
        <v>3.8</v>
      </c>
    </row>
    <row r="236">
      <c r="A236" s="5" t="s">
        <v>637</v>
      </c>
      <c r="B236" s="5" t="s">
        <v>638</v>
      </c>
      <c r="C236" s="5" t="s">
        <v>22</v>
      </c>
      <c r="D236" s="5" t="s">
        <v>639</v>
      </c>
      <c r="E236" s="5" t="s">
        <v>640</v>
      </c>
      <c r="F236" s="5" t="s">
        <v>280</v>
      </c>
      <c r="G236" s="6">
        <v>3.24</v>
      </c>
      <c r="H236" s="5" t="s">
        <v>400</v>
      </c>
      <c r="I236" s="5" t="s">
        <v>20</v>
      </c>
      <c r="J236" s="5">
        <v>2025.0</v>
      </c>
      <c r="K236" s="8">
        <v>46117.0</v>
      </c>
      <c r="L236" s="5">
        <v>1.0</v>
      </c>
      <c r="M236" s="7">
        <f t="shared" si="2"/>
        <v>3.24</v>
      </c>
    </row>
    <row r="237">
      <c r="A237" s="5" t="s">
        <v>641</v>
      </c>
      <c r="B237" s="5" t="s">
        <v>638</v>
      </c>
      <c r="C237" s="5" t="s">
        <v>101</v>
      </c>
      <c r="D237" s="5" t="s">
        <v>642</v>
      </c>
      <c r="E237" s="5" t="s">
        <v>622</v>
      </c>
      <c r="F237" s="5" t="s">
        <v>280</v>
      </c>
      <c r="G237" s="6">
        <v>1.42</v>
      </c>
      <c r="H237" s="5" t="s">
        <v>400</v>
      </c>
      <c r="I237" s="5" t="s">
        <v>20</v>
      </c>
      <c r="J237" s="5">
        <v>2025.0</v>
      </c>
      <c r="K237" s="8">
        <v>46114.0</v>
      </c>
      <c r="L237" s="5">
        <v>1.0</v>
      </c>
      <c r="M237" s="7">
        <f t="shared" si="2"/>
        <v>1.42</v>
      </c>
    </row>
    <row r="238">
      <c r="A238" s="5" t="s">
        <v>643</v>
      </c>
      <c r="B238" s="5" t="s">
        <v>644</v>
      </c>
      <c r="C238" s="5" t="s">
        <v>101</v>
      </c>
      <c r="D238" s="5" t="s">
        <v>645</v>
      </c>
      <c r="E238" s="5" t="s">
        <v>646</v>
      </c>
      <c r="F238" s="5" t="s">
        <v>280</v>
      </c>
      <c r="G238" s="6">
        <v>4.79</v>
      </c>
      <c r="H238" s="5" t="s">
        <v>400</v>
      </c>
      <c r="I238" s="5" t="s">
        <v>20</v>
      </c>
      <c r="J238" s="5">
        <v>2025.0</v>
      </c>
      <c r="K238" s="8">
        <v>46116.0</v>
      </c>
      <c r="L238" s="5">
        <v>1.0</v>
      </c>
      <c r="M238" s="7">
        <f t="shared" si="2"/>
        <v>4.79</v>
      </c>
    </row>
    <row r="239">
      <c r="A239" s="5" t="s">
        <v>647</v>
      </c>
      <c r="B239" s="5" t="s">
        <v>648</v>
      </c>
      <c r="C239" s="5" t="s">
        <v>101</v>
      </c>
      <c r="D239" s="5" t="s">
        <v>649</v>
      </c>
      <c r="E239" s="5" t="s">
        <v>650</v>
      </c>
      <c r="F239" s="5" t="s">
        <v>280</v>
      </c>
      <c r="G239" s="6">
        <v>8.39</v>
      </c>
      <c r="H239" s="5" t="s">
        <v>400</v>
      </c>
      <c r="I239" s="5" t="s">
        <v>20</v>
      </c>
      <c r="J239" s="5">
        <v>2025.0</v>
      </c>
      <c r="K239" s="8">
        <v>46055.0</v>
      </c>
      <c r="L239" s="5">
        <v>1.0</v>
      </c>
      <c r="M239" s="7">
        <f t="shared" si="2"/>
        <v>8.39</v>
      </c>
    </row>
    <row r="240">
      <c r="A240" s="5" t="s">
        <v>651</v>
      </c>
      <c r="B240" s="5" t="s">
        <v>14</v>
      </c>
      <c r="C240" s="5" t="s">
        <v>15</v>
      </c>
      <c r="D240" s="5" t="s">
        <v>652</v>
      </c>
      <c r="E240" s="5" t="s">
        <v>622</v>
      </c>
      <c r="F240" s="5" t="s">
        <v>280</v>
      </c>
      <c r="G240" s="6">
        <v>0.1</v>
      </c>
      <c r="H240" s="5" t="s">
        <v>400</v>
      </c>
      <c r="I240" s="5" t="s">
        <v>20</v>
      </c>
      <c r="J240" s="5">
        <v>2025.0</v>
      </c>
      <c r="K240" s="5" t="s">
        <v>221</v>
      </c>
      <c r="L240" s="5">
        <v>9.0</v>
      </c>
      <c r="M240" s="7">
        <f t="shared" si="2"/>
        <v>0.9</v>
      </c>
    </row>
    <row r="241">
      <c r="A241" s="5" t="s">
        <v>651</v>
      </c>
      <c r="B241" s="5" t="s">
        <v>14</v>
      </c>
      <c r="C241" s="5" t="s">
        <v>15</v>
      </c>
      <c r="D241" s="5" t="s">
        <v>652</v>
      </c>
      <c r="E241" s="5" t="s">
        <v>622</v>
      </c>
      <c r="F241" s="5" t="s">
        <v>280</v>
      </c>
      <c r="G241" s="6">
        <v>0.4</v>
      </c>
      <c r="H241" s="5" t="s">
        <v>400</v>
      </c>
      <c r="I241" s="5" t="s">
        <v>31</v>
      </c>
      <c r="J241" s="5">
        <v>2025.0</v>
      </c>
      <c r="K241" s="5" t="s">
        <v>221</v>
      </c>
      <c r="L241" s="5">
        <v>1.0</v>
      </c>
      <c r="M241" s="7">
        <f t="shared" si="2"/>
        <v>0.4</v>
      </c>
    </row>
    <row r="242">
      <c r="A242" s="5" t="s">
        <v>653</v>
      </c>
      <c r="B242" s="5" t="s">
        <v>654</v>
      </c>
      <c r="C242" s="5" t="s">
        <v>15</v>
      </c>
      <c r="D242" s="5" t="s">
        <v>655</v>
      </c>
      <c r="E242" s="5" t="s">
        <v>656</v>
      </c>
      <c r="F242" s="5" t="s">
        <v>280</v>
      </c>
      <c r="G242" s="6">
        <v>0.1</v>
      </c>
      <c r="H242" s="5" t="s">
        <v>400</v>
      </c>
      <c r="I242" s="5" t="s">
        <v>20</v>
      </c>
      <c r="J242" s="5">
        <v>2025.0</v>
      </c>
      <c r="K242" s="8">
        <v>46116.0</v>
      </c>
      <c r="L242" s="5">
        <v>13.0</v>
      </c>
      <c r="M242" s="7">
        <f t="shared" si="2"/>
        <v>1.3</v>
      </c>
    </row>
    <row r="243">
      <c r="A243" s="5" t="s">
        <v>657</v>
      </c>
      <c r="B243" s="5" t="s">
        <v>658</v>
      </c>
      <c r="C243" s="5" t="s">
        <v>15</v>
      </c>
      <c r="D243" s="5" t="s">
        <v>659</v>
      </c>
      <c r="E243" s="5" t="s">
        <v>660</v>
      </c>
      <c r="F243" s="5" t="s">
        <v>280</v>
      </c>
      <c r="G243" s="6">
        <v>0.08</v>
      </c>
      <c r="H243" s="5" t="s">
        <v>400</v>
      </c>
      <c r="I243" s="5" t="s">
        <v>20</v>
      </c>
      <c r="J243" s="5">
        <v>2025.0</v>
      </c>
      <c r="K243" s="8">
        <v>46115.0</v>
      </c>
      <c r="L243" s="5">
        <v>10.0</v>
      </c>
      <c r="M243" s="7">
        <f t="shared" si="2"/>
        <v>0.8</v>
      </c>
    </row>
    <row r="244">
      <c r="A244" s="5" t="s">
        <v>657</v>
      </c>
      <c r="B244" s="5" t="s">
        <v>658</v>
      </c>
      <c r="C244" s="5" t="s">
        <v>15</v>
      </c>
      <c r="D244" s="5" t="s">
        <v>659</v>
      </c>
      <c r="E244" s="5" t="s">
        <v>660</v>
      </c>
      <c r="F244" s="5" t="s">
        <v>280</v>
      </c>
      <c r="G244" s="6">
        <v>0.35</v>
      </c>
      <c r="H244" s="5" t="s">
        <v>400</v>
      </c>
      <c r="I244" s="5" t="s">
        <v>31</v>
      </c>
      <c r="J244" s="5">
        <v>2025.0</v>
      </c>
      <c r="K244" s="8">
        <v>46115.0</v>
      </c>
      <c r="L244" s="5">
        <v>3.0</v>
      </c>
      <c r="M244" s="7">
        <f t="shared" si="2"/>
        <v>1.05</v>
      </c>
    </row>
    <row r="245">
      <c r="A245" s="5" t="s">
        <v>661</v>
      </c>
      <c r="B245" s="5" t="s">
        <v>406</v>
      </c>
      <c r="C245" s="5" t="s">
        <v>15</v>
      </c>
      <c r="D245" s="5" t="s">
        <v>662</v>
      </c>
      <c r="E245" s="5" t="s">
        <v>554</v>
      </c>
      <c r="F245" s="5" t="s">
        <v>280</v>
      </c>
      <c r="G245" s="6">
        <v>0.75</v>
      </c>
      <c r="H245" s="5" t="s">
        <v>400</v>
      </c>
      <c r="I245" s="5" t="s">
        <v>20</v>
      </c>
      <c r="J245" s="5">
        <v>2025.0</v>
      </c>
      <c r="K245" s="5" t="s">
        <v>221</v>
      </c>
      <c r="L245" s="5">
        <v>11.0</v>
      </c>
      <c r="M245" s="7">
        <f t="shared" si="2"/>
        <v>8.25</v>
      </c>
    </row>
    <row r="246">
      <c r="A246" s="5" t="s">
        <v>663</v>
      </c>
      <c r="B246" s="5" t="s">
        <v>14</v>
      </c>
      <c r="C246" s="5" t="s">
        <v>15</v>
      </c>
      <c r="D246" s="5" t="s">
        <v>664</v>
      </c>
      <c r="E246" s="5" t="s">
        <v>660</v>
      </c>
      <c r="F246" s="5" t="s">
        <v>280</v>
      </c>
      <c r="G246" s="6">
        <v>0.05</v>
      </c>
      <c r="H246" s="5" t="s">
        <v>400</v>
      </c>
      <c r="I246" s="5" t="s">
        <v>20</v>
      </c>
      <c r="J246" s="5">
        <v>2025.0</v>
      </c>
      <c r="K246" s="5" t="s">
        <v>221</v>
      </c>
      <c r="L246" s="5">
        <v>11.0</v>
      </c>
      <c r="M246" s="7">
        <f t="shared" si="2"/>
        <v>0.55</v>
      </c>
    </row>
    <row r="247">
      <c r="A247" s="5" t="s">
        <v>665</v>
      </c>
      <c r="B247" s="5" t="s">
        <v>68</v>
      </c>
      <c r="C247" s="5" t="s">
        <v>22</v>
      </c>
      <c r="D247" s="5" t="s">
        <v>666</v>
      </c>
      <c r="E247" s="5" t="s">
        <v>660</v>
      </c>
      <c r="F247" s="5" t="s">
        <v>280</v>
      </c>
      <c r="G247" s="6">
        <v>0.25</v>
      </c>
      <c r="H247" s="5" t="s">
        <v>400</v>
      </c>
      <c r="I247" s="5" t="s">
        <v>20</v>
      </c>
      <c r="J247" s="5">
        <v>2025.0</v>
      </c>
      <c r="K247" s="5" t="s">
        <v>221</v>
      </c>
      <c r="L247" s="5">
        <v>3.0</v>
      </c>
      <c r="M247" s="7">
        <f t="shared" si="2"/>
        <v>0.75</v>
      </c>
    </row>
    <row r="248">
      <c r="A248" s="5" t="s">
        <v>667</v>
      </c>
      <c r="B248" s="5" t="s">
        <v>668</v>
      </c>
      <c r="C248" s="5" t="s">
        <v>15</v>
      </c>
      <c r="D248" s="5" t="s">
        <v>669</v>
      </c>
      <c r="E248" s="5" t="s">
        <v>622</v>
      </c>
      <c r="F248" s="5" t="s">
        <v>280</v>
      </c>
      <c r="G248" s="6">
        <v>0.1</v>
      </c>
      <c r="H248" s="5" t="s">
        <v>400</v>
      </c>
      <c r="I248" s="5" t="s">
        <v>20</v>
      </c>
      <c r="J248" s="5">
        <v>2025.0</v>
      </c>
      <c r="K248" s="8">
        <v>46055.0</v>
      </c>
      <c r="L248" s="5">
        <v>11.0</v>
      </c>
      <c r="M248" s="7">
        <f t="shared" si="2"/>
        <v>1.1</v>
      </c>
    </row>
    <row r="249">
      <c r="A249" s="5" t="s">
        <v>667</v>
      </c>
      <c r="B249" s="5" t="s">
        <v>668</v>
      </c>
      <c r="C249" s="5" t="s">
        <v>15</v>
      </c>
      <c r="D249" s="5" t="s">
        <v>669</v>
      </c>
      <c r="E249" s="5" t="s">
        <v>622</v>
      </c>
      <c r="F249" s="5" t="s">
        <v>280</v>
      </c>
      <c r="G249" s="6">
        <v>0.25</v>
      </c>
      <c r="H249" s="5" t="s">
        <v>400</v>
      </c>
      <c r="I249" s="5" t="s">
        <v>31</v>
      </c>
      <c r="J249" s="5">
        <v>2025.0</v>
      </c>
      <c r="K249" s="8">
        <v>46055.0</v>
      </c>
      <c r="L249" s="5">
        <v>1.0</v>
      </c>
      <c r="M249" s="7">
        <f t="shared" si="2"/>
        <v>0.25</v>
      </c>
    </row>
    <row r="250">
      <c r="A250" s="5" t="s">
        <v>670</v>
      </c>
      <c r="B250" s="5" t="s">
        <v>14</v>
      </c>
      <c r="C250" s="5" t="s">
        <v>15</v>
      </c>
      <c r="D250" s="5" t="s">
        <v>671</v>
      </c>
      <c r="E250" s="5" t="s">
        <v>554</v>
      </c>
      <c r="F250" s="5" t="s">
        <v>280</v>
      </c>
      <c r="G250" s="6">
        <v>0.1</v>
      </c>
      <c r="H250" s="5" t="s">
        <v>400</v>
      </c>
      <c r="I250" s="5" t="s">
        <v>20</v>
      </c>
      <c r="J250" s="5">
        <v>2025.0</v>
      </c>
      <c r="K250" s="5" t="s">
        <v>221</v>
      </c>
      <c r="L250" s="5">
        <v>10.0</v>
      </c>
      <c r="M250" s="7">
        <f t="shared" si="2"/>
        <v>1</v>
      </c>
    </row>
    <row r="251">
      <c r="A251" s="5" t="s">
        <v>670</v>
      </c>
      <c r="B251" s="5" t="s">
        <v>14</v>
      </c>
      <c r="C251" s="5" t="s">
        <v>15</v>
      </c>
      <c r="D251" s="5" t="s">
        <v>671</v>
      </c>
      <c r="E251" s="5" t="s">
        <v>554</v>
      </c>
      <c r="F251" s="5" t="s">
        <v>280</v>
      </c>
      <c r="G251" s="6">
        <v>0.3</v>
      </c>
      <c r="H251" s="5" t="s">
        <v>400</v>
      </c>
      <c r="I251" s="5" t="s">
        <v>31</v>
      </c>
      <c r="J251" s="5">
        <v>2025.0</v>
      </c>
      <c r="K251" s="5" t="s">
        <v>221</v>
      </c>
      <c r="L251" s="5">
        <v>1.0</v>
      </c>
      <c r="M251" s="7">
        <f t="shared" si="2"/>
        <v>0.3</v>
      </c>
    </row>
    <row r="252">
      <c r="A252" s="5" t="s">
        <v>672</v>
      </c>
      <c r="B252" s="5" t="s">
        <v>68</v>
      </c>
      <c r="C252" s="5" t="s">
        <v>22</v>
      </c>
      <c r="D252" s="5" t="s">
        <v>673</v>
      </c>
      <c r="E252" s="5" t="s">
        <v>650</v>
      </c>
      <c r="F252" s="5" t="s">
        <v>280</v>
      </c>
      <c r="G252" s="6">
        <v>0.2</v>
      </c>
      <c r="H252" s="5" t="s">
        <v>400</v>
      </c>
      <c r="I252" s="5" t="s">
        <v>20</v>
      </c>
      <c r="J252" s="5">
        <v>2025.0</v>
      </c>
      <c r="K252" s="5" t="s">
        <v>221</v>
      </c>
      <c r="L252" s="5">
        <v>4.0</v>
      </c>
      <c r="M252" s="7">
        <f t="shared" si="2"/>
        <v>0.8</v>
      </c>
    </row>
    <row r="253">
      <c r="A253" s="5" t="s">
        <v>674</v>
      </c>
      <c r="B253" s="5" t="s">
        <v>14</v>
      </c>
      <c r="C253" s="5" t="s">
        <v>15</v>
      </c>
      <c r="D253" s="5" t="s">
        <v>675</v>
      </c>
      <c r="E253" s="5" t="s">
        <v>554</v>
      </c>
      <c r="F253" s="5" t="s">
        <v>280</v>
      </c>
      <c r="G253" s="6">
        <v>0.15</v>
      </c>
      <c r="H253" s="5" t="s">
        <v>400</v>
      </c>
      <c r="I253" s="5" t="s">
        <v>20</v>
      </c>
      <c r="J253" s="5">
        <v>2025.0</v>
      </c>
      <c r="K253" s="5" t="s">
        <v>221</v>
      </c>
      <c r="L253" s="5">
        <v>15.0</v>
      </c>
      <c r="M253" s="7">
        <f t="shared" si="2"/>
        <v>2.25</v>
      </c>
    </row>
    <row r="254">
      <c r="A254" s="5" t="s">
        <v>676</v>
      </c>
      <c r="B254" s="5" t="s">
        <v>677</v>
      </c>
      <c r="C254" s="5" t="s">
        <v>15</v>
      </c>
      <c r="D254" s="5" t="s">
        <v>678</v>
      </c>
      <c r="E254" s="5" t="s">
        <v>268</v>
      </c>
      <c r="F254" s="5" t="s">
        <v>679</v>
      </c>
      <c r="G254" s="6">
        <v>0.4</v>
      </c>
      <c r="H254" s="5" t="s">
        <v>600</v>
      </c>
      <c r="I254" s="5" t="s">
        <v>31</v>
      </c>
      <c r="J254" s="5">
        <v>2025.0</v>
      </c>
      <c r="L254" s="5">
        <v>1.0</v>
      </c>
      <c r="M254" s="7">
        <f t="shared" si="2"/>
        <v>0.4</v>
      </c>
    </row>
    <row r="255">
      <c r="A255" s="5" t="s">
        <v>676</v>
      </c>
      <c r="B255" s="5" t="s">
        <v>677</v>
      </c>
      <c r="C255" s="5" t="s">
        <v>15</v>
      </c>
      <c r="D255" s="5" t="s">
        <v>678</v>
      </c>
      <c r="E255" s="5" t="s">
        <v>268</v>
      </c>
      <c r="F255" s="5" t="s">
        <v>679</v>
      </c>
      <c r="G255" s="6">
        <v>0.05</v>
      </c>
      <c r="H255" s="5" t="s">
        <v>600</v>
      </c>
      <c r="I255" s="5" t="s">
        <v>680</v>
      </c>
      <c r="J255" s="5">
        <v>2025.0</v>
      </c>
      <c r="L255" s="5">
        <v>11.0</v>
      </c>
      <c r="M255" s="7">
        <f t="shared" si="2"/>
        <v>0.55</v>
      </c>
    </row>
    <row r="256">
      <c r="A256" s="5" t="s">
        <v>681</v>
      </c>
      <c r="B256" s="5" t="s">
        <v>612</v>
      </c>
      <c r="C256" s="5" t="s">
        <v>15</v>
      </c>
      <c r="D256" s="5" t="s">
        <v>682</v>
      </c>
      <c r="E256" s="5" t="s">
        <v>683</v>
      </c>
      <c r="F256" s="5" t="s">
        <v>679</v>
      </c>
      <c r="G256" s="6">
        <v>0.04</v>
      </c>
      <c r="H256" s="5" t="s">
        <v>684</v>
      </c>
      <c r="I256" s="5" t="s">
        <v>20</v>
      </c>
      <c r="J256" s="5">
        <v>2025.0</v>
      </c>
      <c r="L256" s="5">
        <v>6.0</v>
      </c>
      <c r="M256" s="7">
        <f t="shared" si="2"/>
        <v>0.24</v>
      </c>
    </row>
    <row r="257">
      <c r="A257" s="5" t="s">
        <v>685</v>
      </c>
      <c r="B257" s="5" t="s">
        <v>612</v>
      </c>
      <c r="C257" s="5" t="s">
        <v>15</v>
      </c>
      <c r="D257" s="5" t="s">
        <v>686</v>
      </c>
      <c r="E257" s="5" t="s">
        <v>276</v>
      </c>
      <c r="F257" s="5" t="s">
        <v>679</v>
      </c>
      <c r="G257" s="6">
        <v>0.1</v>
      </c>
      <c r="H257" s="5" t="s">
        <v>606</v>
      </c>
      <c r="I257" s="5" t="s">
        <v>20</v>
      </c>
      <c r="J257" s="5">
        <v>2025.0</v>
      </c>
      <c r="L257" s="5">
        <v>8.0</v>
      </c>
      <c r="M257" s="7">
        <f t="shared" si="2"/>
        <v>0.8</v>
      </c>
    </row>
    <row r="258">
      <c r="A258" s="5" t="s">
        <v>687</v>
      </c>
      <c r="B258" s="5" t="s">
        <v>688</v>
      </c>
      <c r="C258" s="5" t="s">
        <v>15</v>
      </c>
      <c r="D258" s="5" t="s">
        <v>689</v>
      </c>
      <c r="E258" s="5" t="s">
        <v>268</v>
      </c>
      <c r="F258" s="5" t="s">
        <v>679</v>
      </c>
      <c r="G258" s="6">
        <v>0.91</v>
      </c>
      <c r="H258" s="5" t="s">
        <v>389</v>
      </c>
      <c r="I258" s="5" t="s">
        <v>31</v>
      </c>
      <c r="J258" s="5">
        <v>2025.0</v>
      </c>
      <c r="K258" s="8">
        <v>46084.0</v>
      </c>
      <c r="L258" s="5">
        <v>1.0</v>
      </c>
      <c r="M258" s="7">
        <f t="shared" si="2"/>
        <v>0.91</v>
      </c>
    </row>
    <row r="259">
      <c r="A259" s="5" t="s">
        <v>690</v>
      </c>
      <c r="B259" s="5" t="s">
        <v>691</v>
      </c>
      <c r="C259" s="5" t="s">
        <v>15</v>
      </c>
      <c r="D259" s="5" t="s">
        <v>692</v>
      </c>
      <c r="E259" s="5" t="s">
        <v>272</v>
      </c>
      <c r="F259" s="5" t="s">
        <v>679</v>
      </c>
      <c r="G259" s="6">
        <v>0.2</v>
      </c>
      <c r="H259" s="5" t="s">
        <v>466</v>
      </c>
      <c r="I259" s="5" t="s">
        <v>31</v>
      </c>
      <c r="J259" s="5">
        <v>2025.0</v>
      </c>
      <c r="K259" s="8">
        <v>46024.0</v>
      </c>
      <c r="L259" s="5">
        <v>1.0</v>
      </c>
      <c r="M259" s="7">
        <f t="shared" si="2"/>
        <v>0.2</v>
      </c>
    </row>
    <row r="260">
      <c r="A260" s="5" t="s">
        <v>690</v>
      </c>
      <c r="B260" s="5" t="s">
        <v>691</v>
      </c>
      <c r="C260" s="5" t="s">
        <v>15</v>
      </c>
      <c r="D260" s="5" t="s">
        <v>692</v>
      </c>
      <c r="E260" s="5" t="s">
        <v>272</v>
      </c>
      <c r="F260" s="5" t="s">
        <v>679</v>
      </c>
      <c r="G260" s="6">
        <v>0.05</v>
      </c>
      <c r="H260" s="5" t="s">
        <v>466</v>
      </c>
      <c r="I260" s="5" t="s">
        <v>20</v>
      </c>
      <c r="J260" s="5">
        <v>2025.0</v>
      </c>
      <c r="K260" s="8">
        <v>46024.0</v>
      </c>
      <c r="L260" s="5">
        <v>12.0</v>
      </c>
      <c r="M260" s="7">
        <f t="shared" si="2"/>
        <v>0.6</v>
      </c>
    </row>
    <row r="261">
      <c r="A261" s="5" t="s">
        <v>687</v>
      </c>
      <c r="B261" s="5" t="s">
        <v>688</v>
      </c>
      <c r="C261" s="5" t="s">
        <v>15</v>
      </c>
      <c r="D261" s="5" t="s">
        <v>689</v>
      </c>
      <c r="E261" s="5" t="s">
        <v>268</v>
      </c>
      <c r="F261" s="5" t="s">
        <v>679</v>
      </c>
      <c r="G261" s="6">
        <v>0.14</v>
      </c>
      <c r="H261" s="5" t="s">
        <v>389</v>
      </c>
      <c r="I261" s="5" t="s">
        <v>680</v>
      </c>
      <c r="J261" s="5">
        <v>2025.0</v>
      </c>
      <c r="K261" s="8">
        <v>46084.0</v>
      </c>
      <c r="L261" s="5">
        <v>10.0</v>
      </c>
      <c r="M261" s="7">
        <f t="shared" si="2"/>
        <v>1.4</v>
      </c>
    </row>
    <row r="262">
      <c r="A262" s="5" t="s">
        <v>693</v>
      </c>
      <c r="B262" s="5" t="s">
        <v>694</v>
      </c>
      <c r="C262" s="5" t="s">
        <v>22</v>
      </c>
      <c r="D262" s="5" t="s">
        <v>695</v>
      </c>
      <c r="E262" s="5" t="s">
        <v>696</v>
      </c>
      <c r="F262" s="5" t="s">
        <v>152</v>
      </c>
      <c r="G262" s="6">
        <v>1.36</v>
      </c>
      <c r="H262" s="5" t="s">
        <v>400</v>
      </c>
      <c r="I262" s="5" t="s">
        <v>20</v>
      </c>
      <c r="J262" s="5">
        <v>2025.0</v>
      </c>
      <c r="K262" s="5" t="s">
        <v>566</v>
      </c>
      <c r="L262" s="5">
        <v>1.0</v>
      </c>
      <c r="M262" s="7">
        <f t="shared" si="2"/>
        <v>1.36</v>
      </c>
    </row>
    <row r="263">
      <c r="A263" s="5" t="s">
        <v>697</v>
      </c>
      <c r="B263" s="5" t="s">
        <v>638</v>
      </c>
      <c r="C263" s="5" t="s">
        <v>22</v>
      </c>
      <c r="D263" s="5" t="s">
        <v>698</v>
      </c>
      <c r="E263" s="5" t="s">
        <v>699</v>
      </c>
      <c r="F263" s="5" t="s">
        <v>152</v>
      </c>
      <c r="G263" s="6">
        <v>1.85</v>
      </c>
      <c r="H263" s="5" t="s">
        <v>400</v>
      </c>
      <c r="I263" s="5" t="s">
        <v>20</v>
      </c>
      <c r="J263" s="5">
        <v>2025.0</v>
      </c>
      <c r="K263" s="8">
        <v>46055.0</v>
      </c>
      <c r="L263" s="5">
        <v>1.0</v>
      </c>
      <c r="M263" s="7">
        <f t="shared" si="2"/>
        <v>1.85</v>
      </c>
    </row>
    <row r="264">
      <c r="A264" s="5" t="s">
        <v>700</v>
      </c>
      <c r="B264" s="5" t="s">
        <v>68</v>
      </c>
      <c r="C264" s="5" t="s">
        <v>101</v>
      </c>
      <c r="D264" s="5" t="s">
        <v>701</v>
      </c>
      <c r="E264" s="5" t="s">
        <v>696</v>
      </c>
      <c r="F264" s="5" t="s">
        <v>152</v>
      </c>
      <c r="G264" s="6">
        <v>0.74</v>
      </c>
      <c r="H264" s="5" t="s">
        <v>400</v>
      </c>
      <c r="I264" s="5" t="s">
        <v>20</v>
      </c>
      <c r="J264" s="5">
        <v>2025.0</v>
      </c>
      <c r="L264" s="5">
        <v>1.0</v>
      </c>
      <c r="M264" s="7">
        <f t="shared" si="2"/>
        <v>0.74</v>
      </c>
    </row>
    <row r="265">
      <c r="A265" s="5" t="s">
        <v>702</v>
      </c>
      <c r="B265" s="5" t="s">
        <v>406</v>
      </c>
      <c r="C265" s="5" t="s">
        <v>101</v>
      </c>
      <c r="D265" s="5" t="s">
        <v>703</v>
      </c>
      <c r="E265" s="5" t="s">
        <v>704</v>
      </c>
      <c r="F265" s="5" t="s">
        <v>152</v>
      </c>
      <c r="G265" s="6">
        <v>1.0</v>
      </c>
      <c r="H265" s="5" t="s">
        <v>400</v>
      </c>
      <c r="I265" s="5" t="s">
        <v>20</v>
      </c>
      <c r="J265" s="5">
        <v>2025.0</v>
      </c>
      <c r="L265" s="5">
        <v>1.0</v>
      </c>
      <c r="M265" s="7">
        <f t="shared" si="2"/>
        <v>1</v>
      </c>
    </row>
    <row r="266">
      <c r="A266" s="5" t="s">
        <v>705</v>
      </c>
      <c r="B266" s="5" t="s">
        <v>706</v>
      </c>
      <c r="C266" s="5" t="s">
        <v>101</v>
      </c>
      <c r="D266" s="5" t="s">
        <v>707</v>
      </c>
      <c r="E266" s="5" t="s">
        <v>708</v>
      </c>
      <c r="F266" s="5" t="s">
        <v>152</v>
      </c>
      <c r="G266" s="6">
        <v>0.66</v>
      </c>
      <c r="H266" s="5" t="s">
        <v>400</v>
      </c>
      <c r="I266" s="5" t="s">
        <v>20</v>
      </c>
      <c r="J266" s="5">
        <v>2025.0</v>
      </c>
      <c r="K266" s="8">
        <v>46084.0</v>
      </c>
      <c r="L266" s="5">
        <v>3.0</v>
      </c>
      <c r="M266" s="7">
        <f t="shared" si="2"/>
        <v>1.98</v>
      </c>
    </row>
    <row r="267">
      <c r="A267" s="5" t="s">
        <v>705</v>
      </c>
      <c r="B267" s="5" t="s">
        <v>706</v>
      </c>
      <c r="C267" s="5" t="s">
        <v>101</v>
      </c>
      <c r="D267" s="5" t="s">
        <v>707</v>
      </c>
      <c r="E267" s="5" t="s">
        <v>708</v>
      </c>
      <c r="F267" s="5" t="s">
        <v>152</v>
      </c>
      <c r="G267" s="6">
        <v>1.09</v>
      </c>
      <c r="H267" s="5" t="s">
        <v>400</v>
      </c>
      <c r="I267" s="5" t="s">
        <v>31</v>
      </c>
      <c r="J267" s="5">
        <v>2025.0</v>
      </c>
      <c r="K267" s="8">
        <v>46084.0</v>
      </c>
      <c r="L267" s="5">
        <v>1.0</v>
      </c>
      <c r="M267" s="7">
        <f t="shared" si="2"/>
        <v>1.09</v>
      </c>
    </row>
    <row r="268">
      <c r="A268" s="5" t="s">
        <v>709</v>
      </c>
      <c r="B268" s="5" t="s">
        <v>710</v>
      </c>
      <c r="C268" s="5" t="s">
        <v>101</v>
      </c>
      <c r="D268" s="5" t="s">
        <v>711</v>
      </c>
      <c r="E268" s="5" t="s">
        <v>712</v>
      </c>
      <c r="F268" s="5" t="s">
        <v>152</v>
      </c>
      <c r="G268" s="6">
        <v>4.0</v>
      </c>
      <c r="H268" s="5" t="s">
        <v>400</v>
      </c>
      <c r="I268" s="5" t="s">
        <v>20</v>
      </c>
      <c r="J268" s="5">
        <v>2025.0</v>
      </c>
      <c r="K268" s="8">
        <v>46084.0</v>
      </c>
      <c r="L268" s="5">
        <v>1.0</v>
      </c>
      <c r="M268" s="7">
        <f t="shared" si="2"/>
        <v>4</v>
      </c>
    </row>
    <row r="269">
      <c r="A269" s="5" t="s">
        <v>713</v>
      </c>
      <c r="B269" s="5" t="s">
        <v>82</v>
      </c>
      <c r="C269" s="5" t="s">
        <v>22</v>
      </c>
      <c r="D269" s="5" t="s">
        <v>714</v>
      </c>
      <c r="E269" s="5" t="s">
        <v>715</v>
      </c>
      <c r="F269" s="5" t="s">
        <v>152</v>
      </c>
      <c r="G269" s="6">
        <v>0.2</v>
      </c>
      <c r="H269" s="5" t="s">
        <v>400</v>
      </c>
      <c r="I269" s="5" t="s">
        <v>20</v>
      </c>
      <c r="J269" s="5">
        <v>2025.0</v>
      </c>
      <c r="L269" s="5">
        <v>1.0</v>
      </c>
      <c r="M269" s="7">
        <f t="shared" si="2"/>
        <v>0.2</v>
      </c>
    </row>
    <row r="270">
      <c r="A270" s="5" t="s">
        <v>713</v>
      </c>
      <c r="B270" s="5" t="s">
        <v>82</v>
      </c>
      <c r="C270" s="5" t="s">
        <v>22</v>
      </c>
      <c r="D270" s="5" t="s">
        <v>714</v>
      </c>
      <c r="E270" s="5" t="s">
        <v>715</v>
      </c>
      <c r="F270" s="5" t="s">
        <v>152</v>
      </c>
      <c r="G270" s="6">
        <v>0.85</v>
      </c>
      <c r="H270" s="5" t="s">
        <v>400</v>
      </c>
      <c r="I270" s="5" t="s">
        <v>31</v>
      </c>
      <c r="J270" s="5">
        <v>2025.0</v>
      </c>
      <c r="L270" s="5">
        <v>1.0</v>
      </c>
      <c r="M270" s="7">
        <f t="shared" si="2"/>
        <v>0.85</v>
      </c>
    </row>
    <row r="271">
      <c r="A271" s="5" t="s">
        <v>716</v>
      </c>
      <c r="B271" s="5" t="s">
        <v>717</v>
      </c>
      <c r="C271" s="5" t="s">
        <v>22</v>
      </c>
      <c r="D271" s="5" t="s">
        <v>718</v>
      </c>
      <c r="E271" s="5" t="s">
        <v>699</v>
      </c>
      <c r="F271" s="5" t="s">
        <v>152</v>
      </c>
      <c r="G271" s="6">
        <v>0.19</v>
      </c>
      <c r="H271" s="5" t="s">
        <v>400</v>
      </c>
      <c r="I271" s="5" t="s">
        <v>20</v>
      </c>
      <c r="J271" s="5">
        <v>2025.0</v>
      </c>
      <c r="K271" s="5" t="s">
        <v>719</v>
      </c>
      <c r="L271" s="5">
        <v>2.0</v>
      </c>
      <c r="M271" s="7">
        <f t="shared" si="2"/>
        <v>0.38</v>
      </c>
    </row>
    <row r="272">
      <c r="A272" s="5" t="s">
        <v>720</v>
      </c>
      <c r="B272" s="5" t="s">
        <v>721</v>
      </c>
      <c r="C272" s="5" t="s">
        <v>22</v>
      </c>
      <c r="D272" s="5" t="s">
        <v>722</v>
      </c>
      <c r="E272" s="5" t="s">
        <v>723</v>
      </c>
      <c r="F272" s="5" t="s">
        <v>152</v>
      </c>
      <c r="G272" s="6">
        <v>0.24</v>
      </c>
      <c r="H272" s="5" t="s">
        <v>400</v>
      </c>
      <c r="I272" s="5" t="s">
        <v>20</v>
      </c>
      <c r="J272" s="5">
        <v>2025.0</v>
      </c>
      <c r="K272" s="8">
        <v>46056.0</v>
      </c>
      <c r="L272" s="5">
        <v>4.0</v>
      </c>
      <c r="M272" s="7">
        <f t="shared" si="2"/>
        <v>0.96</v>
      </c>
    </row>
    <row r="273">
      <c r="A273" s="5" t="s">
        <v>724</v>
      </c>
      <c r="B273" s="5" t="s">
        <v>725</v>
      </c>
      <c r="C273" s="5" t="s">
        <v>22</v>
      </c>
      <c r="D273" s="5" t="s">
        <v>726</v>
      </c>
      <c r="E273" s="5" t="s">
        <v>699</v>
      </c>
      <c r="F273" s="5" t="s">
        <v>152</v>
      </c>
      <c r="G273" s="6">
        <v>0.24</v>
      </c>
      <c r="H273" s="5" t="s">
        <v>400</v>
      </c>
      <c r="I273" s="5" t="s">
        <v>20</v>
      </c>
      <c r="J273" s="5">
        <v>2025.0</v>
      </c>
      <c r="K273" s="8">
        <v>46056.0</v>
      </c>
      <c r="L273" s="5">
        <v>2.0</v>
      </c>
      <c r="M273" s="7">
        <f t="shared" si="2"/>
        <v>0.48</v>
      </c>
    </row>
    <row r="274">
      <c r="A274" s="5" t="s">
        <v>727</v>
      </c>
      <c r="B274" s="5" t="s">
        <v>728</v>
      </c>
      <c r="C274" s="5" t="s">
        <v>15</v>
      </c>
      <c r="D274" s="5" t="s">
        <v>729</v>
      </c>
      <c r="E274" s="5" t="s">
        <v>699</v>
      </c>
      <c r="F274" s="5" t="s">
        <v>152</v>
      </c>
      <c r="G274" s="6">
        <v>0.05</v>
      </c>
      <c r="H274" s="5" t="s">
        <v>400</v>
      </c>
      <c r="I274" s="5" t="s">
        <v>20</v>
      </c>
      <c r="J274" s="5">
        <v>2025.0</v>
      </c>
      <c r="K274" s="8">
        <v>46082.0</v>
      </c>
      <c r="L274" s="5">
        <v>7.0</v>
      </c>
      <c r="M274" s="7">
        <f t="shared" si="2"/>
        <v>0.35</v>
      </c>
    </row>
    <row r="275">
      <c r="A275" s="5" t="s">
        <v>727</v>
      </c>
      <c r="B275" s="5" t="s">
        <v>728</v>
      </c>
      <c r="C275" s="5" t="s">
        <v>15</v>
      </c>
      <c r="D275" s="5" t="s">
        <v>729</v>
      </c>
      <c r="E275" s="5" t="s">
        <v>699</v>
      </c>
      <c r="F275" s="5" t="s">
        <v>152</v>
      </c>
      <c r="G275" s="6">
        <v>0.25</v>
      </c>
      <c r="H275" s="5" t="s">
        <v>400</v>
      </c>
      <c r="I275" s="5" t="s">
        <v>31</v>
      </c>
      <c r="J275" s="5">
        <v>2025.0</v>
      </c>
      <c r="K275" s="8">
        <v>46082.0</v>
      </c>
      <c r="L275" s="5">
        <v>2.0</v>
      </c>
      <c r="M275" s="7">
        <f t="shared" si="2"/>
        <v>0.5</v>
      </c>
    </row>
    <row r="276">
      <c r="A276" s="5" t="s">
        <v>730</v>
      </c>
      <c r="B276" s="5" t="s">
        <v>731</v>
      </c>
      <c r="C276" s="5" t="s">
        <v>15</v>
      </c>
      <c r="D276" s="5" t="s">
        <v>732</v>
      </c>
      <c r="E276" s="5" t="s">
        <v>715</v>
      </c>
      <c r="F276" s="5" t="s">
        <v>152</v>
      </c>
      <c r="G276" s="6">
        <v>0.05</v>
      </c>
      <c r="H276" s="5" t="s">
        <v>400</v>
      </c>
      <c r="I276" s="5" t="s">
        <v>20</v>
      </c>
      <c r="J276" s="5">
        <v>2025.0</v>
      </c>
      <c r="K276" s="8">
        <v>46023.0</v>
      </c>
      <c r="L276" s="5">
        <v>9.0</v>
      </c>
      <c r="M276" s="7">
        <f t="shared" si="2"/>
        <v>0.45</v>
      </c>
    </row>
    <row r="277">
      <c r="A277" s="5" t="s">
        <v>730</v>
      </c>
      <c r="B277" s="5" t="s">
        <v>731</v>
      </c>
      <c r="C277" s="5" t="s">
        <v>15</v>
      </c>
      <c r="D277" s="5" t="s">
        <v>732</v>
      </c>
      <c r="E277" s="5" t="s">
        <v>715</v>
      </c>
      <c r="F277" s="5" t="s">
        <v>152</v>
      </c>
      <c r="G277" s="6">
        <v>0.4</v>
      </c>
      <c r="H277" s="5" t="s">
        <v>400</v>
      </c>
      <c r="I277" s="5" t="s">
        <v>31</v>
      </c>
      <c r="J277" s="5">
        <v>2025.0</v>
      </c>
      <c r="K277" s="8">
        <v>46023.0</v>
      </c>
      <c r="L277" s="5">
        <v>1.0</v>
      </c>
      <c r="M277" s="7">
        <f t="shared" si="2"/>
        <v>0.4</v>
      </c>
    </row>
    <row r="278">
      <c r="A278" s="5" t="s">
        <v>733</v>
      </c>
      <c r="B278" s="5" t="s">
        <v>82</v>
      </c>
      <c r="C278" s="5" t="s">
        <v>15</v>
      </c>
      <c r="D278" s="5" t="s">
        <v>734</v>
      </c>
      <c r="E278" s="5" t="s">
        <v>735</v>
      </c>
      <c r="F278" s="5" t="s">
        <v>152</v>
      </c>
      <c r="G278" s="6">
        <v>0.1</v>
      </c>
      <c r="H278" s="5" t="s">
        <v>400</v>
      </c>
      <c r="I278" s="5" t="s">
        <v>20</v>
      </c>
      <c r="J278" s="5">
        <v>2025.0</v>
      </c>
      <c r="L278" s="5">
        <v>10.0</v>
      </c>
      <c r="M278" s="7">
        <f t="shared" si="2"/>
        <v>1</v>
      </c>
    </row>
    <row r="279">
      <c r="A279" s="5" t="s">
        <v>733</v>
      </c>
      <c r="B279" s="5" t="s">
        <v>82</v>
      </c>
      <c r="C279" s="5" t="s">
        <v>15</v>
      </c>
      <c r="D279" s="5" t="s">
        <v>734</v>
      </c>
      <c r="E279" s="5" t="s">
        <v>735</v>
      </c>
      <c r="F279" s="5" t="s">
        <v>152</v>
      </c>
      <c r="G279" s="6">
        <v>0.35</v>
      </c>
      <c r="H279" s="5" t="s">
        <v>400</v>
      </c>
      <c r="I279" s="5" t="s">
        <v>31</v>
      </c>
      <c r="J279" s="5">
        <v>2025.0</v>
      </c>
      <c r="L279" s="5">
        <v>1.0</v>
      </c>
      <c r="M279" s="7">
        <f t="shared" si="2"/>
        <v>0.35</v>
      </c>
    </row>
    <row r="280">
      <c r="A280" s="5" t="s">
        <v>736</v>
      </c>
      <c r="B280" s="5" t="s">
        <v>737</v>
      </c>
      <c r="C280" s="5" t="s">
        <v>15</v>
      </c>
      <c r="D280" s="5" t="s">
        <v>738</v>
      </c>
      <c r="E280" s="5" t="s">
        <v>723</v>
      </c>
      <c r="F280" s="5" t="s">
        <v>152</v>
      </c>
      <c r="G280" s="6">
        <v>0.1</v>
      </c>
      <c r="H280" s="5" t="s">
        <v>400</v>
      </c>
      <c r="I280" s="5" t="s">
        <v>20</v>
      </c>
      <c r="J280" s="5">
        <v>2025.0</v>
      </c>
      <c r="K280" s="8">
        <v>46055.0</v>
      </c>
      <c r="L280" s="5">
        <v>10.0</v>
      </c>
      <c r="M280" s="7">
        <f t="shared" si="2"/>
        <v>1</v>
      </c>
    </row>
    <row r="281">
      <c r="A281" s="5" t="s">
        <v>736</v>
      </c>
      <c r="B281" s="5" t="s">
        <v>737</v>
      </c>
      <c r="C281" s="5" t="s">
        <v>15</v>
      </c>
      <c r="D281" s="5" t="s">
        <v>738</v>
      </c>
      <c r="E281" s="5" t="s">
        <v>723</v>
      </c>
      <c r="F281" s="5" t="s">
        <v>152</v>
      </c>
      <c r="G281" s="6">
        <v>0.25</v>
      </c>
      <c r="H281" s="5" t="s">
        <v>400</v>
      </c>
      <c r="I281" s="5" t="s">
        <v>31</v>
      </c>
      <c r="J281" s="5">
        <v>2025.0</v>
      </c>
      <c r="K281" s="8">
        <v>46055.0</v>
      </c>
      <c r="L281" s="5">
        <v>1.0</v>
      </c>
      <c r="M281" s="7">
        <f t="shared" si="2"/>
        <v>0.25</v>
      </c>
    </row>
    <row r="282">
      <c r="A282" s="5" t="s">
        <v>739</v>
      </c>
      <c r="B282" s="5" t="s">
        <v>63</v>
      </c>
      <c r="C282" s="5" t="s">
        <v>22</v>
      </c>
      <c r="D282" s="5" t="s">
        <v>740</v>
      </c>
      <c r="E282" s="5" t="s">
        <v>699</v>
      </c>
      <c r="F282" s="5" t="s">
        <v>152</v>
      </c>
      <c r="G282" s="6">
        <v>0.19</v>
      </c>
      <c r="H282" s="5" t="s">
        <v>400</v>
      </c>
      <c r="I282" s="5" t="s">
        <v>20</v>
      </c>
      <c r="J282" s="5">
        <v>2025.0</v>
      </c>
      <c r="L282" s="5">
        <v>1.0</v>
      </c>
      <c r="M282" s="7">
        <f t="shared" si="2"/>
        <v>0.19</v>
      </c>
    </row>
    <row r="283">
      <c r="A283" s="5" t="s">
        <v>741</v>
      </c>
      <c r="B283" s="5" t="s">
        <v>742</v>
      </c>
      <c r="C283" s="5" t="s">
        <v>22</v>
      </c>
      <c r="D283" s="5" t="s">
        <v>743</v>
      </c>
      <c r="E283" s="5" t="s">
        <v>696</v>
      </c>
      <c r="F283" s="5" t="s">
        <v>152</v>
      </c>
      <c r="G283" s="6">
        <v>0.24</v>
      </c>
      <c r="H283" s="5" t="s">
        <v>400</v>
      </c>
      <c r="I283" s="5" t="s">
        <v>20</v>
      </c>
      <c r="J283" s="5">
        <v>2025.0</v>
      </c>
      <c r="K283" s="8">
        <v>46055.0</v>
      </c>
      <c r="L283" s="5">
        <v>2.0</v>
      </c>
      <c r="M283" s="7">
        <f t="shared" si="2"/>
        <v>0.48</v>
      </c>
    </row>
    <row r="284">
      <c r="A284" s="5" t="s">
        <v>744</v>
      </c>
      <c r="B284" s="5" t="s">
        <v>571</v>
      </c>
      <c r="C284" s="5" t="s">
        <v>22</v>
      </c>
      <c r="D284" s="5" t="s">
        <v>745</v>
      </c>
      <c r="E284" s="5" t="s">
        <v>723</v>
      </c>
      <c r="F284" s="5" t="s">
        <v>152</v>
      </c>
      <c r="G284" s="6">
        <v>0.15</v>
      </c>
      <c r="H284" s="5" t="s">
        <v>400</v>
      </c>
      <c r="I284" s="5" t="s">
        <v>20</v>
      </c>
      <c r="J284" s="5">
        <v>2025.0</v>
      </c>
      <c r="K284" s="8">
        <v>46116.0</v>
      </c>
      <c r="L284" s="5">
        <v>1.0</v>
      </c>
      <c r="M284" s="7">
        <f t="shared" si="2"/>
        <v>0.15</v>
      </c>
    </row>
    <row r="285">
      <c r="A285" s="5" t="s">
        <v>746</v>
      </c>
      <c r="B285" s="5" t="s">
        <v>747</v>
      </c>
      <c r="C285" s="5" t="s">
        <v>22</v>
      </c>
      <c r="D285" s="5" t="s">
        <v>748</v>
      </c>
      <c r="E285" s="5" t="s">
        <v>723</v>
      </c>
      <c r="F285" s="5" t="s">
        <v>152</v>
      </c>
      <c r="G285" s="6">
        <v>0.2</v>
      </c>
      <c r="H285" s="5" t="s">
        <v>400</v>
      </c>
      <c r="I285" s="5" t="s">
        <v>20</v>
      </c>
      <c r="J285" s="5">
        <v>2025.0</v>
      </c>
      <c r="K285" s="8">
        <v>46084.0</v>
      </c>
      <c r="L285" s="5">
        <v>1.0</v>
      </c>
      <c r="M285" s="7">
        <f t="shared" si="2"/>
        <v>0.2</v>
      </c>
    </row>
    <row r="286">
      <c r="A286" s="5" t="s">
        <v>746</v>
      </c>
      <c r="B286" s="5" t="s">
        <v>747</v>
      </c>
      <c r="C286" s="5" t="s">
        <v>22</v>
      </c>
      <c r="D286" s="5" t="s">
        <v>748</v>
      </c>
      <c r="E286" s="5" t="s">
        <v>723</v>
      </c>
      <c r="F286" s="5" t="s">
        <v>152</v>
      </c>
      <c r="G286" s="6">
        <v>0.4</v>
      </c>
      <c r="H286" s="5" t="s">
        <v>400</v>
      </c>
      <c r="I286" s="5" t="s">
        <v>31</v>
      </c>
      <c r="J286" s="5">
        <v>2025.0</v>
      </c>
      <c r="K286" s="8">
        <v>46084.0</v>
      </c>
      <c r="L286" s="5">
        <v>1.0</v>
      </c>
      <c r="M286" s="7">
        <f t="shared" si="2"/>
        <v>0.4</v>
      </c>
    </row>
    <row r="287">
      <c r="A287" s="5" t="s">
        <v>749</v>
      </c>
      <c r="B287" s="5" t="s">
        <v>750</v>
      </c>
      <c r="C287" s="5" t="s">
        <v>22</v>
      </c>
      <c r="D287" s="5" t="s">
        <v>751</v>
      </c>
      <c r="E287" s="5" t="s">
        <v>715</v>
      </c>
      <c r="F287" s="5" t="s">
        <v>152</v>
      </c>
      <c r="G287" s="6">
        <v>0.45</v>
      </c>
      <c r="H287" s="5" t="s">
        <v>400</v>
      </c>
      <c r="I287" s="5" t="s">
        <v>20</v>
      </c>
      <c r="J287" s="5">
        <v>2025.0</v>
      </c>
      <c r="K287" s="5" t="s">
        <v>752</v>
      </c>
      <c r="L287" s="5">
        <v>2.0</v>
      </c>
      <c r="M287" s="7">
        <f t="shared" si="2"/>
        <v>0.9</v>
      </c>
    </row>
    <row r="288">
      <c r="A288" s="5" t="s">
        <v>749</v>
      </c>
      <c r="B288" s="5" t="s">
        <v>750</v>
      </c>
      <c r="C288" s="5" t="s">
        <v>22</v>
      </c>
      <c r="D288" s="5" t="s">
        <v>751</v>
      </c>
      <c r="E288" s="5" t="s">
        <v>715</v>
      </c>
      <c r="F288" s="5" t="s">
        <v>152</v>
      </c>
      <c r="G288" s="6">
        <v>0.1</v>
      </c>
      <c r="H288" s="5" t="s">
        <v>400</v>
      </c>
      <c r="I288" s="5" t="s">
        <v>20</v>
      </c>
      <c r="J288" s="5">
        <v>2025.0</v>
      </c>
      <c r="K288" s="5" t="s">
        <v>752</v>
      </c>
      <c r="L288" s="5">
        <v>4.0</v>
      </c>
      <c r="M288" s="7">
        <f t="shared" si="2"/>
        <v>0.4</v>
      </c>
    </row>
    <row r="289">
      <c r="A289" s="5" t="s">
        <v>753</v>
      </c>
      <c r="B289" s="5" t="s">
        <v>68</v>
      </c>
      <c r="C289" s="5" t="s">
        <v>15</v>
      </c>
      <c r="D289" s="5" t="s">
        <v>754</v>
      </c>
      <c r="E289" s="5" t="s">
        <v>723</v>
      </c>
      <c r="F289" s="5" t="s">
        <v>152</v>
      </c>
      <c r="G289" s="6">
        <v>0.1</v>
      </c>
      <c r="H289" s="5" t="s">
        <v>400</v>
      </c>
      <c r="I289" s="5" t="s">
        <v>20</v>
      </c>
      <c r="J289" s="5">
        <v>2025.0</v>
      </c>
      <c r="K289" s="5" t="s">
        <v>221</v>
      </c>
      <c r="L289" s="5">
        <v>10.0</v>
      </c>
      <c r="M289" s="7">
        <f t="shared" si="2"/>
        <v>1</v>
      </c>
    </row>
    <row r="290">
      <c r="A290" s="5" t="s">
        <v>755</v>
      </c>
      <c r="B290" s="5" t="s">
        <v>14</v>
      </c>
      <c r="C290" s="5" t="s">
        <v>15</v>
      </c>
      <c r="D290" s="5" t="s">
        <v>756</v>
      </c>
      <c r="E290" s="5" t="s">
        <v>696</v>
      </c>
      <c r="F290" s="5" t="s">
        <v>152</v>
      </c>
      <c r="G290" s="6">
        <v>0.05</v>
      </c>
      <c r="H290" s="5" t="s">
        <v>400</v>
      </c>
      <c r="I290" s="5" t="s">
        <v>20</v>
      </c>
      <c r="J290" s="5">
        <v>2025.0</v>
      </c>
      <c r="K290" s="5" t="s">
        <v>221</v>
      </c>
      <c r="L290" s="5">
        <v>10.0</v>
      </c>
      <c r="M290" s="7">
        <f t="shared" si="2"/>
        <v>0.5</v>
      </c>
    </row>
    <row r="291">
      <c r="A291" s="5" t="s">
        <v>755</v>
      </c>
      <c r="B291" s="5" t="s">
        <v>14</v>
      </c>
      <c r="C291" s="5" t="s">
        <v>15</v>
      </c>
      <c r="D291" s="5" t="s">
        <v>756</v>
      </c>
      <c r="E291" s="5" t="s">
        <v>696</v>
      </c>
      <c r="F291" s="5" t="s">
        <v>152</v>
      </c>
      <c r="G291" s="6">
        <v>0.2</v>
      </c>
      <c r="H291" s="5" t="s">
        <v>400</v>
      </c>
      <c r="I291" s="5" t="s">
        <v>31</v>
      </c>
      <c r="J291" s="5">
        <v>2025.0</v>
      </c>
      <c r="K291" s="5" t="s">
        <v>221</v>
      </c>
      <c r="L291" s="5">
        <v>1.0</v>
      </c>
      <c r="M291" s="7">
        <f t="shared" si="2"/>
        <v>0.2</v>
      </c>
    </row>
    <row r="292">
      <c r="A292" s="5" t="s">
        <v>757</v>
      </c>
      <c r="B292" s="5" t="s">
        <v>758</v>
      </c>
      <c r="C292" s="5" t="s">
        <v>15</v>
      </c>
      <c r="D292" s="5" t="s">
        <v>759</v>
      </c>
      <c r="E292" s="5" t="s">
        <v>696</v>
      </c>
      <c r="F292" s="5" t="s">
        <v>152</v>
      </c>
      <c r="G292" s="6">
        <v>0.05</v>
      </c>
      <c r="H292" s="5" t="s">
        <v>400</v>
      </c>
      <c r="I292" s="5" t="s">
        <v>20</v>
      </c>
      <c r="J292" s="5">
        <v>2025.0</v>
      </c>
      <c r="K292" s="8">
        <v>46055.0</v>
      </c>
      <c r="L292" s="5">
        <v>6.0</v>
      </c>
      <c r="M292" s="7">
        <f t="shared" si="2"/>
        <v>0.3</v>
      </c>
    </row>
    <row r="293">
      <c r="A293" s="5" t="s">
        <v>760</v>
      </c>
      <c r="B293" s="5" t="s">
        <v>721</v>
      </c>
      <c r="C293" s="5" t="s">
        <v>15</v>
      </c>
      <c r="D293" s="5" t="s">
        <v>761</v>
      </c>
      <c r="E293" s="5" t="s">
        <v>708</v>
      </c>
      <c r="F293" s="5" t="s">
        <v>152</v>
      </c>
      <c r="G293" s="6">
        <v>0.09</v>
      </c>
      <c r="H293" s="5" t="s">
        <v>400</v>
      </c>
      <c r="I293" s="5" t="s">
        <v>20</v>
      </c>
      <c r="J293" s="5">
        <v>2025.0</v>
      </c>
      <c r="K293" s="8">
        <v>46083.0</v>
      </c>
      <c r="L293" s="5">
        <v>8.0</v>
      </c>
      <c r="M293" s="7">
        <f t="shared" si="2"/>
        <v>0.72</v>
      </c>
    </row>
    <row r="294">
      <c r="A294" s="5" t="s">
        <v>762</v>
      </c>
      <c r="B294" s="5" t="s">
        <v>763</v>
      </c>
      <c r="C294" s="5" t="s">
        <v>101</v>
      </c>
      <c r="D294" s="5" t="s">
        <v>764</v>
      </c>
      <c r="E294" s="5" t="s">
        <v>765</v>
      </c>
      <c r="F294" s="5" t="s">
        <v>18</v>
      </c>
      <c r="G294" s="6">
        <v>0.79</v>
      </c>
      <c r="H294" s="5" t="s">
        <v>400</v>
      </c>
      <c r="I294" s="5" t="s">
        <v>20</v>
      </c>
      <c r="J294" s="5">
        <v>2025.0</v>
      </c>
      <c r="K294" s="8">
        <v>46085.0</v>
      </c>
      <c r="L294" s="5">
        <v>1.0</v>
      </c>
      <c r="M294" s="7">
        <f t="shared" si="2"/>
        <v>0.79</v>
      </c>
    </row>
    <row r="295">
      <c r="A295" s="5" t="s">
        <v>766</v>
      </c>
      <c r="B295" s="5" t="s">
        <v>767</v>
      </c>
      <c r="C295" s="5" t="s">
        <v>101</v>
      </c>
      <c r="D295" s="5" t="s">
        <v>768</v>
      </c>
      <c r="E295" s="5" t="s">
        <v>769</v>
      </c>
      <c r="F295" s="5" t="s">
        <v>18</v>
      </c>
      <c r="G295" s="6">
        <v>2.85</v>
      </c>
      <c r="H295" s="5" t="s">
        <v>400</v>
      </c>
      <c r="I295" s="5" t="s">
        <v>20</v>
      </c>
      <c r="J295" s="5">
        <v>2025.0</v>
      </c>
      <c r="K295" s="8">
        <v>46084.0</v>
      </c>
      <c r="L295" s="5">
        <v>1.0</v>
      </c>
      <c r="M295" s="7">
        <f t="shared" si="2"/>
        <v>2.85</v>
      </c>
    </row>
    <row r="296">
      <c r="A296" s="5" t="s">
        <v>770</v>
      </c>
      <c r="B296" s="5" t="s">
        <v>771</v>
      </c>
      <c r="C296" s="5" t="s">
        <v>15</v>
      </c>
      <c r="D296" s="5" t="s">
        <v>772</v>
      </c>
      <c r="E296" s="5" t="s">
        <v>35</v>
      </c>
      <c r="F296" s="5" t="s">
        <v>18</v>
      </c>
      <c r="G296" s="6">
        <v>0.04</v>
      </c>
      <c r="H296" s="5" t="s">
        <v>550</v>
      </c>
      <c r="I296" s="5" t="s">
        <v>20</v>
      </c>
      <c r="J296" s="5">
        <v>2025.0</v>
      </c>
      <c r="K296" s="8">
        <v>46116.0</v>
      </c>
      <c r="L296" s="5">
        <v>4.0</v>
      </c>
      <c r="M296" s="7">
        <f t="shared" si="2"/>
        <v>0.16</v>
      </c>
    </row>
    <row r="297">
      <c r="A297" s="5" t="s">
        <v>773</v>
      </c>
      <c r="B297" s="5" t="s">
        <v>387</v>
      </c>
      <c r="C297" s="5" t="s">
        <v>22</v>
      </c>
      <c r="D297" s="5" t="s">
        <v>774</v>
      </c>
      <c r="E297" s="5" t="s">
        <v>17</v>
      </c>
      <c r="F297" s="5" t="s">
        <v>18</v>
      </c>
      <c r="G297" s="6">
        <v>0.76</v>
      </c>
      <c r="H297" s="5" t="s">
        <v>775</v>
      </c>
      <c r="I297" s="5" t="s">
        <v>31</v>
      </c>
      <c r="J297" s="5">
        <v>2025.0</v>
      </c>
      <c r="L297" s="5">
        <v>2.0</v>
      </c>
      <c r="M297" s="7">
        <f t="shared" si="2"/>
        <v>1.52</v>
      </c>
    </row>
    <row r="298">
      <c r="A298" s="5" t="s">
        <v>776</v>
      </c>
      <c r="B298" s="5" t="s">
        <v>612</v>
      </c>
      <c r="C298" s="5" t="s">
        <v>15</v>
      </c>
      <c r="D298" s="5" t="s">
        <v>777</v>
      </c>
      <c r="E298" s="5" t="s">
        <v>24</v>
      </c>
      <c r="F298" s="5" t="s">
        <v>18</v>
      </c>
      <c r="G298" s="6">
        <v>0.1</v>
      </c>
      <c r="H298" s="5" t="s">
        <v>618</v>
      </c>
      <c r="I298" s="5" t="s">
        <v>20</v>
      </c>
      <c r="J298" s="5">
        <v>2025.0</v>
      </c>
      <c r="L298" s="5">
        <v>11.0</v>
      </c>
      <c r="M298" s="7">
        <f t="shared" si="2"/>
        <v>1.1</v>
      </c>
    </row>
    <row r="299">
      <c r="A299" s="5" t="s">
        <v>776</v>
      </c>
      <c r="B299" s="5" t="s">
        <v>612</v>
      </c>
      <c r="C299" s="5" t="s">
        <v>15</v>
      </c>
      <c r="D299" s="5" t="s">
        <v>777</v>
      </c>
      <c r="E299" s="5" t="s">
        <v>24</v>
      </c>
      <c r="F299" s="5" t="s">
        <v>18</v>
      </c>
      <c r="G299" s="6">
        <v>0.1</v>
      </c>
      <c r="H299" s="5" t="s">
        <v>618</v>
      </c>
      <c r="I299" s="5" t="s">
        <v>31</v>
      </c>
      <c r="J299" s="5">
        <v>2025.0</v>
      </c>
      <c r="L299" s="5">
        <v>1.0</v>
      </c>
      <c r="M299" s="7">
        <f t="shared" si="2"/>
        <v>0.1</v>
      </c>
    </row>
    <row r="300">
      <c r="A300" s="5" t="s">
        <v>778</v>
      </c>
      <c r="B300" s="5" t="s">
        <v>612</v>
      </c>
      <c r="C300" s="5" t="s">
        <v>15</v>
      </c>
      <c r="D300" s="5" t="s">
        <v>779</v>
      </c>
      <c r="E300" s="5" t="s">
        <v>24</v>
      </c>
      <c r="F300" s="5" t="s">
        <v>18</v>
      </c>
      <c r="G300" s="6">
        <v>0.05</v>
      </c>
      <c r="H300" s="5" t="s">
        <v>606</v>
      </c>
      <c r="I300" s="5" t="s">
        <v>20</v>
      </c>
      <c r="J300" s="5">
        <v>2025.0</v>
      </c>
      <c r="L300" s="5">
        <v>10.0</v>
      </c>
      <c r="M300" s="7">
        <f t="shared" si="2"/>
        <v>0.5</v>
      </c>
    </row>
    <row r="301">
      <c r="A301" s="5" t="s">
        <v>780</v>
      </c>
      <c r="B301" s="5" t="s">
        <v>14</v>
      </c>
      <c r="C301" s="5" t="s">
        <v>22</v>
      </c>
      <c r="D301" s="5" t="s">
        <v>781</v>
      </c>
      <c r="E301" s="5" t="s">
        <v>782</v>
      </c>
      <c r="F301" s="5" t="s">
        <v>18</v>
      </c>
      <c r="G301" s="6">
        <v>0.2</v>
      </c>
      <c r="H301" s="5" t="s">
        <v>400</v>
      </c>
      <c r="I301" s="5" t="s">
        <v>20</v>
      </c>
      <c r="J301" s="5">
        <v>2025.0</v>
      </c>
      <c r="L301" s="5">
        <v>2.0</v>
      </c>
      <c r="M301" s="7">
        <f t="shared" si="2"/>
        <v>0.4</v>
      </c>
    </row>
    <row r="302">
      <c r="A302" s="5" t="s">
        <v>780</v>
      </c>
      <c r="B302" s="5" t="s">
        <v>14</v>
      </c>
      <c r="C302" s="5" t="s">
        <v>22</v>
      </c>
      <c r="D302" s="5" t="s">
        <v>781</v>
      </c>
      <c r="E302" s="5" t="s">
        <v>782</v>
      </c>
      <c r="F302" s="5" t="s">
        <v>18</v>
      </c>
      <c r="G302" s="6">
        <v>1.28</v>
      </c>
      <c r="H302" s="5" t="s">
        <v>400</v>
      </c>
      <c r="I302" s="5" t="s">
        <v>31</v>
      </c>
      <c r="J302" s="5">
        <v>2025.0</v>
      </c>
      <c r="L302" s="5">
        <v>1.0</v>
      </c>
      <c r="M302" s="7">
        <f t="shared" si="2"/>
        <v>1.28</v>
      </c>
    </row>
    <row r="303">
      <c r="A303" s="5" t="s">
        <v>783</v>
      </c>
      <c r="B303" s="5" t="s">
        <v>14</v>
      </c>
      <c r="C303" s="5" t="s">
        <v>22</v>
      </c>
      <c r="D303" s="5" t="s">
        <v>784</v>
      </c>
      <c r="E303" s="5" t="s">
        <v>785</v>
      </c>
      <c r="F303" s="5" t="s">
        <v>18</v>
      </c>
      <c r="G303" s="6">
        <v>0.18</v>
      </c>
      <c r="H303" s="5" t="s">
        <v>400</v>
      </c>
      <c r="I303" s="5" t="s">
        <v>20</v>
      </c>
      <c r="J303" s="5">
        <v>2025.0</v>
      </c>
      <c r="L303" s="5">
        <v>3.0</v>
      </c>
      <c r="M303" s="7">
        <f t="shared" si="2"/>
        <v>0.54</v>
      </c>
    </row>
    <row r="304">
      <c r="A304" s="5" t="s">
        <v>786</v>
      </c>
      <c r="B304" s="5" t="s">
        <v>787</v>
      </c>
      <c r="C304" s="5" t="s">
        <v>22</v>
      </c>
      <c r="D304" s="5" t="s">
        <v>788</v>
      </c>
      <c r="E304" s="5" t="s">
        <v>221</v>
      </c>
      <c r="F304" s="5" t="s">
        <v>18</v>
      </c>
      <c r="G304" s="6">
        <v>0.15</v>
      </c>
      <c r="H304" s="5" t="s">
        <v>400</v>
      </c>
      <c r="I304" s="5" t="s">
        <v>20</v>
      </c>
      <c r="J304" s="5">
        <v>2025.0</v>
      </c>
      <c r="K304" s="8">
        <v>46055.0</v>
      </c>
      <c r="L304" s="5">
        <v>1.0</v>
      </c>
      <c r="M304" s="7">
        <f t="shared" si="2"/>
        <v>0.15</v>
      </c>
    </row>
    <row r="305">
      <c r="A305" s="5" t="s">
        <v>789</v>
      </c>
      <c r="B305" s="5" t="s">
        <v>790</v>
      </c>
      <c r="C305" s="5" t="s">
        <v>22</v>
      </c>
      <c r="D305" s="5" t="s">
        <v>791</v>
      </c>
      <c r="E305" s="5" t="s">
        <v>792</v>
      </c>
      <c r="F305" s="5" t="s">
        <v>18</v>
      </c>
      <c r="G305" s="6">
        <v>0.5</v>
      </c>
      <c r="H305" s="5" t="s">
        <v>400</v>
      </c>
      <c r="I305" s="5" t="s">
        <v>20</v>
      </c>
      <c r="J305" s="5">
        <v>2025.0</v>
      </c>
      <c r="K305" s="8">
        <v>46056.0</v>
      </c>
      <c r="L305" s="5">
        <v>2.0</v>
      </c>
      <c r="M305" s="7">
        <f t="shared" si="2"/>
        <v>1</v>
      </c>
    </row>
    <row r="306">
      <c r="A306" s="5" t="s">
        <v>793</v>
      </c>
      <c r="B306" s="5" t="s">
        <v>794</v>
      </c>
      <c r="C306" s="5" t="s">
        <v>22</v>
      </c>
      <c r="D306" s="5" t="s">
        <v>795</v>
      </c>
      <c r="E306" s="5" t="s">
        <v>785</v>
      </c>
      <c r="F306" s="5" t="s">
        <v>18</v>
      </c>
      <c r="G306" s="6">
        <v>0.24</v>
      </c>
      <c r="H306" s="5" t="s">
        <v>400</v>
      </c>
      <c r="I306" s="5" t="s">
        <v>20</v>
      </c>
      <c r="J306" s="5">
        <v>2025.0</v>
      </c>
      <c r="K306" s="8">
        <v>46055.0</v>
      </c>
      <c r="L306" s="5">
        <v>1.0</v>
      </c>
      <c r="M306" s="7">
        <f t="shared" si="2"/>
        <v>0.24</v>
      </c>
    </row>
    <row r="307">
      <c r="A307" s="5" t="s">
        <v>796</v>
      </c>
      <c r="B307" s="5" t="s">
        <v>63</v>
      </c>
      <c r="C307" s="5" t="s">
        <v>22</v>
      </c>
      <c r="D307" s="5" t="s">
        <v>797</v>
      </c>
      <c r="E307" s="5" t="s">
        <v>785</v>
      </c>
      <c r="F307" s="5" t="s">
        <v>18</v>
      </c>
      <c r="G307" s="6">
        <v>1.14</v>
      </c>
      <c r="H307" s="5" t="s">
        <v>400</v>
      </c>
      <c r="I307" s="5" t="s">
        <v>31</v>
      </c>
      <c r="J307" s="5">
        <v>2025.0</v>
      </c>
      <c r="L307" s="5">
        <v>1.0</v>
      </c>
      <c r="M307" s="7">
        <f t="shared" si="2"/>
        <v>1.14</v>
      </c>
    </row>
    <row r="308">
      <c r="A308" s="5" t="s">
        <v>796</v>
      </c>
      <c r="B308" s="5" t="s">
        <v>63</v>
      </c>
      <c r="C308" s="5" t="s">
        <v>22</v>
      </c>
      <c r="D308" s="5" t="s">
        <v>797</v>
      </c>
      <c r="E308" s="5" t="s">
        <v>785</v>
      </c>
      <c r="F308" s="5" t="s">
        <v>18</v>
      </c>
      <c r="G308" s="6">
        <v>0.28</v>
      </c>
      <c r="H308" s="5" t="s">
        <v>400</v>
      </c>
      <c r="I308" s="5" t="s">
        <v>20</v>
      </c>
      <c r="J308" s="5">
        <v>2025.0</v>
      </c>
      <c r="L308" s="5">
        <v>1.0</v>
      </c>
      <c r="M308" s="7">
        <f t="shared" si="2"/>
        <v>0.28</v>
      </c>
    </row>
    <row r="309">
      <c r="A309" s="5" t="s">
        <v>798</v>
      </c>
      <c r="B309" s="5" t="s">
        <v>799</v>
      </c>
      <c r="C309" s="5" t="s">
        <v>22</v>
      </c>
      <c r="D309" s="5" t="s">
        <v>800</v>
      </c>
      <c r="E309" s="5" t="s">
        <v>801</v>
      </c>
      <c r="F309" s="5" t="s">
        <v>18</v>
      </c>
      <c r="G309" s="6">
        <v>0.25</v>
      </c>
      <c r="H309" s="5" t="s">
        <v>400</v>
      </c>
      <c r="I309" s="5" t="s">
        <v>20</v>
      </c>
      <c r="J309" s="5">
        <v>2025.0</v>
      </c>
      <c r="K309" s="8">
        <v>46242.0</v>
      </c>
      <c r="L309" s="5">
        <v>1.0</v>
      </c>
      <c r="M309" s="7">
        <f t="shared" si="2"/>
        <v>0.25</v>
      </c>
    </row>
    <row r="310">
      <c r="A310" s="5" t="s">
        <v>802</v>
      </c>
      <c r="B310" s="5" t="s">
        <v>68</v>
      </c>
      <c r="C310" s="5" t="s">
        <v>22</v>
      </c>
      <c r="D310" s="5" t="s">
        <v>803</v>
      </c>
      <c r="E310" s="5" t="s">
        <v>765</v>
      </c>
      <c r="F310" s="5" t="s">
        <v>18</v>
      </c>
      <c r="G310" s="6">
        <v>0.2</v>
      </c>
      <c r="H310" s="5" t="s">
        <v>400</v>
      </c>
      <c r="I310" s="5" t="s">
        <v>20</v>
      </c>
      <c r="J310" s="5">
        <v>2025.0</v>
      </c>
      <c r="L310" s="5">
        <v>1.0</v>
      </c>
      <c r="M310" s="7">
        <f t="shared" si="2"/>
        <v>0.2</v>
      </c>
    </row>
    <row r="311">
      <c r="A311" s="5" t="s">
        <v>804</v>
      </c>
      <c r="B311" s="5" t="s">
        <v>63</v>
      </c>
      <c r="C311" s="5" t="s">
        <v>22</v>
      </c>
      <c r="D311" s="5" t="s">
        <v>805</v>
      </c>
      <c r="E311" s="5" t="s">
        <v>785</v>
      </c>
      <c r="F311" s="5" t="s">
        <v>18</v>
      </c>
      <c r="G311" s="6">
        <v>0.15</v>
      </c>
      <c r="H311" s="5" t="s">
        <v>400</v>
      </c>
      <c r="I311" s="5" t="s">
        <v>20</v>
      </c>
      <c r="J311" s="5">
        <v>2025.0</v>
      </c>
      <c r="K311" s="5" t="s">
        <v>221</v>
      </c>
      <c r="L311" s="5">
        <v>1.0</v>
      </c>
      <c r="M311" s="7">
        <f t="shared" si="2"/>
        <v>0.15</v>
      </c>
    </row>
    <row r="312">
      <c r="A312" s="5" t="s">
        <v>806</v>
      </c>
      <c r="B312" s="5" t="s">
        <v>82</v>
      </c>
      <c r="C312" s="5" t="s">
        <v>22</v>
      </c>
      <c r="D312" s="5" t="s">
        <v>807</v>
      </c>
      <c r="E312" s="5" t="s">
        <v>765</v>
      </c>
      <c r="F312" s="5" t="s">
        <v>18</v>
      </c>
      <c r="G312" s="6">
        <v>0.28</v>
      </c>
      <c r="H312" s="5" t="s">
        <v>400</v>
      </c>
      <c r="I312" s="5" t="s">
        <v>20</v>
      </c>
      <c r="J312" s="5">
        <v>2025.0</v>
      </c>
      <c r="K312" s="5" t="s">
        <v>221</v>
      </c>
      <c r="L312" s="5">
        <v>1.0</v>
      </c>
      <c r="M312" s="7">
        <f t="shared" si="2"/>
        <v>0.28</v>
      </c>
    </row>
    <row r="313">
      <c r="A313" s="5" t="s">
        <v>808</v>
      </c>
      <c r="B313" s="5" t="s">
        <v>425</v>
      </c>
      <c r="C313" s="5" t="s">
        <v>22</v>
      </c>
      <c r="D313" s="5" t="s">
        <v>809</v>
      </c>
      <c r="E313" s="5" t="s">
        <v>782</v>
      </c>
      <c r="F313" s="5" t="s">
        <v>18</v>
      </c>
      <c r="G313" s="6">
        <v>0.23</v>
      </c>
      <c r="H313" s="5" t="s">
        <v>400</v>
      </c>
      <c r="I313" s="5" t="s">
        <v>20</v>
      </c>
      <c r="J313" s="5">
        <v>2025.0</v>
      </c>
      <c r="K313" s="8">
        <v>46084.0</v>
      </c>
      <c r="L313" s="5">
        <v>2.0</v>
      </c>
      <c r="M313" s="7">
        <f t="shared" si="2"/>
        <v>0.46</v>
      </c>
    </row>
    <row r="314">
      <c r="A314" s="5" t="s">
        <v>810</v>
      </c>
      <c r="B314" s="5" t="s">
        <v>68</v>
      </c>
      <c r="C314" s="5" t="s">
        <v>15</v>
      </c>
      <c r="D314" s="5" t="s">
        <v>811</v>
      </c>
      <c r="E314" s="5" t="s">
        <v>785</v>
      </c>
      <c r="F314" s="5" t="s">
        <v>18</v>
      </c>
      <c r="G314" s="6">
        <v>0.05</v>
      </c>
      <c r="H314" s="5" t="s">
        <v>400</v>
      </c>
      <c r="I314" s="5" t="s">
        <v>20</v>
      </c>
      <c r="J314" s="5">
        <v>2025.0</v>
      </c>
      <c r="K314" s="5" t="s">
        <v>221</v>
      </c>
      <c r="L314" s="5">
        <v>8.0</v>
      </c>
      <c r="M314" s="7">
        <f t="shared" si="2"/>
        <v>0.4</v>
      </c>
    </row>
    <row r="315">
      <c r="A315" s="5" t="s">
        <v>812</v>
      </c>
      <c r="B315" s="5" t="s">
        <v>813</v>
      </c>
      <c r="C315" s="5" t="s">
        <v>15</v>
      </c>
      <c r="D315" s="5" t="s">
        <v>814</v>
      </c>
      <c r="E315" s="5" t="s">
        <v>785</v>
      </c>
      <c r="F315" s="5" t="s">
        <v>18</v>
      </c>
      <c r="G315" s="6">
        <v>0.05</v>
      </c>
      <c r="H315" s="5" t="s">
        <v>400</v>
      </c>
      <c r="I315" s="5" t="s">
        <v>20</v>
      </c>
      <c r="J315" s="5">
        <v>2025.0</v>
      </c>
      <c r="K315" s="8">
        <v>46082.0</v>
      </c>
      <c r="L315" s="5">
        <v>7.0</v>
      </c>
      <c r="M315" s="7">
        <f t="shared" si="2"/>
        <v>0.35</v>
      </c>
    </row>
    <row r="316">
      <c r="A316" s="5" t="s">
        <v>815</v>
      </c>
      <c r="B316" s="5" t="s">
        <v>68</v>
      </c>
      <c r="C316" s="5" t="s">
        <v>15</v>
      </c>
      <c r="D316" s="5" t="s">
        <v>816</v>
      </c>
      <c r="E316" s="5" t="s">
        <v>785</v>
      </c>
      <c r="F316" s="5" t="s">
        <v>18</v>
      </c>
      <c r="G316" s="6">
        <v>0.05</v>
      </c>
      <c r="H316" s="5" t="s">
        <v>400</v>
      </c>
      <c r="I316" s="5" t="s">
        <v>20</v>
      </c>
      <c r="J316" s="5">
        <v>2025.0</v>
      </c>
      <c r="K316" s="5" t="s">
        <v>221</v>
      </c>
      <c r="L316" s="5">
        <v>6.0</v>
      </c>
      <c r="M316" s="7">
        <f t="shared" si="2"/>
        <v>0.3</v>
      </c>
    </row>
    <row r="317">
      <c r="A317" s="5" t="s">
        <v>817</v>
      </c>
      <c r="B317" s="5" t="s">
        <v>813</v>
      </c>
      <c r="C317" s="5" t="s">
        <v>15</v>
      </c>
      <c r="D317" s="5" t="s">
        <v>818</v>
      </c>
      <c r="E317" s="5" t="s">
        <v>782</v>
      </c>
      <c r="F317" s="5" t="s">
        <v>18</v>
      </c>
      <c r="G317" s="6">
        <v>0.05</v>
      </c>
      <c r="H317" s="5" t="s">
        <v>400</v>
      </c>
      <c r="I317" s="5" t="s">
        <v>20</v>
      </c>
      <c r="J317" s="5">
        <v>2025.0</v>
      </c>
      <c r="K317" s="8">
        <v>46023.0</v>
      </c>
      <c r="L317" s="5">
        <v>11.0</v>
      </c>
      <c r="M317" s="7">
        <f t="shared" si="2"/>
        <v>0.55</v>
      </c>
    </row>
    <row r="318">
      <c r="A318" s="5" t="s">
        <v>819</v>
      </c>
      <c r="B318" s="5" t="s">
        <v>422</v>
      </c>
      <c r="C318" s="5" t="s">
        <v>15</v>
      </c>
      <c r="D318" s="5" t="s">
        <v>820</v>
      </c>
      <c r="E318" s="5" t="s">
        <v>785</v>
      </c>
      <c r="F318" s="5" t="s">
        <v>18</v>
      </c>
      <c r="G318" s="6">
        <v>0.18</v>
      </c>
      <c r="H318" s="5" t="s">
        <v>400</v>
      </c>
      <c r="I318" s="5" t="s">
        <v>20</v>
      </c>
      <c r="J318" s="5">
        <v>2025.0</v>
      </c>
      <c r="K318" s="8">
        <v>46023.0</v>
      </c>
      <c r="L318" s="5">
        <v>8.0</v>
      </c>
      <c r="M318" s="7">
        <f t="shared" si="2"/>
        <v>1.44</v>
      </c>
    </row>
    <row r="319">
      <c r="A319" s="5" t="s">
        <v>821</v>
      </c>
      <c r="B319" s="5" t="s">
        <v>822</v>
      </c>
      <c r="C319" s="5" t="s">
        <v>15</v>
      </c>
      <c r="D319" s="5" t="s">
        <v>823</v>
      </c>
      <c r="E319" s="5" t="s">
        <v>824</v>
      </c>
      <c r="F319" s="5" t="s">
        <v>18</v>
      </c>
      <c r="G319" s="6">
        <v>0.1</v>
      </c>
      <c r="H319" s="5" t="s">
        <v>400</v>
      </c>
      <c r="I319" s="5" t="s">
        <v>20</v>
      </c>
      <c r="J319" s="5">
        <v>2025.0</v>
      </c>
      <c r="K319" s="8">
        <v>46116.0</v>
      </c>
      <c r="L319" s="5">
        <v>8.0</v>
      </c>
      <c r="M319" s="7">
        <f t="shared" si="2"/>
        <v>0.8</v>
      </c>
    </row>
    <row r="320">
      <c r="A320" s="5" t="s">
        <v>825</v>
      </c>
      <c r="B320" s="5" t="s">
        <v>406</v>
      </c>
      <c r="C320" s="5" t="s">
        <v>15</v>
      </c>
      <c r="D320" s="5" t="s">
        <v>826</v>
      </c>
      <c r="E320" s="5" t="s">
        <v>792</v>
      </c>
      <c r="F320" s="5" t="s">
        <v>18</v>
      </c>
      <c r="G320" s="6">
        <v>0.1</v>
      </c>
      <c r="H320" s="5" t="s">
        <v>400</v>
      </c>
      <c r="I320" s="5" t="s">
        <v>20</v>
      </c>
      <c r="J320" s="5">
        <v>2025.0</v>
      </c>
      <c r="K320" s="5" t="s">
        <v>221</v>
      </c>
      <c r="L320" s="5">
        <v>10.0</v>
      </c>
      <c r="M320" s="7">
        <f t="shared" si="2"/>
        <v>1</v>
      </c>
    </row>
    <row r="321">
      <c r="A321" s="5" t="s">
        <v>827</v>
      </c>
      <c r="B321" s="5" t="s">
        <v>68</v>
      </c>
      <c r="C321" s="5" t="s">
        <v>15</v>
      </c>
      <c r="D321" s="5" t="s">
        <v>828</v>
      </c>
      <c r="E321" s="5" t="s">
        <v>782</v>
      </c>
      <c r="F321" s="5" t="s">
        <v>18</v>
      </c>
      <c r="G321" s="6">
        <v>0.1</v>
      </c>
      <c r="H321" s="5" t="s">
        <v>400</v>
      </c>
      <c r="I321" s="5" t="s">
        <v>20</v>
      </c>
      <c r="J321" s="5">
        <v>2025.0</v>
      </c>
      <c r="K321" s="5" t="s">
        <v>221</v>
      </c>
      <c r="L321" s="5">
        <v>4.0</v>
      </c>
      <c r="M321" s="7">
        <f t="shared" si="2"/>
        <v>0.4</v>
      </c>
    </row>
    <row r="322">
      <c r="A322" s="5" t="s">
        <v>827</v>
      </c>
      <c r="B322" s="5" t="s">
        <v>68</v>
      </c>
      <c r="C322" s="5" t="s">
        <v>15</v>
      </c>
      <c r="D322" s="5" t="s">
        <v>828</v>
      </c>
      <c r="E322" s="5" t="s">
        <v>782</v>
      </c>
      <c r="F322" s="5" t="s">
        <v>18</v>
      </c>
      <c r="G322" s="6">
        <v>0.24</v>
      </c>
      <c r="H322" s="5" t="s">
        <v>400</v>
      </c>
      <c r="I322" s="5" t="s">
        <v>31</v>
      </c>
      <c r="J322" s="5">
        <v>2025.0</v>
      </c>
      <c r="K322" s="5" t="s">
        <v>221</v>
      </c>
      <c r="L322" s="5">
        <v>1.0</v>
      </c>
      <c r="M322" s="7">
        <f t="shared" si="2"/>
        <v>0.24</v>
      </c>
    </row>
    <row r="323">
      <c r="A323" s="5" t="s">
        <v>829</v>
      </c>
      <c r="B323" s="5" t="s">
        <v>14</v>
      </c>
      <c r="C323" s="5" t="s">
        <v>15</v>
      </c>
      <c r="D323" s="5" t="s">
        <v>830</v>
      </c>
      <c r="E323" s="5" t="s">
        <v>785</v>
      </c>
      <c r="F323" s="5" t="s">
        <v>18</v>
      </c>
      <c r="G323" s="6">
        <v>0.05</v>
      </c>
      <c r="H323" s="5" t="s">
        <v>400</v>
      </c>
      <c r="I323" s="5" t="s">
        <v>20</v>
      </c>
      <c r="J323" s="5">
        <v>2025.0</v>
      </c>
      <c r="K323" s="5" t="s">
        <v>221</v>
      </c>
      <c r="L323" s="5">
        <v>11.0</v>
      </c>
      <c r="M323" s="7">
        <f t="shared" si="2"/>
        <v>0.55</v>
      </c>
    </row>
    <row r="324">
      <c r="A324" s="5" t="s">
        <v>831</v>
      </c>
      <c r="B324" s="5" t="s">
        <v>832</v>
      </c>
      <c r="C324" s="5" t="s">
        <v>15</v>
      </c>
      <c r="D324" s="5" t="s">
        <v>833</v>
      </c>
      <c r="E324" s="5" t="s">
        <v>834</v>
      </c>
      <c r="F324" s="5" t="s">
        <v>18</v>
      </c>
      <c r="G324" s="6">
        <v>0.1</v>
      </c>
      <c r="H324" s="5" t="s">
        <v>400</v>
      </c>
      <c r="I324" s="5" t="s">
        <v>20</v>
      </c>
      <c r="J324" s="5">
        <v>2025.0</v>
      </c>
      <c r="K324" s="8">
        <v>46179.0</v>
      </c>
      <c r="L324" s="5">
        <v>4.0</v>
      </c>
      <c r="M324" s="7">
        <f t="shared" si="2"/>
        <v>0.4</v>
      </c>
    </row>
    <row r="325">
      <c r="A325" s="5" t="s">
        <v>831</v>
      </c>
      <c r="B325" s="5" t="s">
        <v>832</v>
      </c>
      <c r="C325" s="5" t="s">
        <v>15</v>
      </c>
      <c r="D325" s="5" t="s">
        <v>833</v>
      </c>
      <c r="E325" s="5" t="s">
        <v>834</v>
      </c>
      <c r="F325" s="5" t="s">
        <v>18</v>
      </c>
      <c r="G325" s="6">
        <v>0.24</v>
      </c>
      <c r="H325" s="5" t="s">
        <v>400</v>
      </c>
      <c r="I325" s="5" t="s">
        <v>31</v>
      </c>
      <c r="J325" s="5">
        <v>2025.0</v>
      </c>
      <c r="K325" s="8">
        <v>46179.0</v>
      </c>
      <c r="L325" s="5">
        <v>1.0</v>
      </c>
      <c r="M325" s="7">
        <f t="shared" si="2"/>
        <v>0.24</v>
      </c>
    </row>
    <row r="326">
      <c r="A326" s="5" t="s">
        <v>835</v>
      </c>
      <c r="B326" s="5" t="s">
        <v>836</v>
      </c>
      <c r="C326" s="5" t="s">
        <v>15</v>
      </c>
      <c r="D326" s="5" t="s">
        <v>837</v>
      </c>
      <c r="E326" s="5" t="s">
        <v>792</v>
      </c>
      <c r="F326" s="5" t="s">
        <v>18</v>
      </c>
      <c r="G326" s="6">
        <v>0.1</v>
      </c>
      <c r="H326" s="5" t="s">
        <v>400</v>
      </c>
      <c r="I326" s="5" t="s">
        <v>20</v>
      </c>
      <c r="J326" s="5">
        <v>2025.0</v>
      </c>
      <c r="K326" s="8">
        <v>46056.0</v>
      </c>
      <c r="L326" s="5">
        <v>2.0</v>
      </c>
      <c r="M326" s="7">
        <f t="shared" si="2"/>
        <v>0.2</v>
      </c>
    </row>
    <row r="327">
      <c r="A327" s="5" t="s">
        <v>838</v>
      </c>
      <c r="B327" s="5" t="s">
        <v>406</v>
      </c>
      <c r="C327" s="5" t="s">
        <v>101</v>
      </c>
      <c r="D327" s="5" t="s">
        <v>839</v>
      </c>
      <c r="E327" s="5" t="s">
        <v>840</v>
      </c>
      <c r="F327" s="5" t="s">
        <v>88</v>
      </c>
      <c r="G327" s="6">
        <v>3.2</v>
      </c>
      <c r="H327" s="5" t="s">
        <v>400</v>
      </c>
      <c r="I327" s="5" t="s">
        <v>20</v>
      </c>
      <c r="J327" s="5">
        <v>2025.0</v>
      </c>
      <c r="K327" s="5" t="s">
        <v>221</v>
      </c>
      <c r="L327" s="5">
        <v>1.0</v>
      </c>
      <c r="M327" s="7">
        <f t="shared" si="2"/>
        <v>3.2</v>
      </c>
    </row>
    <row r="328">
      <c r="A328" s="5" t="s">
        <v>841</v>
      </c>
      <c r="B328" s="5" t="s">
        <v>842</v>
      </c>
      <c r="C328" s="5" t="s">
        <v>101</v>
      </c>
      <c r="D328" s="5" t="s">
        <v>843</v>
      </c>
      <c r="E328" s="5" t="s">
        <v>844</v>
      </c>
      <c r="F328" s="5" t="s">
        <v>88</v>
      </c>
      <c r="G328" s="6">
        <v>2.3</v>
      </c>
      <c r="H328" s="5" t="s">
        <v>400</v>
      </c>
      <c r="I328" s="5" t="s">
        <v>20</v>
      </c>
      <c r="J328" s="5">
        <v>2025.0</v>
      </c>
      <c r="K328" s="8">
        <v>46179.0</v>
      </c>
      <c r="L328" s="5">
        <v>1.0</v>
      </c>
      <c r="M328" s="7">
        <f t="shared" si="2"/>
        <v>2.3</v>
      </c>
    </row>
    <row r="329">
      <c r="A329" s="5" t="s">
        <v>845</v>
      </c>
      <c r="B329" s="5" t="s">
        <v>846</v>
      </c>
      <c r="C329" s="5" t="s">
        <v>101</v>
      </c>
      <c r="D329" s="5" t="s">
        <v>847</v>
      </c>
      <c r="E329" s="5" t="s">
        <v>844</v>
      </c>
      <c r="F329" s="5" t="s">
        <v>88</v>
      </c>
      <c r="G329" s="6">
        <v>0.73</v>
      </c>
      <c r="H329" s="5" t="s">
        <v>400</v>
      </c>
      <c r="I329" s="5" t="s">
        <v>20</v>
      </c>
      <c r="J329" s="5">
        <v>2025.0</v>
      </c>
      <c r="K329" s="8">
        <v>46146.0</v>
      </c>
      <c r="L329" s="5">
        <v>1.0</v>
      </c>
      <c r="M329" s="7">
        <f t="shared" si="2"/>
        <v>0.73</v>
      </c>
    </row>
    <row r="330">
      <c r="A330" s="5" t="s">
        <v>848</v>
      </c>
      <c r="B330" s="5" t="s">
        <v>849</v>
      </c>
      <c r="C330" s="5" t="s">
        <v>15</v>
      </c>
      <c r="D330" s="5" t="s">
        <v>850</v>
      </c>
      <c r="E330" s="5" t="s">
        <v>87</v>
      </c>
      <c r="F330" s="5" t="s">
        <v>88</v>
      </c>
      <c r="G330" s="6">
        <v>0.05</v>
      </c>
      <c r="H330" s="5" t="s">
        <v>600</v>
      </c>
      <c r="I330" s="5" t="s">
        <v>20</v>
      </c>
      <c r="J330" s="5">
        <v>2025.0</v>
      </c>
      <c r="K330" s="8">
        <v>46082.0</v>
      </c>
      <c r="L330" s="5">
        <v>6.0</v>
      </c>
      <c r="M330" s="7">
        <f t="shared" si="2"/>
        <v>0.3</v>
      </c>
    </row>
    <row r="331">
      <c r="A331" s="5" t="s">
        <v>848</v>
      </c>
      <c r="B331" s="5" t="s">
        <v>849</v>
      </c>
      <c r="C331" s="5" t="s">
        <v>15</v>
      </c>
      <c r="D331" s="5" t="s">
        <v>850</v>
      </c>
      <c r="E331" s="5" t="s">
        <v>87</v>
      </c>
      <c r="F331" s="5" t="s">
        <v>88</v>
      </c>
      <c r="G331" s="6">
        <v>0.05</v>
      </c>
      <c r="H331" s="5" t="s">
        <v>600</v>
      </c>
      <c r="I331" s="5" t="s">
        <v>31</v>
      </c>
      <c r="J331" s="5">
        <v>2025.0</v>
      </c>
      <c r="K331" s="8">
        <v>46082.0</v>
      </c>
      <c r="L331" s="5">
        <v>1.0</v>
      </c>
      <c r="M331" s="7">
        <f t="shared" si="2"/>
        <v>0.05</v>
      </c>
    </row>
    <row r="332">
      <c r="A332" s="5" t="s">
        <v>851</v>
      </c>
      <c r="B332" s="5" t="s">
        <v>852</v>
      </c>
      <c r="C332" s="5" t="s">
        <v>15</v>
      </c>
      <c r="D332" s="5" t="s">
        <v>853</v>
      </c>
      <c r="E332" s="5" t="s">
        <v>103</v>
      </c>
      <c r="F332" s="5" t="s">
        <v>88</v>
      </c>
      <c r="G332" s="6">
        <v>0.05</v>
      </c>
      <c r="H332" s="5" t="s">
        <v>618</v>
      </c>
      <c r="I332" s="5" t="s">
        <v>20</v>
      </c>
      <c r="J332" s="5">
        <v>2025.0</v>
      </c>
      <c r="K332" s="8">
        <v>46024.0</v>
      </c>
      <c r="L332" s="5">
        <v>3.0</v>
      </c>
      <c r="M332" s="7">
        <f t="shared" si="2"/>
        <v>0.15</v>
      </c>
    </row>
    <row r="333">
      <c r="A333" s="5" t="s">
        <v>854</v>
      </c>
      <c r="B333" s="5" t="s">
        <v>855</v>
      </c>
      <c r="C333" s="5" t="s">
        <v>22</v>
      </c>
      <c r="D333" s="5" t="s">
        <v>856</v>
      </c>
      <c r="E333" s="5" t="s">
        <v>87</v>
      </c>
      <c r="F333" s="5" t="s">
        <v>88</v>
      </c>
      <c r="G333" s="6">
        <v>0.05</v>
      </c>
      <c r="H333" s="5" t="s">
        <v>600</v>
      </c>
      <c r="I333" s="5" t="s">
        <v>20</v>
      </c>
      <c r="J333" s="5">
        <v>2025.0</v>
      </c>
      <c r="K333" s="8">
        <v>46024.0</v>
      </c>
      <c r="L333" s="5">
        <v>2.0</v>
      </c>
      <c r="M333" s="7">
        <f t="shared" si="2"/>
        <v>0.1</v>
      </c>
    </row>
    <row r="334">
      <c r="A334" s="5" t="s">
        <v>857</v>
      </c>
      <c r="B334" s="5" t="s">
        <v>612</v>
      </c>
      <c r="C334" s="5" t="s">
        <v>15</v>
      </c>
      <c r="D334" s="5" t="s">
        <v>858</v>
      </c>
      <c r="E334" s="5" t="s">
        <v>113</v>
      </c>
      <c r="F334" s="5" t="s">
        <v>88</v>
      </c>
      <c r="G334" s="6">
        <v>0.2</v>
      </c>
      <c r="H334" s="5" t="s">
        <v>859</v>
      </c>
      <c r="I334" s="5" t="s">
        <v>20</v>
      </c>
      <c r="J334" s="5">
        <v>2025.0</v>
      </c>
      <c r="L334" s="5">
        <v>6.0</v>
      </c>
      <c r="M334" s="7">
        <f t="shared" si="2"/>
        <v>1.2</v>
      </c>
    </row>
    <row r="335">
      <c r="A335" s="5" t="s">
        <v>860</v>
      </c>
      <c r="B335" s="5" t="s">
        <v>861</v>
      </c>
      <c r="C335" s="5" t="s">
        <v>15</v>
      </c>
      <c r="D335" s="5" t="s">
        <v>862</v>
      </c>
      <c r="E335" s="5" t="s">
        <v>844</v>
      </c>
      <c r="F335" s="5" t="s">
        <v>88</v>
      </c>
      <c r="G335" s="6">
        <v>0.05</v>
      </c>
      <c r="H335" s="5" t="s">
        <v>400</v>
      </c>
      <c r="I335" s="5" t="s">
        <v>20</v>
      </c>
      <c r="J335" s="5">
        <v>2025.0</v>
      </c>
      <c r="K335" s="8">
        <v>46117.0</v>
      </c>
      <c r="L335" s="5">
        <v>7.0</v>
      </c>
      <c r="M335" s="7">
        <f t="shared" si="2"/>
        <v>0.35</v>
      </c>
    </row>
    <row r="336">
      <c r="A336" s="5" t="s">
        <v>860</v>
      </c>
      <c r="B336" s="5" t="s">
        <v>861</v>
      </c>
      <c r="C336" s="5" t="s">
        <v>15</v>
      </c>
      <c r="D336" s="5" t="s">
        <v>862</v>
      </c>
      <c r="E336" s="5" t="s">
        <v>844</v>
      </c>
      <c r="F336" s="5" t="s">
        <v>88</v>
      </c>
      <c r="G336" s="6">
        <v>0.24</v>
      </c>
      <c r="H336" s="5" t="s">
        <v>400</v>
      </c>
      <c r="I336" s="5" t="s">
        <v>31</v>
      </c>
      <c r="J336" s="5">
        <v>2025.0</v>
      </c>
      <c r="K336" s="8">
        <v>46117.0</v>
      </c>
      <c r="L336" s="5">
        <v>2.0</v>
      </c>
      <c r="M336" s="7">
        <f t="shared" si="2"/>
        <v>0.48</v>
      </c>
    </row>
    <row r="337">
      <c r="A337" s="5" t="s">
        <v>863</v>
      </c>
      <c r="B337" s="5" t="s">
        <v>68</v>
      </c>
      <c r="C337" s="5" t="s">
        <v>15</v>
      </c>
      <c r="D337" s="5" t="s">
        <v>864</v>
      </c>
      <c r="E337" s="5" t="s">
        <v>865</v>
      </c>
      <c r="F337" s="5" t="s">
        <v>88</v>
      </c>
      <c r="G337" s="6">
        <v>0.1</v>
      </c>
      <c r="H337" s="5" t="s">
        <v>400</v>
      </c>
      <c r="I337" s="5" t="s">
        <v>20</v>
      </c>
      <c r="J337" s="5">
        <v>2025.0</v>
      </c>
      <c r="L337" s="5">
        <v>7.0</v>
      </c>
      <c r="M337" s="7">
        <f t="shared" si="2"/>
        <v>0.7</v>
      </c>
    </row>
    <row r="338">
      <c r="A338" s="5" t="s">
        <v>866</v>
      </c>
      <c r="B338" s="5" t="s">
        <v>14</v>
      </c>
      <c r="C338" s="5" t="s">
        <v>15</v>
      </c>
      <c r="D338" s="5" t="s">
        <v>867</v>
      </c>
      <c r="E338" s="5" t="s">
        <v>868</v>
      </c>
      <c r="F338" s="5" t="s">
        <v>88</v>
      </c>
      <c r="G338" s="6">
        <v>0.05</v>
      </c>
      <c r="H338" s="5" t="s">
        <v>400</v>
      </c>
      <c r="I338" s="5" t="s">
        <v>20</v>
      </c>
      <c r="J338" s="5">
        <v>2025.0</v>
      </c>
      <c r="L338" s="5">
        <v>6.0</v>
      </c>
      <c r="M338" s="7">
        <f t="shared" si="2"/>
        <v>0.3</v>
      </c>
    </row>
    <row r="339">
      <c r="A339" s="5" t="s">
        <v>869</v>
      </c>
      <c r="B339" s="5" t="s">
        <v>14</v>
      </c>
      <c r="C339" s="5" t="s">
        <v>15</v>
      </c>
      <c r="D339" s="5" t="s">
        <v>870</v>
      </c>
      <c r="E339" s="5" t="s">
        <v>840</v>
      </c>
      <c r="F339" s="5" t="s">
        <v>88</v>
      </c>
      <c r="G339" s="6">
        <v>0.05</v>
      </c>
      <c r="H339" s="5" t="s">
        <v>400</v>
      </c>
      <c r="I339" s="5" t="s">
        <v>20</v>
      </c>
      <c r="J339" s="5">
        <v>2025.0</v>
      </c>
      <c r="L339" s="5">
        <v>8.0</v>
      </c>
      <c r="M339" s="7">
        <f t="shared" si="2"/>
        <v>0.4</v>
      </c>
    </row>
    <row r="340">
      <c r="A340" s="5" t="s">
        <v>869</v>
      </c>
      <c r="B340" s="5" t="s">
        <v>14</v>
      </c>
      <c r="C340" s="5" t="s">
        <v>15</v>
      </c>
      <c r="D340" s="5" t="s">
        <v>870</v>
      </c>
      <c r="E340" s="5" t="s">
        <v>840</v>
      </c>
      <c r="F340" s="5" t="s">
        <v>88</v>
      </c>
      <c r="G340" s="6">
        <v>0.25</v>
      </c>
      <c r="H340" s="5" t="s">
        <v>400</v>
      </c>
      <c r="I340" s="5" t="s">
        <v>31</v>
      </c>
      <c r="J340" s="5">
        <v>2025.0</v>
      </c>
      <c r="L340" s="5">
        <v>1.0</v>
      </c>
      <c r="M340" s="7">
        <f t="shared" si="2"/>
        <v>0.25</v>
      </c>
    </row>
    <row r="341">
      <c r="A341" s="5" t="s">
        <v>871</v>
      </c>
      <c r="B341" s="5" t="s">
        <v>68</v>
      </c>
      <c r="C341" s="5" t="s">
        <v>15</v>
      </c>
      <c r="D341" s="5" t="s">
        <v>872</v>
      </c>
      <c r="E341" s="5" t="s">
        <v>873</v>
      </c>
      <c r="F341" s="5" t="s">
        <v>88</v>
      </c>
      <c r="G341" s="6">
        <v>0.05</v>
      </c>
      <c r="H341" s="5" t="s">
        <v>400</v>
      </c>
      <c r="I341" s="5" t="s">
        <v>20</v>
      </c>
      <c r="J341" s="5">
        <v>2025.0</v>
      </c>
      <c r="L341" s="5">
        <v>6.0</v>
      </c>
      <c r="M341" s="7">
        <f t="shared" si="2"/>
        <v>0.3</v>
      </c>
    </row>
    <row r="342">
      <c r="A342" s="5" t="s">
        <v>871</v>
      </c>
      <c r="B342" s="5" t="s">
        <v>68</v>
      </c>
      <c r="C342" s="5" t="s">
        <v>15</v>
      </c>
      <c r="D342" s="5" t="s">
        <v>872</v>
      </c>
      <c r="E342" s="5" t="s">
        <v>873</v>
      </c>
      <c r="F342" s="5" t="s">
        <v>88</v>
      </c>
      <c r="G342" s="6">
        <v>0.14</v>
      </c>
      <c r="H342" s="5" t="s">
        <v>400</v>
      </c>
      <c r="I342" s="5" t="s">
        <v>31</v>
      </c>
      <c r="J342" s="5">
        <v>2025.0</v>
      </c>
      <c r="L342" s="5">
        <v>3.0</v>
      </c>
      <c r="M342" s="7">
        <f t="shared" si="2"/>
        <v>0.42</v>
      </c>
    </row>
    <row r="343">
      <c r="A343" s="5" t="s">
        <v>874</v>
      </c>
      <c r="B343" s="5" t="s">
        <v>875</v>
      </c>
      <c r="C343" s="5" t="s">
        <v>15</v>
      </c>
      <c r="D343" s="5" t="s">
        <v>876</v>
      </c>
      <c r="E343" s="5" t="s">
        <v>840</v>
      </c>
      <c r="F343" s="5" t="s">
        <v>88</v>
      </c>
      <c r="G343" s="6">
        <v>0.05</v>
      </c>
      <c r="H343" s="5" t="s">
        <v>400</v>
      </c>
      <c r="I343" s="5" t="s">
        <v>20</v>
      </c>
      <c r="J343" s="5">
        <v>2025.0</v>
      </c>
      <c r="K343" s="8">
        <v>46113.0</v>
      </c>
      <c r="L343" s="5">
        <v>5.0</v>
      </c>
      <c r="M343" s="7">
        <f t="shared" si="2"/>
        <v>0.25</v>
      </c>
    </row>
    <row r="344">
      <c r="A344" s="5" t="s">
        <v>874</v>
      </c>
      <c r="B344" s="5" t="s">
        <v>875</v>
      </c>
      <c r="C344" s="5" t="s">
        <v>15</v>
      </c>
      <c r="D344" s="5" t="s">
        <v>876</v>
      </c>
      <c r="E344" s="5" t="s">
        <v>840</v>
      </c>
      <c r="F344" s="5" t="s">
        <v>88</v>
      </c>
      <c r="G344" s="6">
        <v>0.24</v>
      </c>
      <c r="H344" s="5" t="s">
        <v>400</v>
      </c>
      <c r="I344" s="5" t="s">
        <v>31</v>
      </c>
      <c r="J344" s="5">
        <v>2025.0</v>
      </c>
      <c r="K344" s="8">
        <v>46113.0</v>
      </c>
      <c r="L344" s="5">
        <v>1.0</v>
      </c>
      <c r="M344" s="7">
        <f t="shared" si="2"/>
        <v>0.24</v>
      </c>
    </row>
    <row r="345">
      <c r="A345" s="5" t="s">
        <v>877</v>
      </c>
      <c r="B345" s="5" t="s">
        <v>406</v>
      </c>
      <c r="C345" s="5" t="s">
        <v>15</v>
      </c>
      <c r="D345" s="5" t="s">
        <v>878</v>
      </c>
      <c r="E345" s="5" t="s">
        <v>840</v>
      </c>
      <c r="F345" s="5" t="s">
        <v>88</v>
      </c>
      <c r="G345" s="6">
        <v>0.09</v>
      </c>
      <c r="H345" s="5" t="s">
        <v>400</v>
      </c>
      <c r="I345" s="5" t="s">
        <v>20</v>
      </c>
      <c r="J345" s="5">
        <v>2025.0</v>
      </c>
      <c r="L345" s="5">
        <v>5.0</v>
      </c>
      <c r="M345" s="7">
        <f t="shared" si="2"/>
        <v>0.45</v>
      </c>
    </row>
    <row r="346">
      <c r="A346" s="5" t="s">
        <v>879</v>
      </c>
      <c r="B346" s="5" t="s">
        <v>82</v>
      </c>
      <c r="C346" s="5" t="s">
        <v>22</v>
      </c>
      <c r="D346" s="5" t="s">
        <v>880</v>
      </c>
      <c r="E346" s="5" t="s">
        <v>873</v>
      </c>
      <c r="F346" s="5" t="s">
        <v>88</v>
      </c>
      <c r="G346" s="6">
        <v>0.2</v>
      </c>
      <c r="H346" s="5" t="s">
        <v>400</v>
      </c>
      <c r="I346" s="5" t="s">
        <v>20</v>
      </c>
      <c r="J346" s="5">
        <v>2025.0</v>
      </c>
      <c r="L346" s="5">
        <v>1.0</v>
      </c>
      <c r="M346" s="7">
        <f t="shared" si="2"/>
        <v>0.2</v>
      </c>
    </row>
    <row r="347">
      <c r="A347" s="5" t="s">
        <v>881</v>
      </c>
      <c r="B347" s="5" t="s">
        <v>63</v>
      </c>
      <c r="C347" s="5" t="s">
        <v>22</v>
      </c>
      <c r="D347" s="5" t="s">
        <v>882</v>
      </c>
      <c r="E347" s="5" t="s">
        <v>873</v>
      </c>
      <c r="F347" s="5" t="s">
        <v>88</v>
      </c>
      <c r="G347" s="6">
        <v>0.14</v>
      </c>
      <c r="H347" s="5" t="s">
        <v>400</v>
      </c>
      <c r="I347" s="5" t="s">
        <v>20</v>
      </c>
      <c r="J347" s="5">
        <v>2025.0</v>
      </c>
      <c r="L347" s="5">
        <v>1.0</v>
      </c>
      <c r="M347" s="7">
        <f t="shared" si="2"/>
        <v>0.14</v>
      </c>
    </row>
    <row r="348">
      <c r="A348" s="5" t="s">
        <v>883</v>
      </c>
      <c r="B348" s="5" t="s">
        <v>884</v>
      </c>
      <c r="C348" s="5" t="s">
        <v>22</v>
      </c>
      <c r="D348" s="5" t="s">
        <v>885</v>
      </c>
      <c r="E348" s="5" t="s">
        <v>840</v>
      </c>
      <c r="F348" s="5" t="s">
        <v>88</v>
      </c>
      <c r="G348" s="6">
        <v>0.05</v>
      </c>
      <c r="H348" s="5" t="s">
        <v>400</v>
      </c>
      <c r="I348" s="5" t="s">
        <v>20</v>
      </c>
      <c r="J348" s="5">
        <v>2025.0</v>
      </c>
      <c r="K348" s="8">
        <v>46024.0</v>
      </c>
      <c r="L348" s="5">
        <v>2.0</v>
      </c>
      <c r="M348" s="7">
        <f t="shared" si="2"/>
        <v>0.1</v>
      </c>
    </row>
    <row r="349">
      <c r="A349" s="5" t="s">
        <v>886</v>
      </c>
      <c r="B349" s="5" t="s">
        <v>478</v>
      </c>
      <c r="C349" s="5" t="s">
        <v>22</v>
      </c>
      <c r="D349" s="5" t="s">
        <v>887</v>
      </c>
      <c r="E349" s="5" t="s">
        <v>865</v>
      </c>
      <c r="F349" s="5" t="s">
        <v>88</v>
      </c>
      <c r="G349" s="6">
        <v>1.13</v>
      </c>
      <c r="H349" s="5" t="s">
        <v>400</v>
      </c>
      <c r="I349" s="5" t="s">
        <v>31</v>
      </c>
      <c r="J349" s="5">
        <v>2025.0</v>
      </c>
      <c r="K349" s="8">
        <v>46055.0</v>
      </c>
      <c r="L349" s="5">
        <v>1.0</v>
      </c>
      <c r="M349" s="7">
        <f t="shared" si="2"/>
        <v>1.13</v>
      </c>
    </row>
    <row r="350">
      <c r="A350" s="5" t="s">
        <v>888</v>
      </c>
      <c r="B350" s="5" t="s">
        <v>889</v>
      </c>
      <c r="C350" s="5" t="s">
        <v>15</v>
      </c>
      <c r="D350" s="5" t="s">
        <v>890</v>
      </c>
      <c r="E350" s="5" t="s">
        <v>873</v>
      </c>
      <c r="F350" s="5" t="s">
        <v>88</v>
      </c>
      <c r="G350" s="6">
        <v>0.05</v>
      </c>
      <c r="H350" s="5" t="s">
        <v>400</v>
      </c>
      <c r="I350" s="5" t="s">
        <v>20</v>
      </c>
      <c r="J350" s="5">
        <v>2025.0</v>
      </c>
      <c r="K350" s="8">
        <v>46084.0</v>
      </c>
      <c r="L350" s="5">
        <v>4.0</v>
      </c>
      <c r="M350" s="7">
        <f t="shared" si="2"/>
        <v>0.2</v>
      </c>
    </row>
    <row r="351">
      <c r="A351" s="5" t="s">
        <v>888</v>
      </c>
      <c r="B351" s="5" t="s">
        <v>889</v>
      </c>
      <c r="C351" s="5" t="s">
        <v>15</v>
      </c>
      <c r="D351" s="5" t="s">
        <v>890</v>
      </c>
      <c r="E351" s="5" t="s">
        <v>873</v>
      </c>
      <c r="F351" s="5" t="s">
        <v>88</v>
      </c>
      <c r="G351" s="6">
        <v>0.4</v>
      </c>
      <c r="H351" s="5" t="s">
        <v>400</v>
      </c>
      <c r="I351" s="5" t="s">
        <v>31</v>
      </c>
      <c r="J351" s="5">
        <v>2025.0</v>
      </c>
      <c r="K351" s="8">
        <v>46084.0</v>
      </c>
      <c r="L351" s="5">
        <v>2.0</v>
      </c>
      <c r="M351" s="7">
        <f t="shared" si="2"/>
        <v>0.8</v>
      </c>
    </row>
    <row r="352">
      <c r="A352" s="5" t="s">
        <v>891</v>
      </c>
      <c r="B352" s="5" t="s">
        <v>14</v>
      </c>
      <c r="C352" s="5" t="s">
        <v>22</v>
      </c>
      <c r="D352" s="5" t="s">
        <v>892</v>
      </c>
      <c r="E352" s="5" t="s">
        <v>873</v>
      </c>
      <c r="F352" s="5" t="s">
        <v>88</v>
      </c>
      <c r="G352" s="6">
        <v>0.14</v>
      </c>
      <c r="H352" s="5" t="s">
        <v>400</v>
      </c>
      <c r="I352" s="5" t="s">
        <v>20</v>
      </c>
      <c r="J352" s="5">
        <v>2025.0</v>
      </c>
      <c r="L352" s="5">
        <v>3.0</v>
      </c>
      <c r="M352" s="7">
        <f t="shared" si="2"/>
        <v>0.42</v>
      </c>
    </row>
    <row r="353">
      <c r="A353" s="5" t="s">
        <v>893</v>
      </c>
      <c r="B353" s="5" t="s">
        <v>68</v>
      </c>
      <c r="C353" s="5" t="s">
        <v>22</v>
      </c>
      <c r="D353" s="5" t="s">
        <v>894</v>
      </c>
      <c r="E353" s="5" t="s">
        <v>895</v>
      </c>
      <c r="F353" s="5" t="s">
        <v>88</v>
      </c>
      <c r="G353" s="6">
        <v>0.19</v>
      </c>
      <c r="H353" s="5" t="s">
        <v>400</v>
      </c>
      <c r="I353" s="5" t="s">
        <v>20</v>
      </c>
      <c r="J353" s="5">
        <v>2025.0</v>
      </c>
      <c r="L353" s="5">
        <v>3.0</v>
      </c>
      <c r="M353" s="7">
        <f t="shared" si="2"/>
        <v>0.57</v>
      </c>
    </row>
    <row r="354">
      <c r="A354" s="5" t="s">
        <v>893</v>
      </c>
      <c r="B354" s="5" t="s">
        <v>68</v>
      </c>
      <c r="C354" s="5" t="s">
        <v>22</v>
      </c>
      <c r="D354" s="5" t="s">
        <v>894</v>
      </c>
      <c r="E354" s="5" t="s">
        <v>895</v>
      </c>
      <c r="F354" s="5" t="s">
        <v>88</v>
      </c>
      <c r="G354" s="6">
        <v>0.4</v>
      </c>
      <c r="H354" s="5" t="s">
        <v>400</v>
      </c>
      <c r="I354" s="5" t="s">
        <v>31</v>
      </c>
      <c r="J354" s="5">
        <v>2025.0</v>
      </c>
      <c r="L354" s="5">
        <v>1.0</v>
      </c>
      <c r="M354" s="7">
        <f t="shared" si="2"/>
        <v>0.4</v>
      </c>
    </row>
    <row r="355">
      <c r="A355" s="5" t="s">
        <v>896</v>
      </c>
      <c r="B355" s="5" t="s">
        <v>897</v>
      </c>
      <c r="C355" s="5" t="s">
        <v>15</v>
      </c>
      <c r="D355" s="5" t="s">
        <v>898</v>
      </c>
      <c r="E355" s="5" t="s">
        <v>865</v>
      </c>
      <c r="F355" s="5" t="s">
        <v>88</v>
      </c>
      <c r="G355" s="6">
        <v>0.05</v>
      </c>
      <c r="H355" s="5" t="s">
        <v>400</v>
      </c>
      <c r="I355" s="5" t="s">
        <v>20</v>
      </c>
      <c r="J355" s="5">
        <v>2025.0</v>
      </c>
      <c r="K355" s="8">
        <v>46113.0</v>
      </c>
      <c r="L355" s="5">
        <v>7.0</v>
      </c>
      <c r="M355" s="7">
        <f t="shared" si="2"/>
        <v>0.35</v>
      </c>
    </row>
    <row r="356">
      <c r="A356" s="5" t="s">
        <v>899</v>
      </c>
      <c r="B356" s="5" t="s">
        <v>33</v>
      </c>
      <c r="C356" s="5" t="s">
        <v>15</v>
      </c>
      <c r="D356" s="5" t="s">
        <v>900</v>
      </c>
      <c r="E356" s="5" t="s">
        <v>865</v>
      </c>
      <c r="F356" s="5" t="s">
        <v>88</v>
      </c>
      <c r="G356" s="6">
        <v>0.02</v>
      </c>
      <c r="H356" s="5" t="s">
        <v>400</v>
      </c>
      <c r="I356" s="5" t="s">
        <v>20</v>
      </c>
      <c r="J356" s="5">
        <v>2025.0</v>
      </c>
      <c r="L356" s="5">
        <v>10.0</v>
      </c>
      <c r="M356" s="7">
        <f t="shared" si="2"/>
        <v>0.2</v>
      </c>
    </row>
    <row r="357">
      <c r="A357" s="5" t="s">
        <v>899</v>
      </c>
      <c r="B357" s="5" t="s">
        <v>33</v>
      </c>
      <c r="C357" s="5" t="s">
        <v>15</v>
      </c>
      <c r="D357" s="5" t="s">
        <v>900</v>
      </c>
      <c r="E357" s="5" t="s">
        <v>865</v>
      </c>
      <c r="F357" s="5" t="s">
        <v>88</v>
      </c>
      <c r="G357" s="6">
        <v>0.2</v>
      </c>
      <c r="H357" s="5" t="s">
        <v>400</v>
      </c>
      <c r="I357" s="5" t="s">
        <v>20</v>
      </c>
      <c r="J357" s="5">
        <v>2025.0</v>
      </c>
      <c r="L357" s="5">
        <v>1.0</v>
      </c>
      <c r="M357" s="7">
        <f t="shared" si="2"/>
        <v>0.2</v>
      </c>
    </row>
    <row r="358">
      <c r="A358" s="5" t="s">
        <v>901</v>
      </c>
      <c r="B358" s="5" t="s">
        <v>14</v>
      </c>
      <c r="C358" s="5" t="s">
        <v>15</v>
      </c>
      <c r="D358" s="5" t="s">
        <v>902</v>
      </c>
      <c r="E358" s="5" t="s">
        <v>840</v>
      </c>
      <c r="F358" s="5" t="s">
        <v>88</v>
      </c>
      <c r="G358" s="6">
        <v>0.1</v>
      </c>
      <c r="H358" s="5" t="s">
        <v>400</v>
      </c>
      <c r="I358" s="5" t="s">
        <v>20</v>
      </c>
      <c r="J358" s="5">
        <v>2025.0</v>
      </c>
      <c r="L358" s="5">
        <v>8.0</v>
      </c>
      <c r="M358" s="7">
        <f t="shared" si="2"/>
        <v>0.8</v>
      </c>
    </row>
    <row r="359">
      <c r="A359" s="5" t="s">
        <v>901</v>
      </c>
      <c r="B359" s="5" t="s">
        <v>14</v>
      </c>
      <c r="C359" s="5" t="s">
        <v>15</v>
      </c>
      <c r="D359" s="5" t="s">
        <v>902</v>
      </c>
      <c r="E359" s="5" t="s">
        <v>840</v>
      </c>
      <c r="F359" s="5" t="s">
        <v>88</v>
      </c>
      <c r="G359" s="6">
        <v>0.4</v>
      </c>
      <c r="H359" s="5" t="s">
        <v>400</v>
      </c>
      <c r="I359" s="5" t="s">
        <v>31</v>
      </c>
      <c r="J359" s="5">
        <v>2025.0</v>
      </c>
      <c r="L359" s="5">
        <v>1.0</v>
      </c>
      <c r="M359" s="7">
        <f t="shared" si="2"/>
        <v>0.4</v>
      </c>
    </row>
    <row r="360">
      <c r="A360" s="5" t="s">
        <v>903</v>
      </c>
      <c r="B360" s="5" t="s">
        <v>889</v>
      </c>
      <c r="C360" s="5" t="s">
        <v>22</v>
      </c>
      <c r="D360" s="5" t="s">
        <v>904</v>
      </c>
      <c r="E360" s="5" t="s">
        <v>895</v>
      </c>
      <c r="F360" s="5" t="s">
        <v>88</v>
      </c>
      <c r="G360" s="6">
        <v>0.21</v>
      </c>
      <c r="H360" s="5" t="s">
        <v>400</v>
      </c>
      <c r="I360" s="5" t="s">
        <v>20</v>
      </c>
      <c r="J360" s="5">
        <v>2025.0</v>
      </c>
      <c r="K360" s="8">
        <v>46117.0</v>
      </c>
      <c r="L360" s="5">
        <v>3.0</v>
      </c>
      <c r="M360" s="7">
        <f t="shared" si="2"/>
        <v>0.63</v>
      </c>
    </row>
    <row r="361">
      <c r="A361" s="5" t="s">
        <v>905</v>
      </c>
      <c r="B361" s="5" t="s">
        <v>14</v>
      </c>
      <c r="C361" s="5" t="s">
        <v>22</v>
      </c>
      <c r="D361" s="5" t="s">
        <v>906</v>
      </c>
      <c r="E361" s="5" t="s">
        <v>865</v>
      </c>
      <c r="F361" s="5" t="s">
        <v>88</v>
      </c>
      <c r="G361" s="6">
        <v>0.19</v>
      </c>
      <c r="H361" s="5" t="s">
        <v>400</v>
      </c>
      <c r="I361" s="5" t="s">
        <v>20</v>
      </c>
      <c r="J361" s="5">
        <v>2025.0</v>
      </c>
      <c r="L361" s="5">
        <v>2.0</v>
      </c>
      <c r="M361" s="7">
        <f t="shared" si="2"/>
        <v>0.38</v>
      </c>
    </row>
    <row r="362">
      <c r="A362" s="5" t="s">
        <v>905</v>
      </c>
      <c r="B362" s="5" t="s">
        <v>14</v>
      </c>
      <c r="C362" s="5" t="s">
        <v>22</v>
      </c>
      <c r="D362" s="5" t="s">
        <v>906</v>
      </c>
      <c r="E362" s="5" t="s">
        <v>865</v>
      </c>
      <c r="F362" s="5" t="s">
        <v>88</v>
      </c>
      <c r="G362" s="6">
        <v>0.49</v>
      </c>
      <c r="H362" s="5" t="s">
        <v>400</v>
      </c>
      <c r="I362" s="5" t="s">
        <v>31</v>
      </c>
      <c r="J362" s="5">
        <v>2025.0</v>
      </c>
      <c r="L362" s="5">
        <v>1.0</v>
      </c>
      <c r="M362" s="7">
        <f t="shared" si="2"/>
        <v>0.49</v>
      </c>
    </row>
    <row r="363">
      <c r="A363" s="5" t="s">
        <v>907</v>
      </c>
      <c r="B363" s="5" t="s">
        <v>545</v>
      </c>
      <c r="C363" s="5" t="s">
        <v>101</v>
      </c>
      <c r="D363" s="5" t="s">
        <v>908</v>
      </c>
      <c r="E363" s="5" t="s">
        <v>873</v>
      </c>
      <c r="F363" s="5" t="s">
        <v>88</v>
      </c>
      <c r="G363" s="6">
        <v>0.5</v>
      </c>
      <c r="H363" s="5" t="s">
        <v>400</v>
      </c>
      <c r="I363" s="5" t="s">
        <v>20</v>
      </c>
      <c r="J363" s="5">
        <v>2025.0</v>
      </c>
      <c r="K363" s="8">
        <v>46145.0</v>
      </c>
      <c r="L363" s="5">
        <v>1.0</v>
      </c>
      <c r="M363" s="7">
        <f t="shared" si="2"/>
        <v>0.5</v>
      </c>
    </row>
    <row r="364">
      <c r="A364" s="5" t="s">
        <v>909</v>
      </c>
      <c r="B364" s="5" t="s">
        <v>68</v>
      </c>
      <c r="C364" s="5" t="s">
        <v>22</v>
      </c>
      <c r="D364" s="5" t="s">
        <v>910</v>
      </c>
      <c r="E364" s="5" t="s">
        <v>911</v>
      </c>
      <c r="F364" s="5" t="s">
        <v>88</v>
      </c>
      <c r="G364" s="6">
        <v>0.5</v>
      </c>
      <c r="H364" s="5" t="s">
        <v>400</v>
      </c>
      <c r="I364" s="5" t="s">
        <v>31</v>
      </c>
      <c r="J364" s="5">
        <v>2025.0</v>
      </c>
      <c r="L364" s="5">
        <v>1.0</v>
      </c>
      <c r="M364" s="7">
        <f t="shared" si="2"/>
        <v>0.5</v>
      </c>
    </row>
    <row r="365">
      <c r="A365" s="5" t="s">
        <v>912</v>
      </c>
      <c r="B365" s="5" t="s">
        <v>545</v>
      </c>
      <c r="C365" s="5" t="s">
        <v>22</v>
      </c>
      <c r="D365" s="5" t="s">
        <v>913</v>
      </c>
      <c r="E365" s="5" t="s">
        <v>914</v>
      </c>
      <c r="F365" s="5" t="s">
        <v>88</v>
      </c>
      <c r="G365" s="6">
        <v>0.1</v>
      </c>
      <c r="H365" s="5" t="s">
        <v>400</v>
      </c>
      <c r="I365" s="5" t="s">
        <v>20</v>
      </c>
      <c r="J365" s="5">
        <v>2025.0</v>
      </c>
      <c r="K365" s="8">
        <v>46086.0</v>
      </c>
      <c r="L365" s="5">
        <v>1.0</v>
      </c>
      <c r="M365" s="7">
        <f t="shared" si="2"/>
        <v>0.1</v>
      </c>
    </row>
    <row r="366">
      <c r="A366" s="5" t="s">
        <v>886</v>
      </c>
      <c r="B366" s="5" t="s">
        <v>478</v>
      </c>
      <c r="C366" s="5" t="s">
        <v>22</v>
      </c>
      <c r="D366" s="5" t="s">
        <v>887</v>
      </c>
      <c r="E366" s="5" t="s">
        <v>865</v>
      </c>
      <c r="F366" s="5" t="s">
        <v>88</v>
      </c>
      <c r="G366" s="6">
        <v>0.19</v>
      </c>
      <c r="H366" s="5" t="s">
        <v>400</v>
      </c>
      <c r="I366" s="5" t="s">
        <v>20</v>
      </c>
      <c r="J366" s="5">
        <v>2025.0</v>
      </c>
      <c r="K366" s="8">
        <v>46055.0</v>
      </c>
      <c r="L366" s="5">
        <v>1.0</v>
      </c>
      <c r="M366" s="7">
        <f t="shared" si="2"/>
        <v>0.19</v>
      </c>
    </row>
    <row r="367">
      <c r="A367" s="5" t="s">
        <v>915</v>
      </c>
      <c r="B367" s="5" t="s">
        <v>33</v>
      </c>
      <c r="C367" s="5" t="s">
        <v>22</v>
      </c>
      <c r="D367" s="5" t="s">
        <v>916</v>
      </c>
      <c r="E367" s="5" t="s">
        <v>917</v>
      </c>
      <c r="F367" s="5" t="s">
        <v>88</v>
      </c>
      <c r="G367" s="6">
        <v>0.05</v>
      </c>
      <c r="H367" s="5" t="s">
        <v>400</v>
      </c>
      <c r="I367" s="5" t="s">
        <v>20</v>
      </c>
      <c r="J367" s="5">
        <v>2025.0</v>
      </c>
      <c r="L367" s="5">
        <v>1.0</v>
      </c>
      <c r="M367" s="7">
        <f t="shared" si="2"/>
        <v>0.05</v>
      </c>
    </row>
    <row r="368">
      <c r="A368" s="5" t="s">
        <v>918</v>
      </c>
      <c r="B368" s="5" t="s">
        <v>68</v>
      </c>
      <c r="C368" s="5" t="s">
        <v>22</v>
      </c>
      <c r="D368" s="5" t="s">
        <v>919</v>
      </c>
      <c r="E368" s="5" t="s">
        <v>920</v>
      </c>
      <c r="F368" s="5" t="s">
        <v>152</v>
      </c>
      <c r="G368" s="6">
        <v>0.12</v>
      </c>
      <c r="H368" s="5" t="s">
        <v>400</v>
      </c>
      <c r="I368" s="5" t="s">
        <v>20</v>
      </c>
      <c r="J368" s="5">
        <v>2025.0</v>
      </c>
      <c r="L368" s="5">
        <v>1.0</v>
      </c>
      <c r="M368" s="7">
        <f t="shared" si="2"/>
        <v>0.12</v>
      </c>
    </row>
    <row r="369">
      <c r="A369" s="5" t="s">
        <v>921</v>
      </c>
      <c r="B369" s="5" t="s">
        <v>14</v>
      </c>
      <c r="C369" s="5" t="s">
        <v>22</v>
      </c>
      <c r="D369" s="5" t="s">
        <v>922</v>
      </c>
      <c r="E369" s="5" t="s">
        <v>696</v>
      </c>
      <c r="F369" s="5" t="s">
        <v>152</v>
      </c>
      <c r="G369" s="6">
        <v>0.25</v>
      </c>
      <c r="H369" s="5" t="s">
        <v>400</v>
      </c>
      <c r="I369" s="5" t="s">
        <v>20</v>
      </c>
      <c r="J369" s="5">
        <v>2025.0</v>
      </c>
      <c r="L369" s="5">
        <v>1.0</v>
      </c>
      <c r="M369" s="7">
        <f t="shared" si="2"/>
        <v>0.25</v>
      </c>
    </row>
    <row r="370">
      <c r="A370" s="5" t="s">
        <v>923</v>
      </c>
      <c r="B370" s="5" t="s">
        <v>638</v>
      </c>
      <c r="C370" s="5" t="s">
        <v>22</v>
      </c>
      <c r="D370" s="5" t="s">
        <v>924</v>
      </c>
      <c r="E370" s="5" t="s">
        <v>696</v>
      </c>
      <c r="F370" s="5" t="s">
        <v>152</v>
      </c>
      <c r="G370" s="6">
        <v>0.11</v>
      </c>
      <c r="H370" s="5" t="s">
        <v>400</v>
      </c>
      <c r="I370" s="5" t="s">
        <v>20</v>
      </c>
      <c r="J370" s="5">
        <v>2025.0</v>
      </c>
      <c r="K370" s="8">
        <v>46024.0</v>
      </c>
      <c r="L370" s="5">
        <v>1.0</v>
      </c>
      <c r="M370" s="7">
        <f t="shared" si="2"/>
        <v>0.11</v>
      </c>
    </row>
    <row r="371">
      <c r="A371" s="5" t="s">
        <v>923</v>
      </c>
      <c r="B371" s="5" t="s">
        <v>638</v>
      </c>
      <c r="C371" s="5" t="s">
        <v>22</v>
      </c>
      <c r="D371" s="5" t="s">
        <v>924</v>
      </c>
      <c r="E371" s="5" t="s">
        <v>696</v>
      </c>
      <c r="F371" s="5" t="s">
        <v>152</v>
      </c>
      <c r="G371" s="6">
        <v>0.99</v>
      </c>
      <c r="H371" s="5" t="s">
        <v>400</v>
      </c>
      <c r="I371" s="5" t="s">
        <v>31</v>
      </c>
      <c r="J371" s="5">
        <v>2025.0</v>
      </c>
      <c r="K371" s="8">
        <v>46024.0</v>
      </c>
      <c r="L371" s="5">
        <v>1.0</v>
      </c>
      <c r="M371" s="7">
        <f t="shared" si="2"/>
        <v>0.99</v>
      </c>
    </row>
    <row r="372">
      <c r="A372" s="5" t="s">
        <v>925</v>
      </c>
      <c r="B372" s="5" t="s">
        <v>406</v>
      </c>
      <c r="C372" s="5" t="s">
        <v>22</v>
      </c>
      <c r="D372" s="5" t="s">
        <v>926</v>
      </c>
      <c r="E372" s="5" t="s">
        <v>696</v>
      </c>
      <c r="F372" s="5" t="s">
        <v>152</v>
      </c>
      <c r="G372" s="6">
        <v>0.15</v>
      </c>
      <c r="H372" s="5" t="s">
        <v>400</v>
      </c>
      <c r="I372" s="5" t="s">
        <v>20</v>
      </c>
      <c r="J372" s="5">
        <v>2025.0</v>
      </c>
      <c r="L372" s="5">
        <v>1.0</v>
      </c>
      <c r="M372" s="7">
        <f t="shared" si="2"/>
        <v>0.15</v>
      </c>
    </row>
    <row r="373">
      <c r="A373" s="5" t="s">
        <v>925</v>
      </c>
      <c r="B373" s="5" t="s">
        <v>406</v>
      </c>
      <c r="C373" s="5" t="s">
        <v>22</v>
      </c>
      <c r="D373" s="5" t="s">
        <v>926</v>
      </c>
      <c r="E373" s="5" t="s">
        <v>696</v>
      </c>
      <c r="F373" s="5" t="s">
        <v>152</v>
      </c>
      <c r="G373" s="6">
        <v>0.5</v>
      </c>
      <c r="H373" s="5" t="s">
        <v>400</v>
      </c>
      <c r="I373" s="5" t="s">
        <v>31</v>
      </c>
      <c r="J373" s="5">
        <v>2025.0</v>
      </c>
      <c r="L373" s="5">
        <v>1.0</v>
      </c>
      <c r="M373" s="7">
        <f t="shared" si="2"/>
        <v>0.5</v>
      </c>
    </row>
    <row r="374">
      <c r="A374" s="5" t="s">
        <v>927</v>
      </c>
      <c r="B374" s="5" t="s">
        <v>14</v>
      </c>
      <c r="C374" s="5" t="s">
        <v>22</v>
      </c>
      <c r="D374" s="5" t="s">
        <v>928</v>
      </c>
      <c r="E374" s="5" t="s">
        <v>699</v>
      </c>
      <c r="F374" s="5" t="s">
        <v>152</v>
      </c>
      <c r="G374" s="6">
        <v>0.19</v>
      </c>
      <c r="H374" s="5" t="s">
        <v>400</v>
      </c>
      <c r="I374" s="5" t="s">
        <v>20</v>
      </c>
      <c r="J374" s="5">
        <v>2025.0</v>
      </c>
      <c r="L374" s="5">
        <v>1.0</v>
      </c>
      <c r="M374" s="7">
        <f t="shared" si="2"/>
        <v>0.19</v>
      </c>
    </row>
    <row r="375">
      <c r="A375" s="5" t="s">
        <v>929</v>
      </c>
      <c r="B375" s="5" t="s">
        <v>930</v>
      </c>
      <c r="C375" s="5" t="s">
        <v>22</v>
      </c>
      <c r="D375" s="5" t="s">
        <v>931</v>
      </c>
      <c r="E375" s="5" t="s">
        <v>932</v>
      </c>
      <c r="F375" s="5" t="s">
        <v>166</v>
      </c>
      <c r="G375" s="6">
        <v>0.37</v>
      </c>
      <c r="H375" s="5" t="s">
        <v>400</v>
      </c>
      <c r="I375" s="5" t="s">
        <v>20</v>
      </c>
      <c r="J375" s="5">
        <v>2025.0</v>
      </c>
      <c r="K375" s="8">
        <v>46023.0</v>
      </c>
      <c r="L375" s="5">
        <v>1.0</v>
      </c>
      <c r="M375" s="7">
        <f t="shared" si="2"/>
        <v>0.37</v>
      </c>
    </row>
    <row r="376">
      <c r="A376" s="5" t="s">
        <v>933</v>
      </c>
      <c r="B376" s="5" t="s">
        <v>68</v>
      </c>
      <c r="C376" s="5" t="s">
        <v>22</v>
      </c>
      <c r="D376" s="5" t="s">
        <v>934</v>
      </c>
      <c r="E376" s="5" t="s">
        <v>935</v>
      </c>
      <c r="F376" s="5" t="s">
        <v>166</v>
      </c>
      <c r="G376" s="6">
        <v>0.21</v>
      </c>
      <c r="H376" s="5" t="s">
        <v>400</v>
      </c>
      <c r="I376" s="5" t="s">
        <v>20</v>
      </c>
      <c r="J376" s="5">
        <v>2025.0</v>
      </c>
      <c r="L376" s="5">
        <v>1.0</v>
      </c>
      <c r="M376" s="7">
        <f t="shared" si="2"/>
        <v>0.21</v>
      </c>
    </row>
    <row r="377">
      <c r="A377" s="5" t="s">
        <v>936</v>
      </c>
      <c r="B377" s="5" t="s">
        <v>406</v>
      </c>
      <c r="C377" s="5" t="s">
        <v>22</v>
      </c>
      <c r="D377" s="5" t="s">
        <v>937</v>
      </c>
      <c r="E377" s="5" t="s">
        <v>932</v>
      </c>
      <c r="F377" s="5" t="s">
        <v>166</v>
      </c>
      <c r="G377" s="6">
        <v>0.14</v>
      </c>
      <c r="H377" s="5" t="s">
        <v>400</v>
      </c>
      <c r="I377" s="5" t="s">
        <v>20</v>
      </c>
      <c r="J377" s="5">
        <v>2025.0</v>
      </c>
      <c r="L377" s="5">
        <v>1.0</v>
      </c>
      <c r="M377" s="7">
        <f t="shared" si="2"/>
        <v>0.14</v>
      </c>
    </row>
    <row r="378">
      <c r="A378" s="5" t="s">
        <v>938</v>
      </c>
      <c r="B378" s="5" t="s">
        <v>939</v>
      </c>
      <c r="C378" s="5" t="s">
        <v>22</v>
      </c>
      <c r="D378" s="5" t="s">
        <v>940</v>
      </c>
      <c r="E378" s="5" t="s">
        <v>941</v>
      </c>
      <c r="F378" s="5" t="s">
        <v>166</v>
      </c>
      <c r="G378" s="6">
        <v>0.19</v>
      </c>
      <c r="H378" s="5" t="s">
        <v>400</v>
      </c>
      <c r="I378" s="5" t="s">
        <v>20</v>
      </c>
      <c r="J378" s="5">
        <v>2025.0</v>
      </c>
      <c r="K378" s="8">
        <v>46084.0</v>
      </c>
      <c r="L378" s="5">
        <v>1.0</v>
      </c>
      <c r="M378" s="7">
        <f t="shared" si="2"/>
        <v>0.19</v>
      </c>
    </row>
    <row r="379">
      <c r="A379" s="5" t="s">
        <v>411</v>
      </c>
      <c r="B379" s="5" t="s">
        <v>406</v>
      </c>
      <c r="C379" s="5" t="s">
        <v>15</v>
      </c>
      <c r="D379" s="5" t="s">
        <v>412</v>
      </c>
      <c r="E379" s="5" t="s">
        <v>942</v>
      </c>
      <c r="F379" s="5" t="s">
        <v>166</v>
      </c>
      <c r="G379" s="6">
        <v>0.1</v>
      </c>
      <c r="H379" s="5" t="s">
        <v>400</v>
      </c>
      <c r="I379" s="5" t="s">
        <v>20</v>
      </c>
      <c r="J379" s="5">
        <v>2025.0</v>
      </c>
      <c r="L379" s="5">
        <v>2.0</v>
      </c>
      <c r="M379" s="7">
        <f t="shared" si="2"/>
        <v>0.2</v>
      </c>
    </row>
    <row r="380">
      <c r="A380" s="5" t="s">
        <v>943</v>
      </c>
      <c r="B380" s="5" t="s">
        <v>68</v>
      </c>
      <c r="C380" s="5" t="s">
        <v>22</v>
      </c>
      <c r="D380" s="5" t="s">
        <v>944</v>
      </c>
      <c r="E380" s="5" t="s">
        <v>945</v>
      </c>
      <c r="F380" s="5" t="s">
        <v>166</v>
      </c>
      <c r="G380" s="6">
        <v>0.14</v>
      </c>
      <c r="H380" s="5" t="s">
        <v>400</v>
      </c>
      <c r="I380" s="5" t="s">
        <v>20</v>
      </c>
      <c r="J380" s="5">
        <v>2025.0</v>
      </c>
      <c r="L380" s="5">
        <v>1.0</v>
      </c>
      <c r="M380" s="7">
        <f t="shared" si="2"/>
        <v>0.14</v>
      </c>
    </row>
    <row r="381">
      <c r="A381" s="5" t="s">
        <v>943</v>
      </c>
      <c r="B381" s="5" t="s">
        <v>68</v>
      </c>
      <c r="C381" s="5" t="s">
        <v>22</v>
      </c>
      <c r="D381" s="5" t="s">
        <v>944</v>
      </c>
      <c r="E381" s="5" t="s">
        <v>945</v>
      </c>
      <c r="F381" s="5" t="s">
        <v>166</v>
      </c>
      <c r="G381" s="6">
        <v>0.49</v>
      </c>
      <c r="H381" s="5" t="s">
        <v>400</v>
      </c>
      <c r="I381" s="5" t="s">
        <v>31</v>
      </c>
      <c r="J381" s="5">
        <v>2025.0</v>
      </c>
      <c r="L381" s="5">
        <v>1.0</v>
      </c>
      <c r="M381" s="7">
        <f t="shared" si="2"/>
        <v>0.49</v>
      </c>
    </row>
    <row r="382">
      <c r="A382" s="5" t="s">
        <v>946</v>
      </c>
      <c r="B382" s="5" t="s">
        <v>68</v>
      </c>
      <c r="C382" s="5" t="s">
        <v>22</v>
      </c>
      <c r="D382" s="5" t="s">
        <v>947</v>
      </c>
      <c r="E382" s="5" t="s">
        <v>769</v>
      </c>
      <c r="F382" s="5" t="s">
        <v>18</v>
      </c>
      <c r="G382" s="6">
        <v>0.29</v>
      </c>
      <c r="H382" s="5" t="s">
        <v>400</v>
      </c>
      <c r="I382" s="5" t="s">
        <v>20</v>
      </c>
      <c r="J382" s="5">
        <v>2025.0</v>
      </c>
      <c r="L382" s="5">
        <v>1.0</v>
      </c>
      <c r="M382" s="7">
        <f t="shared" si="2"/>
        <v>0.29</v>
      </c>
    </row>
    <row r="383">
      <c r="A383" s="5" t="s">
        <v>946</v>
      </c>
      <c r="B383" s="5" t="s">
        <v>68</v>
      </c>
      <c r="C383" s="5" t="s">
        <v>22</v>
      </c>
      <c r="D383" s="5" t="s">
        <v>947</v>
      </c>
      <c r="E383" s="5" t="s">
        <v>769</v>
      </c>
      <c r="F383" s="5" t="s">
        <v>18</v>
      </c>
      <c r="G383" s="6">
        <v>0.99</v>
      </c>
      <c r="H383" s="5" t="s">
        <v>400</v>
      </c>
      <c r="I383" s="5" t="s">
        <v>31</v>
      </c>
      <c r="J383" s="5">
        <v>2025.0</v>
      </c>
      <c r="L383" s="5">
        <v>1.0</v>
      </c>
      <c r="M383" s="7">
        <f t="shared" si="2"/>
        <v>0.99</v>
      </c>
    </row>
    <row r="384">
      <c r="A384" s="5" t="s">
        <v>948</v>
      </c>
      <c r="B384" s="5" t="s">
        <v>949</v>
      </c>
      <c r="C384" s="5" t="s">
        <v>22</v>
      </c>
      <c r="D384" s="5" t="s">
        <v>950</v>
      </c>
      <c r="E384" s="5" t="s">
        <v>951</v>
      </c>
      <c r="F384" s="5" t="s">
        <v>18</v>
      </c>
      <c r="G384" s="6">
        <v>0.19</v>
      </c>
      <c r="H384" s="5" t="s">
        <v>400</v>
      </c>
      <c r="I384" s="5" t="s">
        <v>20</v>
      </c>
      <c r="J384" s="5">
        <v>2025.0</v>
      </c>
      <c r="K384" s="8">
        <v>46210.0</v>
      </c>
      <c r="L384" s="5">
        <v>1.0</v>
      </c>
      <c r="M384" s="7">
        <f t="shared" si="2"/>
        <v>0.19</v>
      </c>
    </row>
    <row r="385">
      <c r="A385" s="5" t="s">
        <v>952</v>
      </c>
      <c r="B385" s="5" t="s">
        <v>953</v>
      </c>
      <c r="C385" s="5" t="s">
        <v>22</v>
      </c>
      <c r="D385" s="5" t="s">
        <v>954</v>
      </c>
      <c r="E385" s="5" t="s">
        <v>769</v>
      </c>
      <c r="F385" s="5" t="s">
        <v>18</v>
      </c>
      <c r="G385" s="6">
        <v>0.14</v>
      </c>
      <c r="H385" s="5" t="s">
        <v>400</v>
      </c>
      <c r="I385" s="5" t="s">
        <v>20</v>
      </c>
      <c r="J385" s="5">
        <v>2025.0</v>
      </c>
      <c r="K385" s="8">
        <v>46056.0</v>
      </c>
      <c r="L385" s="5">
        <v>1.0</v>
      </c>
      <c r="M385" s="7">
        <f t="shared" si="2"/>
        <v>0.14</v>
      </c>
    </row>
    <row r="386">
      <c r="A386" s="5" t="s">
        <v>955</v>
      </c>
      <c r="B386" s="5" t="s">
        <v>956</v>
      </c>
      <c r="C386" s="5" t="s">
        <v>22</v>
      </c>
      <c r="D386" s="5" t="s">
        <v>957</v>
      </c>
      <c r="E386" s="5" t="s">
        <v>792</v>
      </c>
      <c r="F386" s="5" t="s">
        <v>18</v>
      </c>
      <c r="G386" s="6">
        <v>0.19</v>
      </c>
      <c r="H386" s="5" t="s">
        <v>400</v>
      </c>
      <c r="I386" s="5" t="s">
        <v>20</v>
      </c>
      <c r="J386" s="5">
        <v>2025.0</v>
      </c>
      <c r="K386" s="8">
        <v>46083.0</v>
      </c>
      <c r="L386" s="5">
        <v>1.0</v>
      </c>
      <c r="M386" s="7">
        <f t="shared" si="2"/>
        <v>0.19</v>
      </c>
    </row>
    <row r="387">
      <c r="A387" s="5" t="s">
        <v>958</v>
      </c>
      <c r="B387" s="5" t="s">
        <v>434</v>
      </c>
      <c r="C387" s="5" t="s">
        <v>22</v>
      </c>
      <c r="D387" s="5" t="s">
        <v>959</v>
      </c>
      <c r="E387" s="5" t="s">
        <v>960</v>
      </c>
      <c r="F387" s="5" t="s">
        <v>961</v>
      </c>
      <c r="G387" s="6">
        <v>0.13</v>
      </c>
      <c r="H387" s="5" t="s">
        <v>400</v>
      </c>
      <c r="I387" s="5" t="s">
        <v>20</v>
      </c>
      <c r="J387" s="5">
        <v>2025.0</v>
      </c>
      <c r="K387" s="8">
        <v>46024.0</v>
      </c>
      <c r="L387" s="5">
        <v>1.0</v>
      </c>
      <c r="M387" s="7">
        <f t="shared" si="2"/>
        <v>0.13</v>
      </c>
    </row>
    <row r="388">
      <c r="A388" s="5" t="s">
        <v>962</v>
      </c>
      <c r="B388" s="5" t="s">
        <v>963</v>
      </c>
      <c r="C388" s="5" t="s">
        <v>22</v>
      </c>
      <c r="D388" s="5" t="s">
        <v>964</v>
      </c>
      <c r="E388" s="5" t="s">
        <v>965</v>
      </c>
      <c r="F388" s="5" t="s">
        <v>966</v>
      </c>
      <c r="G388" s="6">
        <v>0.32</v>
      </c>
      <c r="H388" s="5" t="s">
        <v>400</v>
      </c>
      <c r="I388" s="5" t="s">
        <v>20</v>
      </c>
      <c r="J388" s="5">
        <v>2025.0</v>
      </c>
      <c r="K388" s="8">
        <v>46055.0</v>
      </c>
      <c r="L388" s="5">
        <v>1.0</v>
      </c>
      <c r="M388" s="7">
        <f t="shared" si="2"/>
        <v>0.32</v>
      </c>
    </row>
    <row r="389">
      <c r="A389" s="5" t="s">
        <v>967</v>
      </c>
      <c r="B389" s="5" t="s">
        <v>968</v>
      </c>
      <c r="C389" s="5" t="s">
        <v>22</v>
      </c>
      <c r="D389" s="5" t="s">
        <v>969</v>
      </c>
      <c r="E389" s="5" t="s">
        <v>970</v>
      </c>
      <c r="F389" s="5" t="s">
        <v>971</v>
      </c>
      <c r="G389" s="6">
        <v>0.26</v>
      </c>
      <c r="H389" s="5" t="s">
        <v>400</v>
      </c>
      <c r="I389" s="5" t="s">
        <v>20</v>
      </c>
      <c r="J389" s="5">
        <v>2025.0</v>
      </c>
      <c r="K389" s="8">
        <v>46146.0</v>
      </c>
      <c r="L389" s="5">
        <v>2.0</v>
      </c>
      <c r="M389" s="7">
        <f t="shared" si="2"/>
        <v>0.52</v>
      </c>
    </row>
    <row r="390">
      <c r="A390" s="5" t="s">
        <v>972</v>
      </c>
      <c r="B390" s="5" t="s">
        <v>973</v>
      </c>
      <c r="C390" s="5" t="s">
        <v>22</v>
      </c>
      <c r="D390" s="5" t="s">
        <v>974</v>
      </c>
      <c r="E390" s="5" t="s">
        <v>975</v>
      </c>
      <c r="F390" s="5" t="s">
        <v>976</v>
      </c>
      <c r="G390" s="6">
        <v>0.2</v>
      </c>
      <c r="H390" s="5" t="s">
        <v>400</v>
      </c>
      <c r="I390" s="5" t="s">
        <v>20</v>
      </c>
      <c r="J390" s="5">
        <v>2025.0</v>
      </c>
      <c r="K390" s="8">
        <v>46084.0</v>
      </c>
      <c r="L390" s="5">
        <v>1.0</v>
      </c>
      <c r="M390" s="7">
        <f t="shared" si="2"/>
        <v>0.2</v>
      </c>
    </row>
    <row r="391">
      <c r="A391" s="5" t="s">
        <v>977</v>
      </c>
      <c r="B391" s="5" t="s">
        <v>434</v>
      </c>
      <c r="C391" s="5" t="s">
        <v>22</v>
      </c>
      <c r="D391" s="5" t="s">
        <v>978</v>
      </c>
      <c r="E391" s="5" t="s">
        <v>979</v>
      </c>
      <c r="F391" s="5" t="s">
        <v>980</v>
      </c>
      <c r="G391" s="6">
        <v>0.25</v>
      </c>
      <c r="H391" s="5" t="s">
        <v>400</v>
      </c>
      <c r="I391" s="5" t="s">
        <v>20</v>
      </c>
      <c r="J391" s="5">
        <v>2025.0</v>
      </c>
      <c r="K391" s="8">
        <v>46179.0</v>
      </c>
      <c r="L391" s="5">
        <v>2.0</v>
      </c>
      <c r="M391" s="7">
        <f t="shared" si="2"/>
        <v>0.5</v>
      </c>
    </row>
    <row r="392">
      <c r="A392" s="5" t="s">
        <v>981</v>
      </c>
      <c r="B392" s="5" t="s">
        <v>982</v>
      </c>
      <c r="C392" s="5" t="s">
        <v>22</v>
      </c>
      <c r="D392" s="5" t="s">
        <v>983</v>
      </c>
      <c r="E392" s="5" t="s">
        <v>984</v>
      </c>
      <c r="F392" s="5" t="s">
        <v>985</v>
      </c>
      <c r="G392" s="6">
        <v>0.19</v>
      </c>
      <c r="H392" s="5" t="s">
        <v>400</v>
      </c>
      <c r="I392" s="5" t="s">
        <v>20</v>
      </c>
      <c r="J392" s="5">
        <v>2025.0</v>
      </c>
      <c r="K392" s="8">
        <v>46055.0</v>
      </c>
      <c r="L392" s="5">
        <v>1.0</v>
      </c>
      <c r="M392" s="7">
        <f t="shared" si="2"/>
        <v>0.19</v>
      </c>
    </row>
    <row r="393">
      <c r="A393" s="5" t="s">
        <v>986</v>
      </c>
      <c r="B393" s="5" t="s">
        <v>987</v>
      </c>
      <c r="C393" s="5" t="s">
        <v>22</v>
      </c>
      <c r="D393" s="5" t="s">
        <v>988</v>
      </c>
      <c r="E393" s="5" t="s">
        <v>989</v>
      </c>
      <c r="F393" s="5" t="s">
        <v>990</v>
      </c>
      <c r="G393" s="6">
        <v>0.25</v>
      </c>
      <c r="H393" s="5" t="s">
        <v>400</v>
      </c>
      <c r="I393" s="5" t="s">
        <v>20</v>
      </c>
      <c r="J393" s="5">
        <v>2025.0</v>
      </c>
      <c r="K393" s="8">
        <v>46055.0</v>
      </c>
      <c r="L393" s="5">
        <v>1.0</v>
      </c>
      <c r="M393" s="7">
        <f t="shared" si="2"/>
        <v>0.25</v>
      </c>
    </row>
    <row r="394">
      <c r="A394" s="5" t="s">
        <v>991</v>
      </c>
      <c r="B394" s="5" t="s">
        <v>434</v>
      </c>
      <c r="C394" s="5" t="s">
        <v>22</v>
      </c>
      <c r="D394" s="5" t="s">
        <v>992</v>
      </c>
      <c r="E394" s="5" t="s">
        <v>622</v>
      </c>
      <c r="F394" s="5" t="s">
        <v>280</v>
      </c>
      <c r="G394" s="6">
        <v>0.2</v>
      </c>
      <c r="H394" s="5" t="s">
        <v>400</v>
      </c>
      <c r="I394" s="5" t="s">
        <v>20</v>
      </c>
      <c r="J394" s="5">
        <v>2025.0</v>
      </c>
      <c r="K394" s="8">
        <v>46083.0</v>
      </c>
      <c r="L394" s="5">
        <v>1.0</v>
      </c>
      <c r="M394" s="7">
        <f t="shared" si="2"/>
        <v>0.2</v>
      </c>
    </row>
    <row r="395">
      <c r="A395" s="5" t="s">
        <v>993</v>
      </c>
      <c r="B395" s="5" t="s">
        <v>68</v>
      </c>
      <c r="C395" s="5" t="s">
        <v>22</v>
      </c>
      <c r="D395" s="5" t="s">
        <v>994</v>
      </c>
      <c r="E395" s="5" t="s">
        <v>995</v>
      </c>
      <c r="F395" s="5" t="s">
        <v>280</v>
      </c>
      <c r="G395" s="6">
        <v>0.2</v>
      </c>
      <c r="H395" s="5" t="s">
        <v>400</v>
      </c>
      <c r="I395" s="5" t="s">
        <v>20</v>
      </c>
      <c r="J395" s="5">
        <v>2025.0</v>
      </c>
      <c r="K395" s="5" t="s">
        <v>221</v>
      </c>
      <c r="L395" s="5">
        <v>1.0</v>
      </c>
      <c r="M395" s="7">
        <f t="shared" si="2"/>
        <v>0.2</v>
      </c>
    </row>
    <row r="396">
      <c r="A396" s="5" t="s">
        <v>996</v>
      </c>
      <c r="B396" s="5" t="s">
        <v>63</v>
      </c>
      <c r="C396" s="5" t="s">
        <v>22</v>
      </c>
      <c r="D396" s="5" t="s">
        <v>997</v>
      </c>
      <c r="E396" s="5" t="s">
        <v>640</v>
      </c>
      <c r="F396" s="5" t="s">
        <v>280</v>
      </c>
      <c r="G396" s="6">
        <v>0.1</v>
      </c>
      <c r="H396" s="5" t="s">
        <v>400</v>
      </c>
      <c r="I396" s="5" t="s">
        <v>20</v>
      </c>
      <c r="J396" s="5">
        <v>2025.0</v>
      </c>
      <c r="K396" s="5" t="s">
        <v>221</v>
      </c>
      <c r="L396" s="5">
        <v>1.0</v>
      </c>
      <c r="M396" s="7">
        <f t="shared" si="2"/>
        <v>0.1</v>
      </c>
    </row>
    <row r="397">
      <c r="A397" s="5" t="s">
        <v>998</v>
      </c>
      <c r="B397" s="5" t="s">
        <v>571</v>
      </c>
      <c r="C397" s="5" t="s">
        <v>22</v>
      </c>
      <c r="D397" s="5" t="s">
        <v>999</v>
      </c>
      <c r="E397" s="5" t="s">
        <v>660</v>
      </c>
      <c r="F397" s="5" t="s">
        <v>280</v>
      </c>
      <c r="G397" s="6">
        <v>0.22</v>
      </c>
      <c r="H397" s="5" t="s">
        <v>400</v>
      </c>
      <c r="I397" s="5" t="s">
        <v>20</v>
      </c>
      <c r="J397" s="5">
        <v>2025.0</v>
      </c>
      <c r="K397" s="8">
        <v>46116.0</v>
      </c>
      <c r="L397" s="5">
        <v>1.0</v>
      </c>
      <c r="M397" s="7">
        <f t="shared" si="2"/>
        <v>0.22</v>
      </c>
    </row>
    <row r="398">
      <c r="A398" s="5" t="s">
        <v>1000</v>
      </c>
      <c r="B398" s="5" t="s">
        <v>68</v>
      </c>
      <c r="C398" s="5" t="s">
        <v>15</v>
      </c>
      <c r="D398" s="5" t="s">
        <v>1001</v>
      </c>
      <c r="E398" s="5" t="s">
        <v>696</v>
      </c>
      <c r="F398" s="5" t="s">
        <v>152</v>
      </c>
      <c r="G398" s="6">
        <v>0.13</v>
      </c>
      <c r="H398" s="5" t="s">
        <v>1002</v>
      </c>
      <c r="I398" s="5" t="s">
        <v>20</v>
      </c>
      <c r="J398" s="5">
        <v>2026.0</v>
      </c>
      <c r="K398" s="5" t="s">
        <v>221</v>
      </c>
      <c r="L398" s="5">
        <v>3.0</v>
      </c>
      <c r="M398" s="7">
        <f t="shared" si="2"/>
        <v>0.39</v>
      </c>
    </row>
    <row r="399">
      <c r="A399" s="5" t="s">
        <v>1003</v>
      </c>
      <c r="B399" s="5" t="s">
        <v>1004</v>
      </c>
      <c r="C399" s="5" t="s">
        <v>15</v>
      </c>
      <c r="D399" s="5" t="s">
        <v>1005</v>
      </c>
      <c r="E399" s="5" t="s">
        <v>696</v>
      </c>
      <c r="F399" s="5" t="s">
        <v>152</v>
      </c>
      <c r="G399" s="6">
        <v>0.13</v>
      </c>
      <c r="H399" s="5" t="s">
        <v>1002</v>
      </c>
      <c r="I399" s="5" t="s">
        <v>20</v>
      </c>
      <c r="J399" s="5">
        <v>2026.0</v>
      </c>
      <c r="K399" s="8">
        <v>46055.0</v>
      </c>
      <c r="L399" s="5">
        <v>1.0</v>
      </c>
      <c r="M399" s="7">
        <f t="shared" si="2"/>
        <v>0.13</v>
      </c>
    </row>
    <row r="400">
      <c r="A400" s="5" t="s">
        <v>1006</v>
      </c>
      <c r="B400" s="5" t="s">
        <v>1004</v>
      </c>
      <c r="C400" s="5" t="s">
        <v>15</v>
      </c>
      <c r="D400" s="5" t="s">
        <v>1007</v>
      </c>
      <c r="E400" s="5" t="s">
        <v>699</v>
      </c>
      <c r="F400" s="5" t="s">
        <v>152</v>
      </c>
      <c r="G400" s="6">
        <v>0.15</v>
      </c>
      <c r="H400" s="5" t="s">
        <v>1002</v>
      </c>
      <c r="I400" s="5" t="s">
        <v>20</v>
      </c>
      <c r="J400" s="5">
        <v>2026.0</v>
      </c>
      <c r="K400" s="8">
        <v>46114.0</v>
      </c>
      <c r="L400" s="5">
        <v>1.0</v>
      </c>
      <c r="M400" s="7">
        <f t="shared" si="2"/>
        <v>0.15</v>
      </c>
    </row>
    <row r="401">
      <c r="A401" s="5" t="s">
        <v>1008</v>
      </c>
      <c r="B401" s="5" t="s">
        <v>68</v>
      </c>
      <c r="C401" s="5" t="s">
        <v>15</v>
      </c>
      <c r="D401" s="5" t="s">
        <v>1009</v>
      </c>
      <c r="E401" s="5" t="s">
        <v>704</v>
      </c>
      <c r="F401" s="5" t="s">
        <v>152</v>
      </c>
      <c r="G401" s="6">
        <v>0.13</v>
      </c>
      <c r="H401" s="5" t="s">
        <v>1002</v>
      </c>
      <c r="I401" s="5" t="s">
        <v>20</v>
      </c>
      <c r="J401" s="5">
        <v>2026.0</v>
      </c>
      <c r="K401" s="5" t="s">
        <v>221</v>
      </c>
      <c r="L401" s="5">
        <v>1.0</v>
      </c>
      <c r="M401" s="7">
        <f t="shared" si="2"/>
        <v>0.13</v>
      </c>
    </row>
    <row r="402">
      <c r="A402" s="5" t="s">
        <v>1010</v>
      </c>
      <c r="B402" s="5" t="s">
        <v>422</v>
      </c>
      <c r="C402" s="5" t="s">
        <v>15</v>
      </c>
      <c r="D402" s="5" t="s">
        <v>1011</v>
      </c>
      <c r="E402" s="5" t="s">
        <v>715</v>
      </c>
      <c r="F402" s="5" t="s">
        <v>152</v>
      </c>
      <c r="G402" s="6">
        <v>0.13</v>
      </c>
      <c r="H402" s="5" t="s">
        <v>1002</v>
      </c>
      <c r="I402" s="5" t="s">
        <v>20</v>
      </c>
      <c r="J402" s="5">
        <v>2026.0</v>
      </c>
      <c r="K402" s="8">
        <v>46054.0</v>
      </c>
      <c r="L402" s="5">
        <v>2.0</v>
      </c>
      <c r="M402" s="7">
        <f t="shared" si="2"/>
        <v>0.26</v>
      </c>
    </row>
    <row r="403">
      <c r="A403" s="5" t="s">
        <v>1012</v>
      </c>
      <c r="B403" s="5" t="s">
        <v>1013</v>
      </c>
      <c r="C403" s="5" t="s">
        <v>15</v>
      </c>
      <c r="D403" s="5" t="s">
        <v>1014</v>
      </c>
      <c r="E403" s="5" t="s">
        <v>917</v>
      </c>
      <c r="F403" s="5" t="s">
        <v>88</v>
      </c>
      <c r="G403" s="6">
        <v>0.13</v>
      </c>
      <c r="H403" s="5" t="s">
        <v>1002</v>
      </c>
      <c r="I403" s="5" t="s">
        <v>20</v>
      </c>
      <c r="J403" s="5">
        <v>2026.0</v>
      </c>
      <c r="K403" s="8">
        <v>46023.0</v>
      </c>
      <c r="L403" s="5">
        <v>2.0</v>
      </c>
      <c r="M403" s="7">
        <f t="shared" si="2"/>
        <v>0.26</v>
      </c>
    </row>
    <row r="404">
      <c r="A404" s="5" t="s">
        <v>1015</v>
      </c>
      <c r="B404" s="5" t="s">
        <v>68</v>
      </c>
      <c r="C404" s="5" t="s">
        <v>15</v>
      </c>
      <c r="D404" s="5" t="s">
        <v>1016</v>
      </c>
      <c r="E404" s="5" t="s">
        <v>895</v>
      </c>
      <c r="F404" s="5" t="s">
        <v>88</v>
      </c>
      <c r="G404" s="6">
        <v>0.13</v>
      </c>
      <c r="H404" s="5" t="s">
        <v>1002</v>
      </c>
      <c r="I404" s="5" t="s">
        <v>20</v>
      </c>
      <c r="J404" s="5">
        <v>2026.0</v>
      </c>
      <c r="K404" s="5" t="s">
        <v>221</v>
      </c>
      <c r="L404" s="5">
        <v>1.0</v>
      </c>
      <c r="M404" s="7">
        <f t="shared" si="2"/>
        <v>0.13</v>
      </c>
    </row>
    <row r="405">
      <c r="A405" s="5" t="s">
        <v>1017</v>
      </c>
      <c r="B405" s="5" t="s">
        <v>1018</v>
      </c>
      <c r="C405" s="5" t="s">
        <v>22</v>
      </c>
      <c r="D405" s="5" t="s">
        <v>1019</v>
      </c>
      <c r="E405" s="5" t="s">
        <v>914</v>
      </c>
      <c r="F405" s="5" t="s">
        <v>88</v>
      </c>
      <c r="G405" s="6">
        <v>0.69</v>
      </c>
      <c r="H405" s="5" t="s">
        <v>1002</v>
      </c>
      <c r="I405" s="5" t="s">
        <v>20</v>
      </c>
      <c r="J405" s="5">
        <v>2026.0</v>
      </c>
      <c r="K405" s="8">
        <v>46115.0</v>
      </c>
      <c r="L405" s="5">
        <v>1.0</v>
      </c>
      <c r="M405" s="7">
        <f t="shared" si="2"/>
        <v>0.69</v>
      </c>
    </row>
    <row r="406">
      <c r="A406" s="5" t="s">
        <v>1020</v>
      </c>
      <c r="B406" s="5" t="s">
        <v>33</v>
      </c>
      <c r="C406" s="5" t="s">
        <v>15</v>
      </c>
      <c r="D406" s="5" t="s">
        <v>1021</v>
      </c>
      <c r="E406" s="5" t="s">
        <v>865</v>
      </c>
      <c r="F406" s="5" t="s">
        <v>88</v>
      </c>
      <c r="G406" s="6">
        <v>0.13</v>
      </c>
      <c r="H406" s="5" t="s">
        <v>1002</v>
      </c>
      <c r="I406" s="5" t="s">
        <v>20</v>
      </c>
      <c r="J406" s="5">
        <v>2026.0</v>
      </c>
      <c r="K406" s="5" t="s">
        <v>221</v>
      </c>
      <c r="L406" s="5">
        <v>1.0</v>
      </c>
      <c r="M406" s="7">
        <f t="shared" si="2"/>
        <v>0.13</v>
      </c>
    </row>
    <row r="407">
      <c r="A407" s="5" t="s">
        <v>1022</v>
      </c>
      <c r="B407" s="5" t="s">
        <v>1023</v>
      </c>
      <c r="C407" s="5" t="s">
        <v>15</v>
      </c>
      <c r="D407" s="5" t="s">
        <v>1024</v>
      </c>
      <c r="E407" s="5" t="s">
        <v>840</v>
      </c>
      <c r="F407" s="5" t="s">
        <v>88</v>
      </c>
      <c r="G407" s="6">
        <v>0.13</v>
      </c>
      <c r="H407" s="5" t="s">
        <v>1002</v>
      </c>
      <c r="I407" s="5" t="s">
        <v>20</v>
      </c>
      <c r="J407" s="5">
        <v>2026.0</v>
      </c>
      <c r="K407" s="8">
        <v>46083.0</v>
      </c>
      <c r="L407" s="5">
        <v>1.0</v>
      </c>
      <c r="M407" s="7">
        <f t="shared" si="2"/>
        <v>0.13</v>
      </c>
    </row>
    <row r="408">
      <c r="A408" s="5" t="s">
        <v>1025</v>
      </c>
      <c r="B408" s="5" t="s">
        <v>14</v>
      </c>
      <c r="C408" s="5" t="s">
        <v>15</v>
      </c>
      <c r="D408" s="5" t="s">
        <v>1026</v>
      </c>
      <c r="E408" s="5" t="s">
        <v>865</v>
      </c>
      <c r="F408" s="5" t="s">
        <v>88</v>
      </c>
      <c r="G408" s="6">
        <v>0.13</v>
      </c>
      <c r="H408" s="5" t="s">
        <v>1002</v>
      </c>
      <c r="I408" s="5" t="s">
        <v>20</v>
      </c>
      <c r="J408" s="5">
        <v>2026.0</v>
      </c>
      <c r="K408" s="5" t="s">
        <v>221</v>
      </c>
      <c r="L408" s="5">
        <v>1.0</v>
      </c>
      <c r="M408" s="7">
        <f t="shared" si="2"/>
        <v>0.13</v>
      </c>
    </row>
    <row r="409">
      <c r="A409" s="5" t="s">
        <v>1027</v>
      </c>
      <c r="B409" s="5" t="s">
        <v>1028</v>
      </c>
      <c r="C409" s="5" t="s">
        <v>22</v>
      </c>
      <c r="D409" s="5" t="s">
        <v>1029</v>
      </c>
      <c r="E409" s="5" t="s">
        <v>865</v>
      </c>
      <c r="F409" s="5" t="s">
        <v>88</v>
      </c>
      <c r="G409" s="6">
        <v>0.69</v>
      </c>
      <c r="H409" s="5" t="s">
        <v>1002</v>
      </c>
      <c r="I409" s="5" t="s">
        <v>20</v>
      </c>
      <c r="J409" s="5">
        <v>2026.0</v>
      </c>
      <c r="K409" s="5" t="s">
        <v>221</v>
      </c>
      <c r="L409" s="5">
        <v>2.0</v>
      </c>
      <c r="M409" s="7">
        <f t="shared" si="2"/>
        <v>1.38</v>
      </c>
    </row>
    <row r="410">
      <c r="A410" s="5" t="s">
        <v>1030</v>
      </c>
      <c r="B410" s="5" t="s">
        <v>1023</v>
      </c>
      <c r="C410" s="5" t="s">
        <v>15</v>
      </c>
      <c r="D410" s="5" t="s">
        <v>1031</v>
      </c>
      <c r="E410" s="5" t="s">
        <v>865</v>
      </c>
      <c r="F410" s="5" t="s">
        <v>88</v>
      </c>
      <c r="G410" s="6">
        <v>0.13</v>
      </c>
      <c r="H410" s="5" t="s">
        <v>1002</v>
      </c>
      <c r="I410" s="5" t="s">
        <v>20</v>
      </c>
      <c r="J410" s="5">
        <v>2026.0</v>
      </c>
      <c r="K410" s="8">
        <v>46055.0</v>
      </c>
      <c r="L410" s="5">
        <v>1.0</v>
      </c>
      <c r="M410" s="7">
        <f t="shared" si="2"/>
        <v>0.13</v>
      </c>
    </row>
    <row r="411">
      <c r="A411" s="5" t="s">
        <v>1032</v>
      </c>
      <c r="B411" s="5" t="s">
        <v>571</v>
      </c>
      <c r="C411" s="5" t="s">
        <v>15</v>
      </c>
      <c r="D411" s="5" t="s">
        <v>1033</v>
      </c>
      <c r="E411" s="5" t="s">
        <v>1034</v>
      </c>
      <c r="F411" s="5" t="s">
        <v>80</v>
      </c>
      <c r="G411" s="6">
        <v>0.13</v>
      </c>
      <c r="H411" s="5" t="s">
        <v>1002</v>
      </c>
      <c r="I411" s="5" t="s">
        <v>20</v>
      </c>
      <c r="J411" s="5">
        <v>2026.0</v>
      </c>
      <c r="K411" s="8">
        <v>46084.0</v>
      </c>
      <c r="L411" s="5">
        <v>1.0</v>
      </c>
      <c r="M411" s="7">
        <f t="shared" si="2"/>
        <v>0.13</v>
      </c>
    </row>
    <row r="412">
      <c r="A412" s="5" t="s">
        <v>1035</v>
      </c>
      <c r="B412" s="5" t="s">
        <v>1013</v>
      </c>
      <c r="C412" s="5" t="s">
        <v>15</v>
      </c>
      <c r="D412" s="5" t="s">
        <v>1036</v>
      </c>
      <c r="E412" s="5" t="s">
        <v>1037</v>
      </c>
      <c r="F412" s="5" t="s">
        <v>80</v>
      </c>
      <c r="G412" s="6">
        <v>0.13</v>
      </c>
      <c r="H412" s="5" t="s">
        <v>1002</v>
      </c>
      <c r="I412" s="5" t="s">
        <v>20</v>
      </c>
      <c r="J412" s="5">
        <v>2026.0</v>
      </c>
      <c r="K412" s="8">
        <v>46082.0</v>
      </c>
      <c r="L412" s="5">
        <v>1.0</v>
      </c>
      <c r="M412" s="7">
        <f t="shared" si="2"/>
        <v>0.13</v>
      </c>
    </row>
    <row r="413">
      <c r="A413" s="5" t="s">
        <v>1038</v>
      </c>
      <c r="B413" s="5" t="s">
        <v>1039</v>
      </c>
      <c r="C413" s="5" t="s">
        <v>15</v>
      </c>
      <c r="D413" s="5" t="s">
        <v>1040</v>
      </c>
      <c r="E413" s="5" t="s">
        <v>792</v>
      </c>
      <c r="F413" s="5" t="s">
        <v>18</v>
      </c>
      <c r="G413" s="6">
        <v>0.13</v>
      </c>
      <c r="H413" s="5" t="s">
        <v>1002</v>
      </c>
      <c r="I413" s="5" t="s">
        <v>20</v>
      </c>
      <c r="J413" s="5">
        <v>2026.0</v>
      </c>
      <c r="K413" s="8">
        <v>46056.0</v>
      </c>
      <c r="L413" s="5">
        <v>1.0</v>
      </c>
      <c r="M413" s="7">
        <f t="shared" si="2"/>
        <v>0.13</v>
      </c>
    </row>
    <row r="414">
      <c r="A414" s="5" t="s">
        <v>1041</v>
      </c>
      <c r="B414" s="5" t="s">
        <v>1028</v>
      </c>
      <c r="C414" s="5" t="s">
        <v>22</v>
      </c>
      <c r="D414" s="5" t="s">
        <v>1042</v>
      </c>
      <c r="E414" s="5" t="s">
        <v>785</v>
      </c>
      <c r="F414" s="5" t="s">
        <v>18</v>
      </c>
      <c r="G414" s="6">
        <v>0.64</v>
      </c>
      <c r="H414" s="5" t="s">
        <v>1002</v>
      </c>
      <c r="I414" s="5" t="s">
        <v>20</v>
      </c>
      <c r="J414" s="5">
        <v>2026.0</v>
      </c>
      <c r="K414" s="5" t="s">
        <v>221</v>
      </c>
      <c r="L414" s="5">
        <v>2.0</v>
      </c>
      <c r="M414" s="7">
        <f t="shared" si="2"/>
        <v>1.28</v>
      </c>
    </row>
    <row r="415">
      <c r="A415" s="5" t="s">
        <v>1043</v>
      </c>
      <c r="B415" s="5" t="s">
        <v>1044</v>
      </c>
      <c r="C415" s="5" t="s">
        <v>15</v>
      </c>
      <c r="D415" s="5" t="s">
        <v>1045</v>
      </c>
      <c r="E415" s="5" t="s">
        <v>782</v>
      </c>
      <c r="F415" s="5" t="s">
        <v>18</v>
      </c>
      <c r="G415" s="6">
        <v>0.13</v>
      </c>
      <c r="H415" s="5" t="s">
        <v>1002</v>
      </c>
      <c r="I415" s="5" t="s">
        <v>20</v>
      </c>
      <c r="J415" s="5">
        <v>2026.0</v>
      </c>
      <c r="K415" s="8">
        <v>46023.0</v>
      </c>
      <c r="L415" s="5">
        <v>1.0</v>
      </c>
      <c r="M415" s="7">
        <f t="shared" si="2"/>
        <v>0.13</v>
      </c>
    </row>
    <row r="416">
      <c r="A416" s="5" t="s">
        <v>1046</v>
      </c>
      <c r="B416" s="5" t="s">
        <v>1047</v>
      </c>
      <c r="C416" s="5" t="s">
        <v>15</v>
      </c>
      <c r="D416" s="5" t="s">
        <v>1048</v>
      </c>
      <c r="E416" s="5" t="s">
        <v>824</v>
      </c>
      <c r="F416" s="5" t="s">
        <v>18</v>
      </c>
      <c r="G416" s="6">
        <v>0.13</v>
      </c>
      <c r="H416" s="5" t="s">
        <v>1002</v>
      </c>
      <c r="I416" s="5" t="s">
        <v>20</v>
      </c>
      <c r="J416" s="5">
        <v>2026.0</v>
      </c>
      <c r="K416" s="8">
        <v>46116.0</v>
      </c>
      <c r="L416" s="5">
        <v>1.0</v>
      </c>
      <c r="M416" s="7">
        <f t="shared" si="2"/>
        <v>0.13</v>
      </c>
    </row>
    <row r="417">
      <c r="A417" s="5" t="s">
        <v>1049</v>
      </c>
      <c r="B417" s="5" t="s">
        <v>1050</v>
      </c>
      <c r="C417" s="5" t="s">
        <v>15</v>
      </c>
      <c r="D417" s="5" t="s">
        <v>1051</v>
      </c>
      <c r="E417" s="5" t="s">
        <v>792</v>
      </c>
      <c r="F417" s="5" t="s">
        <v>18</v>
      </c>
      <c r="G417" s="6">
        <v>0.13</v>
      </c>
      <c r="H417" s="5" t="s">
        <v>1002</v>
      </c>
      <c r="I417" s="5" t="s">
        <v>20</v>
      </c>
      <c r="J417" s="5">
        <v>2026.0</v>
      </c>
      <c r="K417" s="8">
        <v>46084.0</v>
      </c>
      <c r="L417" s="5">
        <v>4.0</v>
      </c>
      <c r="M417" s="7">
        <f t="shared" si="2"/>
        <v>0.52</v>
      </c>
    </row>
    <row r="418">
      <c r="A418" s="5" t="s">
        <v>1049</v>
      </c>
      <c r="B418" s="5" t="s">
        <v>1050</v>
      </c>
      <c r="C418" s="5" t="s">
        <v>15</v>
      </c>
      <c r="D418" s="5" t="s">
        <v>1051</v>
      </c>
      <c r="E418" s="5" t="s">
        <v>792</v>
      </c>
      <c r="F418" s="5" t="s">
        <v>18</v>
      </c>
      <c r="G418" s="6">
        <v>0.84</v>
      </c>
      <c r="H418" s="5" t="s">
        <v>1002</v>
      </c>
      <c r="I418" s="5" t="s">
        <v>20</v>
      </c>
      <c r="J418" s="5">
        <v>2026.0</v>
      </c>
      <c r="K418" s="8">
        <v>46084.0</v>
      </c>
      <c r="L418" s="5">
        <v>1.0</v>
      </c>
      <c r="M418" s="7">
        <f t="shared" si="2"/>
        <v>0.84</v>
      </c>
    </row>
    <row r="419">
      <c r="A419" s="5" t="s">
        <v>1049</v>
      </c>
      <c r="B419" s="5" t="s">
        <v>1050</v>
      </c>
      <c r="C419" s="5" t="s">
        <v>15</v>
      </c>
      <c r="D419" s="5" t="s">
        <v>1051</v>
      </c>
      <c r="E419" s="5" t="s">
        <v>792</v>
      </c>
      <c r="F419" s="5" t="s">
        <v>18</v>
      </c>
      <c r="G419" s="6">
        <v>0.13</v>
      </c>
      <c r="H419" s="5" t="s">
        <v>1002</v>
      </c>
      <c r="I419" s="5" t="s">
        <v>20</v>
      </c>
      <c r="J419" s="5">
        <v>2026.0</v>
      </c>
      <c r="K419" s="8">
        <v>46084.0</v>
      </c>
      <c r="L419" s="5">
        <v>2.0</v>
      </c>
      <c r="M419" s="7">
        <f t="shared" si="2"/>
        <v>0.26</v>
      </c>
    </row>
    <row r="420">
      <c r="A420" s="5" t="s">
        <v>1049</v>
      </c>
      <c r="B420" s="5" t="s">
        <v>1050</v>
      </c>
      <c r="C420" s="5" t="s">
        <v>15</v>
      </c>
      <c r="D420" s="5" t="s">
        <v>1051</v>
      </c>
      <c r="E420" s="5" t="s">
        <v>792</v>
      </c>
      <c r="F420" s="5" t="s">
        <v>18</v>
      </c>
      <c r="G420" s="6">
        <v>0.34</v>
      </c>
      <c r="H420" s="5" t="s">
        <v>1002</v>
      </c>
      <c r="I420" s="5" t="s">
        <v>31</v>
      </c>
      <c r="J420" s="5">
        <v>2026.0</v>
      </c>
      <c r="K420" s="8">
        <v>46084.0</v>
      </c>
      <c r="L420" s="5">
        <v>1.0</v>
      </c>
      <c r="M420" s="7">
        <f t="shared" si="2"/>
        <v>0.34</v>
      </c>
    </row>
    <row r="421">
      <c r="A421" s="5" t="s">
        <v>1052</v>
      </c>
      <c r="B421" s="5" t="s">
        <v>1053</v>
      </c>
      <c r="C421" s="5" t="s">
        <v>15</v>
      </c>
      <c r="D421" s="5" t="s">
        <v>1054</v>
      </c>
      <c r="E421" s="5" t="s">
        <v>785</v>
      </c>
      <c r="F421" s="5" t="s">
        <v>18</v>
      </c>
      <c r="G421" s="6">
        <v>0.35</v>
      </c>
      <c r="H421" s="5" t="s">
        <v>1002</v>
      </c>
      <c r="I421" s="5" t="s">
        <v>31</v>
      </c>
      <c r="J421" s="5">
        <v>2026.0</v>
      </c>
      <c r="K421" s="8">
        <v>46055.0</v>
      </c>
      <c r="L421" s="5">
        <v>1.0</v>
      </c>
      <c r="M421" s="7">
        <f t="shared" si="2"/>
        <v>0.35</v>
      </c>
    </row>
    <row r="422">
      <c r="A422" s="5" t="s">
        <v>1052</v>
      </c>
      <c r="B422" s="5" t="s">
        <v>1053</v>
      </c>
      <c r="C422" s="5" t="s">
        <v>15</v>
      </c>
      <c r="D422" s="5" t="s">
        <v>1054</v>
      </c>
      <c r="E422" s="5" t="s">
        <v>785</v>
      </c>
      <c r="F422" s="5" t="s">
        <v>18</v>
      </c>
      <c r="G422" s="6">
        <v>0.13</v>
      </c>
      <c r="H422" s="5" t="s">
        <v>1002</v>
      </c>
      <c r="I422" s="5" t="s">
        <v>20</v>
      </c>
      <c r="J422" s="5">
        <v>2026.0</v>
      </c>
      <c r="K422" s="8">
        <v>46055.0</v>
      </c>
      <c r="L422" s="5">
        <v>1.0</v>
      </c>
      <c r="M422" s="7">
        <f t="shared" si="2"/>
        <v>0.13</v>
      </c>
    </row>
    <row r="423">
      <c r="A423" s="5" t="s">
        <v>1055</v>
      </c>
      <c r="B423" s="5" t="s">
        <v>14</v>
      </c>
      <c r="C423" s="5" t="s">
        <v>15</v>
      </c>
      <c r="D423" s="5" t="s">
        <v>1056</v>
      </c>
      <c r="E423" s="5" t="s">
        <v>1057</v>
      </c>
      <c r="F423" s="5" t="s">
        <v>166</v>
      </c>
      <c r="G423" s="6">
        <v>0.13</v>
      </c>
      <c r="H423" s="5" t="s">
        <v>1002</v>
      </c>
      <c r="I423" s="5" t="s">
        <v>20</v>
      </c>
      <c r="J423" s="5">
        <v>2026.0</v>
      </c>
      <c r="L423" s="5">
        <v>1.0</v>
      </c>
      <c r="M423" s="7">
        <f t="shared" si="2"/>
        <v>0.13</v>
      </c>
    </row>
    <row r="424">
      <c r="A424" s="5" t="s">
        <v>1058</v>
      </c>
      <c r="B424" s="5" t="s">
        <v>1059</v>
      </c>
      <c r="C424" s="5" t="s">
        <v>15</v>
      </c>
      <c r="D424" s="5" t="s">
        <v>1060</v>
      </c>
      <c r="E424" s="5" t="s">
        <v>942</v>
      </c>
      <c r="F424" s="5" t="s">
        <v>166</v>
      </c>
      <c r="G424" s="6">
        <v>0.13</v>
      </c>
      <c r="H424" s="5" t="s">
        <v>1002</v>
      </c>
      <c r="I424" s="5" t="s">
        <v>20</v>
      </c>
      <c r="J424" s="5">
        <v>2026.0</v>
      </c>
      <c r="K424" s="8">
        <v>46056.0</v>
      </c>
      <c r="L424" s="5">
        <v>1.0</v>
      </c>
      <c r="M424" s="7">
        <f t="shared" si="2"/>
        <v>0.13</v>
      </c>
    </row>
    <row r="425">
      <c r="A425" s="5" t="s">
        <v>1061</v>
      </c>
      <c r="B425" s="5" t="s">
        <v>14</v>
      </c>
      <c r="C425" s="5" t="s">
        <v>15</v>
      </c>
      <c r="D425" s="5" t="s">
        <v>1062</v>
      </c>
      <c r="E425" s="5" t="s">
        <v>1057</v>
      </c>
      <c r="F425" s="5" t="s">
        <v>166</v>
      </c>
      <c r="G425" s="6">
        <v>0.13</v>
      </c>
      <c r="H425" s="5" t="s">
        <v>1002</v>
      </c>
      <c r="I425" s="5" t="s">
        <v>20</v>
      </c>
      <c r="J425" s="5">
        <v>2026.0</v>
      </c>
      <c r="L425" s="5">
        <v>2.0</v>
      </c>
      <c r="M425" s="7">
        <f t="shared" si="2"/>
        <v>0.26</v>
      </c>
    </row>
    <row r="426">
      <c r="A426" s="5" t="s">
        <v>1063</v>
      </c>
      <c r="B426" s="5" t="s">
        <v>1064</v>
      </c>
      <c r="C426" s="5" t="s">
        <v>15</v>
      </c>
      <c r="D426" s="5" t="s">
        <v>1065</v>
      </c>
      <c r="E426" s="5" t="s">
        <v>932</v>
      </c>
      <c r="F426" s="5" t="s">
        <v>166</v>
      </c>
      <c r="G426" s="6">
        <v>0.13</v>
      </c>
      <c r="H426" s="5" t="s">
        <v>1002</v>
      </c>
      <c r="I426" s="5" t="s">
        <v>20</v>
      </c>
      <c r="J426" s="5">
        <v>2026.0</v>
      </c>
      <c r="K426" s="8">
        <v>46054.0</v>
      </c>
      <c r="L426" s="5">
        <v>2.0</v>
      </c>
      <c r="M426" s="7">
        <f t="shared" si="2"/>
        <v>0.26</v>
      </c>
    </row>
    <row r="427">
      <c r="A427" s="5" t="s">
        <v>1066</v>
      </c>
      <c r="B427" s="5" t="s">
        <v>14</v>
      </c>
      <c r="C427" s="5" t="s">
        <v>22</v>
      </c>
      <c r="D427" s="5" t="s">
        <v>1067</v>
      </c>
      <c r="E427" s="5" t="s">
        <v>941</v>
      </c>
      <c r="F427" s="5" t="s">
        <v>166</v>
      </c>
      <c r="G427" s="6">
        <v>0.44</v>
      </c>
      <c r="H427" s="5" t="s">
        <v>1002</v>
      </c>
      <c r="I427" s="5" t="s">
        <v>20</v>
      </c>
      <c r="J427" s="5">
        <v>2026.0</v>
      </c>
      <c r="L427" s="5">
        <v>1.0</v>
      </c>
      <c r="M427" s="7">
        <f t="shared" si="2"/>
        <v>0.44</v>
      </c>
    </row>
    <row r="428">
      <c r="A428" s="5" t="s">
        <v>1068</v>
      </c>
      <c r="B428" s="5" t="s">
        <v>1069</v>
      </c>
      <c r="C428" s="5" t="s">
        <v>15</v>
      </c>
      <c r="D428" s="5" t="s">
        <v>1070</v>
      </c>
      <c r="E428" s="5" t="s">
        <v>1071</v>
      </c>
      <c r="F428" s="5" t="s">
        <v>166</v>
      </c>
      <c r="G428" s="6">
        <v>0.13</v>
      </c>
      <c r="H428" s="5" t="s">
        <v>1002</v>
      </c>
      <c r="I428" s="5" t="s">
        <v>20</v>
      </c>
      <c r="J428" s="5">
        <v>2026.0</v>
      </c>
      <c r="K428" s="8">
        <v>46056.0</v>
      </c>
      <c r="L428" s="5">
        <v>1.0</v>
      </c>
      <c r="M428" s="7">
        <f t="shared" si="2"/>
        <v>0.13</v>
      </c>
    </row>
    <row r="429">
      <c r="A429" s="5" t="s">
        <v>1072</v>
      </c>
      <c r="B429" s="5" t="s">
        <v>1073</v>
      </c>
      <c r="C429" s="5" t="s">
        <v>15</v>
      </c>
      <c r="D429" s="5" t="s">
        <v>1074</v>
      </c>
      <c r="E429" s="5" t="s">
        <v>995</v>
      </c>
      <c r="F429" s="5" t="s">
        <v>280</v>
      </c>
      <c r="G429" s="6">
        <v>0.13</v>
      </c>
      <c r="H429" s="5" t="s">
        <v>1002</v>
      </c>
      <c r="I429" s="5" t="s">
        <v>20</v>
      </c>
      <c r="J429" s="5">
        <v>2026.0</v>
      </c>
      <c r="K429" s="8">
        <v>46116.0</v>
      </c>
      <c r="L429" s="5">
        <v>1.0</v>
      </c>
      <c r="M429" s="7">
        <f t="shared" si="2"/>
        <v>0.13</v>
      </c>
    </row>
    <row r="430">
      <c r="A430" s="5" t="s">
        <v>1075</v>
      </c>
      <c r="B430" s="5" t="s">
        <v>14</v>
      </c>
      <c r="C430" s="5" t="s">
        <v>15</v>
      </c>
      <c r="D430" s="5" t="s">
        <v>1076</v>
      </c>
      <c r="E430" s="5" t="s">
        <v>622</v>
      </c>
      <c r="F430" s="5" t="s">
        <v>280</v>
      </c>
      <c r="G430" s="6">
        <v>0.24</v>
      </c>
      <c r="H430" s="5" t="s">
        <v>1002</v>
      </c>
      <c r="I430" s="5" t="s">
        <v>20</v>
      </c>
      <c r="J430" s="5">
        <v>2026.0</v>
      </c>
      <c r="L430" s="5">
        <v>2.0</v>
      </c>
      <c r="M430" s="7">
        <f t="shared" si="2"/>
        <v>0.48</v>
      </c>
    </row>
    <row r="431">
      <c r="A431" s="5" t="s">
        <v>1077</v>
      </c>
      <c r="B431" s="5" t="s">
        <v>1078</v>
      </c>
      <c r="C431" s="5" t="s">
        <v>15</v>
      </c>
      <c r="D431" s="5" t="s">
        <v>1079</v>
      </c>
      <c r="E431" s="5" t="s">
        <v>554</v>
      </c>
      <c r="F431" s="5" t="s">
        <v>280</v>
      </c>
      <c r="G431" s="6">
        <v>0.35</v>
      </c>
      <c r="H431" s="5" t="s">
        <v>1002</v>
      </c>
      <c r="I431" s="5" t="s">
        <v>31</v>
      </c>
      <c r="J431" s="5">
        <v>2026.0</v>
      </c>
      <c r="K431" s="8">
        <v>46054.0</v>
      </c>
      <c r="L431" s="5">
        <v>1.0</v>
      </c>
      <c r="M431" s="7">
        <f t="shared" si="2"/>
        <v>0.35</v>
      </c>
    </row>
    <row r="432">
      <c r="A432" s="5" t="s">
        <v>1077</v>
      </c>
      <c r="B432" s="5" t="s">
        <v>1078</v>
      </c>
      <c r="C432" s="5" t="s">
        <v>15</v>
      </c>
      <c r="D432" s="5" t="s">
        <v>1079</v>
      </c>
      <c r="E432" s="5" t="s">
        <v>554</v>
      </c>
      <c r="F432" s="5" t="s">
        <v>280</v>
      </c>
      <c r="G432" s="6">
        <v>0.13</v>
      </c>
      <c r="H432" s="5" t="s">
        <v>1002</v>
      </c>
      <c r="I432" s="5" t="s">
        <v>20</v>
      </c>
      <c r="J432" s="5">
        <v>2026.0</v>
      </c>
      <c r="K432" s="8">
        <v>46054.0</v>
      </c>
      <c r="L432" s="5">
        <v>1.0</v>
      </c>
      <c r="M432" s="7">
        <f t="shared" si="2"/>
        <v>0.13</v>
      </c>
    </row>
    <row r="433">
      <c r="A433" s="5" t="s">
        <v>1080</v>
      </c>
      <c r="B433" s="5" t="s">
        <v>68</v>
      </c>
      <c r="C433" s="5" t="s">
        <v>15</v>
      </c>
      <c r="D433" s="5" t="s">
        <v>1081</v>
      </c>
      <c r="E433" s="5" t="s">
        <v>622</v>
      </c>
      <c r="F433" s="5" t="s">
        <v>280</v>
      </c>
      <c r="G433" s="6">
        <v>0.13</v>
      </c>
      <c r="H433" s="5" t="s">
        <v>1002</v>
      </c>
      <c r="I433" s="5" t="s">
        <v>20</v>
      </c>
      <c r="J433" s="5">
        <v>2026.0</v>
      </c>
      <c r="L433" s="5">
        <v>1.0</v>
      </c>
      <c r="M433" s="7">
        <f t="shared" si="2"/>
        <v>0.13</v>
      </c>
    </row>
    <row r="434">
      <c r="A434" s="5" t="s">
        <v>1082</v>
      </c>
      <c r="B434" s="5" t="s">
        <v>14</v>
      </c>
      <c r="C434" s="5" t="s">
        <v>15</v>
      </c>
      <c r="D434" s="5" t="s">
        <v>1083</v>
      </c>
      <c r="E434" s="5" t="s">
        <v>660</v>
      </c>
      <c r="F434" s="5" t="s">
        <v>280</v>
      </c>
      <c r="G434" s="6">
        <v>0.03</v>
      </c>
      <c r="H434" s="5" t="s">
        <v>1002</v>
      </c>
      <c r="I434" s="5" t="s">
        <v>20</v>
      </c>
      <c r="J434" s="5">
        <v>2026.0</v>
      </c>
      <c r="L434" s="5">
        <v>1.0</v>
      </c>
      <c r="M434" s="7">
        <f t="shared" si="2"/>
        <v>0.03</v>
      </c>
    </row>
    <row r="435">
      <c r="A435" s="5" t="s">
        <v>1084</v>
      </c>
      <c r="B435" s="5" t="s">
        <v>274</v>
      </c>
      <c r="C435" s="5" t="s">
        <v>15</v>
      </c>
      <c r="D435" s="5" t="s">
        <v>1085</v>
      </c>
      <c r="E435" s="5" t="s">
        <v>696</v>
      </c>
      <c r="F435" s="5" t="s">
        <v>152</v>
      </c>
      <c r="G435" s="6">
        <v>0.13</v>
      </c>
      <c r="H435" s="5" t="s">
        <v>1002</v>
      </c>
      <c r="I435" s="5" t="s">
        <v>20</v>
      </c>
      <c r="J435" s="5">
        <v>2026.0</v>
      </c>
      <c r="K435" s="8">
        <v>46082.0</v>
      </c>
      <c r="L435" s="5">
        <v>1.0</v>
      </c>
      <c r="M435" s="7">
        <f t="shared" si="2"/>
        <v>0.13</v>
      </c>
    </row>
    <row r="436">
      <c r="A436" s="5" t="s">
        <v>1084</v>
      </c>
      <c r="B436" s="5" t="s">
        <v>274</v>
      </c>
      <c r="C436" s="5" t="s">
        <v>15</v>
      </c>
      <c r="D436" s="5" t="s">
        <v>1085</v>
      </c>
      <c r="E436" s="5" t="s">
        <v>696</v>
      </c>
      <c r="F436" s="5" t="s">
        <v>152</v>
      </c>
      <c r="G436" s="6">
        <v>0.11</v>
      </c>
      <c r="H436" s="5" t="s">
        <v>1002</v>
      </c>
      <c r="I436" s="5" t="s">
        <v>20</v>
      </c>
      <c r="J436" s="5">
        <v>2026.0</v>
      </c>
      <c r="K436" s="8">
        <v>46082.0</v>
      </c>
      <c r="L436" s="5">
        <v>2.0</v>
      </c>
      <c r="M436" s="7">
        <f t="shared" si="2"/>
        <v>0.22</v>
      </c>
    </row>
    <row r="437">
      <c r="A437" s="5" t="s">
        <v>1086</v>
      </c>
      <c r="B437" s="5" t="s">
        <v>731</v>
      </c>
      <c r="C437" s="5" t="s">
        <v>22</v>
      </c>
      <c r="D437" s="5" t="s">
        <v>1087</v>
      </c>
      <c r="E437" s="5" t="s">
        <v>932</v>
      </c>
      <c r="F437" s="5" t="s">
        <v>166</v>
      </c>
      <c r="G437" s="6">
        <v>0.2</v>
      </c>
      <c r="H437" s="5" t="s">
        <v>1088</v>
      </c>
      <c r="I437" s="5" t="s">
        <v>20</v>
      </c>
      <c r="J437" s="5">
        <v>2025.0</v>
      </c>
      <c r="K437" s="8">
        <v>46024.0</v>
      </c>
      <c r="L437" s="5">
        <v>1.0</v>
      </c>
      <c r="M437" s="7">
        <f t="shared" si="2"/>
        <v>0.2</v>
      </c>
    </row>
    <row r="438">
      <c r="A438" s="5" t="s">
        <v>1089</v>
      </c>
      <c r="B438" s="5" t="s">
        <v>68</v>
      </c>
      <c r="C438" s="5" t="s">
        <v>1090</v>
      </c>
      <c r="D438" s="5" t="s">
        <v>1091</v>
      </c>
      <c r="E438" s="5" t="s">
        <v>765</v>
      </c>
      <c r="F438" s="5" t="s">
        <v>18</v>
      </c>
      <c r="G438" s="6">
        <v>0.41</v>
      </c>
      <c r="H438" s="5" t="s">
        <v>1088</v>
      </c>
      <c r="I438" s="5" t="s">
        <v>20</v>
      </c>
      <c r="J438" s="5">
        <v>2025.0</v>
      </c>
      <c r="L438" s="5">
        <v>1.0</v>
      </c>
      <c r="M438" s="7">
        <f t="shared" si="2"/>
        <v>0.41</v>
      </c>
    </row>
    <row r="439">
      <c r="A439" s="5" t="s">
        <v>1092</v>
      </c>
      <c r="B439" s="5" t="s">
        <v>68</v>
      </c>
      <c r="C439" s="5" t="s">
        <v>15</v>
      </c>
      <c r="D439" s="5" t="s">
        <v>1093</v>
      </c>
      <c r="E439" s="5" t="s">
        <v>932</v>
      </c>
      <c r="F439" s="5" t="s">
        <v>166</v>
      </c>
      <c r="G439" s="6">
        <v>0.33</v>
      </c>
      <c r="H439" s="5" t="s">
        <v>1094</v>
      </c>
      <c r="I439" s="5" t="s">
        <v>20</v>
      </c>
      <c r="J439" s="5">
        <v>2012.0</v>
      </c>
      <c r="L439" s="5">
        <v>1.0</v>
      </c>
      <c r="M439" s="7">
        <f t="shared" si="2"/>
        <v>0.33</v>
      </c>
    </row>
    <row r="440">
      <c r="A440" s="5" t="s">
        <v>1095</v>
      </c>
      <c r="B440" s="5" t="s">
        <v>63</v>
      </c>
      <c r="C440" s="5" t="s">
        <v>1090</v>
      </c>
      <c r="D440" s="5" t="s">
        <v>1096</v>
      </c>
      <c r="E440" s="5" t="s">
        <v>942</v>
      </c>
      <c r="F440" s="5" t="s">
        <v>166</v>
      </c>
      <c r="G440" s="6">
        <v>0.2</v>
      </c>
      <c r="H440" s="5" t="s">
        <v>1097</v>
      </c>
      <c r="I440" s="5" t="s">
        <v>20</v>
      </c>
      <c r="J440" s="5">
        <v>2018.0</v>
      </c>
      <c r="L440" s="5">
        <v>1.0</v>
      </c>
      <c r="M440" s="7">
        <f t="shared" si="2"/>
        <v>0.2</v>
      </c>
    </row>
    <row r="441">
      <c r="A441" s="5" t="s">
        <v>1098</v>
      </c>
      <c r="B441" s="5" t="s">
        <v>223</v>
      </c>
      <c r="C441" s="5" t="s">
        <v>1090</v>
      </c>
      <c r="D441" s="5" t="s">
        <v>1099</v>
      </c>
      <c r="E441" s="5" t="s">
        <v>941</v>
      </c>
      <c r="F441" s="5" t="s">
        <v>166</v>
      </c>
      <c r="G441" s="6">
        <v>0.05</v>
      </c>
      <c r="H441" s="5" t="s">
        <v>1100</v>
      </c>
      <c r="I441" s="5" t="s">
        <v>20</v>
      </c>
      <c r="J441" s="5">
        <v>2019.0</v>
      </c>
      <c r="K441" s="8">
        <v>46023.0</v>
      </c>
      <c r="L441" s="5">
        <v>1.0</v>
      </c>
      <c r="M441" s="7">
        <f t="shared" si="2"/>
        <v>0.05</v>
      </c>
    </row>
    <row r="442">
      <c r="A442" s="5" t="s">
        <v>1101</v>
      </c>
      <c r="B442" s="5" t="s">
        <v>182</v>
      </c>
      <c r="C442" s="5" t="s">
        <v>341</v>
      </c>
      <c r="D442" s="5" t="s">
        <v>1102</v>
      </c>
      <c r="E442" s="5" t="s">
        <v>1103</v>
      </c>
      <c r="F442" s="5" t="s">
        <v>166</v>
      </c>
      <c r="G442" s="6">
        <v>0.43</v>
      </c>
      <c r="H442" s="5" t="s">
        <v>1100</v>
      </c>
      <c r="I442" s="5" t="s">
        <v>20</v>
      </c>
      <c r="J442" s="5">
        <v>2019.0</v>
      </c>
      <c r="K442" s="8">
        <v>46116.0</v>
      </c>
      <c r="L442" s="5">
        <v>2.0</v>
      </c>
      <c r="M442" s="7">
        <f t="shared" si="2"/>
        <v>0.86</v>
      </c>
    </row>
    <row r="443">
      <c r="A443" s="5" t="s">
        <v>1104</v>
      </c>
      <c r="B443" s="5" t="s">
        <v>1105</v>
      </c>
      <c r="C443" s="5" t="s">
        <v>22</v>
      </c>
      <c r="D443" s="5" t="s">
        <v>1106</v>
      </c>
      <c r="E443" s="5" t="s">
        <v>1057</v>
      </c>
      <c r="F443" s="5" t="s">
        <v>166</v>
      </c>
      <c r="G443" s="6">
        <v>0.19</v>
      </c>
      <c r="H443" s="5" t="s">
        <v>1097</v>
      </c>
      <c r="I443" s="5" t="s">
        <v>20</v>
      </c>
      <c r="J443" s="5">
        <v>2018.0</v>
      </c>
      <c r="K443" s="8">
        <v>46055.0</v>
      </c>
      <c r="L443" s="5">
        <v>1.0</v>
      </c>
      <c r="M443" s="7">
        <f t="shared" si="2"/>
        <v>0.19</v>
      </c>
    </row>
    <row r="444">
      <c r="A444" s="5" t="s">
        <v>1107</v>
      </c>
      <c r="B444" s="5" t="s">
        <v>1108</v>
      </c>
      <c r="C444" s="5" t="s">
        <v>15</v>
      </c>
      <c r="D444" s="5" t="s">
        <v>1109</v>
      </c>
      <c r="E444" s="5" t="s">
        <v>1057</v>
      </c>
      <c r="F444" s="5" t="s">
        <v>166</v>
      </c>
      <c r="G444" s="6">
        <v>0.03</v>
      </c>
      <c r="H444" s="5" t="s">
        <v>1100</v>
      </c>
      <c r="I444" s="5" t="s">
        <v>20</v>
      </c>
      <c r="J444" s="5">
        <v>2019.0</v>
      </c>
      <c r="K444" s="8">
        <v>46024.0</v>
      </c>
      <c r="L444" s="5">
        <v>1.0</v>
      </c>
      <c r="M444" s="7">
        <f t="shared" si="2"/>
        <v>0.03</v>
      </c>
    </row>
    <row r="445">
      <c r="A445" s="5" t="s">
        <v>1110</v>
      </c>
      <c r="B445" s="5" t="s">
        <v>1111</v>
      </c>
      <c r="C445" s="5" t="s">
        <v>1090</v>
      </c>
      <c r="D445" s="5" t="s">
        <v>1112</v>
      </c>
      <c r="E445" s="5" t="s">
        <v>1057</v>
      </c>
      <c r="F445" s="5" t="s">
        <v>166</v>
      </c>
      <c r="G445" s="6">
        <v>0.18</v>
      </c>
      <c r="H445" s="5" t="s">
        <v>1100</v>
      </c>
      <c r="I445" s="5" t="s">
        <v>20</v>
      </c>
      <c r="J445" s="5">
        <v>2019.0</v>
      </c>
      <c r="K445" s="8">
        <v>46055.0</v>
      </c>
      <c r="L445" s="5">
        <v>4.0</v>
      </c>
      <c r="M445" s="7">
        <f t="shared" si="2"/>
        <v>0.72</v>
      </c>
    </row>
    <row r="446">
      <c r="A446" s="5" t="s">
        <v>1113</v>
      </c>
      <c r="B446" s="5" t="s">
        <v>68</v>
      </c>
      <c r="C446" s="5" t="s">
        <v>22</v>
      </c>
      <c r="D446" s="5" t="s">
        <v>1114</v>
      </c>
      <c r="E446" s="5" t="s">
        <v>1057</v>
      </c>
      <c r="F446" s="5" t="s">
        <v>166</v>
      </c>
      <c r="G446" s="6">
        <v>0.08</v>
      </c>
      <c r="H446" s="5" t="s">
        <v>1097</v>
      </c>
      <c r="I446" s="5" t="s">
        <v>20</v>
      </c>
      <c r="J446" s="5">
        <v>2018.0</v>
      </c>
      <c r="L446" s="5">
        <v>2.0</v>
      </c>
      <c r="M446" s="7">
        <f t="shared" si="2"/>
        <v>0.16</v>
      </c>
    </row>
    <row r="447">
      <c r="A447" s="5" t="s">
        <v>1115</v>
      </c>
      <c r="B447" s="5" t="s">
        <v>1116</v>
      </c>
      <c r="C447" s="5" t="s">
        <v>341</v>
      </c>
      <c r="D447" s="5" t="s">
        <v>1117</v>
      </c>
      <c r="E447" s="5" t="s">
        <v>650</v>
      </c>
      <c r="F447" s="5" t="s">
        <v>280</v>
      </c>
      <c r="G447" s="6">
        <v>2.17</v>
      </c>
      <c r="H447" s="5" t="s">
        <v>1100</v>
      </c>
      <c r="I447" s="5" t="s">
        <v>20</v>
      </c>
      <c r="J447" s="5">
        <v>2019.0</v>
      </c>
      <c r="K447" s="8">
        <v>46116.0</v>
      </c>
      <c r="L447" s="5">
        <v>1.0</v>
      </c>
      <c r="M447" s="7">
        <f t="shared" si="2"/>
        <v>2.17</v>
      </c>
    </row>
    <row r="448">
      <c r="A448" s="5" t="s">
        <v>1118</v>
      </c>
      <c r="B448" s="5" t="s">
        <v>1119</v>
      </c>
      <c r="C448" s="5" t="s">
        <v>22</v>
      </c>
      <c r="D448" s="5" t="s">
        <v>1120</v>
      </c>
      <c r="E448" s="5" t="s">
        <v>660</v>
      </c>
      <c r="F448" s="5" t="s">
        <v>280</v>
      </c>
      <c r="G448" s="6">
        <v>0.25</v>
      </c>
      <c r="H448" s="5" t="s">
        <v>1100</v>
      </c>
      <c r="I448" s="5" t="s">
        <v>20</v>
      </c>
      <c r="J448" s="5">
        <v>2019.0</v>
      </c>
      <c r="K448" s="8">
        <v>46083.0</v>
      </c>
      <c r="L448" s="5">
        <v>1.0</v>
      </c>
      <c r="M448" s="7">
        <f t="shared" si="2"/>
        <v>0.25</v>
      </c>
    </row>
    <row r="449">
      <c r="A449" s="5" t="s">
        <v>1121</v>
      </c>
      <c r="B449" s="5" t="s">
        <v>68</v>
      </c>
      <c r="C449" s="5" t="s">
        <v>1090</v>
      </c>
      <c r="D449" s="5" t="s">
        <v>1122</v>
      </c>
      <c r="E449" s="5" t="s">
        <v>1123</v>
      </c>
      <c r="F449" s="5" t="s">
        <v>157</v>
      </c>
      <c r="G449" s="6">
        <v>1.99</v>
      </c>
      <c r="H449" s="5" t="s">
        <v>1124</v>
      </c>
      <c r="I449" s="5" t="s">
        <v>20</v>
      </c>
      <c r="J449" s="5">
        <v>2013.0</v>
      </c>
      <c r="L449" s="5">
        <v>1.0</v>
      </c>
      <c r="M449" s="7">
        <f t="shared" si="2"/>
        <v>1.99</v>
      </c>
    </row>
    <row r="450">
      <c r="A450" s="5" t="s">
        <v>1125</v>
      </c>
      <c r="B450" s="5" t="s">
        <v>14</v>
      </c>
      <c r="C450" s="5" t="s">
        <v>1090</v>
      </c>
      <c r="D450" s="5" t="s">
        <v>1126</v>
      </c>
      <c r="E450" s="5" t="s">
        <v>1127</v>
      </c>
      <c r="F450" s="5" t="s">
        <v>157</v>
      </c>
      <c r="G450" s="6">
        <v>1.5</v>
      </c>
      <c r="H450" s="5" t="s">
        <v>1100</v>
      </c>
      <c r="I450" s="5" t="s">
        <v>20</v>
      </c>
      <c r="J450" s="5">
        <v>2019.0</v>
      </c>
      <c r="L450" s="5">
        <v>1.0</v>
      </c>
      <c r="M450" s="7">
        <f t="shared" si="2"/>
        <v>1.5</v>
      </c>
    </row>
    <row r="451">
      <c r="A451" s="5" t="s">
        <v>1128</v>
      </c>
      <c r="B451" s="5" t="s">
        <v>1129</v>
      </c>
      <c r="C451" s="5" t="s">
        <v>1090</v>
      </c>
      <c r="D451" s="5" t="s">
        <v>1130</v>
      </c>
      <c r="E451" s="5" t="s">
        <v>1131</v>
      </c>
      <c r="F451" s="5" t="s">
        <v>157</v>
      </c>
      <c r="G451" s="6">
        <v>0.92</v>
      </c>
      <c r="H451" s="5" t="s">
        <v>1132</v>
      </c>
      <c r="I451" s="5" t="s">
        <v>31</v>
      </c>
      <c r="J451" s="5">
        <v>2013.0</v>
      </c>
      <c r="L451" s="5">
        <v>1.0</v>
      </c>
      <c r="M451" s="7">
        <f t="shared" si="2"/>
        <v>0.92</v>
      </c>
    </row>
    <row r="452">
      <c r="A452" s="5" t="s">
        <v>1133</v>
      </c>
      <c r="B452" s="5" t="s">
        <v>1134</v>
      </c>
      <c r="C452" s="5" t="s">
        <v>15</v>
      </c>
      <c r="D452" s="5" t="s">
        <v>1135</v>
      </c>
      <c r="E452" s="5" t="s">
        <v>1034</v>
      </c>
      <c r="F452" s="5" t="s">
        <v>80</v>
      </c>
      <c r="G452" s="6">
        <v>0.05</v>
      </c>
      <c r="H452" s="5" t="s">
        <v>1002</v>
      </c>
      <c r="I452" s="5" t="s">
        <v>20</v>
      </c>
      <c r="J452" s="5">
        <v>2025.0</v>
      </c>
      <c r="K452" s="8">
        <v>46024.0</v>
      </c>
      <c r="L452" s="5">
        <v>1.0</v>
      </c>
      <c r="M452" s="7">
        <f t="shared" si="2"/>
        <v>0.05</v>
      </c>
    </row>
    <row r="453">
      <c r="A453" s="5" t="s">
        <v>1136</v>
      </c>
      <c r="B453" s="5" t="s">
        <v>1137</v>
      </c>
      <c r="C453" s="5" t="s">
        <v>15</v>
      </c>
      <c r="D453" s="5" t="s">
        <v>1138</v>
      </c>
      <c r="E453" s="5" t="s">
        <v>699</v>
      </c>
      <c r="F453" s="5" t="s">
        <v>152</v>
      </c>
      <c r="G453" s="6">
        <v>0.25</v>
      </c>
      <c r="H453" s="5" t="s">
        <v>1002</v>
      </c>
      <c r="I453" s="5" t="s">
        <v>20</v>
      </c>
      <c r="J453" s="5">
        <v>2025.0</v>
      </c>
      <c r="K453" s="8">
        <v>46084.0</v>
      </c>
      <c r="L453" s="5">
        <v>3.0</v>
      </c>
      <c r="M453" s="7">
        <f t="shared" si="2"/>
        <v>0.75</v>
      </c>
    </row>
    <row r="454">
      <c r="A454" s="5" t="s">
        <v>1139</v>
      </c>
      <c r="B454" s="5" t="s">
        <v>1018</v>
      </c>
      <c r="C454" s="5" t="s">
        <v>22</v>
      </c>
      <c r="D454" s="5" t="s">
        <v>1140</v>
      </c>
      <c r="E454" s="5" t="s">
        <v>704</v>
      </c>
      <c r="F454" s="5" t="s">
        <v>152</v>
      </c>
      <c r="G454" s="6">
        <v>0.99</v>
      </c>
      <c r="H454" s="5" t="s">
        <v>1002</v>
      </c>
      <c r="I454" s="5" t="s">
        <v>20</v>
      </c>
      <c r="J454" s="5">
        <v>2026.0</v>
      </c>
      <c r="K454" s="8">
        <v>46144.0</v>
      </c>
      <c r="L454" s="5">
        <v>1.0</v>
      </c>
      <c r="M454" s="7">
        <f t="shared" si="2"/>
        <v>0.99</v>
      </c>
    </row>
    <row r="455">
      <c r="A455" s="5" t="s">
        <v>1141</v>
      </c>
      <c r="B455" s="5" t="s">
        <v>1142</v>
      </c>
      <c r="C455" s="5" t="s">
        <v>22</v>
      </c>
      <c r="D455" s="5" t="s">
        <v>1143</v>
      </c>
      <c r="E455" s="5" t="s">
        <v>1144</v>
      </c>
      <c r="F455" s="5" t="s">
        <v>157</v>
      </c>
      <c r="G455" s="6">
        <v>0.89</v>
      </c>
      <c r="H455" s="5" t="s">
        <v>1002</v>
      </c>
      <c r="I455" s="5" t="s">
        <v>31</v>
      </c>
      <c r="J455" s="5">
        <v>2026.0</v>
      </c>
      <c r="K455" s="8">
        <v>46056.0</v>
      </c>
      <c r="L455" s="5">
        <v>1.0</v>
      </c>
      <c r="M455" s="7">
        <f t="shared" si="2"/>
        <v>0.89</v>
      </c>
    </row>
    <row r="456">
      <c r="A456" s="5" t="s">
        <v>1145</v>
      </c>
      <c r="B456" s="5" t="s">
        <v>1146</v>
      </c>
      <c r="C456" s="5" t="s">
        <v>22</v>
      </c>
      <c r="D456" s="5" t="s">
        <v>1147</v>
      </c>
      <c r="E456" s="5" t="s">
        <v>1148</v>
      </c>
      <c r="F456" s="5" t="s">
        <v>157</v>
      </c>
      <c r="G456" s="6">
        <v>0.44</v>
      </c>
      <c r="H456" s="5" t="s">
        <v>1002</v>
      </c>
      <c r="I456" s="5" t="s">
        <v>20</v>
      </c>
      <c r="J456" s="5">
        <v>2026.0</v>
      </c>
      <c r="K456" s="8">
        <v>46082.0</v>
      </c>
      <c r="L456" s="5">
        <v>1.0</v>
      </c>
      <c r="M456" s="7">
        <f t="shared" si="2"/>
        <v>0.44</v>
      </c>
    </row>
    <row r="457">
      <c r="A457" s="5" t="s">
        <v>1149</v>
      </c>
      <c r="B457" s="5" t="s">
        <v>1150</v>
      </c>
      <c r="C457" s="5" t="s">
        <v>22</v>
      </c>
      <c r="D457" s="5" t="s">
        <v>1151</v>
      </c>
      <c r="E457" s="5" t="s">
        <v>622</v>
      </c>
      <c r="F457" s="5" t="s">
        <v>280</v>
      </c>
      <c r="G457" s="6">
        <v>0.2</v>
      </c>
      <c r="H457" s="5" t="s">
        <v>1002</v>
      </c>
      <c r="I457" s="5" t="s">
        <v>20</v>
      </c>
      <c r="J457" s="5">
        <v>2026.0</v>
      </c>
      <c r="K457" s="8">
        <v>46055.0</v>
      </c>
      <c r="L457" s="5">
        <v>1.0</v>
      </c>
      <c r="M457" s="7">
        <f t="shared" si="2"/>
        <v>0.2</v>
      </c>
    </row>
    <row r="458">
      <c r="A458" s="5" t="s">
        <v>1152</v>
      </c>
      <c r="B458" s="5" t="s">
        <v>1153</v>
      </c>
      <c r="C458" s="5" t="s">
        <v>22</v>
      </c>
      <c r="D458" s="5" t="s">
        <v>1154</v>
      </c>
      <c r="E458" s="5" t="s">
        <v>622</v>
      </c>
      <c r="F458" s="5" t="s">
        <v>280</v>
      </c>
      <c r="G458" s="6">
        <v>0.7</v>
      </c>
      <c r="H458" s="5" t="s">
        <v>1002</v>
      </c>
      <c r="I458" s="5" t="s">
        <v>20</v>
      </c>
      <c r="J458" s="5">
        <v>2026.0</v>
      </c>
      <c r="K458" s="8">
        <v>46055.0</v>
      </c>
      <c r="L458" s="5">
        <v>1.0</v>
      </c>
      <c r="M458" s="7">
        <f t="shared" si="2"/>
        <v>0.7</v>
      </c>
    </row>
    <row r="459">
      <c r="A459" s="5" t="s">
        <v>1155</v>
      </c>
      <c r="B459" s="5" t="s">
        <v>1150</v>
      </c>
      <c r="C459" s="5" t="s">
        <v>22</v>
      </c>
      <c r="D459" s="5" t="s">
        <v>1156</v>
      </c>
      <c r="E459" s="5" t="s">
        <v>1157</v>
      </c>
      <c r="F459" s="5" t="s">
        <v>280</v>
      </c>
      <c r="G459" s="6">
        <v>0.44</v>
      </c>
      <c r="H459" s="5" t="s">
        <v>1002</v>
      </c>
      <c r="I459" s="5" t="s">
        <v>20</v>
      </c>
      <c r="J459" s="5">
        <v>2026.0</v>
      </c>
      <c r="K459" s="8">
        <v>46178.0</v>
      </c>
      <c r="L459" s="5">
        <v>1.0</v>
      </c>
      <c r="M459" s="7">
        <f t="shared" si="2"/>
        <v>0.44</v>
      </c>
    </row>
    <row r="460">
      <c r="A460" s="5" t="s">
        <v>1158</v>
      </c>
      <c r="B460" s="5" t="s">
        <v>1159</v>
      </c>
      <c r="C460" s="5" t="s">
        <v>22</v>
      </c>
      <c r="D460" s="5" t="s">
        <v>1160</v>
      </c>
      <c r="E460" s="5" t="s">
        <v>622</v>
      </c>
      <c r="F460" s="5" t="s">
        <v>280</v>
      </c>
      <c r="G460" s="6">
        <v>0.79</v>
      </c>
      <c r="H460" s="5" t="s">
        <v>1002</v>
      </c>
      <c r="I460" s="5" t="s">
        <v>20</v>
      </c>
      <c r="J460" s="5">
        <v>2026.0</v>
      </c>
      <c r="K460" s="8">
        <v>46084.0</v>
      </c>
      <c r="L460" s="5">
        <v>1.0</v>
      </c>
      <c r="M460" s="7">
        <f t="shared" si="2"/>
        <v>0.79</v>
      </c>
    </row>
    <row r="461">
      <c r="A461" s="5" t="s">
        <v>1161</v>
      </c>
      <c r="B461" s="5" t="s">
        <v>1018</v>
      </c>
      <c r="C461" s="5" t="s">
        <v>22</v>
      </c>
      <c r="D461" s="5" t="s">
        <v>1162</v>
      </c>
      <c r="E461" s="5" t="s">
        <v>723</v>
      </c>
      <c r="F461" s="5" t="s">
        <v>152</v>
      </c>
      <c r="G461" s="6">
        <v>0.44</v>
      </c>
      <c r="H461" s="5" t="s">
        <v>1002</v>
      </c>
      <c r="I461" s="5" t="s">
        <v>20</v>
      </c>
      <c r="J461" s="5">
        <v>2026.0</v>
      </c>
      <c r="K461" s="8">
        <v>46144.0</v>
      </c>
      <c r="L461" s="5">
        <v>1.0</v>
      </c>
      <c r="M461" s="7">
        <f t="shared" si="2"/>
        <v>0.44</v>
      </c>
    </row>
    <row r="462">
      <c r="A462" s="5" t="s">
        <v>1163</v>
      </c>
      <c r="B462" s="5" t="s">
        <v>1150</v>
      </c>
      <c r="C462" s="5" t="s">
        <v>22</v>
      </c>
      <c r="D462" s="5" t="s">
        <v>1164</v>
      </c>
      <c r="E462" s="5" t="s">
        <v>792</v>
      </c>
      <c r="F462" s="5" t="s">
        <v>18</v>
      </c>
      <c r="G462" s="6">
        <v>0.8</v>
      </c>
      <c r="H462" s="5" t="s">
        <v>1002</v>
      </c>
      <c r="I462" s="5" t="s">
        <v>20</v>
      </c>
      <c r="J462" s="5">
        <v>2026.0</v>
      </c>
      <c r="K462" s="8">
        <v>46055.0</v>
      </c>
      <c r="L462" s="5">
        <v>1.0</v>
      </c>
      <c r="M462" s="7">
        <f t="shared" si="2"/>
        <v>0.8</v>
      </c>
    </row>
    <row r="463">
      <c r="A463" s="5" t="s">
        <v>1165</v>
      </c>
      <c r="B463" s="5" t="s">
        <v>982</v>
      </c>
      <c r="C463" s="5" t="s">
        <v>22</v>
      </c>
      <c r="D463" s="5" t="s">
        <v>1166</v>
      </c>
      <c r="E463" s="5" t="s">
        <v>782</v>
      </c>
      <c r="F463" s="5" t="s">
        <v>18</v>
      </c>
      <c r="G463" s="6">
        <v>0.65</v>
      </c>
      <c r="H463" s="5" t="s">
        <v>1002</v>
      </c>
      <c r="I463" s="5" t="s">
        <v>20</v>
      </c>
      <c r="J463" s="5">
        <v>2026.0</v>
      </c>
      <c r="K463" s="5" t="s">
        <v>89</v>
      </c>
      <c r="L463" s="5">
        <v>1.0</v>
      </c>
      <c r="M463" s="7">
        <f t="shared" si="2"/>
        <v>0.65</v>
      </c>
    </row>
    <row r="464">
      <c r="A464" s="5" t="s">
        <v>1167</v>
      </c>
      <c r="B464" s="5" t="s">
        <v>1153</v>
      </c>
      <c r="C464" s="5" t="s">
        <v>22</v>
      </c>
      <c r="D464" s="5" t="s">
        <v>1168</v>
      </c>
      <c r="E464" s="5" t="s">
        <v>1169</v>
      </c>
      <c r="F464" s="5" t="s">
        <v>157</v>
      </c>
      <c r="G464" s="6">
        <v>0.44</v>
      </c>
      <c r="H464" s="5" t="s">
        <v>1002</v>
      </c>
      <c r="I464" s="5" t="s">
        <v>20</v>
      </c>
      <c r="J464" s="5">
        <v>2026.0</v>
      </c>
      <c r="K464" s="8">
        <v>46055.0</v>
      </c>
      <c r="L464" s="5">
        <v>1.0</v>
      </c>
      <c r="M464" s="7">
        <f t="shared" si="2"/>
        <v>0.44</v>
      </c>
    </row>
    <row r="465">
      <c r="A465" s="5" t="s">
        <v>1170</v>
      </c>
      <c r="B465" s="5" t="s">
        <v>1171</v>
      </c>
      <c r="C465" s="5" t="s">
        <v>22</v>
      </c>
      <c r="D465" s="5" t="s">
        <v>1172</v>
      </c>
      <c r="E465" s="5" t="s">
        <v>1173</v>
      </c>
      <c r="F465" s="5" t="s">
        <v>157</v>
      </c>
      <c r="G465" s="6">
        <v>1.86</v>
      </c>
      <c r="H465" s="5" t="s">
        <v>1002</v>
      </c>
      <c r="I465" s="5" t="s">
        <v>20</v>
      </c>
      <c r="J465" s="5">
        <v>2026.0</v>
      </c>
      <c r="K465" s="8">
        <v>46083.0</v>
      </c>
      <c r="L465" s="5">
        <v>1.0</v>
      </c>
      <c r="M465" s="7">
        <f t="shared" si="2"/>
        <v>1.86</v>
      </c>
    </row>
    <row r="466">
      <c r="A466" s="5" t="s">
        <v>1174</v>
      </c>
      <c r="B466" s="5" t="s">
        <v>1175</v>
      </c>
      <c r="C466" s="5" t="s">
        <v>22</v>
      </c>
      <c r="D466" s="5" t="s">
        <v>1176</v>
      </c>
      <c r="E466" s="5" t="s">
        <v>1034</v>
      </c>
      <c r="F466" s="5" t="s">
        <v>80</v>
      </c>
      <c r="G466" s="6">
        <v>0.44</v>
      </c>
      <c r="H466" s="5" t="s">
        <v>1002</v>
      </c>
      <c r="I466" s="5" t="s">
        <v>20</v>
      </c>
      <c r="J466" s="5">
        <v>2026.0</v>
      </c>
      <c r="K466" s="8">
        <v>46055.0</v>
      </c>
      <c r="L466" s="5">
        <v>1.0</v>
      </c>
      <c r="M466" s="7">
        <f t="shared" si="2"/>
        <v>0.44</v>
      </c>
    </row>
    <row r="467">
      <c r="A467" s="5" t="s">
        <v>1177</v>
      </c>
      <c r="B467" s="5" t="s">
        <v>1178</v>
      </c>
      <c r="C467" s="5" t="s">
        <v>1090</v>
      </c>
      <c r="D467" s="5" t="s">
        <v>1179</v>
      </c>
      <c r="E467" s="5" t="s">
        <v>1180</v>
      </c>
      <c r="F467" s="5" t="s">
        <v>1181</v>
      </c>
      <c r="G467" s="6">
        <v>1.2</v>
      </c>
      <c r="H467" s="5" t="s">
        <v>400</v>
      </c>
      <c r="I467" s="5" t="s">
        <v>20</v>
      </c>
      <c r="J467" s="5">
        <v>2025.0</v>
      </c>
      <c r="K467" s="8">
        <v>46085.0</v>
      </c>
      <c r="L467" s="5">
        <v>1.0</v>
      </c>
      <c r="M467" s="7">
        <f t="shared" si="2"/>
        <v>1.2</v>
      </c>
    </row>
    <row r="468">
      <c r="A468" s="5" t="s">
        <v>1182</v>
      </c>
      <c r="B468" s="5" t="s">
        <v>1183</v>
      </c>
      <c r="C468" s="5" t="s">
        <v>15</v>
      </c>
      <c r="D468" s="5" t="s">
        <v>1184</v>
      </c>
      <c r="E468" s="5" t="s">
        <v>769</v>
      </c>
      <c r="F468" s="5" t="s">
        <v>18</v>
      </c>
      <c r="G468" s="6">
        <v>0.2</v>
      </c>
      <c r="H468" s="5" t="s">
        <v>1185</v>
      </c>
      <c r="I468" s="5" t="s">
        <v>20</v>
      </c>
      <c r="J468" s="5">
        <v>2026.0</v>
      </c>
      <c r="K468" s="8">
        <v>46084.0</v>
      </c>
      <c r="L468" s="5">
        <v>2.0</v>
      </c>
      <c r="M468" s="7">
        <f t="shared" si="2"/>
        <v>0.4</v>
      </c>
    </row>
    <row r="469">
      <c r="A469" s="5" t="s">
        <v>1186</v>
      </c>
      <c r="B469" s="5" t="s">
        <v>1187</v>
      </c>
      <c r="C469" s="5" t="s">
        <v>15</v>
      </c>
      <c r="D469" s="5" t="s">
        <v>1188</v>
      </c>
      <c r="E469" s="5" t="s">
        <v>824</v>
      </c>
      <c r="F469" s="5" t="s">
        <v>18</v>
      </c>
      <c r="G469" s="6">
        <v>0.2</v>
      </c>
      <c r="H469" s="5" t="s">
        <v>1185</v>
      </c>
      <c r="I469" s="5" t="s">
        <v>20</v>
      </c>
      <c r="J469" s="5">
        <v>2026.0</v>
      </c>
      <c r="K469" s="8">
        <v>46146.0</v>
      </c>
      <c r="L469" s="5">
        <v>3.0</v>
      </c>
      <c r="M469" s="7">
        <f t="shared" si="2"/>
        <v>0.6</v>
      </c>
    </row>
    <row r="470">
      <c r="A470" s="5" t="s">
        <v>1189</v>
      </c>
      <c r="B470" s="5" t="s">
        <v>68</v>
      </c>
      <c r="C470" s="5" t="s">
        <v>22</v>
      </c>
      <c r="D470" s="5" t="s">
        <v>1190</v>
      </c>
      <c r="E470" s="5" t="s">
        <v>792</v>
      </c>
      <c r="F470" s="5" t="s">
        <v>18</v>
      </c>
      <c r="G470" s="6">
        <v>0.69</v>
      </c>
      <c r="H470" s="5" t="s">
        <v>1185</v>
      </c>
      <c r="I470" s="5" t="s">
        <v>20</v>
      </c>
      <c r="J470" s="5">
        <v>2026.0</v>
      </c>
      <c r="L470" s="5">
        <v>3.0</v>
      </c>
      <c r="M470" s="7">
        <f t="shared" si="2"/>
        <v>2.07</v>
      </c>
    </row>
    <row r="471">
      <c r="A471" s="5" t="s">
        <v>1191</v>
      </c>
      <c r="B471" s="5" t="s">
        <v>82</v>
      </c>
      <c r="C471" s="5" t="s">
        <v>22</v>
      </c>
      <c r="D471" s="5" t="s">
        <v>1192</v>
      </c>
      <c r="E471" s="5" t="s">
        <v>1037</v>
      </c>
      <c r="F471" s="5" t="s">
        <v>80</v>
      </c>
      <c r="G471" s="6">
        <v>0.9</v>
      </c>
      <c r="H471" s="5" t="s">
        <v>1185</v>
      </c>
      <c r="I471" s="5" t="s">
        <v>20</v>
      </c>
      <c r="J471" s="5">
        <v>2026.0</v>
      </c>
      <c r="L471" s="5">
        <v>1.0</v>
      </c>
      <c r="M471" s="7">
        <f t="shared" si="2"/>
        <v>0.9</v>
      </c>
    </row>
    <row r="472">
      <c r="A472" s="5" t="s">
        <v>1193</v>
      </c>
      <c r="B472" s="5" t="s">
        <v>14</v>
      </c>
      <c r="C472" s="5" t="s">
        <v>15</v>
      </c>
      <c r="D472" s="5" t="s">
        <v>1194</v>
      </c>
      <c r="E472" s="5" t="s">
        <v>696</v>
      </c>
      <c r="F472" s="5" t="s">
        <v>152</v>
      </c>
      <c r="G472" s="6">
        <v>0.2</v>
      </c>
      <c r="H472" s="5" t="s">
        <v>1185</v>
      </c>
      <c r="I472" s="5" t="s">
        <v>20</v>
      </c>
      <c r="J472" s="5">
        <v>2026.0</v>
      </c>
      <c r="L472" s="5">
        <v>3.0</v>
      </c>
      <c r="M472" s="7">
        <f t="shared" si="2"/>
        <v>0.6</v>
      </c>
    </row>
    <row r="473">
      <c r="A473" s="5" t="s">
        <v>1195</v>
      </c>
      <c r="B473" s="5" t="s">
        <v>14</v>
      </c>
      <c r="C473" s="5" t="s">
        <v>22</v>
      </c>
      <c r="D473" s="5" t="s">
        <v>1196</v>
      </c>
      <c r="E473" s="5" t="s">
        <v>699</v>
      </c>
      <c r="F473" s="5" t="s">
        <v>152</v>
      </c>
      <c r="G473" s="6">
        <v>1.3</v>
      </c>
      <c r="H473" s="5" t="s">
        <v>1185</v>
      </c>
      <c r="I473" s="5" t="s">
        <v>20</v>
      </c>
      <c r="J473" s="5">
        <v>2026.0</v>
      </c>
      <c r="L473" s="5">
        <v>2.0</v>
      </c>
      <c r="M473" s="7">
        <f t="shared" si="2"/>
        <v>2.6</v>
      </c>
    </row>
    <row r="474">
      <c r="A474" s="5" t="s">
        <v>1197</v>
      </c>
      <c r="B474" s="5" t="s">
        <v>1198</v>
      </c>
      <c r="C474" s="5" t="s">
        <v>15</v>
      </c>
      <c r="D474" s="5" t="s">
        <v>1199</v>
      </c>
      <c r="E474" s="5" t="s">
        <v>699</v>
      </c>
      <c r="F474" s="5" t="s">
        <v>152</v>
      </c>
      <c r="G474" s="6">
        <v>0.2</v>
      </c>
      <c r="H474" s="5" t="s">
        <v>1185</v>
      </c>
      <c r="I474" s="5" t="s">
        <v>20</v>
      </c>
      <c r="J474" s="5">
        <v>2026.0</v>
      </c>
      <c r="K474" s="8">
        <v>46083.0</v>
      </c>
      <c r="L474" s="5">
        <v>3.0</v>
      </c>
      <c r="M474" s="7">
        <f t="shared" si="2"/>
        <v>0.6</v>
      </c>
    </row>
    <row r="475">
      <c r="A475" s="5" t="s">
        <v>1200</v>
      </c>
      <c r="B475" s="5" t="s">
        <v>406</v>
      </c>
      <c r="C475" s="5" t="s">
        <v>22</v>
      </c>
      <c r="D475" s="5" t="s">
        <v>1201</v>
      </c>
      <c r="E475" s="5" t="s">
        <v>723</v>
      </c>
      <c r="F475" s="5" t="s">
        <v>152</v>
      </c>
      <c r="G475" s="6">
        <v>0.98</v>
      </c>
      <c r="H475" s="5" t="s">
        <v>1185</v>
      </c>
      <c r="I475" s="5" t="s">
        <v>20</v>
      </c>
      <c r="J475" s="5">
        <v>2026.0</v>
      </c>
      <c r="L475" s="5">
        <v>2.0</v>
      </c>
      <c r="M475" s="7">
        <f t="shared" si="2"/>
        <v>1.96</v>
      </c>
    </row>
    <row r="476">
      <c r="A476" s="5" t="s">
        <v>1202</v>
      </c>
      <c r="B476" s="5" t="s">
        <v>33</v>
      </c>
      <c r="C476" s="5" t="s">
        <v>15</v>
      </c>
      <c r="D476" s="5" t="s">
        <v>1203</v>
      </c>
      <c r="E476" s="5" t="s">
        <v>865</v>
      </c>
      <c r="F476" s="5" t="s">
        <v>88</v>
      </c>
      <c r="G476" s="6">
        <v>0.2</v>
      </c>
      <c r="H476" s="5" t="s">
        <v>1185</v>
      </c>
      <c r="I476" s="5" t="s">
        <v>20</v>
      </c>
      <c r="J476" s="5">
        <v>2026.0</v>
      </c>
      <c r="L476" s="5">
        <v>4.0</v>
      </c>
      <c r="M476" s="7">
        <f t="shared" si="2"/>
        <v>0.8</v>
      </c>
    </row>
    <row r="477">
      <c r="A477" s="5" t="s">
        <v>1204</v>
      </c>
      <c r="B477" s="5" t="s">
        <v>14</v>
      </c>
      <c r="C477" s="5" t="s">
        <v>22</v>
      </c>
      <c r="D477" s="5" t="s">
        <v>1205</v>
      </c>
      <c r="E477" s="5" t="s">
        <v>865</v>
      </c>
      <c r="F477" s="5" t="s">
        <v>88</v>
      </c>
      <c r="G477" s="6">
        <v>1.29</v>
      </c>
      <c r="H477" s="5" t="s">
        <v>1185</v>
      </c>
      <c r="I477" s="5" t="s">
        <v>20</v>
      </c>
      <c r="J477" s="5">
        <v>2026.0</v>
      </c>
      <c r="L477" s="5">
        <v>2.0</v>
      </c>
      <c r="M477" s="7">
        <f t="shared" si="2"/>
        <v>2.58</v>
      </c>
    </row>
    <row r="478">
      <c r="A478" s="5" t="s">
        <v>1206</v>
      </c>
      <c r="B478" s="5" t="s">
        <v>1207</v>
      </c>
      <c r="C478" s="5" t="s">
        <v>15</v>
      </c>
      <c r="D478" s="5" t="s">
        <v>1208</v>
      </c>
      <c r="E478" s="5" t="s">
        <v>942</v>
      </c>
      <c r="F478" s="5" t="s">
        <v>166</v>
      </c>
      <c r="G478" s="6">
        <v>0.2</v>
      </c>
      <c r="H478" s="5" t="s">
        <v>1185</v>
      </c>
      <c r="I478" s="5" t="s">
        <v>20</v>
      </c>
      <c r="J478" s="5">
        <v>2026.0</v>
      </c>
      <c r="K478" s="8">
        <v>46085.0</v>
      </c>
      <c r="L478" s="5">
        <v>3.0</v>
      </c>
      <c r="M478" s="7">
        <f t="shared" si="2"/>
        <v>0.6</v>
      </c>
    </row>
    <row r="479">
      <c r="A479" s="5" t="s">
        <v>1209</v>
      </c>
      <c r="B479" s="5" t="s">
        <v>63</v>
      </c>
      <c r="C479" s="5" t="s">
        <v>22</v>
      </c>
      <c r="D479" s="5" t="s">
        <v>1210</v>
      </c>
      <c r="E479" s="5" t="s">
        <v>1057</v>
      </c>
      <c r="F479" s="5" t="s">
        <v>166</v>
      </c>
      <c r="G479" s="6">
        <v>0.29</v>
      </c>
      <c r="H479" s="5" t="s">
        <v>1185</v>
      </c>
      <c r="I479" s="5" t="s">
        <v>20</v>
      </c>
      <c r="J479" s="5">
        <v>2026.0</v>
      </c>
      <c r="L479" s="5">
        <v>2.0</v>
      </c>
      <c r="M479" s="7">
        <f t="shared" si="2"/>
        <v>0.58</v>
      </c>
    </row>
    <row r="480">
      <c r="A480" s="5" t="s">
        <v>1211</v>
      </c>
      <c r="B480" s="5" t="s">
        <v>68</v>
      </c>
      <c r="C480" s="5" t="s">
        <v>22</v>
      </c>
      <c r="D480" s="5" t="s">
        <v>1212</v>
      </c>
      <c r="E480" s="5" t="s">
        <v>942</v>
      </c>
      <c r="F480" s="5" t="s">
        <v>166</v>
      </c>
      <c r="G480" s="6">
        <v>0.29</v>
      </c>
      <c r="H480" s="5" t="s">
        <v>1185</v>
      </c>
      <c r="I480" s="5" t="s">
        <v>20</v>
      </c>
      <c r="J480" s="5">
        <v>2026.0</v>
      </c>
      <c r="L480" s="5">
        <v>2.0</v>
      </c>
      <c r="M480" s="7">
        <f t="shared" si="2"/>
        <v>0.58</v>
      </c>
    </row>
    <row r="481">
      <c r="A481" s="5" t="s">
        <v>1213</v>
      </c>
      <c r="B481" s="5" t="s">
        <v>68</v>
      </c>
      <c r="C481" s="5" t="s">
        <v>15</v>
      </c>
      <c r="D481" s="5" t="s">
        <v>1214</v>
      </c>
      <c r="E481" s="5" t="s">
        <v>1057</v>
      </c>
      <c r="F481" s="5" t="s">
        <v>166</v>
      </c>
      <c r="G481" s="6">
        <v>0.21</v>
      </c>
      <c r="H481" s="5" t="s">
        <v>1185</v>
      </c>
      <c r="I481" s="5" t="s">
        <v>20</v>
      </c>
      <c r="J481" s="5">
        <v>2026.0</v>
      </c>
      <c r="L481" s="5">
        <v>2.0</v>
      </c>
      <c r="M481" s="7">
        <f t="shared" si="2"/>
        <v>0.42</v>
      </c>
    </row>
    <row r="482">
      <c r="A482" s="5" t="s">
        <v>1215</v>
      </c>
      <c r="B482" s="5" t="s">
        <v>1216</v>
      </c>
      <c r="C482" s="5" t="s">
        <v>22</v>
      </c>
      <c r="D482" s="5" t="s">
        <v>1217</v>
      </c>
      <c r="E482" s="5" t="s">
        <v>1218</v>
      </c>
      <c r="F482" s="5" t="s">
        <v>166</v>
      </c>
      <c r="G482" s="6">
        <v>0.26</v>
      </c>
      <c r="H482" s="5" t="s">
        <v>1088</v>
      </c>
      <c r="I482" s="5" t="s">
        <v>31</v>
      </c>
      <c r="J482" s="5">
        <v>2025.0</v>
      </c>
      <c r="K482" s="8">
        <v>46148.0</v>
      </c>
      <c r="L482" s="5">
        <v>1.0</v>
      </c>
      <c r="M482" s="7">
        <f t="shared" si="2"/>
        <v>0.26</v>
      </c>
    </row>
    <row r="483">
      <c r="A483" s="5" t="s">
        <v>1219</v>
      </c>
      <c r="B483" s="5" t="s">
        <v>33</v>
      </c>
      <c r="C483" s="5" t="s">
        <v>1090</v>
      </c>
      <c r="D483" s="5" t="s">
        <v>1220</v>
      </c>
      <c r="E483" s="5" t="s">
        <v>1071</v>
      </c>
      <c r="F483" s="5" t="s">
        <v>166</v>
      </c>
      <c r="G483" s="6">
        <v>0.72</v>
      </c>
      <c r="H483" s="5" t="s">
        <v>1088</v>
      </c>
      <c r="I483" s="5" t="s">
        <v>20</v>
      </c>
      <c r="J483" s="5">
        <v>2025.0</v>
      </c>
      <c r="L483" s="5">
        <v>1.0</v>
      </c>
      <c r="M483" s="7">
        <f t="shared" si="2"/>
        <v>0.72</v>
      </c>
    </row>
    <row r="484">
      <c r="A484" s="5" t="s">
        <v>1221</v>
      </c>
      <c r="B484" s="5" t="s">
        <v>1222</v>
      </c>
      <c r="C484" s="5" t="s">
        <v>15</v>
      </c>
      <c r="D484" s="5" t="s">
        <v>1223</v>
      </c>
      <c r="E484" s="5" t="s">
        <v>942</v>
      </c>
      <c r="F484" s="5" t="s">
        <v>166</v>
      </c>
      <c r="G484" s="6">
        <v>0.05</v>
      </c>
      <c r="H484" s="5" t="s">
        <v>1088</v>
      </c>
      <c r="I484" s="5" t="s">
        <v>20</v>
      </c>
      <c r="J484" s="5">
        <v>2025.0</v>
      </c>
      <c r="K484" s="8">
        <v>46084.0</v>
      </c>
      <c r="L484" s="5">
        <v>1.0</v>
      </c>
      <c r="M484" s="7">
        <f t="shared" si="2"/>
        <v>0.05</v>
      </c>
    </row>
    <row r="485">
      <c r="A485" s="5" t="s">
        <v>1224</v>
      </c>
      <c r="B485" s="5" t="s">
        <v>1023</v>
      </c>
      <c r="C485" s="5" t="s">
        <v>22</v>
      </c>
      <c r="D485" s="5" t="s">
        <v>1225</v>
      </c>
      <c r="E485" s="5" t="s">
        <v>942</v>
      </c>
      <c r="F485" s="5" t="s">
        <v>166</v>
      </c>
      <c r="G485" s="6">
        <v>0.11</v>
      </c>
      <c r="H485" s="5" t="s">
        <v>1088</v>
      </c>
      <c r="I485" s="5" t="s">
        <v>20</v>
      </c>
      <c r="J485" s="5">
        <v>2025.0</v>
      </c>
      <c r="K485" s="8">
        <v>46115.0</v>
      </c>
      <c r="L485" s="5">
        <v>2.0</v>
      </c>
      <c r="M485" s="7">
        <f t="shared" si="2"/>
        <v>0.22</v>
      </c>
    </row>
    <row r="486">
      <c r="A486" s="5" t="s">
        <v>1226</v>
      </c>
      <c r="B486" s="5" t="s">
        <v>1227</v>
      </c>
      <c r="C486" s="5" t="s">
        <v>15</v>
      </c>
      <c r="D486" s="5" t="s">
        <v>1228</v>
      </c>
      <c r="E486" s="5" t="s">
        <v>1057</v>
      </c>
      <c r="F486" s="5" t="s">
        <v>166</v>
      </c>
      <c r="G486" s="6">
        <v>0.05</v>
      </c>
      <c r="H486" s="5" t="s">
        <v>1088</v>
      </c>
      <c r="I486" s="5" t="s">
        <v>20</v>
      </c>
      <c r="J486" s="5">
        <v>2025.0</v>
      </c>
      <c r="K486" s="8">
        <v>46055.0</v>
      </c>
      <c r="L486" s="5">
        <v>2.0</v>
      </c>
      <c r="M486" s="7">
        <f t="shared" si="2"/>
        <v>0.1</v>
      </c>
    </row>
    <row r="487">
      <c r="A487" s="5" t="s">
        <v>1229</v>
      </c>
      <c r="B487" s="5" t="s">
        <v>1230</v>
      </c>
      <c r="C487" s="5" t="s">
        <v>15</v>
      </c>
      <c r="D487" s="5" t="s">
        <v>1231</v>
      </c>
      <c r="E487" s="5" t="s">
        <v>1232</v>
      </c>
      <c r="F487" s="5" t="s">
        <v>166</v>
      </c>
      <c r="G487" s="6">
        <v>0.05</v>
      </c>
      <c r="H487" s="5" t="s">
        <v>1088</v>
      </c>
      <c r="I487" s="5" t="s">
        <v>20</v>
      </c>
      <c r="J487" s="5">
        <v>2025.0</v>
      </c>
      <c r="K487" s="8">
        <v>46146.0</v>
      </c>
      <c r="L487" s="5">
        <v>1.0</v>
      </c>
      <c r="M487" s="7">
        <f t="shared" si="2"/>
        <v>0.05</v>
      </c>
    </row>
    <row r="488">
      <c r="A488" s="5" t="s">
        <v>1233</v>
      </c>
      <c r="B488" s="5" t="s">
        <v>68</v>
      </c>
      <c r="C488" s="5" t="s">
        <v>15</v>
      </c>
      <c r="D488" s="5" t="s">
        <v>1234</v>
      </c>
      <c r="E488" s="5" t="s">
        <v>932</v>
      </c>
      <c r="F488" s="5" t="s">
        <v>166</v>
      </c>
      <c r="G488" s="6">
        <v>0.05</v>
      </c>
      <c r="H488" s="5" t="s">
        <v>1088</v>
      </c>
      <c r="I488" s="5" t="s">
        <v>20</v>
      </c>
      <c r="J488" s="5">
        <v>2025.0</v>
      </c>
      <c r="L488" s="5">
        <v>2.0</v>
      </c>
      <c r="M488" s="7">
        <f t="shared" si="2"/>
        <v>0.1</v>
      </c>
    </row>
    <row r="489">
      <c r="A489" s="5" t="s">
        <v>1235</v>
      </c>
      <c r="B489" s="5" t="s">
        <v>14</v>
      </c>
      <c r="C489" s="5" t="s">
        <v>22</v>
      </c>
      <c r="D489" s="5" t="s">
        <v>1236</v>
      </c>
      <c r="E489" s="5" t="s">
        <v>1057</v>
      </c>
      <c r="F489" s="5" t="s">
        <v>166</v>
      </c>
      <c r="G489" s="6">
        <v>0.09</v>
      </c>
      <c r="H489" s="5" t="s">
        <v>1088</v>
      </c>
      <c r="I489" s="5" t="s">
        <v>20</v>
      </c>
      <c r="J489" s="5">
        <v>2025.0</v>
      </c>
      <c r="L489" s="5">
        <v>1.0</v>
      </c>
      <c r="M489" s="7">
        <f t="shared" si="2"/>
        <v>0.09</v>
      </c>
    </row>
    <row r="490">
      <c r="A490" s="5" t="s">
        <v>1237</v>
      </c>
      <c r="B490" s="5" t="s">
        <v>14</v>
      </c>
      <c r="C490" s="5" t="s">
        <v>15</v>
      </c>
      <c r="D490" s="5" t="s">
        <v>1238</v>
      </c>
      <c r="E490" s="5" t="s">
        <v>1071</v>
      </c>
      <c r="F490" s="5" t="s">
        <v>166</v>
      </c>
      <c r="G490" s="6">
        <v>0.05</v>
      </c>
      <c r="H490" s="5" t="s">
        <v>1088</v>
      </c>
      <c r="I490" s="5" t="s">
        <v>20</v>
      </c>
      <c r="J490" s="5">
        <v>2025.0</v>
      </c>
      <c r="L490" s="5">
        <v>1.0</v>
      </c>
      <c r="M490" s="7">
        <f t="shared" si="2"/>
        <v>0.05</v>
      </c>
    </row>
    <row r="491">
      <c r="A491" s="5" t="s">
        <v>1237</v>
      </c>
      <c r="B491" s="5" t="s">
        <v>14</v>
      </c>
      <c r="C491" s="5" t="s">
        <v>15</v>
      </c>
      <c r="D491" s="5" t="s">
        <v>1238</v>
      </c>
      <c r="E491" s="5" t="s">
        <v>1071</v>
      </c>
      <c r="F491" s="5" t="s">
        <v>166</v>
      </c>
      <c r="G491" s="6">
        <v>0.03</v>
      </c>
      <c r="H491" s="5" t="s">
        <v>1239</v>
      </c>
      <c r="I491" s="5" t="s">
        <v>20</v>
      </c>
      <c r="J491" s="5">
        <v>2025.0</v>
      </c>
      <c r="L491" s="5">
        <v>1.0</v>
      </c>
      <c r="M491" s="7">
        <f t="shared" si="2"/>
        <v>0.03</v>
      </c>
    </row>
    <row r="492">
      <c r="A492" s="5" t="s">
        <v>1240</v>
      </c>
      <c r="B492" s="5" t="s">
        <v>406</v>
      </c>
      <c r="C492" s="5" t="s">
        <v>15</v>
      </c>
      <c r="D492" s="5" t="s">
        <v>1241</v>
      </c>
      <c r="E492" s="5" t="s">
        <v>782</v>
      </c>
      <c r="F492" s="5" t="s">
        <v>18</v>
      </c>
      <c r="G492" s="6">
        <v>0.05</v>
      </c>
      <c r="H492" s="5" t="s">
        <v>1088</v>
      </c>
      <c r="I492" s="5" t="s">
        <v>20</v>
      </c>
      <c r="J492" s="5">
        <v>2025.0</v>
      </c>
      <c r="K492" s="5" t="s">
        <v>221</v>
      </c>
      <c r="L492" s="5">
        <v>1.0</v>
      </c>
      <c r="M492" s="7">
        <f t="shared" si="2"/>
        <v>0.05</v>
      </c>
    </row>
    <row r="493">
      <c r="A493" s="5" t="s">
        <v>1242</v>
      </c>
      <c r="B493" s="5" t="s">
        <v>68</v>
      </c>
      <c r="C493" s="5" t="s">
        <v>15</v>
      </c>
      <c r="D493" s="5" t="s">
        <v>1243</v>
      </c>
      <c r="E493" s="5" t="s">
        <v>782</v>
      </c>
      <c r="F493" s="5" t="s">
        <v>18</v>
      </c>
      <c r="G493" s="6">
        <v>0.05</v>
      </c>
      <c r="H493" s="5" t="s">
        <v>1088</v>
      </c>
      <c r="I493" s="5" t="s">
        <v>20</v>
      </c>
      <c r="J493" s="5">
        <v>2025.0</v>
      </c>
      <c r="K493" s="5" t="s">
        <v>221</v>
      </c>
      <c r="L493" s="5">
        <v>1.0</v>
      </c>
      <c r="M493" s="7">
        <f t="shared" si="2"/>
        <v>0.05</v>
      </c>
    </row>
    <row r="494">
      <c r="A494" s="5" t="s">
        <v>1244</v>
      </c>
      <c r="B494" s="5" t="s">
        <v>1245</v>
      </c>
      <c r="C494" s="5" t="s">
        <v>15</v>
      </c>
      <c r="D494" s="5" t="s">
        <v>1246</v>
      </c>
      <c r="E494" s="5" t="s">
        <v>792</v>
      </c>
      <c r="F494" s="5" t="s">
        <v>18</v>
      </c>
      <c r="G494" s="6">
        <v>0.05</v>
      </c>
      <c r="H494" s="5" t="s">
        <v>1088</v>
      </c>
      <c r="I494" s="5" t="s">
        <v>20</v>
      </c>
      <c r="J494" s="5">
        <v>2025.0</v>
      </c>
      <c r="K494" s="8">
        <v>46057.0</v>
      </c>
      <c r="L494" s="5">
        <v>1.0</v>
      </c>
      <c r="M494" s="7">
        <f t="shared" si="2"/>
        <v>0.05</v>
      </c>
    </row>
    <row r="495">
      <c r="A495" s="5" t="s">
        <v>1247</v>
      </c>
      <c r="B495" s="5" t="s">
        <v>1216</v>
      </c>
      <c r="C495" s="5" t="s">
        <v>22</v>
      </c>
      <c r="D495" s="5" t="s">
        <v>1248</v>
      </c>
      <c r="E495" s="5" t="s">
        <v>792</v>
      </c>
      <c r="F495" s="5" t="s">
        <v>18</v>
      </c>
      <c r="G495" s="6">
        <v>0.15</v>
      </c>
      <c r="H495" s="5" t="s">
        <v>1088</v>
      </c>
      <c r="I495" s="5" t="s">
        <v>20</v>
      </c>
      <c r="J495" s="5">
        <v>2025.0</v>
      </c>
      <c r="K495" s="8">
        <v>46084.0</v>
      </c>
      <c r="L495" s="5">
        <v>1.0</v>
      </c>
      <c r="M495" s="7">
        <f t="shared" si="2"/>
        <v>0.15</v>
      </c>
    </row>
    <row r="496">
      <c r="A496" s="5" t="s">
        <v>1249</v>
      </c>
      <c r="B496" s="5" t="s">
        <v>1250</v>
      </c>
      <c r="C496" s="5" t="s">
        <v>15</v>
      </c>
      <c r="D496" s="5" t="s">
        <v>1251</v>
      </c>
      <c r="E496" s="5" t="s">
        <v>785</v>
      </c>
      <c r="F496" s="5" t="s">
        <v>18</v>
      </c>
      <c r="G496" s="6">
        <v>0.07</v>
      </c>
      <c r="H496" s="5" t="s">
        <v>1088</v>
      </c>
      <c r="I496" s="5" t="s">
        <v>20</v>
      </c>
      <c r="J496" s="5">
        <v>2025.0</v>
      </c>
      <c r="K496" s="8">
        <v>46055.0</v>
      </c>
      <c r="L496" s="5">
        <v>1.0</v>
      </c>
      <c r="M496" s="7">
        <f t="shared" si="2"/>
        <v>0.07</v>
      </c>
    </row>
    <row r="497">
      <c r="A497" s="5" t="s">
        <v>1249</v>
      </c>
      <c r="B497" s="5" t="s">
        <v>1250</v>
      </c>
      <c r="C497" s="5" t="s">
        <v>15</v>
      </c>
      <c r="D497" s="5" t="s">
        <v>1251</v>
      </c>
      <c r="E497" s="5" t="s">
        <v>785</v>
      </c>
      <c r="F497" s="5" t="s">
        <v>18</v>
      </c>
      <c r="G497" s="6">
        <v>0.2</v>
      </c>
      <c r="H497" s="5" t="s">
        <v>1088</v>
      </c>
      <c r="I497" s="5" t="s">
        <v>31</v>
      </c>
      <c r="J497" s="5">
        <v>2025.0</v>
      </c>
      <c r="K497" s="8">
        <v>46055.0</v>
      </c>
      <c r="L497" s="5">
        <v>1.0</v>
      </c>
      <c r="M497" s="7">
        <f t="shared" si="2"/>
        <v>0.2</v>
      </c>
    </row>
    <row r="498">
      <c r="A498" s="5" t="s">
        <v>1252</v>
      </c>
      <c r="B498" s="5" t="s">
        <v>14</v>
      </c>
      <c r="C498" s="5" t="s">
        <v>15</v>
      </c>
      <c r="D498" s="5" t="s">
        <v>1253</v>
      </c>
      <c r="E498" s="5" t="s">
        <v>785</v>
      </c>
      <c r="F498" s="5" t="s">
        <v>18</v>
      </c>
      <c r="G498" s="6">
        <v>0.14</v>
      </c>
      <c r="H498" s="5" t="s">
        <v>1088</v>
      </c>
      <c r="I498" s="5" t="s">
        <v>20</v>
      </c>
      <c r="J498" s="5">
        <v>2025.0</v>
      </c>
      <c r="K498" s="5" t="s">
        <v>221</v>
      </c>
      <c r="L498" s="5">
        <v>2.0</v>
      </c>
      <c r="M498" s="7">
        <f t="shared" si="2"/>
        <v>0.28</v>
      </c>
    </row>
    <row r="499">
      <c r="A499" s="5" t="s">
        <v>1254</v>
      </c>
      <c r="B499" s="5" t="s">
        <v>1255</v>
      </c>
      <c r="C499" s="5" t="s">
        <v>22</v>
      </c>
      <c r="D499" s="5" t="s">
        <v>1256</v>
      </c>
      <c r="E499" s="5" t="s">
        <v>1257</v>
      </c>
      <c r="F499" s="5" t="s">
        <v>18</v>
      </c>
      <c r="G499" s="6">
        <v>0.18</v>
      </c>
      <c r="H499" s="5" t="s">
        <v>1088</v>
      </c>
      <c r="I499" s="5" t="s">
        <v>20</v>
      </c>
      <c r="J499" s="5">
        <v>2025.0</v>
      </c>
      <c r="K499" s="5" t="s">
        <v>1258</v>
      </c>
      <c r="L499" s="5">
        <v>2.0</v>
      </c>
      <c r="M499" s="7">
        <f t="shared" si="2"/>
        <v>0.36</v>
      </c>
    </row>
    <row r="500">
      <c r="A500" s="5" t="s">
        <v>1259</v>
      </c>
      <c r="B500" s="5" t="s">
        <v>14</v>
      </c>
      <c r="C500" s="5" t="s">
        <v>22</v>
      </c>
      <c r="D500" s="5" t="s">
        <v>1260</v>
      </c>
      <c r="E500" s="5" t="s">
        <v>785</v>
      </c>
      <c r="F500" s="5" t="s">
        <v>18</v>
      </c>
      <c r="G500" s="6">
        <v>0.09</v>
      </c>
      <c r="H500" s="5" t="s">
        <v>1088</v>
      </c>
      <c r="I500" s="5" t="s">
        <v>20</v>
      </c>
      <c r="J500" s="5">
        <v>2025.0</v>
      </c>
      <c r="K500" s="5" t="s">
        <v>221</v>
      </c>
      <c r="L500" s="5">
        <v>1.0</v>
      </c>
      <c r="M500" s="7">
        <f t="shared" si="2"/>
        <v>0.09</v>
      </c>
    </row>
    <row r="501">
      <c r="A501" s="5" t="s">
        <v>1261</v>
      </c>
      <c r="B501" s="5" t="s">
        <v>14</v>
      </c>
      <c r="C501" s="5" t="s">
        <v>15</v>
      </c>
      <c r="D501" s="5" t="s">
        <v>1262</v>
      </c>
      <c r="E501" s="5" t="s">
        <v>792</v>
      </c>
      <c r="F501" s="5" t="s">
        <v>18</v>
      </c>
      <c r="G501" s="6">
        <v>0.06</v>
      </c>
      <c r="H501" s="5" t="s">
        <v>1088</v>
      </c>
      <c r="I501" s="5" t="s">
        <v>20</v>
      </c>
      <c r="J501" s="5">
        <v>2025.0</v>
      </c>
      <c r="K501" s="5" t="s">
        <v>221</v>
      </c>
      <c r="L501" s="5">
        <v>1.0</v>
      </c>
      <c r="M501" s="7">
        <f t="shared" si="2"/>
        <v>0.06</v>
      </c>
    </row>
    <row r="502">
      <c r="A502" s="5" t="s">
        <v>1263</v>
      </c>
      <c r="B502" s="5" t="s">
        <v>63</v>
      </c>
      <c r="C502" s="5" t="s">
        <v>22</v>
      </c>
      <c r="D502" s="5" t="s">
        <v>1264</v>
      </c>
      <c r="E502" s="5" t="s">
        <v>765</v>
      </c>
      <c r="F502" s="5" t="s">
        <v>18</v>
      </c>
      <c r="G502" s="6">
        <v>0.15</v>
      </c>
      <c r="H502" s="5" t="s">
        <v>1088</v>
      </c>
      <c r="I502" s="5" t="s">
        <v>20</v>
      </c>
      <c r="J502" s="5">
        <v>2025.0</v>
      </c>
      <c r="K502" s="5" t="s">
        <v>221</v>
      </c>
      <c r="L502" s="5">
        <v>1.0</v>
      </c>
      <c r="M502" s="7">
        <f t="shared" si="2"/>
        <v>0.15</v>
      </c>
    </row>
    <row r="503">
      <c r="A503" s="5" t="s">
        <v>1265</v>
      </c>
      <c r="B503" s="5" t="s">
        <v>1266</v>
      </c>
      <c r="C503" s="5" t="s">
        <v>15</v>
      </c>
      <c r="D503" s="5" t="s">
        <v>1267</v>
      </c>
      <c r="E503" s="5" t="s">
        <v>1268</v>
      </c>
      <c r="F503" s="5" t="s">
        <v>18</v>
      </c>
      <c r="G503" s="6">
        <v>0.09</v>
      </c>
      <c r="H503" s="5" t="s">
        <v>1088</v>
      </c>
      <c r="I503" s="5" t="s">
        <v>20</v>
      </c>
      <c r="J503" s="5">
        <v>2025.0</v>
      </c>
      <c r="K503" s="8">
        <v>46147.0</v>
      </c>
      <c r="L503" s="5">
        <v>1.0</v>
      </c>
      <c r="M503" s="7">
        <f t="shared" si="2"/>
        <v>0.09</v>
      </c>
    </row>
    <row r="504">
      <c r="A504" s="5" t="s">
        <v>1269</v>
      </c>
      <c r="B504" s="5" t="s">
        <v>82</v>
      </c>
      <c r="C504" s="5" t="s">
        <v>15</v>
      </c>
      <c r="D504" s="5" t="s">
        <v>1270</v>
      </c>
      <c r="E504" s="5" t="s">
        <v>1271</v>
      </c>
      <c r="F504" s="5" t="s">
        <v>80</v>
      </c>
      <c r="G504" s="6">
        <v>0.05</v>
      </c>
      <c r="H504" s="5" t="s">
        <v>1088</v>
      </c>
      <c r="I504" s="5" t="s">
        <v>20</v>
      </c>
      <c r="J504" s="5">
        <v>2025.0</v>
      </c>
      <c r="K504" s="5" t="s">
        <v>221</v>
      </c>
      <c r="L504" s="5">
        <v>1.0</v>
      </c>
      <c r="M504" s="7">
        <f t="shared" si="2"/>
        <v>0.05</v>
      </c>
    </row>
    <row r="505">
      <c r="A505" s="5" t="s">
        <v>1272</v>
      </c>
      <c r="B505" s="5" t="s">
        <v>1216</v>
      </c>
      <c r="C505" s="5" t="s">
        <v>15</v>
      </c>
      <c r="D505" s="5" t="s">
        <v>1273</v>
      </c>
      <c r="E505" s="5" t="s">
        <v>1037</v>
      </c>
      <c r="F505" s="5" t="s">
        <v>80</v>
      </c>
      <c r="G505" s="6">
        <v>0.07</v>
      </c>
      <c r="H505" s="5" t="s">
        <v>1088</v>
      </c>
      <c r="I505" s="5" t="s">
        <v>20</v>
      </c>
      <c r="J505" s="5">
        <v>2025.0</v>
      </c>
      <c r="K505" s="8">
        <v>46055.0</v>
      </c>
      <c r="L505" s="5">
        <v>1.0</v>
      </c>
      <c r="M505" s="7">
        <f t="shared" si="2"/>
        <v>0.07</v>
      </c>
    </row>
    <row r="506">
      <c r="A506" s="5" t="s">
        <v>1274</v>
      </c>
      <c r="B506" s="5" t="s">
        <v>1023</v>
      </c>
      <c r="C506" s="5" t="s">
        <v>22</v>
      </c>
      <c r="D506" s="5" t="s">
        <v>1275</v>
      </c>
      <c r="E506" s="5" t="s">
        <v>1276</v>
      </c>
      <c r="F506" s="5" t="s">
        <v>157</v>
      </c>
      <c r="G506" s="6">
        <v>0.15</v>
      </c>
      <c r="H506" s="5" t="s">
        <v>1088</v>
      </c>
      <c r="I506" s="5" t="s">
        <v>20</v>
      </c>
      <c r="J506" s="5">
        <v>2025.0</v>
      </c>
      <c r="K506" s="8">
        <v>46055.0</v>
      </c>
      <c r="L506" s="5">
        <v>2.0</v>
      </c>
      <c r="M506" s="7">
        <f t="shared" si="2"/>
        <v>0.3</v>
      </c>
    </row>
    <row r="507">
      <c r="A507" s="5" t="s">
        <v>1277</v>
      </c>
      <c r="B507" s="5" t="s">
        <v>186</v>
      </c>
      <c r="C507" s="5" t="s">
        <v>15</v>
      </c>
      <c r="D507" s="5" t="s">
        <v>1278</v>
      </c>
      <c r="E507" s="5" t="s">
        <v>221</v>
      </c>
      <c r="F507" s="5" t="s">
        <v>186</v>
      </c>
      <c r="G507" s="6">
        <v>0.15</v>
      </c>
      <c r="H507" s="5" t="s">
        <v>1088</v>
      </c>
      <c r="I507" s="5" t="s">
        <v>20</v>
      </c>
      <c r="J507" s="5">
        <v>2025.0</v>
      </c>
      <c r="K507" s="5" t="s">
        <v>221</v>
      </c>
      <c r="L507" s="5">
        <v>1.0</v>
      </c>
      <c r="M507" s="7">
        <f t="shared" si="2"/>
        <v>0.15</v>
      </c>
    </row>
    <row r="508">
      <c r="A508" s="5" t="s">
        <v>1279</v>
      </c>
      <c r="B508" s="5" t="s">
        <v>1250</v>
      </c>
      <c r="C508" s="5" t="s">
        <v>22</v>
      </c>
      <c r="D508" s="5" t="s">
        <v>1280</v>
      </c>
      <c r="E508" s="5" t="s">
        <v>1281</v>
      </c>
      <c r="F508" s="5" t="s">
        <v>157</v>
      </c>
      <c r="G508" s="6">
        <v>0.21</v>
      </c>
      <c r="H508" s="5" t="s">
        <v>1088</v>
      </c>
      <c r="I508" s="5" t="s">
        <v>20</v>
      </c>
      <c r="J508" s="5">
        <v>2025.0</v>
      </c>
      <c r="K508" s="8">
        <v>46083.0</v>
      </c>
      <c r="L508" s="5">
        <v>1.0</v>
      </c>
      <c r="M508" s="7">
        <f t="shared" si="2"/>
        <v>0.21</v>
      </c>
    </row>
    <row r="509">
      <c r="A509" s="5" t="s">
        <v>1282</v>
      </c>
      <c r="B509" s="5" t="s">
        <v>1283</v>
      </c>
      <c r="C509" s="5" t="s">
        <v>101</v>
      </c>
      <c r="D509" s="5" t="s">
        <v>1284</v>
      </c>
      <c r="E509" s="5" t="s">
        <v>1281</v>
      </c>
      <c r="F509" s="5" t="s">
        <v>157</v>
      </c>
      <c r="G509" s="6">
        <v>1.8</v>
      </c>
      <c r="H509" s="5" t="s">
        <v>1088</v>
      </c>
      <c r="I509" s="5" t="s">
        <v>20</v>
      </c>
      <c r="J509" s="5">
        <v>2025.0</v>
      </c>
      <c r="K509" s="5" t="s">
        <v>1285</v>
      </c>
      <c r="L509" s="5">
        <v>1.0</v>
      </c>
      <c r="M509" s="7">
        <f t="shared" si="2"/>
        <v>1.8</v>
      </c>
    </row>
    <row r="510">
      <c r="A510" s="5" t="s">
        <v>1286</v>
      </c>
      <c r="B510" s="5" t="s">
        <v>1287</v>
      </c>
      <c r="C510" s="5" t="s">
        <v>101</v>
      </c>
      <c r="D510" s="5" t="s">
        <v>1288</v>
      </c>
      <c r="E510" s="5" t="s">
        <v>1289</v>
      </c>
      <c r="F510" s="5" t="s">
        <v>157</v>
      </c>
      <c r="G510" s="6">
        <v>0.9</v>
      </c>
      <c r="H510" s="5" t="s">
        <v>1088</v>
      </c>
      <c r="I510" s="5" t="s">
        <v>31</v>
      </c>
      <c r="J510" s="5">
        <v>2025.0</v>
      </c>
      <c r="K510" s="5" t="s">
        <v>1290</v>
      </c>
      <c r="L510" s="5">
        <v>1.0</v>
      </c>
      <c r="M510" s="7">
        <f t="shared" si="2"/>
        <v>0.9</v>
      </c>
    </row>
    <row r="511">
      <c r="A511" s="5" t="s">
        <v>1291</v>
      </c>
      <c r="B511" s="5" t="s">
        <v>14</v>
      </c>
      <c r="C511" s="5" t="s">
        <v>22</v>
      </c>
      <c r="D511" s="5" t="s">
        <v>1292</v>
      </c>
      <c r="E511" s="5" t="s">
        <v>840</v>
      </c>
      <c r="F511" s="5" t="s">
        <v>88</v>
      </c>
      <c r="G511" s="6">
        <v>0.13</v>
      </c>
      <c r="H511" s="5" t="s">
        <v>1088</v>
      </c>
      <c r="I511" s="5" t="s">
        <v>20</v>
      </c>
      <c r="J511" s="5">
        <v>2025.0</v>
      </c>
      <c r="L511" s="5">
        <v>1.0</v>
      </c>
      <c r="M511" s="7">
        <f t="shared" si="2"/>
        <v>0.13</v>
      </c>
    </row>
    <row r="512">
      <c r="A512" s="5" t="s">
        <v>1293</v>
      </c>
      <c r="B512" s="5" t="s">
        <v>14</v>
      </c>
      <c r="C512" s="5" t="s">
        <v>15</v>
      </c>
      <c r="D512" s="5" t="s">
        <v>1294</v>
      </c>
      <c r="E512" s="5" t="s">
        <v>840</v>
      </c>
      <c r="F512" s="5" t="s">
        <v>88</v>
      </c>
      <c r="G512" s="6">
        <v>0.07</v>
      </c>
      <c r="H512" s="5" t="s">
        <v>1088</v>
      </c>
      <c r="I512" s="5" t="s">
        <v>20</v>
      </c>
      <c r="J512" s="5">
        <v>2025.0</v>
      </c>
      <c r="L512" s="5">
        <v>1.0</v>
      </c>
      <c r="M512" s="7">
        <f t="shared" si="2"/>
        <v>0.07</v>
      </c>
    </row>
    <row r="513">
      <c r="A513" s="5" t="s">
        <v>1295</v>
      </c>
      <c r="B513" s="5" t="s">
        <v>406</v>
      </c>
      <c r="C513" s="5" t="s">
        <v>15</v>
      </c>
      <c r="D513" s="5" t="s">
        <v>1296</v>
      </c>
      <c r="E513" s="5" t="s">
        <v>840</v>
      </c>
      <c r="F513" s="5" t="s">
        <v>88</v>
      </c>
      <c r="G513" s="6">
        <v>0.05</v>
      </c>
      <c r="H513" s="5" t="s">
        <v>1088</v>
      </c>
      <c r="I513" s="5" t="s">
        <v>20</v>
      </c>
      <c r="J513" s="5">
        <v>2025.0</v>
      </c>
      <c r="L513" s="5">
        <v>1.0</v>
      </c>
      <c r="M513" s="7">
        <f t="shared" si="2"/>
        <v>0.05</v>
      </c>
    </row>
    <row r="514">
      <c r="A514" s="5" t="s">
        <v>1297</v>
      </c>
      <c r="B514" s="5" t="s">
        <v>1298</v>
      </c>
      <c r="C514" s="5" t="s">
        <v>22</v>
      </c>
      <c r="D514" s="5" t="s">
        <v>1299</v>
      </c>
      <c r="E514" s="5" t="s">
        <v>914</v>
      </c>
      <c r="F514" s="5" t="s">
        <v>88</v>
      </c>
      <c r="G514" s="6">
        <v>0.1</v>
      </c>
      <c r="H514" s="5" t="s">
        <v>1088</v>
      </c>
      <c r="I514" s="5" t="s">
        <v>20</v>
      </c>
      <c r="J514" s="5">
        <v>2025.0</v>
      </c>
      <c r="K514" s="8">
        <v>46116.0</v>
      </c>
      <c r="L514" s="5">
        <v>1.0</v>
      </c>
      <c r="M514" s="7">
        <f t="shared" si="2"/>
        <v>0.1</v>
      </c>
    </row>
    <row r="515">
      <c r="A515" s="5" t="s">
        <v>1300</v>
      </c>
      <c r="B515" s="5" t="s">
        <v>1301</v>
      </c>
      <c r="C515" s="5" t="s">
        <v>15</v>
      </c>
      <c r="D515" s="5" t="s">
        <v>1302</v>
      </c>
      <c r="E515" s="5" t="s">
        <v>844</v>
      </c>
      <c r="F515" s="5" t="s">
        <v>88</v>
      </c>
      <c r="G515" s="6">
        <v>0.05</v>
      </c>
      <c r="H515" s="5" t="s">
        <v>1088</v>
      </c>
      <c r="I515" s="5" t="s">
        <v>20</v>
      </c>
      <c r="J515" s="5">
        <v>2025.0</v>
      </c>
      <c r="K515" s="8">
        <v>46147.0</v>
      </c>
      <c r="L515" s="5">
        <v>1.0</v>
      </c>
      <c r="M515" s="7">
        <f t="shared" si="2"/>
        <v>0.05</v>
      </c>
    </row>
    <row r="516">
      <c r="A516" s="5" t="s">
        <v>1300</v>
      </c>
      <c r="B516" s="5" t="s">
        <v>1301</v>
      </c>
      <c r="C516" s="5" t="s">
        <v>15</v>
      </c>
      <c r="D516" s="5" t="s">
        <v>1302</v>
      </c>
      <c r="E516" s="5" t="s">
        <v>844</v>
      </c>
      <c r="F516" s="5" t="s">
        <v>88</v>
      </c>
      <c r="G516" s="6">
        <v>0.05</v>
      </c>
      <c r="H516" s="5" t="s">
        <v>1088</v>
      </c>
      <c r="I516" s="5" t="s">
        <v>31</v>
      </c>
      <c r="J516" s="5">
        <v>2025.0</v>
      </c>
      <c r="K516" s="8">
        <v>46147.0</v>
      </c>
      <c r="L516" s="5">
        <v>1.0</v>
      </c>
      <c r="M516" s="6">
        <v>0.2</v>
      </c>
    </row>
    <row r="517">
      <c r="A517" s="5" t="s">
        <v>1303</v>
      </c>
      <c r="B517" s="5" t="s">
        <v>14</v>
      </c>
      <c r="C517" s="5" t="s">
        <v>15</v>
      </c>
      <c r="D517" s="5" t="s">
        <v>1304</v>
      </c>
      <c r="E517" s="5" t="s">
        <v>840</v>
      </c>
      <c r="F517" s="5" t="s">
        <v>88</v>
      </c>
      <c r="G517" s="6">
        <v>0.05</v>
      </c>
      <c r="H517" s="5" t="s">
        <v>1088</v>
      </c>
      <c r="I517" s="5" t="s">
        <v>20</v>
      </c>
      <c r="J517" s="5">
        <v>2025.0</v>
      </c>
      <c r="L517" s="5">
        <v>2.0</v>
      </c>
      <c r="M517" s="7">
        <f t="shared" ref="M517:M1686" si="3">L517*G517</f>
        <v>0.1</v>
      </c>
    </row>
    <row r="518">
      <c r="A518" s="5" t="s">
        <v>1303</v>
      </c>
      <c r="B518" s="5" t="s">
        <v>14</v>
      </c>
      <c r="C518" s="5" t="s">
        <v>15</v>
      </c>
      <c r="D518" s="5" t="s">
        <v>1304</v>
      </c>
      <c r="E518" s="5" t="s">
        <v>840</v>
      </c>
      <c r="F518" s="5" t="s">
        <v>88</v>
      </c>
      <c r="G518" s="6">
        <v>0.17</v>
      </c>
      <c r="H518" s="5" t="s">
        <v>1088</v>
      </c>
      <c r="I518" s="5" t="s">
        <v>31</v>
      </c>
      <c r="J518" s="5">
        <v>2025.0</v>
      </c>
      <c r="L518" s="5">
        <v>2.0</v>
      </c>
      <c r="M518" s="7">
        <f t="shared" si="3"/>
        <v>0.34</v>
      </c>
    </row>
    <row r="519">
      <c r="A519" s="5" t="s">
        <v>1305</v>
      </c>
      <c r="B519" s="5" t="s">
        <v>1023</v>
      </c>
      <c r="C519" s="5" t="s">
        <v>15</v>
      </c>
      <c r="D519" s="5" t="s">
        <v>1306</v>
      </c>
      <c r="E519" s="5" t="s">
        <v>865</v>
      </c>
      <c r="F519" s="5" t="s">
        <v>88</v>
      </c>
      <c r="G519" s="6">
        <v>0.06</v>
      </c>
      <c r="H519" s="5" t="s">
        <v>1088</v>
      </c>
      <c r="I519" s="5" t="s">
        <v>20</v>
      </c>
      <c r="J519" s="5">
        <v>2025.0</v>
      </c>
      <c r="K519" s="8">
        <v>46056.0</v>
      </c>
      <c r="L519" s="5">
        <v>1.0</v>
      </c>
      <c r="M519" s="7">
        <f t="shared" si="3"/>
        <v>0.06</v>
      </c>
    </row>
    <row r="520">
      <c r="A520" s="5" t="s">
        <v>1307</v>
      </c>
      <c r="B520" s="5" t="s">
        <v>1308</v>
      </c>
      <c r="C520" s="5" t="s">
        <v>15</v>
      </c>
      <c r="D520" s="5" t="s">
        <v>1309</v>
      </c>
      <c r="E520" s="5" t="s">
        <v>865</v>
      </c>
      <c r="F520" s="5" t="s">
        <v>88</v>
      </c>
      <c r="G520" s="6">
        <v>0.05</v>
      </c>
      <c r="H520" s="5" t="s">
        <v>1088</v>
      </c>
      <c r="I520" s="5" t="s">
        <v>20</v>
      </c>
      <c r="J520" s="5">
        <v>2025.0</v>
      </c>
      <c r="K520" s="8">
        <v>46083.0</v>
      </c>
      <c r="L520" s="5">
        <v>1.0</v>
      </c>
      <c r="M520" s="7">
        <f t="shared" si="3"/>
        <v>0.05</v>
      </c>
    </row>
    <row r="521">
      <c r="A521" s="5" t="s">
        <v>1310</v>
      </c>
      <c r="B521" s="5" t="s">
        <v>33</v>
      </c>
      <c r="C521" s="5" t="s">
        <v>22</v>
      </c>
      <c r="D521" s="5" t="s">
        <v>1311</v>
      </c>
      <c r="E521" s="5" t="s">
        <v>911</v>
      </c>
      <c r="F521" s="5" t="s">
        <v>88</v>
      </c>
      <c r="G521" s="6">
        <v>0.15</v>
      </c>
      <c r="H521" s="5" t="s">
        <v>1088</v>
      </c>
      <c r="I521" s="5" t="s">
        <v>20</v>
      </c>
      <c r="J521" s="5">
        <v>2025.0</v>
      </c>
      <c r="L521" s="5">
        <v>2.0</v>
      </c>
      <c r="M521" s="7">
        <f t="shared" si="3"/>
        <v>0.3</v>
      </c>
    </row>
    <row r="522">
      <c r="A522" s="5" t="s">
        <v>1312</v>
      </c>
      <c r="B522" s="5" t="s">
        <v>33</v>
      </c>
      <c r="C522" s="5" t="s">
        <v>101</v>
      </c>
      <c r="D522" s="5" t="s">
        <v>1313</v>
      </c>
      <c r="E522" s="5" t="s">
        <v>660</v>
      </c>
      <c r="F522" s="5" t="s">
        <v>280</v>
      </c>
      <c r="G522" s="6">
        <v>0.32</v>
      </c>
      <c r="H522" s="5" t="s">
        <v>1088</v>
      </c>
      <c r="I522" s="5" t="s">
        <v>20</v>
      </c>
      <c r="J522" s="5">
        <v>2025.0</v>
      </c>
      <c r="L522" s="5">
        <v>1.0</v>
      </c>
      <c r="M522" s="7">
        <f t="shared" si="3"/>
        <v>0.32</v>
      </c>
    </row>
    <row r="523">
      <c r="A523" s="5" t="s">
        <v>1314</v>
      </c>
      <c r="B523" s="5" t="s">
        <v>1315</v>
      </c>
      <c r="C523" s="5" t="s">
        <v>15</v>
      </c>
      <c r="D523" s="5" t="s">
        <v>1316</v>
      </c>
      <c r="E523" s="5" t="s">
        <v>622</v>
      </c>
      <c r="F523" s="5" t="s">
        <v>280</v>
      </c>
      <c r="G523" s="6">
        <v>0.05</v>
      </c>
      <c r="H523" s="5" t="s">
        <v>1088</v>
      </c>
      <c r="I523" s="5" t="s">
        <v>20</v>
      </c>
      <c r="J523" s="5">
        <v>2025.0</v>
      </c>
      <c r="K523" s="8">
        <v>46083.0</v>
      </c>
      <c r="L523" s="5">
        <v>1.0</v>
      </c>
      <c r="M523" s="7">
        <f t="shared" si="3"/>
        <v>0.05</v>
      </c>
    </row>
    <row r="524">
      <c r="A524" s="5" t="s">
        <v>1317</v>
      </c>
      <c r="B524" s="5" t="s">
        <v>14</v>
      </c>
      <c r="C524" s="5" t="s">
        <v>15</v>
      </c>
      <c r="D524" s="5" t="s">
        <v>1318</v>
      </c>
      <c r="E524" s="5" t="s">
        <v>554</v>
      </c>
      <c r="F524" s="5" t="s">
        <v>280</v>
      </c>
      <c r="G524" s="6">
        <v>0.05</v>
      </c>
      <c r="H524" s="5" t="s">
        <v>1088</v>
      </c>
      <c r="I524" s="5" t="s">
        <v>20</v>
      </c>
      <c r="J524" s="5">
        <v>2025.0</v>
      </c>
      <c r="L524" s="5">
        <v>1.0</v>
      </c>
      <c r="M524" s="7">
        <f t="shared" si="3"/>
        <v>0.05</v>
      </c>
    </row>
    <row r="525">
      <c r="A525" s="5" t="s">
        <v>1319</v>
      </c>
      <c r="B525" s="5" t="s">
        <v>14</v>
      </c>
      <c r="C525" s="5" t="s">
        <v>15</v>
      </c>
      <c r="D525" s="5" t="s">
        <v>1320</v>
      </c>
      <c r="E525" s="5" t="s">
        <v>554</v>
      </c>
      <c r="F525" s="5" t="s">
        <v>280</v>
      </c>
      <c r="G525" s="6">
        <v>0.05</v>
      </c>
      <c r="H525" s="5" t="s">
        <v>1088</v>
      </c>
      <c r="I525" s="5" t="s">
        <v>20</v>
      </c>
      <c r="J525" s="5">
        <v>2025.0</v>
      </c>
      <c r="L525" s="5">
        <v>1.0</v>
      </c>
      <c r="M525" s="7">
        <f t="shared" si="3"/>
        <v>0.05</v>
      </c>
    </row>
    <row r="526">
      <c r="A526" s="5" t="s">
        <v>1321</v>
      </c>
      <c r="B526" s="5" t="s">
        <v>68</v>
      </c>
      <c r="C526" s="5" t="s">
        <v>15</v>
      </c>
      <c r="D526" s="5" t="s">
        <v>1322</v>
      </c>
      <c r="E526" s="5" t="s">
        <v>631</v>
      </c>
      <c r="F526" s="5" t="s">
        <v>280</v>
      </c>
      <c r="G526" s="6">
        <v>0.24</v>
      </c>
      <c r="H526" s="5" t="s">
        <v>1088</v>
      </c>
      <c r="I526" s="5" t="s">
        <v>31</v>
      </c>
      <c r="J526" s="5">
        <v>2025.0</v>
      </c>
      <c r="L526" s="5">
        <v>1.0</v>
      </c>
      <c r="M526" s="7">
        <f t="shared" si="3"/>
        <v>0.24</v>
      </c>
    </row>
    <row r="527">
      <c r="A527" s="5" t="s">
        <v>1323</v>
      </c>
      <c r="B527" s="5" t="s">
        <v>68</v>
      </c>
      <c r="C527" s="5" t="s">
        <v>22</v>
      </c>
      <c r="D527" s="5" t="s">
        <v>1324</v>
      </c>
      <c r="E527" s="5" t="s">
        <v>554</v>
      </c>
      <c r="F527" s="5" t="s">
        <v>280</v>
      </c>
      <c r="G527" s="6">
        <v>0.2</v>
      </c>
      <c r="H527" s="5" t="s">
        <v>1088</v>
      </c>
      <c r="I527" s="5" t="s">
        <v>20</v>
      </c>
      <c r="J527" s="5">
        <v>2025.0</v>
      </c>
      <c r="L527" s="5">
        <v>2.0</v>
      </c>
      <c r="M527" s="7">
        <f t="shared" si="3"/>
        <v>0.4</v>
      </c>
    </row>
    <row r="528">
      <c r="A528" s="5" t="s">
        <v>1325</v>
      </c>
      <c r="B528" s="5" t="s">
        <v>68</v>
      </c>
      <c r="C528" s="5" t="s">
        <v>22</v>
      </c>
      <c r="D528" s="5" t="s">
        <v>1326</v>
      </c>
      <c r="E528" s="5" t="s">
        <v>660</v>
      </c>
      <c r="F528" s="5" t="s">
        <v>280</v>
      </c>
      <c r="G528" s="6">
        <v>0.09</v>
      </c>
      <c r="H528" s="5" t="s">
        <v>1088</v>
      </c>
      <c r="I528" s="5" t="s">
        <v>20</v>
      </c>
      <c r="J528" s="5">
        <v>2025.0</v>
      </c>
      <c r="L528" s="5">
        <v>1.0</v>
      </c>
      <c r="M528" s="7">
        <f t="shared" si="3"/>
        <v>0.09</v>
      </c>
    </row>
    <row r="529">
      <c r="A529" s="5" t="s">
        <v>1327</v>
      </c>
      <c r="B529" s="5" t="s">
        <v>68</v>
      </c>
      <c r="C529" s="5" t="s">
        <v>101</v>
      </c>
      <c r="D529" s="5" t="s">
        <v>1328</v>
      </c>
      <c r="E529" s="5" t="s">
        <v>1329</v>
      </c>
      <c r="F529" s="5" t="s">
        <v>280</v>
      </c>
      <c r="G529" s="6">
        <v>0.95</v>
      </c>
      <c r="H529" s="5" t="s">
        <v>1088</v>
      </c>
      <c r="I529" s="5" t="s">
        <v>20</v>
      </c>
      <c r="J529" s="5">
        <v>2025.0</v>
      </c>
      <c r="L529" s="5">
        <v>1.0</v>
      </c>
      <c r="M529" s="7">
        <f t="shared" si="3"/>
        <v>0.95</v>
      </c>
    </row>
    <row r="530">
      <c r="A530" s="5" t="s">
        <v>1330</v>
      </c>
      <c r="B530" s="5" t="s">
        <v>1331</v>
      </c>
      <c r="C530" s="5" t="s">
        <v>15</v>
      </c>
      <c r="D530" s="5" t="s">
        <v>1332</v>
      </c>
      <c r="E530" s="5" t="s">
        <v>622</v>
      </c>
      <c r="F530" s="5" t="s">
        <v>280</v>
      </c>
      <c r="G530" s="6">
        <v>0.2</v>
      </c>
      <c r="H530" s="5" t="s">
        <v>1088</v>
      </c>
      <c r="I530" s="5" t="s">
        <v>31</v>
      </c>
      <c r="J530" s="5">
        <v>2025.0</v>
      </c>
      <c r="K530" s="8">
        <v>46024.0</v>
      </c>
      <c r="L530" s="5">
        <v>1.0</v>
      </c>
      <c r="M530" s="7">
        <f t="shared" si="3"/>
        <v>0.2</v>
      </c>
    </row>
    <row r="531">
      <c r="A531" s="5" t="s">
        <v>1333</v>
      </c>
      <c r="B531" s="5" t="s">
        <v>1334</v>
      </c>
      <c r="C531" s="5" t="s">
        <v>15</v>
      </c>
      <c r="D531" s="5" t="s">
        <v>1335</v>
      </c>
      <c r="E531" s="5" t="s">
        <v>631</v>
      </c>
      <c r="F531" s="5" t="s">
        <v>280</v>
      </c>
      <c r="G531" s="6">
        <v>0.05</v>
      </c>
      <c r="H531" s="5" t="s">
        <v>1088</v>
      </c>
      <c r="I531" s="5" t="s">
        <v>20</v>
      </c>
      <c r="J531" s="5">
        <v>2025.0</v>
      </c>
      <c r="K531" s="8">
        <v>46023.0</v>
      </c>
      <c r="L531" s="5">
        <v>2.0</v>
      </c>
      <c r="M531" s="7">
        <f t="shared" si="3"/>
        <v>0.1</v>
      </c>
    </row>
    <row r="532">
      <c r="A532" s="5" t="s">
        <v>1336</v>
      </c>
      <c r="B532" s="5" t="s">
        <v>1216</v>
      </c>
      <c r="C532" s="5" t="s">
        <v>101</v>
      </c>
      <c r="D532" s="5" t="s">
        <v>1337</v>
      </c>
      <c r="E532" s="5" t="s">
        <v>660</v>
      </c>
      <c r="F532" s="5" t="s">
        <v>280</v>
      </c>
      <c r="G532" s="6">
        <v>0.44</v>
      </c>
      <c r="H532" s="5" t="s">
        <v>1088</v>
      </c>
      <c r="I532" s="5" t="s">
        <v>20</v>
      </c>
      <c r="J532" s="5">
        <v>2025.0</v>
      </c>
      <c r="K532" s="8">
        <v>46298.0</v>
      </c>
      <c r="L532" s="5">
        <v>1.0</v>
      </c>
      <c r="M532" s="7">
        <f t="shared" si="3"/>
        <v>0.44</v>
      </c>
    </row>
    <row r="533">
      <c r="A533" s="5" t="s">
        <v>1338</v>
      </c>
      <c r="B533" s="5" t="s">
        <v>274</v>
      </c>
      <c r="C533" s="5" t="s">
        <v>15</v>
      </c>
      <c r="D533" s="5" t="s">
        <v>1339</v>
      </c>
      <c r="E533" s="5" t="s">
        <v>660</v>
      </c>
      <c r="F533" s="5" t="s">
        <v>280</v>
      </c>
      <c r="G533" s="6">
        <v>0.05</v>
      </c>
      <c r="H533" s="5" t="s">
        <v>1088</v>
      </c>
      <c r="I533" s="5" t="s">
        <v>20</v>
      </c>
      <c r="J533" s="5">
        <v>2025.0</v>
      </c>
      <c r="K533" s="8">
        <v>46115.0</v>
      </c>
      <c r="L533" s="5">
        <v>1.0</v>
      </c>
      <c r="M533" s="7">
        <f t="shared" si="3"/>
        <v>0.05</v>
      </c>
    </row>
    <row r="534">
      <c r="A534" s="5" t="s">
        <v>1340</v>
      </c>
      <c r="B534" s="5" t="s">
        <v>1023</v>
      </c>
      <c r="C534" s="5" t="s">
        <v>22</v>
      </c>
      <c r="D534" s="5" t="s">
        <v>1341</v>
      </c>
      <c r="E534" s="5" t="s">
        <v>631</v>
      </c>
      <c r="F534" s="5" t="s">
        <v>280</v>
      </c>
      <c r="G534" s="6">
        <v>0.14</v>
      </c>
      <c r="H534" s="5" t="s">
        <v>1088</v>
      </c>
      <c r="I534" s="5" t="s">
        <v>20</v>
      </c>
      <c r="J534" s="5">
        <v>2025.0</v>
      </c>
      <c r="K534" s="8">
        <v>46026.0</v>
      </c>
      <c r="L534" s="5">
        <v>1.0</v>
      </c>
      <c r="M534" s="7">
        <f t="shared" si="3"/>
        <v>0.14</v>
      </c>
    </row>
    <row r="535">
      <c r="A535" s="5" t="s">
        <v>1342</v>
      </c>
      <c r="B535" s="5" t="s">
        <v>63</v>
      </c>
      <c r="C535" s="5" t="s">
        <v>15</v>
      </c>
      <c r="D535" s="5" t="s">
        <v>1343</v>
      </c>
      <c r="E535" s="5" t="s">
        <v>699</v>
      </c>
      <c r="F535" s="5" t="s">
        <v>152</v>
      </c>
      <c r="G535" s="6">
        <v>0.05</v>
      </c>
      <c r="H535" s="5" t="s">
        <v>1088</v>
      </c>
      <c r="I535" s="5" t="s">
        <v>20</v>
      </c>
      <c r="J535" s="5">
        <v>2025.0</v>
      </c>
      <c r="K535" s="5" t="s">
        <v>221</v>
      </c>
      <c r="L535" s="5">
        <v>1.0</v>
      </c>
      <c r="M535" s="7">
        <f t="shared" si="3"/>
        <v>0.05</v>
      </c>
    </row>
    <row r="536">
      <c r="A536" s="5" t="s">
        <v>1342</v>
      </c>
      <c r="B536" s="5" t="s">
        <v>63</v>
      </c>
      <c r="C536" s="5" t="s">
        <v>15</v>
      </c>
      <c r="D536" s="5" t="s">
        <v>1343</v>
      </c>
      <c r="E536" s="5" t="s">
        <v>699</v>
      </c>
      <c r="F536" s="5" t="s">
        <v>152</v>
      </c>
      <c r="G536" s="6">
        <v>0.2</v>
      </c>
      <c r="H536" s="5" t="s">
        <v>1088</v>
      </c>
      <c r="I536" s="5" t="s">
        <v>31</v>
      </c>
      <c r="J536" s="5">
        <v>2025.0</v>
      </c>
      <c r="K536" s="5" t="s">
        <v>221</v>
      </c>
      <c r="L536" s="5">
        <v>1.0</v>
      </c>
      <c r="M536" s="7">
        <f t="shared" si="3"/>
        <v>0.2</v>
      </c>
    </row>
    <row r="537">
      <c r="A537" s="5" t="s">
        <v>1342</v>
      </c>
      <c r="B537" s="5" t="s">
        <v>63</v>
      </c>
      <c r="C537" s="5" t="s">
        <v>15</v>
      </c>
      <c r="D537" s="5" t="s">
        <v>1343</v>
      </c>
      <c r="E537" s="5" t="s">
        <v>699</v>
      </c>
      <c r="F537" s="5" t="s">
        <v>152</v>
      </c>
      <c r="G537" s="6">
        <v>0.05</v>
      </c>
      <c r="H537" s="5" t="s">
        <v>1088</v>
      </c>
      <c r="I537" s="5" t="s">
        <v>20</v>
      </c>
      <c r="J537" s="5">
        <v>2025.0</v>
      </c>
      <c r="K537" s="5" t="s">
        <v>221</v>
      </c>
      <c r="L537" s="5">
        <v>3.0</v>
      </c>
      <c r="M537" s="7">
        <f t="shared" si="3"/>
        <v>0.15</v>
      </c>
    </row>
    <row r="538">
      <c r="A538" s="5" t="s">
        <v>1344</v>
      </c>
      <c r="B538" s="5" t="s">
        <v>1216</v>
      </c>
      <c r="C538" s="5" t="s">
        <v>22</v>
      </c>
      <c r="D538" s="5" t="s">
        <v>1345</v>
      </c>
      <c r="E538" s="5" t="s">
        <v>1346</v>
      </c>
      <c r="F538" s="5" t="s">
        <v>152</v>
      </c>
      <c r="G538" s="6">
        <v>0.09</v>
      </c>
      <c r="H538" s="5" t="s">
        <v>1088</v>
      </c>
      <c r="I538" s="5" t="s">
        <v>20</v>
      </c>
      <c r="J538" s="5">
        <v>2025.0</v>
      </c>
      <c r="K538" s="8">
        <v>46178.0</v>
      </c>
      <c r="L538" s="5">
        <v>1.0</v>
      </c>
      <c r="M538" s="7">
        <f t="shared" si="3"/>
        <v>0.09</v>
      </c>
    </row>
    <row r="539">
      <c r="A539" s="5" t="s">
        <v>1347</v>
      </c>
      <c r="B539" s="5" t="s">
        <v>406</v>
      </c>
      <c r="C539" s="5" t="s">
        <v>15</v>
      </c>
      <c r="D539" s="5" t="s">
        <v>1348</v>
      </c>
      <c r="E539" s="5" t="s">
        <v>715</v>
      </c>
      <c r="F539" s="5" t="s">
        <v>152</v>
      </c>
      <c r="G539" s="6">
        <v>0.05</v>
      </c>
      <c r="H539" s="5" t="s">
        <v>1088</v>
      </c>
      <c r="I539" s="5" t="s">
        <v>20</v>
      </c>
      <c r="J539" s="5">
        <v>2025.0</v>
      </c>
      <c r="K539" s="5" t="s">
        <v>221</v>
      </c>
      <c r="L539" s="5">
        <v>1.0</v>
      </c>
      <c r="M539" s="7">
        <f t="shared" si="3"/>
        <v>0.05</v>
      </c>
    </row>
    <row r="540">
      <c r="A540" s="5" t="s">
        <v>1349</v>
      </c>
      <c r="B540" s="5" t="s">
        <v>1023</v>
      </c>
      <c r="C540" s="5" t="s">
        <v>15</v>
      </c>
      <c r="D540" s="5" t="s">
        <v>1350</v>
      </c>
      <c r="E540" s="5" t="s">
        <v>696</v>
      </c>
      <c r="F540" s="5" t="s">
        <v>152</v>
      </c>
      <c r="G540" s="6">
        <v>0.1</v>
      </c>
      <c r="H540" s="5" t="s">
        <v>1088</v>
      </c>
      <c r="I540" s="5" t="s">
        <v>20</v>
      </c>
      <c r="J540" s="5">
        <v>2025.0</v>
      </c>
      <c r="K540" s="8">
        <v>46023.0</v>
      </c>
      <c r="L540" s="5">
        <v>1.0</v>
      </c>
      <c r="M540" s="7">
        <f t="shared" si="3"/>
        <v>0.1</v>
      </c>
    </row>
    <row r="541">
      <c r="A541" s="5" t="s">
        <v>1351</v>
      </c>
      <c r="B541" s="5" t="s">
        <v>274</v>
      </c>
      <c r="C541" s="5" t="s">
        <v>15</v>
      </c>
      <c r="D541" s="5" t="s">
        <v>1352</v>
      </c>
      <c r="E541" s="5" t="s">
        <v>699</v>
      </c>
      <c r="F541" s="5" t="s">
        <v>152</v>
      </c>
      <c r="G541" s="6">
        <v>0.05</v>
      </c>
      <c r="H541" s="5" t="s">
        <v>1088</v>
      </c>
      <c r="I541" s="5" t="s">
        <v>20</v>
      </c>
      <c r="J541" s="5">
        <v>2025.0</v>
      </c>
      <c r="K541" s="8">
        <v>46084.0</v>
      </c>
      <c r="L541" s="5">
        <v>1.0</v>
      </c>
      <c r="M541" s="7">
        <f t="shared" si="3"/>
        <v>0.05</v>
      </c>
    </row>
    <row r="542">
      <c r="A542" s="5" t="s">
        <v>1353</v>
      </c>
      <c r="B542" s="5" t="s">
        <v>14</v>
      </c>
      <c r="C542" s="5" t="s">
        <v>15</v>
      </c>
      <c r="D542" s="5" t="s">
        <v>1354</v>
      </c>
      <c r="E542" s="5" t="s">
        <v>723</v>
      </c>
      <c r="F542" s="5" t="s">
        <v>152</v>
      </c>
      <c r="G542" s="6">
        <v>0.05</v>
      </c>
      <c r="H542" s="5" t="s">
        <v>1088</v>
      </c>
      <c r="I542" s="5" t="s">
        <v>20</v>
      </c>
      <c r="J542" s="5">
        <v>2025.0</v>
      </c>
      <c r="K542" s="5" t="s">
        <v>221</v>
      </c>
      <c r="L542" s="5">
        <v>1.0</v>
      </c>
      <c r="M542" s="7">
        <f t="shared" si="3"/>
        <v>0.05</v>
      </c>
    </row>
    <row r="543">
      <c r="A543" s="5" t="s">
        <v>1355</v>
      </c>
      <c r="B543" s="5" t="s">
        <v>1356</v>
      </c>
      <c r="C543" s="5" t="s">
        <v>15</v>
      </c>
      <c r="D543" s="5" t="s">
        <v>1357</v>
      </c>
      <c r="E543" s="5" t="s">
        <v>696</v>
      </c>
      <c r="F543" s="5" t="s">
        <v>152</v>
      </c>
      <c r="G543" s="6">
        <v>0.05</v>
      </c>
      <c r="H543" s="5" t="s">
        <v>1088</v>
      </c>
      <c r="I543" s="5" t="s">
        <v>20</v>
      </c>
      <c r="J543" s="5">
        <v>2025.0</v>
      </c>
      <c r="K543" s="8">
        <v>46055.0</v>
      </c>
      <c r="L543" s="5">
        <v>1.0</v>
      </c>
      <c r="M543" s="7">
        <f t="shared" si="3"/>
        <v>0.05</v>
      </c>
    </row>
    <row r="544">
      <c r="A544" s="5" t="s">
        <v>1358</v>
      </c>
      <c r="B544" s="5" t="s">
        <v>737</v>
      </c>
      <c r="C544" s="5" t="s">
        <v>22</v>
      </c>
      <c r="D544" s="5" t="s">
        <v>1359</v>
      </c>
      <c r="E544" s="5" t="s">
        <v>723</v>
      </c>
      <c r="F544" s="5" t="s">
        <v>152</v>
      </c>
      <c r="G544" s="6">
        <v>0.15</v>
      </c>
      <c r="H544" s="5" t="s">
        <v>1088</v>
      </c>
      <c r="I544" s="5" t="s">
        <v>20</v>
      </c>
      <c r="J544" s="5">
        <v>2025.0</v>
      </c>
      <c r="K544" s="8">
        <v>46084.0</v>
      </c>
      <c r="L544" s="5">
        <v>2.0</v>
      </c>
      <c r="M544" s="7">
        <f t="shared" si="3"/>
        <v>0.3</v>
      </c>
    </row>
    <row r="545">
      <c r="A545" s="5" t="s">
        <v>1360</v>
      </c>
      <c r="B545" s="5" t="s">
        <v>1361</v>
      </c>
      <c r="C545" s="5" t="s">
        <v>15</v>
      </c>
      <c r="D545" s="5" t="s">
        <v>1362</v>
      </c>
      <c r="E545" s="5" t="s">
        <v>1363</v>
      </c>
      <c r="F545" s="5" t="s">
        <v>157</v>
      </c>
      <c r="G545" s="6">
        <v>0.05</v>
      </c>
      <c r="H545" s="5" t="s">
        <v>1364</v>
      </c>
      <c r="I545" s="5" t="s">
        <v>20</v>
      </c>
      <c r="J545" s="5">
        <v>2026.0</v>
      </c>
      <c r="K545" s="8">
        <v>46179.0</v>
      </c>
      <c r="L545" s="5">
        <v>5.0</v>
      </c>
      <c r="M545" s="7">
        <f t="shared" si="3"/>
        <v>0.25</v>
      </c>
    </row>
    <row r="546">
      <c r="A546" s="5" t="s">
        <v>1360</v>
      </c>
      <c r="B546" s="5" t="s">
        <v>1361</v>
      </c>
      <c r="C546" s="5" t="s">
        <v>15</v>
      </c>
      <c r="D546" s="5" t="s">
        <v>1362</v>
      </c>
      <c r="E546" s="5" t="s">
        <v>1363</v>
      </c>
      <c r="F546" s="5" t="s">
        <v>157</v>
      </c>
      <c r="G546" s="6">
        <v>0.29</v>
      </c>
      <c r="H546" s="5" t="s">
        <v>1364</v>
      </c>
      <c r="I546" s="5" t="s">
        <v>31</v>
      </c>
      <c r="J546" s="5">
        <v>2026.0</v>
      </c>
      <c r="K546" s="8">
        <v>46179.0</v>
      </c>
      <c r="L546" s="5">
        <v>2.0</v>
      </c>
      <c r="M546" s="7">
        <f t="shared" si="3"/>
        <v>0.58</v>
      </c>
    </row>
    <row r="547">
      <c r="A547" s="5" t="s">
        <v>1365</v>
      </c>
      <c r="B547" s="5" t="s">
        <v>1366</v>
      </c>
      <c r="C547" s="5" t="s">
        <v>15</v>
      </c>
      <c r="D547" s="5" t="s">
        <v>1367</v>
      </c>
      <c r="E547" s="5" t="s">
        <v>1368</v>
      </c>
      <c r="F547" s="5" t="s">
        <v>157</v>
      </c>
      <c r="G547" s="6">
        <v>0.05</v>
      </c>
      <c r="H547" s="5" t="s">
        <v>1364</v>
      </c>
      <c r="I547" s="5" t="s">
        <v>20</v>
      </c>
      <c r="J547" s="5">
        <v>2026.0</v>
      </c>
      <c r="K547" s="8">
        <v>46084.0</v>
      </c>
      <c r="L547" s="5">
        <v>1.0</v>
      </c>
      <c r="M547" s="7">
        <f t="shared" si="3"/>
        <v>0.05</v>
      </c>
    </row>
    <row r="548">
      <c r="A548" s="5" t="s">
        <v>1369</v>
      </c>
      <c r="B548" s="5" t="s">
        <v>68</v>
      </c>
      <c r="C548" s="5" t="s">
        <v>22</v>
      </c>
      <c r="D548" s="5" t="s">
        <v>1370</v>
      </c>
      <c r="E548" s="5" t="s">
        <v>989</v>
      </c>
      <c r="F548" s="5" t="s">
        <v>157</v>
      </c>
      <c r="G548" s="6">
        <v>0.3</v>
      </c>
      <c r="H548" s="5" t="s">
        <v>1364</v>
      </c>
      <c r="I548" s="5" t="s">
        <v>20</v>
      </c>
      <c r="J548" s="5">
        <v>2026.0</v>
      </c>
      <c r="K548" s="5" t="s">
        <v>221</v>
      </c>
      <c r="L548" s="5">
        <v>1.0</v>
      </c>
      <c r="M548" s="7">
        <f t="shared" si="3"/>
        <v>0.3</v>
      </c>
    </row>
    <row r="549">
      <c r="A549" s="5" t="s">
        <v>1371</v>
      </c>
      <c r="B549" s="5" t="s">
        <v>14</v>
      </c>
      <c r="C549" s="5" t="s">
        <v>22</v>
      </c>
      <c r="D549" s="5" t="s">
        <v>1372</v>
      </c>
      <c r="E549" s="5" t="s">
        <v>1373</v>
      </c>
      <c r="F549" s="5" t="s">
        <v>157</v>
      </c>
      <c r="G549" s="6">
        <v>0.37</v>
      </c>
      <c r="H549" s="5" t="s">
        <v>1364</v>
      </c>
      <c r="I549" s="5" t="s">
        <v>20</v>
      </c>
      <c r="J549" s="5">
        <v>2026.0</v>
      </c>
      <c r="K549" s="5" t="s">
        <v>221</v>
      </c>
      <c r="L549" s="5">
        <v>1.0</v>
      </c>
      <c r="M549" s="7">
        <f t="shared" si="3"/>
        <v>0.37</v>
      </c>
    </row>
    <row r="550">
      <c r="A550" s="5" t="s">
        <v>1374</v>
      </c>
      <c r="B550" s="5" t="s">
        <v>68</v>
      </c>
      <c r="C550" s="5" t="s">
        <v>15</v>
      </c>
      <c r="D550" s="5" t="s">
        <v>1375</v>
      </c>
      <c r="E550" s="5" t="s">
        <v>1376</v>
      </c>
      <c r="F550" s="5" t="s">
        <v>157</v>
      </c>
      <c r="G550" s="6">
        <v>0.09</v>
      </c>
      <c r="H550" s="5" t="s">
        <v>1364</v>
      </c>
      <c r="I550" s="5" t="s">
        <v>20</v>
      </c>
      <c r="J550" s="5">
        <v>2026.0</v>
      </c>
      <c r="K550" s="5" t="s">
        <v>221</v>
      </c>
      <c r="L550" s="5">
        <v>1.0</v>
      </c>
      <c r="M550" s="7">
        <f t="shared" si="3"/>
        <v>0.09</v>
      </c>
    </row>
    <row r="551">
      <c r="A551" s="5" t="s">
        <v>1377</v>
      </c>
      <c r="B551" s="5" t="s">
        <v>1378</v>
      </c>
      <c r="C551" s="5" t="s">
        <v>22</v>
      </c>
      <c r="D551" s="5" t="s">
        <v>1379</v>
      </c>
      <c r="E551" s="5" t="s">
        <v>989</v>
      </c>
      <c r="F551" s="5" t="s">
        <v>157</v>
      </c>
      <c r="G551" s="6">
        <v>0.2</v>
      </c>
      <c r="H551" s="5" t="s">
        <v>1364</v>
      </c>
      <c r="I551" s="5" t="s">
        <v>20</v>
      </c>
      <c r="J551" s="5">
        <v>2026.0</v>
      </c>
      <c r="K551" s="8">
        <v>46055.0</v>
      </c>
      <c r="L551" s="5">
        <v>1.0</v>
      </c>
      <c r="M551" s="7">
        <f t="shared" si="3"/>
        <v>0.2</v>
      </c>
    </row>
    <row r="552">
      <c r="A552" s="5" t="s">
        <v>1380</v>
      </c>
      <c r="B552" s="5" t="s">
        <v>1381</v>
      </c>
      <c r="C552" s="5" t="s">
        <v>22</v>
      </c>
      <c r="D552" s="5" t="s">
        <v>1382</v>
      </c>
      <c r="E552" s="5" t="s">
        <v>1383</v>
      </c>
      <c r="F552" s="5" t="s">
        <v>157</v>
      </c>
      <c r="G552" s="6">
        <v>0.19</v>
      </c>
      <c r="H552" s="5" t="s">
        <v>1364</v>
      </c>
      <c r="I552" s="5" t="s">
        <v>20</v>
      </c>
      <c r="J552" s="5">
        <v>2026.0</v>
      </c>
      <c r="K552" s="8">
        <v>46113.0</v>
      </c>
      <c r="L552" s="5">
        <v>1.0</v>
      </c>
      <c r="M552" s="7">
        <f t="shared" si="3"/>
        <v>0.19</v>
      </c>
    </row>
    <row r="553">
      <c r="A553" s="5" t="s">
        <v>1384</v>
      </c>
      <c r="B553" s="5" t="s">
        <v>1385</v>
      </c>
      <c r="C553" s="5" t="s">
        <v>15</v>
      </c>
      <c r="D553" s="5" t="s">
        <v>1386</v>
      </c>
      <c r="E553" s="5" t="s">
        <v>1383</v>
      </c>
      <c r="F553" s="5" t="s">
        <v>157</v>
      </c>
      <c r="G553" s="6">
        <v>0.08</v>
      </c>
      <c r="H553" s="5" t="s">
        <v>1364</v>
      </c>
      <c r="I553" s="5" t="s">
        <v>20</v>
      </c>
      <c r="J553" s="5">
        <v>2026.0</v>
      </c>
      <c r="K553" s="8">
        <v>46116.0</v>
      </c>
      <c r="L553" s="5">
        <v>2.0</v>
      </c>
      <c r="M553" s="7">
        <f t="shared" si="3"/>
        <v>0.16</v>
      </c>
    </row>
    <row r="554">
      <c r="A554" s="5" t="s">
        <v>1387</v>
      </c>
      <c r="B554" s="5" t="s">
        <v>1388</v>
      </c>
      <c r="C554" s="5" t="s">
        <v>22</v>
      </c>
      <c r="D554" s="5" t="s">
        <v>1389</v>
      </c>
      <c r="E554" s="5" t="s">
        <v>1390</v>
      </c>
      <c r="F554" s="5" t="s">
        <v>157</v>
      </c>
      <c r="G554" s="6">
        <v>0.19</v>
      </c>
      <c r="H554" s="5" t="s">
        <v>1364</v>
      </c>
      <c r="I554" s="5" t="s">
        <v>20</v>
      </c>
      <c r="J554" s="5">
        <v>2026.0</v>
      </c>
      <c r="K554" s="8">
        <v>46116.0</v>
      </c>
      <c r="L554" s="5">
        <v>2.0</v>
      </c>
      <c r="M554" s="7">
        <f t="shared" si="3"/>
        <v>0.38</v>
      </c>
    </row>
    <row r="555">
      <c r="A555" s="5" t="s">
        <v>1391</v>
      </c>
      <c r="B555" s="5" t="s">
        <v>14</v>
      </c>
      <c r="C555" s="5" t="s">
        <v>15</v>
      </c>
      <c r="D555" s="5" t="s">
        <v>1392</v>
      </c>
      <c r="E555" s="5" t="s">
        <v>1390</v>
      </c>
      <c r="F555" s="5" t="s">
        <v>157</v>
      </c>
      <c r="G555" s="6">
        <v>0.08</v>
      </c>
      <c r="H555" s="5" t="s">
        <v>1364</v>
      </c>
      <c r="I555" s="5" t="s">
        <v>20</v>
      </c>
      <c r="J555" s="5">
        <v>2026.0</v>
      </c>
      <c r="K555" s="5" t="s">
        <v>221</v>
      </c>
      <c r="L555" s="5">
        <v>2.0</v>
      </c>
      <c r="M555" s="7">
        <f t="shared" si="3"/>
        <v>0.16</v>
      </c>
    </row>
    <row r="556">
      <c r="A556" s="5" t="s">
        <v>1393</v>
      </c>
      <c r="B556" s="5" t="s">
        <v>1039</v>
      </c>
      <c r="C556" s="5" t="s">
        <v>22</v>
      </c>
      <c r="D556" s="5" t="s">
        <v>1394</v>
      </c>
      <c r="E556" s="5" t="s">
        <v>1373</v>
      </c>
      <c r="F556" s="5" t="s">
        <v>157</v>
      </c>
      <c r="G556" s="6">
        <v>0.25</v>
      </c>
      <c r="H556" s="5" t="s">
        <v>1364</v>
      </c>
      <c r="I556" s="5" t="s">
        <v>20</v>
      </c>
      <c r="J556" s="5">
        <v>2026.0</v>
      </c>
      <c r="K556" s="8">
        <v>46023.0</v>
      </c>
      <c r="L556" s="5">
        <v>2.0</v>
      </c>
      <c r="M556" s="7">
        <f t="shared" si="3"/>
        <v>0.5</v>
      </c>
    </row>
    <row r="557">
      <c r="A557" s="5" t="s">
        <v>1395</v>
      </c>
      <c r="B557" s="5" t="s">
        <v>1396</v>
      </c>
      <c r="C557" s="5" t="s">
        <v>15</v>
      </c>
      <c r="D557" s="5" t="s">
        <v>1397</v>
      </c>
      <c r="E557" s="5" t="s">
        <v>1398</v>
      </c>
      <c r="F557" s="5" t="s">
        <v>157</v>
      </c>
      <c r="G557" s="6">
        <v>0.05</v>
      </c>
      <c r="H557" s="5" t="s">
        <v>1364</v>
      </c>
      <c r="I557" s="5" t="s">
        <v>20</v>
      </c>
      <c r="J557" s="5">
        <v>2026.0</v>
      </c>
      <c r="K557" s="8">
        <v>46113.0</v>
      </c>
      <c r="L557" s="5">
        <v>1.0</v>
      </c>
      <c r="M557" s="7">
        <f t="shared" si="3"/>
        <v>0.05</v>
      </c>
    </row>
    <row r="558">
      <c r="A558" s="5" t="s">
        <v>1399</v>
      </c>
      <c r="B558" s="5" t="s">
        <v>1400</v>
      </c>
      <c r="C558" s="5" t="s">
        <v>22</v>
      </c>
      <c r="D558" s="5" t="s">
        <v>1401</v>
      </c>
      <c r="E558" s="5" t="s">
        <v>1402</v>
      </c>
      <c r="F558" s="5" t="s">
        <v>157</v>
      </c>
      <c r="G558" s="6">
        <v>0.32</v>
      </c>
      <c r="H558" s="5" t="s">
        <v>1364</v>
      </c>
      <c r="I558" s="5" t="s">
        <v>20</v>
      </c>
      <c r="J558" s="5">
        <v>2026.0</v>
      </c>
      <c r="K558" s="8">
        <v>46025.0</v>
      </c>
      <c r="L558" s="5">
        <v>1.0</v>
      </c>
      <c r="M558" s="7">
        <f t="shared" si="3"/>
        <v>0.32</v>
      </c>
    </row>
    <row r="559">
      <c r="A559" s="5" t="s">
        <v>1403</v>
      </c>
      <c r="B559" s="5" t="s">
        <v>63</v>
      </c>
      <c r="C559" s="5" t="s">
        <v>22</v>
      </c>
      <c r="D559" s="5" t="s">
        <v>1404</v>
      </c>
      <c r="E559" s="5" t="s">
        <v>704</v>
      </c>
      <c r="F559" s="5" t="s">
        <v>152</v>
      </c>
      <c r="G559" s="6">
        <v>0.28</v>
      </c>
      <c r="H559" s="5" t="s">
        <v>1364</v>
      </c>
      <c r="I559" s="5" t="s">
        <v>20</v>
      </c>
      <c r="J559" s="5">
        <v>2026.0</v>
      </c>
      <c r="K559" s="5" t="s">
        <v>221</v>
      </c>
      <c r="L559" s="5">
        <v>1.0</v>
      </c>
      <c r="M559" s="7">
        <f t="shared" si="3"/>
        <v>0.28</v>
      </c>
    </row>
    <row r="560">
      <c r="A560" s="5" t="s">
        <v>1405</v>
      </c>
      <c r="B560" s="5" t="s">
        <v>68</v>
      </c>
      <c r="C560" s="5" t="s">
        <v>22</v>
      </c>
      <c r="D560" s="5" t="s">
        <v>1406</v>
      </c>
      <c r="E560" s="5" t="s">
        <v>696</v>
      </c>
      <c r="F560" s="5" t="s">
        <v>152</v>
      </c>
      <c r="G560" s="6">
        <v>0.25</v>
      </c>
      <c r="H560" s="5" t="s">
        <v>1364</v>
      </c>
      <c r="I560" s="5" t="s">
        <v>20</v>
      </c>
      <c r="J560" s="5">
        <v>2026.0</v>
      </c>
      <c r="K560" s="5" t="s">
        <v>221</v>
      </c>
      <c r="L560" s="5">
        <v>1.0</v>
      </c>
      <c r="M560" s="7">
        <f t="shared" si="3"/>
        <v>0.25</v>
      </c>
    </row>
    <row r="561">
      <c r="A561" s="5" t="s">
        <v>1407</v>
      </c>
      <c r="B561" s="5" t="s">
        <v>14</v>
      </c>
      <c r="C561" s="5" t="s">
        <v>22</v>
      </c>
      <c r="D561" s="5" t="s">
        <v>1408</v>
      </c>
      <c r="E561" s="5" t="s">
        <v>696</v>
      </c>
      <c r="F561" s="5" t="s">
        <v>152</v>
      </c>
      <c r="G561" s="6">
        <v>0.28</v>
      </c>
      <c r="H561" s="5" t="s">
        <v>1364</v>
      </c>
      <c r="I561" s="5" t="s">
        <v>20</v>
      </c>
      <c r="J561" s="5">
        <v>2026.0</v>
      </c>
      <c r="K561" s="5" t="s">
        <v>221</v>
      </c>
      <c r="L561" s="5">
        <v>1.0</v>
      </c>
      <c r="M561" s="7">
        <f t="shared" si="3"/>
        <v>0.28</v>
      </c>
    </row>
    <row r="562">
      <c r="A562" s="5" t="s">
        <v>1409</v>
      </c>
      <c r="B562" s="5" t="s">
        <v>1410</v>
      </c>
      <c r="C562" s="5" t="s">
        <v>15</v>
      </c>
      <c r="D562" s="5" t="s">
        <v>1411</v>
      </c>
      <c r="E562" s="5" t="s">
        <v>1412</v>
      </c>
      <c r="F562" s="5" t="s">
        <v>152</v>
      </c>
      <c r="G562" s="6">
        <v>0.05</v>
      </c>
      <c r="H562" s="5" t="s">
        <v>1364</v>
      </c>
      <c r="I562" s="5" t="s">
        <v>20</v>
      </c>
      <c r="J562" s="5">
        <v>2026.0</v>
      </c>
      <c r="K562" s="8">
        <v>46084.0</v>
      </c>
      <c r="L562" s="5">
        <v>1.0</v>
      </c>
      <c r="M562" s="7">
        <f t="shared" si="3"/>
        <v>0.05</v>
      </c>
    </row>
    <row r="563">
      <c r="A563" s="5" t="s">
        <v>1413</v>
      </c>
      <c r="B563" s="5" t="s">
        <v>68</v>
      </c>
      <c r="C563" s="5" t="s">
        <v>15</v>
      </c>
      <c r="D563" s="5" t="s">
        <v>1414</v>
      </c>
      <c r="E563" s="5" t="s">
        <v>715</v>
      </c>
      <c r="F563" s="5" t="s">
        <v>152</v>
      </c>
      <c r="G563" s="6">
        <v>0.15</v>
      </c>
      <c r="H563" s="5" t="s">
        <v>1364</v>
      </c>
      <c r="I563" s="5" t="s">
        <v>20</v>
      </c>
      <c r="J563" s="5">
        <v>2026.0</v>
      </c>
      <c r="K563" s="5" t="s">
        <v>221</v>
      </c>
      <c r="L563" s="5">
        <v>3.0</v>
      </c>
      <c r="M563" s="7">
        <f t="shared" si="3"/>
        <v>0.45</v>
      </c>
    </row>
    <row r="564">
      <c r="A564" s="5" t="s">
        <v>1415</v>
      </c>
      <c r="B564" s="5" t="s">
        <v>1416</v>
      </c>
      <c r="C564" s="5" t="s">
        <v>15</v>
      </c>
      <c r="D564" s="5" t="s">
        <v>1417</v>
      </c>
      <c r="E564" s="5" t="s">
        <v>723</v>
      </c>
      <c r="F564" s="5" t="s">
        <v>152</v>
      </c>
      <c r="G564" s="6">
        <v>0.05</v>
      </c>
      <c r="H564" s="5" t="s">
        <v>1364</v>
      </c>
      <c r="I564" s="5" t="s">
        <v>20</v>
      </c>
      <c r="J564" s="5">
        <v>2026.0</v>
      </c>
      <c r="K564" s="8">
        <v>46084.0</v>
      </c>
      <c r="L564" s="5">
        <v>1.0</v>
      </c>
      <c r="M564" s="7">
        <f t="shared" si="3"/>
        <v>0.05</v>
      </c>
    </row>
    <row r="565">
      <c r="A565" s="5" t="s">
        <v>1415</v>
      </c>
      <c r="B565" s="5" t="s">
        <v>1416</v>
      </c>
      <c r="C565" s="5" t="s">
        <v>15</v>
      </c>
      <c r="D565" s="5" t="s">
        <v>1417</v>
      </c>
      <c r="E565" s="5" t="s">
        <v>723</v>
      </c>
      <c r="F565" s="5" t="s">
        <v>152</v>
      </c>
      <c r="G565" s="6">
        <v>0.25</v>
      </c>
      <c r="H565" s="5" t="s">
        <v>1364</v>
      </c>
      <c r="I565" s="5" t="s">
        <v>31</v>
      </c>
      <c r="J565" s="5">
        <v>2026.0</v>
      </c>
      <c r="K565" s="8">
        <v>46084.0</v>
      </c>
      <c r="L565" s="5">
        <v>1.0</v>
      </c>
      <c r="M565" s="7">
        <f t="shared" si="3"/>
        <v>0.25</v>
      </c>
    </row>
    <row r="566">
      <c r="A566" s="5" t="s">
        <v>1418</v>
      </c>
      <c r="B566" s="5" t="s">
        <v>63</v>
      </c>
      <c r="C566" s="5" t="s">
        <v>22</v>
      </c>
      <c r="D566" s="5" t="s">
        <v>1419</v>
      </c>
      <c r="E566" s="5" t="s">
        <v>715</v>
      </c>
      <c r="F566" s="5" t="s">
        <v>152</v>
      </c>
      <c r="G566" s="6">
        <v>0.33</v>
      </c>
      <c r="H566" s="5" t="s">
        <v>1364</v>
      </c>
      <c r="I566" s="5" t="s">
        <v>20</v>
      </c>
      <c r="J566" s="5">
        <v>2026.0</v>
      </c>
      <c r="K566" s="5" t="s">
        <v>221</v>
      </c>
      <c r="L566" s="5">
        <v>1.0</v>
      </c>
      <c r="M566" s="7">
        <f t="shared" si="3"/>
        <v>0.33</v>
      </c>
    </row>
    <row r="567">
      <c r="A567" s="5" t="s">
        <v>1420</v>
      </c>
      <c r="B567" s="5" t="s">
        <v>14</v>
      </c>
      <c r="C567" s="5" t="s">
        <v>15</v>
      </c>
      <c r="D567" s="5" t="s">
        <v>1421</v>
      </c>
      <c r="E567" s="5" t="s">
        <v>696</v>
      </c>
      <c r="F567" s="5" t="s">
        <v>152</v>
      </c>
      <c r="G567" s="6">
        <v>0.08</v>
      </c>
      <c r="H567" s="5" t="s">
        <v>1364</v>
      </c>
      <c r="I567" s="5" t="s">
        <v>20</v>
      </c>
      <c r="J567" s="5">
        <v>2026.0</v>
      </c>
      <c r="K567" s="5" t="s">
        <v>221</v>
      </c>
      <c r="L567" s="5">
        <v>2.0</v>
      </c>
      <c r="M567" s="7">
        <f t="shared" si="3"/>
        <v>0.16</v>
      </c>
    </row>
    <row r="568">
      <c r="A568" s="5" t="s">
        <v>1422</v>
      </c>
      <c r="B568" s="5" t="s">
        <v>1423</v>
      </c>
      <c r="C568" s="5" t="s">
        <v>15</v>
      </c>
      <c r="D568" s="5" t="s">
        <v>1424</v>
      </c>
      <c r="E568" s="5" t="s">
        <v>704</v>
      </c>
      <c r="F568" s="5" t="s">
        <v>152</v>
      </c>
      <c r="G568" s="6">
        <v>0.05</v>
      </c>
      <c r="H568" s="5" t="s">
        <v>1364</v>
      </c>
      <c r="I568" s="5" t="s">
        <v>20</v>
      </c>
      <c r="J568" s="5">
        <v>2026.0</v>
      </c>
      <c r="K568" s="8">
        <v>46115.0</v>
      </c>
      <c r="L568" s="5">
        <v>1.0</v>
      </c>
      <c r="M568" s="7">
        <f t="shared" si="3"/>
        <v>0.05</v>
      </c>
    </row>
    <row r="569">
      <c r="A569" s="5" t="s">
        <v>1425</v>
      </c>
      <c r="B569" s="5" t="s">
        <v>186</v>
      </c>
      <c r="C569" s="5" t="s">
        <v>15</v>
      </c>
      <c r="D569" s="5" t="s">
        <v>1426</v>
      </c>
      <c r="E569" s="5" t="s">
        <v>1427</v>
      </c>
      <c r="F569" s="5" t="s">
        <v>80</v>
      </c>
      <c r="G569" s="6">
        <v>1.86</v>
      </c>
      <c r="H569" s="5" t="s">
        <v>1428</v>
      </c>
      <c r="I569" s="5" t="s">
        <v>31</v>
      </c>
      <c r="J569" s="5">
        <v>2026.0</v>
      </c>
      <c r="K569" s="5" t="s">
        <v>221</v>
      </c>
      <c r="L569" s="5">
        <v>2.0</v>
      </c>
      <c r="M569" s="7">
        <f t="shared" si="3"/>
        <v>3.72</v>
      </c>
    </row>
    <row r="570">
      <c r="A570" s="5" t="s">
        <v>1429</v>
      </c>
      <c r="B570" s="5" t="s">
        <v>787</v>
      </c>
      <c r="C570" s="5" t="s">
        <v>15</v>
      </c>
      <c r="D570" s="5" t="s">
        <v>1430</v>
      </c>
      <c r="E570" s="5" t="s">
        <v>715</v>
      </c>
      <c r="F570" s="5" t="s">
        <v>152</v>
      </c>
      <c r="G570" s="6">
        <v>0.05</v>
      </c>
      <c r="H570" s="5" t="s">
        <v>1431</v>
      </c>
      <c r="I570" s="5" t="s">
        <v>20</v>
      </c>
      <c r="J570" s="5">
        <v>2025.0</v>
      </c>
      <c r="K570" s="8">
        <v>46023.0</v>
      </c>
      <c r="L570" s="5">
        <v>7.0</v>
      </c>
      <c r="M570" s="7">
        <f t="shared" si="3"/>
        <v>0.35</v>
      </c>
    </row>
    <row r="571">
      <c r="A571" s="5" t="s">
        <v>1429</v>
      </c>
      <c r="B571" s="5" t="s">
        <v>787</v>
      </c>
      <c r="C571" s="5" t="s">
        <v>15</v>
      </c>
      <c r="D571" s="5" t="s">
        <v>1430</v>
      </c>
      <c r="E571" s="5" t="s">
        <v>715</v>
      </c>
      <c r="F571" s="5" t="s">
        <v>152</v>
      </c>
      <c r="G571" s="6">
        <v>0.3</v>
      </c>
      <c r="H571" s="5" t="s">
        <v>1431</v>
      </c>
      <c r="I571" s="5" t="s">
        <v>20</v>
      </c>
      <c r="J571" s="5">
        <v>2025.0</v>
      </c>
      <c r="K571" s="8">
        <v>46023.0</v>
      </c>
      <c r="L571" s="5">
        <v>2.0</v>
      </c>
      <c r="M571" s="7">
        <f t="shared" si="3"/>
        <v>0.6</v>
      </c>
    </row>
    <row r="572">
      <c r="A572" s="5" t="s">
        <v>1432</v>
      </c>
      <c r="B572" s="5" t="s">
        <v>1137</v>
      </c>
      <c r="C572" s="5" t="s">
        <v>15</v>
      </c>
      <c r="D572" s="5" t="s">
        <v>1433</v>
      </c>
      <c r="E572" s="5" t="s">
        <v>1071</v>
      </c>
      <c r="F572" s="5" t="s">
        <v>166</v>
      </c>
      <c r="G572" s="6">
        <v>0.15</v>
      </c>
      <c r="H572" s="5" t="s">
        <v>1431</v>
      </c>
      <c r="I572" s="5" t="s">
        <v>20</v>
      </c>
      <c r="J572" s="5">
        <v>2025.0</v>
      </c>
      <c r="K572" s="8">
        <v>46083.0</v>
      </c>
      <c r="L572" s="5">
        <v>5.0</v>
      </c>
      <c r="M572" s="7">
        <f t="shared" si="3"/>
        <v>0.75</v>
      </c>
    </row>
    <row r="573">
      <c r="A573" s="5" t="s">
        <v>1434</v>
      </c>
      <c r="B573" s="5" t="s">
        <v>1435</v>
      </c>
      <c r="C573" s="5" t="s">
        <v>15</v>
      </c>
      <c r="D573" s="5" t="s">
        <v>1436</v>
      </c>
      <c r="E573" s="5" t="s">
        <v>1232</v>
      </c>
      <c r="F573" s="5" t="s">
        <v>166</v>
      </c>
      <c r="G573" s="6">
        <v>0.1</v>
      </c>
      <c r="H573" s="5" t="s">
        <v>1431</v>
      </c>
      <c r="I573" s="5" t="s">
        <v>20</v>
      </c>
      <c r="J573" s="5">
        <v>2025.0</v>
      </c>
      <c r="K573" s="8">
        <v>46117.0</v>
      </c>
      <c r="L573" s="5">
        <v>1.0</v>
      </c>
      <c r="M573" s="7">
        <f t="shared" si="3"/>
        <v>0.1</v>
      </c>
    </row>
    <row r="574">
      <c r="A574" s="5" t="s">
        <v>1437</v>
      </c>
      <c r="B574" s="5" t="s">
        <v>1438</v>
      </c>
      <c r="C574" s="5" t="s">
        <v>15</v>
      </c>
      <c r="D574" s="5" t="s">
        <v>1439</v>
      </c>
      <c r="E574" s="5" t="s">
        <v>1037</v>
      </c>
      <c r="F574" s="5" t="s">
        <v>80</v>
      </c>
      <c r="G574" s="6">
        <v>0.1</v>
      </c>
      <c r="H574" s="5" t="s">
        <v>1431</v>
      </c>
      <c r="I574" s="5" t="s">
        <v>20</v>
      </c>
      <c r="J574" s="5">
        <v>2025.0</v>
      </c>
      <c r="K574" s="8">
        <v>46024.0</v>
      </c>
      <c r="L574" s="5">
        <v>1.0</v>
      </c>
      <c r="M574" s="7">
        <f t="shared" si="3"/>
        <v>0.1</v>
      </c>
    </row>
    <row r="575">
      <c r="A575" s="5" t="s">
        <v>1440</v>
      </c>
      <c r="B575" s="5" t="s">
        <v>68</v>
      </c>
      <c r="C575" s="5" t="s">
        <v>101</v>
      </c>
      <c r="D575" s="5" t="s">
        <v>1441</v>
      </c>
      <c r="E575" s="5" t="s">
        <v>656</v>
      </c>
      <c r="F575" s="5" t="s">
        <v>280</v>
      </c>
      <c r="G575" s="6">
        <v>4.0</v>
      </c>
      <c r="H575" s="5" t="s">
        <v>1442</v>
      </c>
      <c r="I575" s="5" t="s">
        <v>20</v>
      </c>
      <c r="J575" s="5">
        <v>2025.0</v>
      </c>
      <c r="K575" s="5" t="s">
        <v>221</v>
      </c>
      <c r="L575" s="5">
        <v>1.0</v>
      </c>
      <c r="M575" s="7">
        <f t="shared" si="3"/>
        <v>4</v>
      </c>
    </row>
    <row r="576">
      <c r="A576" s="5" t="s">
        <v>1443</v>
      </c>
      <c r="B576" s="5" t="s">
        <v>1444</v>
      </c>
      <c r="C576" s="5" t="s">
        <v>15</v>
      </c>
      <c r="D576" s="5" t="s">
        <v>1445</v>
      </c>
      <c r="E576" s="5" t="s">
        <v>1218</v>
      </c>
      <c r="F576" s="5" t="s">
        <v>166</v>
      </c>
      <c r="G576" s="6">
        <v>0.99</v>
      </c>
      <c r="H576" s="5" t="s">
        <v>1446</v>
      </c>
      <c r="I576" s="5" t="s">
        <v>20</v>
      </c>
      <c r="J576" s="5">
        <v>2023.0</v>
      </c>
      <c r="K576" s="8">
        <v>46118.0</v>
      </c>
      <c r="L576" s="5">
        <v>4.0</v>
      </c>
      <c r="M576" s="7">
        <f t="shared" si="3"/>
        <v>3.96</v>
      </c>
    </row>
    <row r="577">
      <c r="A577" s="5" t="s">
        <v>1447</v>
      </c>
      <c r="B577" s="5" t="s">
        <v>1448</v>
      </c>
      <c r="C577" s="5" t="s">
        <v>15</v>
      </c>
      <c r="D577" s="5" t="s">
        <v>1449</v>
      </c>
      <c r="E577" s="5" t="s">
        <v>554</v>
      </c>
      <c r="F577" s="5" t="s">
        <v>280</v>
      </c>
      <c r="G577" s="6">
        <v>0.09</v>
      </c>
      <c r="H577" s="5" t="s">
        <v>1446</v>
      </c>
      <c r="I577" s="5" t="s">
        <v>20</v>
      </c>
      <c r="J577" s="5">
        <v>2023.0</v>
      </c>
      <c r="K577" s="8">
        <v>46024.0</v>
      </c>
      <c r="L577" s="5">
        <v>1.0</v>
      </c>
      <c r="M577" s="7">
        <f t="shared" si="3"/>
        <v>0.09</v>
      </c>
    </row>
    <row r="578">
      <c r="A578" s="5" t="s">
        <v>1450</v>
      </c>
      <c r="B578" s="5" t="s">
        <v>1451</v>
      </c>
      <c r="C578" s="5" t="s">
        <v>22</v>
      </c>
      <c r="D578" s="5" t="s">
        <v>1452</v>
      </c>
      <c r="E578" s="5" t="s">
        <v>660</v>
      </c>
      <c r="F578" s="5" t="s">
        <v>280</v>
      </c>
      <c r="G578" s="6">
        <v>0.15</v>
      </c>
      <c r="H578" s="5" t="s">
        <v>1446</v>
      </c>
      <c r="I578" s="5" t="s">
        <v>20</v>
      </c>
      <c r="J578" s="5">
        <v>2023.0</v>
      </c>
      <c r="L578" s="5">
        <v>2.0</v>
      </c>
      <c r="M578" s="7">
        <f t="shared" si="3"/>
        <v>0.3</v>
      </c>
    </row>
    <row r="579">
      <c r="A579" s="5" t="s">
        <v>1453</v>
      </c>
      <c r="B579" s="5" t="s">
        <v>68</v>
      </c>
      <c r="C579" s="5" t="s">
        <v>15</v>
      </c>
      <c r="D579" s="5" t="s">
        <v>1454</v>
      </c>
      <c r="E579" s="5" t="s">
        <v>660</v>
      </c>
      <c r="F579" s="5" t="s">
        <v>280</v>
      </c>
      <c r="G579" s="6">
        <v>0.08</v>
      </c>
      <c r="H579" s="5" t="s">
        <v>1446</v>
      </c>
      <c r="I579" s="5" t="s">
        <v>20</v>
      </c>
      <c r="J579" s="5">
        <v>2023.0</v>
      </c>
      <c r="K579" s="5" t="s">
        <v>221</v>
      </c>
      <c r="L579" s="5">
        <v>1.0</v>
      </c>
      <c r="M579" s="7">
        <f t="shared" si="3"/>
        <v>0.08</v>
      </c>
    </row>
    <row r="580">
      <c r="A580" s="5" t="s">
        <v>1455</v>
      </c>
      <c r="B580" s="5" t="s">
        <v>1456</v>
      </c>
      <c r="C580" s="5" t="s">
        <v>22</v>
      </c>
      <c r="D580" s="5" t="s">
        <v>1457</v>
      </c>
      <c r="E580" s="5" t="s">
        <v>656</v>
      </c>
      <c r="F580" s="5" t="s">
        <v>280</v>
      </c>
      <c r="G580" s="6">
        <v>0.15</v>
      </c>
      <c r="H580" s="5" t="s">
        <v>1446</v>
      </c>
      <c r="I580" s="5" t="s">
        <v>20</v>
      </c>
      <c r="J580" s="5">
        <v>2023.0</v>
      </c>
      <c r="K580" s="8">
        <v>46116.0</v>
      </c>
      <c r="L580" s="5">
        <v>1.0</v>
      </c>
      <c r="M580" s="7">
        <f t="shared" si="3"/>
        <v>0.15</v>
      </c>
    </row>
    <row r="581">
      <c r="A581" s="5" t="s">
        <v>1458</v>
      </c>
      <c r="B581" s="5" t="s">
        <v>68</v>
      </c>
      <c r="C581" s="5" t="s">
        <v>15</v>
      </c>
      <c r="D581" s="5" t="s">
        <v>1459</v>
      </c>
      <c r="E581" s="5" t="s">
        <v>631</v>
      </c>
      <c r="F581" s="5" t="s">
        <v>280</v>
      </c>
      <c r="G581" s="6">
        <v>0.59</v>
      </c>
      <c r="H581" s="5" t="s">
        <v>1446</v>
      </c>
      <c r="I581" s="5" t="s">
        <v>31</v>
      </c>
      <c r="J581" s="5">
        <v>2023.0</v>
      </c>
      <c r="K581" s="5" t="s">
        <v>221</v>
      </c>
      <c r="L581" s="5">
        <v>1.0</v>
      </c>
      <c r="M581" s="7">
        <f t="shared" si="3"/>
        <v>0.59</v>
      </c>
    </row>
    <row r="582">
      <c r="A582" s="5" t="s">
        <v>1458</v>
      </c>
      <c r="B582" s="5" t="s">
        <v>68</v>
      </c>
      <c r="C582" s="5" t="s">
        <v>15</v>
      </c>
      <c r="D582" s="5" t="s">
        <v>1459</v>
      </c>
      <c r="E582" s="5" t="s">
        <v>631</v>
      </c>
      <c r="F582" s="5" t="s">
        <v>280</v>
      </c>
      <c r="G582" s="6">
        <v>0.18</v>
      </c>
      <c r="H582" s="5" t="s">
        <v>1446</v>
      </c>
      <c r="I582" s="5" t="s">
        <v>20</v>
      </c>
      <c r="J582" s="5">
        <v>2023.0</v>
      </c>
      <c r="K582" s="5" t="s">
        <v>221</v>
      </c>
      <c r="L582" s="5">
        <v>3.0</v>
      </c>
      <c r="M582" s="7">
        <f t="shared" si="3"/>
        <v>0.54</v>
      </c>
    </row>
    <row r="583">
      <c r="A583" s="5" t="s">
        <v>1460</v>
      </c>
      <c r="B583" s="5" t="s">
        <v>1461</v>
      </c>
      <c r="C583" s="5" t="s">
        <v>22</v>
      </c>
      <c r="D583" s="5" t="s">
        <v>1462</v>
      </c>
      <c r="E583" s="5" t="s">
        <v>1427</v>
      </c>
      <c r="F583" s="5" t="s">
        <v>80</v>
      </c>
      <c r="G583" s="6">
        <v>0.85</v>
      </c>
      <c r="H583" s="5" t="s">
        <v>1446</v>
      </c>
      <c r="I583" s="5" t="s">
        <v>20</v>
      </c>
      <c r="J583" s="5">
        <v>2023.0</v>
      </c>
      <c r="K583" s="5" t="s">
        <v>221</v>
      </c>
      <c r="L583" s="5">
        <v>1.0</v>
      </c>
      <c r="M583" s="7">
        <f t="shared" si="3"/>
        <v>0.85</v>
      </c>
    </row>
    <row r="584">
      <c r="A584" s="5" t="s">
        <v>1455</v>
      </c>
      <c r="B584" s="5" t="s">
        <v>1456</v>
      </c>
      <c r="C584" s="5" t="s">
        <v>22</v>
      </c>
      <c r="D584" s="5" t="s">
        <v>1463</v>
      </c>
      <c r="E584" s="5" t="s">
        <v>656</v>
      </c>
      <c r="F584" s="5" t="s">
        <v>280</v>
      </c>
      <c r="G584" s="6">
        <v>0.39</v>
      </c>
      <c r="H584" s="5" t="s">
        <v>1446</v>
      </c>
      <c r="I584" s="5" t="s">
        <v>20</v>
      </c>
      <c r="J584" s="5">
        <v>2023.0</v>
      </c>
      <c r="K584" s="8">
        <v>46116.0</v>
      </c>
      <c r="L584" s="5">
        <v>1.0</v>
      </c>
      <c r="M584" s="7">
        <f t="shared" si="3"/>
        <v>0.39</v>
      </c>
    </row>
    <row r="585">
      <c r="A585" s="5" t="s">
        <v>1464</v>
      </c>
      <c r="B585" s="5" t="s">
        <v>1465</v>
      </c>
      <c r="C585" s="5" t="s">
        <v>15</v>
      </c>
      <c r="D585" s="5" t="s">
        <v>1466</v>
      </c>
      <c r="E585" s="5" t="s">
        <v>622</v>
      </c>
      <c r="F585" s="5" t="s">
        <v>280</v>
      </c>
      <c r="G585" s="6">
        <v>0.18</v>
      </c>
      <c r="H585" s="5" t="s">
        <v>1446</v>
      </c>
      <c r="I585" s="5" t="s">
        <v>20</v>
      </c>
      <c r="J585" s="5">
        <v>2023.0</v>
      </c>
      <c r="K585" s="8">
        <v>46023.0</v>
      </c>
      <c r="L585" s="5">
        <v>2.0</v>
      </c>
      <c r="M585" s="7">
        <f t="shared" si="3"/>
        <v>0.36</v>
      </c>
    </row>
    <row r="586">
      <c r="A586" s="5" t="s">
        <v>1467</v>
      </c>
      <c r="B586" s="5" t="s">
        <v>982</v>
      </c>
      <c r="C586" s="5" t="s">
        <v>22</v>
      </c>
      <c r="D586" s="5" t="s">
        <v>1468</v>
      </c>
      <c r="E586" s="5" t="s">
        <v>622</v>
      </c>
      <c r="F586" s="5" t="s">
        <v>280</v>
      </c>
      <c r="G586" s="6">
        <v>0.28</v>
      </c>
      <c r="H586" s="5" t="s">
        <v>1446</v>
      </c>
      <c r="I586" s="5" t="s">
        <v>20</v>
      </c>
      <c r="J586" s="5">
        <v>2023.0</v>
      </c>
      <c r="K586" s="8">
        <v>46113.0</v>
      </c>
      <c r="L586" s="5">
        <v>1.0</v>
      </c>
      <c r="M586" s="7">
        <f t="shared" si="3"/>
        <v>0.28</v>
      </c>
    </row>
    <row r="587">
      <c r="A587" s="5" t="s">
        <v>1469</v>
      </c>
      <c r="B587" s="5" t="s">
        <v>545</v>
      </c>
      <c r="C587" s="5" t="s">
        <v>22</v>
      </c>
      <c r="D587" s="5" t="s">
        <v>1470</v>
      </c>
      <c r="E587" s="5" t="s">
        <v>660</v>
      </c>
      <c r="F587" s="5" t="s">
        <v>280</v>
      </c>
      <c r="G587" s="6">
        <v>0.16</v>
      </c>
      <c r="H587" s="5" t="s">
        <v>1446</v>
      </c>
      <c r="I587" s="5" t="s">
        <v>20</v>
      </c>
      <c r="J587" s="5">
        <v>2023.0</v>
      </c>
      <c r="K587" s="8">
        <v>46147.0</v>
      </c>
      <c r="L587" s="5">
        <v>1.0</v>
      </c>
      <c r="M587" s="7">
        <f t="shared" si="3"/>
        <v>0.16</v>
      </c>
    </row>
    <row r="588">
      <c r="A588" s="5" t="s">
        <v>1471</v>
      </c>
      <c r="B588" s="5" t="s">
        <v>1472</v>
      </c>
      <c r="C588" s="5" t="s">
        <v>22</v>
      </c>
      <c r="D588" s="5" t="s">
        <v>1473</v>
      </c>
      <c r="E588" s="5" t="s">
        <v>554</v>
      </c>
      <c r="F588" s="5" t="s">
        <v>280</v>
      </c>
      <c r="G588" s="6">
        <v>0.38</v>
      </c>
      <c r="H588" s="5" t="s">
        <v>1446</v>
      </c>
      <c r="I588" s="5" t="s">
        <v>20</v>
      </c>
      <c r="J588" s="5">
        <v>2023.0</v>
      </c>
      <c r="K588" s="8">
        <v>46025.0</v>
      </c>
      <c r="L588" s="5">
        <v>2.0</v>
      </c>
      <c r="M588" s="7">
        <f t="shared" si="3"/>
        <v>0.76</v>
      </c>
    </row>
    <row r="589">
      <c r="A589" s="5" t="s">
        <v>1474</v>
      </c>
      <c r="B589" s="5" t="s">
        <v>1475</v>
      </c>
      <c r="C589" s="5" t="s">
        <v>22</v>
      </c>
      <c r="D589" s="5" t="s">
        <v>1476</v>
      </c>
      <c r="E589" s="5" t="s">
        <v>554</v>
      </c>
      <c r="F589" s="5" t="s">
        <v>280</v>
      </c>
      <c r="G589" s="6">
        <v>0.17</v>
      </c>
      <c r="H589" s="5" t="s">
        <v>1446</v>
      </c>
      <c r="I589" s="5" t="s">
        <v>20</v>
      </c>
      <c r="J589" s="5">
        <v>2023.0</v>
      </c>
      <c r="K589" s="8">
        <v>46055.0</v>
      </c>
      <c r="L589" s="5">
        <v>2.0</v>
      </c>
      <c r="M589" s="7">
        <f t="shared" si="3"/>
        <v>0.34</v>
      </c>
    </row>
    <row r="590">
      <c r="A590" s="5" t="s">
        <v>1477</v>
      </c>
      <c r="B590" s="5" t="s">
        <v>750</v>
      </c>
      <c r="C590" s="5" t="s">
        <v>22</v>
      </c>
      <c r="D590" s="5" t="s">
        <v>1478</v>
      </c>
      <c r="E590" s="5" t="s">
        <v>660</v>
      </c>
      <c r="F590" s="5" t="s">
        <v>280</v>
      </c>
      <c r="G590" s="6">
        <v>0.25</v>
      </c>
      <c r="H590" s="5" t="s">
        <v>1446</v>
      </c>
      <c r="I590" s="5" t="s">
        <v>20</v>
      </c>
      <c r="J590" s="5">
        <v>2023.0</v>
      </c>
      <c r="K590" s="8">
        <v>46084.0</v>
      </c>
      <c r="L590" s="5">
        <v>2.0</v>
      </c>
      <c r="M590" s="7">
        <f t="shared" si="3"/>
        <v>0.5</v>
      </c>
    </row>
    <row r="591">
      <c r="A591" s="5" t="s">
        <v>1479</v>
      </c>
      <c r="B591" s="5" t="s">
        <v>1480</v>
      </c>
      <c r="C591" s="5" t="s">
        <v>15</v>
      </c>
      <c r="D591" s="5" t="s">
        <v>1481</v>
      </c>
      <c r="E591" s="5" t="s">
        <v>660</v>
      </c>
      <c r="F591" s="5" t="s">
        <v>280</v>
      </c>
      <c r="G591" s="6">
        <v>2.75</v>
      </c>
      <c r="H591" s="5" t="s">
        <v>1446</v>
      </c>
      <c r="I591" s="5" t="s">
        <v>20</v>
      </c>
      <c r="J591" s="5">
        <v>2023.0</v>
      </c>
      <c r="K591" s="8">
        <v>46083.0</v>
      </c>
      <c r="L591" s="5">
        <v>4.0</v>
      </c>
      <c r="M591" s="7">
        <f t="shared" si="3"/>
        <v>11</v>
      </c>
    </row>
    <row r="592">
      <c r="A592" s="5" t="s">
        <v>1482</v>
      </c>
      <c r="B592" s="5" t="s">
        <v>1483</v>
      </c>
      <c r="C592" s="5" t="s">
        <v>22</v>
      </c>
      <c r="D592" s="5" t="s">
        <v>1484</v>
      </c>
      <c r="E592" s="5" t="s">
        <v>1071</v>
      </c>
      <c r="F592" s="5" t="s">
        <v>166</v>
      </c>
      <c r="G592" s="6">
        <v>0.2</v>
      </c>
      <c r="H592" s="5" t="s">
        <v>1446</v>
      </c>
      <c r="I592" s="5" t="s">
        <v>20</v>
      </c>
      <c r="J592" s="5">
        <v>2023.0</v>
      </c>
      <c r="K592" s="8">
        <v>46023.0</v>
      </c>
      <c r="L592" s="5">
        <v>3.0</v>
      </c>
      <c r="M592" s="7">
        <f t="shared" si="3"/>
        <v>0.6</v>
      </c>
    </row>
    <row r="593">
      <c r="A593" s="5" t="s">
        <v>1485</v>
      </c>
      <c r="B593" s="5" t="s">
        <v>1486</v>
      </c>
      <c r="C593" s="5" t="s">
        <v>22</v>
      </c>
      <c r="D593" s="5" t="s">
        <v>1487</v>
      </c>
      <c r="E593" s="5" t="s">
        <v>942</v>
      </c>
      <c r="F593" s="5" t="s">
        <v>166</v>
      </c>
      <c r="G593" s="6">
        <v>0.23</v>
      </c>
      <c r="H593" s="5" t="s">
        <v>1446</v>
      </c>
      <c r="I593" s="5" t="s">
        <v>20</v>
      </c>
      <c r="J593" s="5">
        <v>2023.0</v>
      </c>
      <c r="K593" s="8">
        <v>46085.0</v>
      </c>
      <c r="L593" s="5">
        <v>2.0</v>
      </c>
      <c r="M593" s="7">
        <f t="shared" si="3"/>
        <v>0.46</v>
      </c>
    </row>
    <row r="594">
      <c r="A594" s="5" t="s">
        <v>1488</v>
      </c>
      <c r="B594" s="5" t="s">
        <v>638</v>
      </c>
      <c r="C594" s="5" t="s">
        <v>22</v>
      </c>
      <c r="D594" s="5" t="s">
        <v>1489</v>
      </c>
      <c r="E594" s="5" t="s">
        <v>1232</v>
      </c>
      <c r="F594" s="5" t="s">
        <v>166</v>
      </c>
      <c r="G594" s="6">
        <v>0.2</v>
      </c>
      <c r="H594" s="5" t="s">
        <v>1446</v>
      </c>
      <c r="I594" s="5" t="s">
        <v>20</v>
      </c>
      <c r="J594" s="5">
        <v>2023.0</v>
      </c>
      <c r="K594" s="8">
        <v>46117.0</v>
      </c>
      <c r="L594" s="5">
        <v>1.0</v>
      </c>
      <c r="M594" s="7">
        <f t="shared" si="3"/>
        <v>0.2</v>
      </c>
    </row>
    <row r="595">
      <c r="A595" s="5" t="s">
        <v>1490</v>
      </c>
      <c r="B595" s="5" t="s">
        <v>1475</v>
      </c>
      <c r="C595" s="5" t="s">
        <v>22</v>
      </c>
      <c r="D595" s="5" t="s">
        <v>1491</v>
      </c>
      <c r="E595" s="5" t="s">
        <v>1492</v>
      </c>
      <c r="F595" s="5" t="s">
        <v>1493</v>
      </c>
      <c r="G595" s="6">
        <v>0.25</v>
      </c>
      <c r="H595" s="5" t="s">
        <v>1446</v>
      </c>
      <c r="I595" s="5" t="s">
        <v>20</v>
      </c>
      <c r="J595" s="5">
        <v>2023.0</v>
      </c>
      <c r="K595" s="8">
        <v>46055.0</v>
      </c>
      <c r="L595" s="5">
        <v>1.0</v>
      </c>
      <c r="M595" s="7">
        <f t="shared" si="3"/>
        <v>0.25</v>
      </c>
    </row>
    <row r="596">
      <c r="A596" s="5" t="s">
        <v>1494</v>
      </c>
      <c r="B596" s="5" t="s">
        <v>68</v>
      </c>
      <c r="C596" s="5" t="s">
        <v>22</v>
      </c>
      <c r="D596" s="5" t="s">
        <v>1495</v>
      </c>
      <c r="E596" s="5" t="s">
        <v>942</v>
      </c>
      <c r="F596" s="5" t="s">
        <v>166</v>
      </c>
      <c r="G596" s="6">
        <v>0.24</v>
      </c>
      <c r="H596" s="5" t="s">
        <v>1446</v>
      </c>
      <c r="I596" s="5" t="s">
        <v>20</v>
      </c>
      <c r="J596" s="5">
        <v>2023.0</v>
      </c>
      <c r="K596" s="5" t="s">
        <v>221</v>
      </c>
      <c r="L596" s="5">
        <v>1.0</v>
      </c>
      <c r="M596" s="7">
        <f t="shared" si="3"/>
        <v>0.24</v>
      </c>
    </row>
    <row r="597">
      <c r="A597" s="5" t="s">
        <v>1496</v>
      </c>
      <c r="B597" s="5" t="s">
        <v>1451</v>
      </c>
      <c r="C597" s="5" t="s">
        <v>22</v>
      </c>
      <c r="D597" s="5" t="s">
        <v>1497</v>
      </c>
      <c r="E597" s="5" t="s">
        <v>1071</v>
      </c>
      <c r="F597" s="5" t="s">
        <v>166</v>
      </c>
      <c r="G597" s="6">
        <v>0.21</v>
      </c>
      <c r="H597" s="5" t="s">
        <v>1446</v>
      </c>
      <c r="I597" s="5" t="s">
        <v>20</v>
      </c>
      <c r="J597" s="5">
        <v>2023.0</v>
      </c>
      <c r="K597" s="5" t="s">
        <v>221</v>
      </c>
      <c r="L597" s="5">
        <v>1.0</v>
      </c>
      <c r="M597" s="7">
        <f t="shared" si="3"/>
        <v>0.21</v>
      </c>
    </row>
    <row r="598">
      <c r="A598" s="5" t="s">
        <v>1498</v>
      </c>
      <c r="B598" s="5" t="s">
        <v>68</v>
      </c>
      <c r="C598" s="5" t="s">
        <v>15</v>
      </c>
      <c r="D598" s="5" t="s">
        <v>1499</v>
      </c>
      <c r="E598" s="5" t="s">
        <v>942</v>
      </c>
      <c r="F598" s="5" t="s">
        <v>166</v>
      </c>
      <c r="G598" s="6">
        <v>0.08</v>
      </c>
      <c r="H598" s="5" t="s">
        <v>1446</v>
      </c>
      <c r="I598" s="5" t="s">
        <v>20</v>
      </c>
      <c r="J598" s="5">
        <v>2023.0</v>
      </c>
      <c r="K598" s="5" t="s">
        <v>221</v>
      </c>
      <c r="L598" s="5">
        <v>1.0</v>
      </c>
      <c r="M598" s="7">
        <f t="shared" si="3"/>
        <v>0.08</v>
      </c>
    </row>
    <row r="599">
      <c r="A599" s="5" t="s">
        <v>1500</v>
      </c>
      <c r="B599" s="5" t="s">
        <v>1105</v>
      </c>
      <c r="C599" s="5" t="s">
        <v>22</v>
      </c>
      <c r="D599" s="5" t="s">
        <v>1501</v>
      </c>
      <c r="E599" s="5" t="s">
        <v>1057</v>
      </c>
      <c r="F599" s="5" t="s">
        <v>166</v>
      </c>
      <c r="G599" s="6">
        <v>0.09</v>
      </c>
      <c r="H599" s="5" t="s">
        <v>1446</v>
      </c>
      <c r="I599" s="5" t="s">
        <v>20</v>
      </c>
      <c r="J599" s="5">
        <v>2023.0</v>
      </c>
      <c r="K599" s="8">
        <v>46023.0</v>
      </c>
      <c r="L599" s="5">
        <v>1.0</v>
      </c>
      <c r="M599" s="7">
        <f t="shared" si="3"/>
        <v>0.09</v>
      </c>
    </row>
    <row r="600">
      <c r="A600" s="5" t="s">
        <v>1502</v>
      </c>
      <c r="B600" s="5" t="s">
        <v>14</v>
      </c>
      <c r="C600" s="5" t="s">
        <v>15</v>
      </c>
      <c r="D600" s="5" t="s">
        <v>1503</v>
      </c>
      <c r="E600" s="5" t="s">
        <v>1057</v>
      </c>
      <c r="F600" s="5" t="s">
        <v>166</v>
      </c>
      <c r="G600" s="6">
        <v>0.15</v>
      </c>
      <c r="H600" s="5" t="s">
        <v>1446</v>
      </c>
      <c r="I600" s="5" t="s">
        <v>20</v>
      </c>
      <c r="J600" s="5">
        <v>2023.0</v>
      </c>
      <c r="K600" s="5" t="s">
        <v>221</v>
      </c>
      <c r="L600" s="5">
        <v>1.0</v>
      </c>
      <c r="M600" s="7">
        <f t="shared" si="3"/>
        <v>0.15</v>
      </c>
    </row>
    <row r="601">
      <c r="A601" s="5" t="s">
        <v>1504</v>
      </c>
      <c r="B601" s="5" t="s">
        <v>68</v>
      </c>
      <c r="C601" s="5" t="s">
        <v>15</v>
      </c>
      <c r="D601" s="5" t="s">
        <v>1505</v>
      </c>
      <c r="E601" s="5" t="s">
        <v>1071</v>
      </c>
      <c r="F601" s="5" t="s">
        <v>166</v>
      </c>
      <c r="G601" s="6">
        <v>0.08</v>
      </c>
      <c r="H601" s="5" t="s">
        <v>1446</v>
      </c>
      <c r="I601" s="5" t="s">
        <v>20</v>
      </c>
      <c r="J601" s="5">
        <v>2023.0</v>
      </c>
      <c r="K601" s="5" t="s">
        <v>221</v>
      </c>
      <c r="L601" s="5">
        <v>1.0</v>
      </c>
      <c r="M601" s="7">
        <f t="shared" si="3"/>
        <v>0.08</v>
      </c>
    </row>
    <row r="602">
      <c r="A602" s="5" t="s">
        <v>1506</v>
      </c>
      <c r="B602" s="5" t="s">
        <v>1475</v>
      </c>
      <c r="C602" s="5" t="s">
        <v>22</v>
      </c>
      <c r="D602" s="5" t="s">
        <v>1507</v>
      </c>
      <c r="E602" s="5" t="s">
        <v>1276</v>
      </c>
      <c r="F602" s="5" t="s">
        <v>1493</v>
      </c>
      <c r="G602" s="6">
        <v>0.2</v>
      </c>
      <c r="H602" s="5" t="s">
        <v>1446</v>
      </c>
      <c r="I602" s="5" t="s">
        <v>20</v>
      </c>
      <c r="J602" s="5">
        <v>2023.0</v>
      </c>
      <c r="K602" s="8">
        <v>46084.0</v>
      </c>
      <c r="L602" s="5">
        <v>3.0</v>
      </c>
      <c r="M602" s="7">
        <f t="shared" si="3"/>
        <v>0.6</v>
      </c>
    </row>
    <row r="603">
      <c r="A603" s="5" t="s">
        <v>1508</v>
      </c>
      <c r="B603" s="5" t="s">
        <v>1509</v>
      </c>
      <c r="C603" s="5" t="s">
        <v>15</v>
      </c>
      <c r="D603" s="5" t="s">
        <v>1510</v>
      </c>
      <c r="E603" s="5">
        <v>2.0</v>
      </c>
      <c r="F603" s="5" t="s">
        <v>80</v>
      </c>
      <c r="G603" s="6">
        <v>0.05</v>
      </c>
      <c r="H603" s="5" t="s">
        <v>1446</v>
      </c>
      <c r="I603" s="5" t="s">
        <v>20</v>
      </c>
      <c r="J603" s="5">
        <v>2023.0</v>
      </c>
      <c r="K603" s="5" t="s">
        <v>89</v>
      </c>
      <c r="L603" s="5">
        <v>1.0</v>
      </c>
      <c r="M603" s="7">
        <f t="shared" si="3"/>
        <v>0.05</v>
      </c>
    </row>
    <row r="604">
      <c r="A604" s="5" t="s">
        <v>1511</v>
      </c>
      <c r="B604" s="5" t="s">
        <v>1512</v>
      </c>
      <c r="C604" s="5" t="s">
        <v>22</v>
      </c>
      <c r="D604" s="5" t="s">
        <v>1513</v>
      </c>
      <c r="E604" s="5" t="s">
        <v>1514</v>
      </c>
      <c r="F604" s="5" t="s">
        <v>1515</v>
      </c>
      <c r="G604" s="6">
        <v>0.21</v>
      </c>
      <c r="H604" s="5" t="s">
        <v>1446</v>
      </c>
      <c r="I604" s="5" t="s">
        <v>20</v>
      </c>
      <c r="J604" s="5">
        <v>2023.0</v>
      </c>
      <c r="K604" s="8">
        <v>46116.0</v>
      </c>
      <c r="L604" s="5">
        <v>1.0</v>
      </c>
      <c r="M604" s="7">
        <f t="shared" si="3"/>
        <v>0.21</v>
      </c>
    </row>
    <row r="605">
      <c r="A605" s="5" t="s">
        <v>1516</v>
      </c>
      <c r="B605" s="5" t="s">
        <v>1517</v>
      </c>
      <c r="C605" s="5" t="s">
        <v>22</v>
      </c>
      <c r="D605" s="5" t="s">
        <v>1518</v>
      </c>
      <c r="G605" s="6">
        <v>0.25</v>
      </c>
      <c r="H605" s="5" t="s">
        <v>1446</v>
      </c>
      <c r="I605" s="5" t="s">
        <v>20</v>
      </c>
      <c r="J605" s="5">
        <v>2023.0</v>
      </c>
      <c r="K605" s="8">
        <v>46083.0</v>
      </c>
      <c r="L605" s="5">
        <v>2.0</v>
      </c>
      <c r="M605" s="7">
        <f t="shared" si="3"/>
        <v>0.5</v>
      </c>
    </row>
    <row r="606">
      <c r="A606" s="5" t="s">
        <v>1519</v>
      </c>
      <c r="B606" s="5" t="s">
        <v>1520</v>
      </c>
      <c r="C606" s="5" t="s">
        <v>22</v>
      </c>
      <c r="D606" s="5" t="s">
        <v>1521</v>
      </c>
      <c r="E606" s="5" t="s">
        <v>965</v>
      </c>
      <c r="F606" s="5" t="s">
        <v>1522</v>
      </c>
      <c r="G606" s="6">
        <v>0.15</v>
      </c>
      <c r="H606" s="5" t="s">
        <v>1446</v>
      </c>
      <c r="I606" s="5" t="s">
        <v>20</v>
      </c>
      <c r="J606" s="5">
        <v>2023.0</v>
      </c>
      <c r="K606" s="8">
        <v>46082.0</v>
      </c>
      <c r="L606" s="5">
        <v>1.0</v>
      </c>
      <c r="M606" s="7">
        <f t="shared" si="3"/>
        <v>0.15</v>
      </c>
    </row>
    <row r="607">
      <c r="A607" s="5" t="s">
        <v>1523</v>
      </c>
      <c r="B607" s="5" t="s">
        <v>455</v>
      </c>
      <c r="C607" s="5" t="s">
        <v>22</v>
      </c>
      <c r="D607" s="5" t="s">
        <v>1524</v>
      </c>
      <c r="E607" s="5" t="s">
        <v>1368</v>
      </c>
      <c r="F607" s="5" t="s">
        <v>1525</v>
      </c>
      <c r="G607" s="6">
        <v>0.25</v>
      </c>
      <c r="H607" s="5" t="s">
        <v>1446</v>
      </c>
      <c r="I607" s="5" t="s">
        <v>20</v>
      </c>
      <c r="J607" s="5">
        <v>2023.0</v>
      </c>
      <c r="K607" s="8">
        <v>46114.0</v>
      </c>
      <c r="L607" s="5">
        <v>2.0</v>
      </c>
      <c r="M607" s="7">
        <f t="shared" si="3"/>
        <v>0.5</v>
      </c>
    </row>
    <row r="608">
      <c r="A608" s="5" t="s">
        <v>1523</v>
      </c>
      <c r="B608" s="5" t="s">
        <v>455</v>
      </c>
      <c r="C608" s="5" t="s">
        <v>22</v>
      </c>
      <c r="D608" s="5" t="s">
        <v>1524</v>
      </c>
      <c r="E608" s="5" t="s">
        <v>1368</v>
      </c>
      <c r="F608" s="5" t="s">
        <v>1525</v>
      </c>
      <c r="G608" s="6">
        <v>0.28</v>
      </c>
      <c r="H608" s="5" t="s">
        <v>1446</v>
      </c>
      <c r="I608" s="5" t="s">
        <v>20</v>
      </c>
      <c r="J608" s="5">
        <v>2023.0</v>
      </c>
      <c r="K608" s="8">
        <v>46114.0</v>
      </c>
      <c r="L608" s="5">
        <v>3.0</v>
      </c>
      <c r="M608" s="7">
        <f t="shared" si="3"/>
        <v>0.84</v>
      </c>
    </row>
    <row r="609">
      <c r="A609" s="5" t="s">
        <v>1526</v>
      </c>
      <c r="B609" s="5" t="s">
        <v>1527</v>
      </c>
      <c r="C609" s="5" t="s">
        <v>22</v>
      </c>
      <c r="D609" s="5" t="s">
        <v>1528</v>
      </c>
      <c r="E609" s="5" t="s">
        <v>1529</v>
      </c>
      <c r="F609" s="5" t="s">
        <v>1522</v>
      </c>
      <c r="G609" s="6">
        <v>0.08</v>
      </c>
      <c r="H609" s="5" t="s">
        <v>1446</v>
      </c>
      <c r="I609" s="5" t="s">
        <v>20</v>
      </c>
      <c r="J609" s="5">
        <v>2023.0</v>
      </c>
      <c r="K609" s="8">
        <v>46084.0</v>
      </c>
      <c r="L609" s="5">
        <v>2.0</v>
      </c>
      <c r="M609" s="7">
        <f t="shared" si="3"/>
        <v>0.16</v>
      </c>
    </row>
    <row r="610">
      <c r="A610" s="5" t="s">
        <v>1530</v>
      </c>
      <c r="B610" s="5" t="s">
        <v>82</v>
      </c>
      <c r="C610" s="5" t="s">
        <v>15</v>
      </c>
      <c r="D610" s="5" t="s">
        <v>1531</v>
      </c>
      <c r="E610" s="5">
        <v>1.0</v>
      </c>
      <c r="F610" s="5" t="s">
        <v>80</v>
      </c>
      <c r="G610" s="6">
        <v>0.18</v>
      </c>
      <c r="H610" s="5" t="s">
        <v>1446</v>
      </c>
      <c r="I610" s="5" t="s">
        <v>20</v>
      </c>
      <c r="J610" s="5">
        <v>2023.0</v>
      </c>
      <c r="K610" s="5" t="s">
        <v>221</v>
      </c>
      <c r="L610" s="5">
        <v>1.0</v>
      </c>
      <c r="M610" s="7">
        <f t="shared" si="3"/>
        <v>0.18</v>
      </c>
    </row>
    <row r="611">
      <c r="A611" s="5" t="s">
        <v>1530</v>
      </c>
      <c r="B611" s="5" t="s">
        <v>82</v>
      </c>
      <c r="C611" s="5" t="s">
        <v>15</v>
      </c>
      <c r="D611" s="5" t="s">
        <v>1531</v>
      </c>
      <c r="E611" s="5">
        <v>1.0</v>
      </c>
      <c r="F611" s="5" t="s">
        <v>80</v>
      </c>
      <c r="G611" s="6">
        <v>1.9</v>
      </c>
      <c r="H611" s="5" t="s">
        <v>1446</v>
      </c>
      <c r="I611" s="5" t="s">
        <v>20</v>
      </c>
      <c r="J611" s="5">
        <v>2023.0</v>
      </c>
      <c r="K611" s="5" t="s">
        <v>221</v>
      </c>
      <c r="L611" s="5">
        <v>1.0</v>
      </c>
      <c r="M611" s="7">
        <f t="shared" si="3"/>
        <v>1.9</v>
      </c>
    </row>
    <row r="612">
      <c r="A612" s="5" t="s">
        <v>1532</v>
      </c>
      <c r="B612" s="5" t="s">
        <v>68</v>
      </c>
      <c r="C612" s="5" t="s">
        <v>15</v>
      </c>
      <c r="D612" s="5" t="s">
        <v>1533</v>
      </c>
      <c r="E612" s="5" t="s">
        <v>782</v>
      </c>
      <c r="F612" s="5" t="s">
        <v>18</v>
      </c>
      <c r="G612" s="6">
        <v>1.7</v>
      </c>
      <c r="H612" s="5" t="s">
        <v>1446</v>
      </c>
      <c r="I612" s="5" t="s">
        <v>31</v>
      </c>
      <c r="J612" s="5">
        <v>2023.0</v>
      </c>
      <c r="K612" s="5" t="s">
        <v>221</v>
      </c>
      <c r="L612" s="5">
        <v>4.0</v>
      </c>
      <c r="M612" s="7">
        <f t="shared" si="3"/>
        <v>6.8</v>
      </c>
    </row>
    <row r="613">
      <c r="A613" s="5" t="s">
        <v>1534</v>
      </c>
      <c r="B613" s="5" t="s">
        <v>982</v>
      </c>
      <c r="C613" s="5" t="s">
        <v>22</v>
      </c>
      <c r="D613" s="5" t="s">
        <v>1535</v>
      </c>
      <c r="E613" s="5" t="s">
        <v>1536</v>
      </c>
      <c r="F613" s="5" t="s">
        <v>1537</v>
      </c>
      <c r="G613" s="6">
        <v>0.18</v>
      </c>
      <c r="H613" s="5" t="s">
        <v>1446</v>
      </c>
      <c r="I613" s="5" t="s">
        <v>31</v>
      </c>
      <c r="J613" s="5">
        <v>2023.0</v>
      </c>
      <c r="K613" s="5" t="s">
        <v>221</v>
      </c>
      <c r="L613" s="5">
        <v>2.0</v>
      </c>
      <c r="M613" s="7">
        <f t="shared" si="3"/>
        <v>0.36</v>
      </c>
    </row>
    <row r="614">
      <c r="A614" s="5" t="s">
        <v>1516</v>
      </c>
      <c r="B614" s="5" t="s">
        <v>1517</v>
      </c>
      <c r="C614" s="5" t="s">
        <v>22</v>
      </c>
      <c r="D614" s="5" t="s">
        <v>1518</v>
      </c>
      <c r="G614" s="6">
        <v>0.18</v>
      </c>
      <c r="H614" s="5" t="s">
        <v>1446</v>
      </c>
      <c r="I614" s="5" t="s">
        <v>20</v>
      </c>
      <c r="J614" s="5">
        <v>2023.0</v>
      </c>
      <c r="K614" s="8">
        <v>46083.0</v>
      </c>
      <c r="L614" s="5">
        <v>1.0</v>
      </c>
      <c r="M614" s="7">
        <f t="shared" si="3"/>
        <v>0.18</v>
      </c>
    </row>
    <row r="615">
      <c r="A615" s="5" t="s">
        <v>1538</v>
      </c>
      <c r="B615" s="5" t="s">
        <v>1539</v>
      </c>
      <c r="C615" s="5" t="s">
        <v>22</v>
      </c>
      <c r="D615" s="5" t="s">
        <v>1540</v>
      </c>
      <c r="E615" s="5" t="s">
        <v>699</v>
      </c>
      <c r="F615" s="5" t="s">
        <v>152</v>
      </c>
      <c r="G615" s="6">
        <v>1.43</v>
      </c>
      <c r="H615" s="5" t="s">
        <v>1446</v>
      </c>
      <c r="I615" s="5" t="s">
        <v>20</v>
      </c>
      <c r="J615" s="5">
        <v>2023.0</v>
      </c>
      <c r="K615" s="8">
        <v>46023.0</v>
      </c>
      <c r="L615" s="5">
        <v>1.0</v>
      </c>
      <c r="M615" s="7">
        <f t="shared" si="3"/>
        <v>1.43</v>
      </c>
    </row>
    <row r="616">
      <c r="A616" s="5" t="s">
        <v>1541</v>
      </c>
      <c r="B616" s="5" t="s">
        <v>455</v>
      </c>
      <c r="C616" s="5" t="s">
        <v>22</v>
      </c>
      <c r="D616" s="5" t="s">
        <v>1542</v>
      </c>
      <c r="E616" s="5" t="s">
        <v>1543</v>
      </c>
      <c r="F616" s="5" t="s">
        <v>1515</v>
      </c>
      <c r="G616" s="6">
        <v>0.25</v>
      </c>
      <c r="H616" s="5" t="s">
        <v>1446</v>
      </c>
      <c r="I616" s="5" t="s">
        <v>20</v>
      </c>
      <c r="J616" s="5">
        <v>2023.0</v>
      </c>
      <c r="K616" s="8">
        <v>46055.0</v>
      </c>
      <c r="L616" s="5">
        <v>1.0</v>
      </c>
      <c r="M616" s="7">
        <f t="shared" si="3"/>
        <v>0.25</v>
      </c>
    </row>
    <row r="617">
      <c r="A617" s="5" t="s">
        <v>1544</v>
      </c>
      <c r="B617" s="5" t="s">
        <v>1545</v>
      </c>
      <c r="C617" s="5" t="s">
        <v>22</v>
      </c>
      <c r="D617" s="5" t="s">
        <v>1546</v>
      </c>
      <c r="E617" s="5" t="s">
        <v>834</v>
      </c>
      <c r="F617" s="5" t="s">
        <v>18</v>
      </c>
      <c r="G617" s="6">
        <v>0.25</v>
      </c>
      <c r="H617" s="5" t="s">
        <v>1446</v>
      </c>
      <c r="I617" s="5" t="s">
        <v>20</v>
      </c>
      <c r="J617" s="5">
        <v>2023.0</v>
      </c>
      <c r="K617" s="8">
        <v>46178.0</v>
      </c>
      <c r="L617" s="5">
        <v>1.0</v>
      </c>
      <c r="M617" s="7">
        <f t="shared" si="3"/>
        <v>0.25</v>
      </c>
    </row>
    <row r="618">
      <c r="A618" s="5" t="s">
        <v>1547</v>
      </c>
      <c r="B618" s="5" t="s">
        <v>1548</v>
      </c>
      <c r="C618" s="5" t="s">
        <v>22</v>
      </c>
      <c r="D618" s="5" t="s">
        <v>1549</v>
      </c>
      <c r="E618" s="5" t="s">
        <v>865</v>
      </c>
      <c r="F618" s="5" t="s">
        <v>88</v>
      </c>
      <c r="G618" s="6">
        <v>0.39</v>
      </c>
      <c r="H618" s="5" t="s">
        <v>1446</v>
      </c>
      <c r="I618" s="5" t="s">
        <v>20</v>
      </c>
      <c r="J618" s="5">
        <v>2023.0</v>
      </c>
      <c r="K618" s="8">
        <v>46056.0</v>
      </c>
      <c r="L618" s="5">
        <v>2.0</v>
      </c>
      <c r="M618" s="7">
        <f t="shared" si="3"/>
        <v>0.78</v>
      </c>
    </row>
    <row r="619">
      <c r="A619" s="5" t="s">
        <v>1550</v>
      </c>
      <c r="B619" s="5" t="s">
        <v>1551</v>
      </c>
      <c r="C619" s="5" t="s">
        <v>22</v>
      </c>
      <c r="D619" s="5" t="s">
        <v>1552</v>
      </c>
      <c r="E619" s="5" t="s">
        <v>873</v>
      </c>
      <c r="F619" s="5" t="s">
        <v>88</v>
      </c>
      <c r="G619" s="6">
        <v>0.5</v>
      </c>
      <c r="H619" s="5" t="s">
        <v>1446</v>
      </c>
      <c r="I619" s="5" t="s">
        <v>20</v>
      </c>
      <c r="J619" s="5">
        <v>2023.0</v>
      </c>
      <c r="K619" s="8">
        <v>46114.0</v>
      </c>
      <c r="L619" s="5">
        <v>2.0</v>
      </c>
      <c r="M619" s="7">
        <f t="shared" si="3"/>
        <v>1</v>
      </c>
    </row>
    <row r="620">
      <c r="A620" s="5" t="s">
        <v>1553</v>
      </c>
      <c r="B620" s="5" t="s">
        <v>1554</v>
      </c>
      <c r="C620" s="5" t="s">
        <v>22</v>
      </c>
      <c r="D620" s="5" t="s">
        <v>1555</v>
      </c>
      <c r="E620" s="5" t="s">
        <v>792</v>
      </c>
      <c r="F620" s="5" t="s">
        <v>18</v>
      </c>
      <c r="G620" s="6">
        <v>1.01</v>
      </c>
      <c r="H620" s="5" t="s">
        <v>1446</v>
      </c>
      <c r="I620" s="5" t="s">
        <v>20</v>
      </c>
      <c r="J620" s="5">
        <v>2023.0</v>
      </c>
      <c r="K620" s="8">
        <v>46083.0</v>
      </c>
      <c r="L620" s="5">
        <v>2.0</v>
      </c>
      <c r="M620" s="7">
        <f t="shared" si="3"/>
        <v>2.02</v>
      </c>
    </row>
    <row r="621">
      <c r="A621" s="5" t="s">
        <v>1556</v>
      </c>
      <c r="B621" s="5" t="s">
        <v>455</v>
      </c>
      <c r="C621" s="5" t="s">
        <v>22</v>
      </c>
      <c r="D621" s="5" t="s">
        <v>1557</v>
      </c>
      <c r="E621" s="5" t="s">
        <v>1558</v>
      </c>
      <c r="F621" s="5" t="s">
        <v>1559</v>
      </c>
      <c r="G621" s="6">
        <v>0.23</v>
      </c>
      <c r="H621" s="5" t="s">
        <v>1446</v>
      </c>
      <c r="I621" s="5" t="s">
        <v>20</v>
      </c>
      <c r="J621" s="5">
        <v>2023.0</v>
      </c>
      <c r="K621" s="8">
        <v>46083.0</v>
      </c>
      <c r="L621" s="5">
        <v>1.0</v>
      </c>
      <c r="M621" s="7">
        <f t="shared" si="3"/>
        <v>0.23</v>
      </c>
    </row>
    <row r="622">
      <c r="A622" s="5" t="s">
        <v>1560</v>
      </c>
      <c r="B622" s="5" t="s">
        <v>1548</v>
      </c>
      <c r="C622" s="5" t="s">
        <v>22</v>
      </c>
      <c r="D622" s="5" t="s">
        <v>1561</v>
      </c>
      <c r="E622" s="5" t="s">
        <v>785</v>
      </c>
      <c r="F622" s="5" t="s">
        <v>18</v>
      </c>
      <c r="G622" s="6">
        <v>0.2</v>
      </c>
      <c r="H622" s="5" t="s">
        <v>1446</v>
      </c>
      <c r="I622" s="5" t="s">
        <v>20</v>
      </c>
      <c r="J622" s="5">
        <v>2023.0</v>
      </c>
      <c r="K622" s="8">
        <v>46084.0</v>
      </c>
      <c r="L622" s="5">
        <v>2.0</v>
      </c>
      <c r="M622" s="7">
        <f t="shared" si="3"/>
        <v>0.4</v>
      </c>
    </row>
    <row r="623">
      <c r="A623" s="5" t="s">
        <v>1562</v>
      </c>
      <c r="B623" s="5" t="s">
        <v>14</v>
      </c>
      <c r="C623" s="5" t="s">
        <v>22</v>
      </c>
      <c r="D623" s="5" t="s">
        <v>1563</v>
      </c>
      <c r="E623" s="5" t="s">
        <v>792</v>
      </c>
      <c r="F623" s="5" t="s">
        <v>18</v>
      </c>
      <c r="G623" s="6">
        <v>0.18</v>
      </c>
      <c r="H623" s="5" t="s">
        <v>1446</v>
      </c>
      <c r="I623" s="5" t="s">
        <v>20</v>
      </c>
      <c r="J623" s="5">
        <v>2023.0</v>
      </c>
      <c r="L623" s="5">
        <v>1.0</v>
      </c>
      <c r="M623" s="7">
        <f t="shared" si="3"/>
        <v>0.18</v>
      </c>
    </row>
    <row r="624">
      <c r="A624" s="5" t="s">
        <v>1564</v>
      </c>
      <c r="B624" s="5" t="s">
        <v>1111</v>
      </c>
      <c r="C624" s="5" t="s">
        <v>15</v>
      </c>
      <c r="D624" s="5" t="s">
        <v>1565</v>
      </c>
      <c r="E624" s="5" t="s">
        <v>785</v>
      </c>
      <c r="F624" s="5" t="s">
        <v>18</v>
      </c>
      <c r="G624" s="6">
        <v>0.08</v>
      </c>
      <c r="H624" s="5" t="s">
        <v>1446</v>
      </c>
      <c r="I624" s="5" t="s">
        <v>20</v>
      </c>
      <c r="J624" s="5">
        <v>2023.0</v>
      </c>
      <c r="K624" s="8">
        <v>46023.0</v>
      </c>
      <c r="L624" s="5">
        <v>1.0</v>
      </c>
      <c r="M624" s="7">
        <f t="shared" si="3"/>
        <v>0.08</v>
      </c>
    </row>
    <row r="625">
      <c r="A625" s="5" t="s">
        <v>1566</v>
      </c>
      <c r="B625" s="5" t="s">
        <v>1451</v>
      </c>
      <c r="C625" s="5" t="s">
        <v>22</v>
      </c>
      <c r="D625" s="5" t="s">
        <v>1567</v>
      </c>
      <c r="E625" s="5" t="s">
        <v>782</v>
      </c>
      <c r="F625" s="5" t="s">
        <v>18</v>
      </c>
      <c r="G625" s="6">
        <v>0.2</v>
      </c>
      <c r="H625" s="5" t="s">
        <v>1446</v>
      </c>
      <c r="I625" s="5" t="s">
        <v>20</v>
      </c>
      <c r="J625" s="5">
        <v>2023.0</v>
      </c>
      <c r="L625" s="5">
        <v>1.0</v>
      </c>
      <c r="M625" s="7">
        <f t="shared" si="3"/>
        <v>0.2</v>
      </c>
    </row>
    <row r="626">
      <c r="A626" s="5" t="s">
        <v>1568</v>
      </c>
      <c r="B626" s="5" t="s">
        <v>68</v>
      </c>
      <c r="C626" s="5" t="s">
        <v>15</v>
      </c>
      <c r="D626" s="5" t="s">
        <v>1569</v>
      </c>
      <c r="E626" s="5" t="s">
        <v>785</v>
      </c>
      <c r="F626" s="5" t="s">
        <v>18</v>
      </c>
      <c r="G626" s="6">
        <v>0.08</v>
      </c>
      <c r="H626" s="5" t="s">
        <v>1446</v>
      </c>
      <c r="I626" s="5" t="s">
        <v>20</v>
      </c>
      <c r="J626" s="5">
        <v>2023.0</v>
      </c>
      <c r="L626" s="5">
        <v>1.0</v>
      </c>
      <c r="M626" s="7">
        <f t="shared" si="3"/>
        <v>0.08</v>
      </c>
    </row>
    <row r="627">
      <c r="A627" s="5" t="s">
        <v>1570</v>
      </c>
      <c r="B627" s="5" t="s">
        <v>14</v>
      </c>
      <c r="C627" s="5" t="s">
        <v>15</v>
      </c>
      <c r="D627" s="5" t="s">
        <v>1571</v>
      </c>
      <c r="E627" s="5" t="s">
        <v>782</v>
      </c>
      <c r="F627" s="5" t="s">
        <v>18</v>
      </c>
      <c r="G627" s="6">
        <v>0.14</v>
      </c>
      <c r="H627" s="5" t="s">
        <v>1446</v>
      </c>
      <c r="I627" s="5" t="s">
        <v>20</v>
      </c>
      <c r="J627" s="5">
        <v>2023.0</v>
      </c>
      <c r="L627" s="5">
        <v>1.0</v>
      </c>
      <c r="M627" s="7">
        <f t="shared" si="3"/>
        <v>0.14</v>
      </c>
    </row>
    <row r="628">
      <c r="A628" s="5" t="s">
        <v>1572</v>
      </c>
      <c r="B628" s="5" t="s">
        <v>1554</v>
      </c>
      <c r="C628" s="5" t="s">
        <v>22</v>
      </c>
      <c r="D628" s="5" t="s">
        <v>1573</v>
      </c>
      <c r="E628" s="5" t="s">
        <v>785</v>
      </c>
      <c r="F628" s="5" t="s">
        <v>18</v>
      </c>
      <c r="G628" s="6">
        <v>0.09</v>
      </c>
      <c r="H628" s="5" t="s">
        <v>1446</v>
      </c>
      <c r="I628" s="5" t="s">
        <v>20</v>
      </c>
      <c r="J628" s="5">
        <v>2023.0</v>
      </c>
      <c r="K628" s="8">
        <v>46055.0</v>
      </c>
      <c r="L628" s="5">
        <v>1.0</v>
      </c>
      <c r="M628" s="7">
        <f t="shared" si="3"/>
        <v>0.09</v>
      </c>
    </row>
    <row r="629">
      <c r="A629" s="5" t="s">
        <v>1574</v>
      </c>
      <c r="B629" s="5" t="s">
        <v>1548</v>
      </c>
      <c r="C629" s="5" t="s">
        <v>22</v>
      </c>
      <c r="D629" s="5" t="s">
        <v>1575</v>
      </c>
      <c r="E629" s="5" t="s">
        <v>792</v>
      </c>
      <c r="F629" s="5" t="s">
        <v>18</v>
      </c>
      <c r="G629" s="6">
        <v>0.09</v>
      </c>
      <c r="H629" s="5" t="s">
        <v>1446</v>
      </c>
      <c r="I629" s="5" t="s">
        <v>20</v>
      </c>
      <c r="J629" s="5">
        <v>2023.0</v>
      </c>
      <c r="K629" s="8">
        <v>46056.0</v>
      </c>
      <c r="L629" s="5">
        <v>1.0</v>
      </c>
      <c r="M629" s="7">
        <f t="shared" si="3"/>
        <v>0.09</v>
      </c>
    </row>
    <row r="630">
      <c r="A630" s="5" t="s">
        <v>1576</v>
      </c>
      <c r="B630" s="5" t="s">
        <v>496</v>
      </c>
      <c r="C630" s="5" t="s">
        <v>22</v>
      </c>
      <c r="D630" s="5" t="s">
        <v>1577</v>
      </c>
      <c r="E630" s="5" t="s">
        <v>840</v>
      </c>
      <c r="F630" s="5" t="s">
        <v>88</v>
      </c>
      <c r="G630" s="6">
        <v>0.09</v>
      </c>
      <c r="H630" s="5" t="s">
        <v>1446</v>
      </c>
      <c r="I630" s="5" t="s">
        <v>20</v>
      </c>
      <c r="J630" s="5">
        <v>2023.0</v>
      </c>
      <c r="K630" s="8">
        <v>46024.0</v>
      </c>
      <c r="L630" s="5">
        <v>2.0</v>
      </c>
      <c r="M630" s="7">
        <f t="shared" si="3"/>
        <v>0.18</v>
      </c>
    </row>
    <row r="631">
      <c r="A631" s="5" t="s">
        <v>1578</v>
      </c>
      <c r="B631" s="5" t="s">
        <v>68</v>
      </c>
      <c r="C631" s="5" t="s">
        <v>15</v>
      </c>
      <c r="D631" s="5" t="s">
        <v>1579</v>
      </c>
      <c r="E631" s="5" t="s">
        <v>873</v>
      </c>
      <c r="F631" s="5" t="s">
        <v>88</v>
      </c>
      <c r="G631" s="6">
        <v>0.08</v>
      </c>
      <c r="H631" s="5" t="s">
        <v>1446</v>
      </c>
      <c r="I631" s="5" t="s">
        <v>20</v>
      </c>
      <c r="J631" s="5">
        <v>2023.0</v>
      </c>
      <c r="K631" s="5" t="s">
        <v>221</v>
      </c>
      <c r="L631" s="5">
        <v>2.0</v>
      </c>
      <c r="M631" s="7">
        <f t="shared" si="3"/>
        <v>0.16</v>
      </c>
    </row>
    <row r="632">
      <c r="A632" s="5" t="s">
        <v>1580</v>
      </c>
      <c r="B632" s="5" t="s">
        <v>1451</v>
      </c>
      <c r="C632" s="5" t="s">
        <v>22</v>
      </c>
      <c r="D632" s="5" t="s">
        <v>1581</v>
      </c>
      <c r="E632" s="5" t="s">
        <v>873</v>
      </c>
      <c r="F632" s="5" t="s">
        <v>88</v>
      </c>
      <c r="G632" s="6">
        <v>0.25</v>
      </c>
      <c r="H632" s="5" t="s">
        <v>1446</v>
      </c>
      <c r="I632" s="5" t="s">
        <v>20</v>
      </c>
      <c r="J632" s="5">
        <v>2023.0</v>
      </c>
      <c r="K632" s="5" t="s">
        <v>221</v>
      </c>
      <c r="L632" s="5">
        <v>2.0</v>
      </c>
      <c r="M632" s="7">
        <f t="shared" si="3"/>
        <v>0.5</v>
      </c>
    </row>
    <row r="633">
      <c r="A633" s="5" t="s">
        <v>1582</v>
      </c>
      <c r="B633" s="5" t="s">
        <v>1583</v>
      </c>
      <c r="C633" s="5" t="s">
        <v>15</v>
      </c>
      <c r="D633" s="5" t="s">
        <v>1584</v>
      </c>
      <c r="E633" s="5" t="s">
        <v>865</v>
      </c>
      <c r="F633" s="5" t="s">
        <v>88</v>
      </c>
      <c r="G633" s="6">
        <v>0.08</v>
      </c>
      <c r="H633" s="5" t="s">
        <v>1446</v>
      </c>
      <c r="I633" s="5" t="s">
        <v>20</v>
      </c>
      <c r="J633" s="5">
        <v>2023.0</v>
      </c>
      <c r="K633" s="8">
        <v>46083.0</v>
      </c>
      <c r="L633" s="5">
        <v>2.0</v>
      </c>
      <c r="M633" s="7">
        <f t="shared" si="3"/>
        <v>0.16</v>
      </c>
    </row>
    <row r="634">
      <c r="A634" s="5" t="s">
        <v>1585</v>
      </c>
      <c r="B634" s="5" t="s">
        <v>14</v>
      </c>
      <c r="C634" s="5" t="s">
        <v>22</v>
      </c>
      <c r="D634" s="5" t="s">
        <v>1586</v>
      </c>
      <c r="E634" s="5" t="s">
        <v>840</v>
      </c>
      <c r="F634" s="5" t="s">
        <v>88</v>
      </c>
      <c r="G634" s="6">
        <v>0.21</v>
      </c>
      <c r="H634" s="5" t="s">
        <v>1446</v>
      </c>
      <c r="I634" s="5" t="s">
        <v>20</v>
      </c>
      <c r="J634" s="5">
        <v>2023.0</v>
      </c>
      <c r="K634" s="5" t="s">
        <v>221</v>
      </c>
      <c r="L634" s="5">
        <v>1.0</v>
      </c>
      <c r="M634" s="7">
        <f t="shared" si="3"/>
        <v>0.21</v>
      </c>
    </row>
    <row r="635">
      <c r="A635" s="5" t="s">
        <v>1587</v>
      </c>
      <c r="B635" s="5" t="s">
        <v>14</v>
      </c>
      <c r="C635" s="5" t="s">
        <v>15</v>
      </c>
      <c r="D635" s="5" t="s">
        <v>1588</v>
      </c>
      <c r="E635" s="5" t="s">
        <v>840</v>
      </c>
      <c r="F635" s="5" t="s">
        <v>88</v>
      </c>
      <c r="G635" s="6">
        <v>0.08</v>
      </c>
      <c r="H635" s="5" t="s">
        <v>1446</v>
      </c>
      <c r="I635" s="5" t="s">
        <v>20</v>
      </c>
      <c r="J635" s="5">
        <v>2023.0</v>
      </c>
      <c r="K635" s="5" t="s">
        <v>221</v>
      </c>
      <c r="L635" s="5">
        <v>1.0</v>
      </c>
      <c r="M635" s="7">
        <f t="shared" si="3"/>
        <v>0.08</v>
      </c>
    </row>
    <row r="636">
      <c r="A636" s="5" t="s">
        <v>1589</v>
      </c>
      <c r="B636" s="5" t="s">
        <v>14</v>
      </c>
      <c r="C636" s="5" t="s">
        <v>15</v>
      </c>
      <c r="D636" s="5" t="s">
        <v>1590</v>
      </c>
      <c r="E636" s="5" t="s">
        <v>873</v>
      </c>
      <c r="F636" s="5" t="s">
        <v>88</v>
      </c>
      <c r="G636" s="6">
        <v>0.08</v>
      </c>
      <c r="H636" s="5" t="s">
        <v>1446</v>
      </c>
      <c r="I636" s="5" t="s">
        <v>20</v>
      </c>
      <c r="J636" s="5">
        <v>2023.0</v>
      </c>
      <c r="K636" s="5" t="s">
        <v>221</v>
      </c>
      <c r="L636" s="5">
        <v>1.0</v>
      </c>
      <c r="M636" s="7">
        <f t="shared" si="3"/>
        <v>0.08</v>
      </c>
    </row>
    <row r="637">
      <c r="A637" s="5" t="s">
        <v>1591</v>
      </c>
      <c r="B637" s="5" t="s">
        <v>1592</v>
      </c>
      <c r="C637" s="5" t="s">
        <v>22</v>
      </c>
      <c r="D637" s="5" t="s">
        <v>1593</v>
      </c>
      <c r="E637" s="5" t="s">
        <v>873</v>
      </c>
      <c r="F637" s="5" t="s">
        <v>88</v>
      </c>
      <c r="G637" s="6">
        <v>0.13</v>
      </c>
      <c r="H637" s="5" t="s">
        <v>1446</v>
      </c>
      <c r="I637" s="5" t="s">
        <v>20</v>
      </c>
      <c r="J637" s="5">
        <v>2023.0</v>
      </c>
      <c r="K637" s="8">
        <v>46084.0</v>
      </c>
      <c r="L637" s="5">
        <v>1.0</v>
      </c>
      <c r="M637" s="7">
        <f t="shared" si="3"/>
        <v>0.13</v>
      </c>
    </row>
    <row r="638">
      <c r="A638" s="5" t="s">
        <v>1594</v>
      </c>
      <c r="B638" s="5" t="s">
        <v>1595</v>
      </c>
      <c r="C638" s="5" t="s">
        <v>15</v>
      </c>
      <c r="D638" s="5" t="s">
        <v>1596</v>
      </c>
      <c r="E638" s="5" t="s">
        <v>840</v>
      </c>
      <c r="F638" s="5" t="s">
        <v>88</v>
      </c>
      <c r="G638" s="6">
        <v>0.08</v>
      </c>
      <c r="H638" s="5" t="s">
        <v>1446</v>
      </c>
      <c r="I638" s="5" t="s">
        <v>20</v>
      </c>
      <c r="J638" s="5">
        <v>2023.0</v>
      </c>
      <c r="K638" s="8">
        <v>46082.0</v>
      </c>
      <c r="L638" s="5">
        <v>1.0</v>
      </c>
      <c r="M638" s="7">
        <f t="shared" si="3"/>
        <v>0.08</v>
      </c>
    </row>
    <row r="639">
      <c r="A639" s="5" t="s">
        <v>1597</v>
      </c>
      <c r="B639" s="5" t="s">
        <v>14</v>
      </c>
      <c r="C639" s="5" t="s">
        <v>22</v>
      </c>
      <c r="D639" s="5" t="s">
        <v>1598</v>
      </c>
      <c r="E639" s="5" t="s">
        <v>1599</v>
      </c>
      <c r="F639" s="5" t="s">
        <v>88</v>
      </c>
      <c r="G639" s="6">
        <v>0.31</v>
      </c>
      <c r="H639" s="5" t="s">
        <v>1446</v>
      </c>
      <c r="I639" s="5" t="s">
        <v>20</v>
      </c>
      <c r="J639" s="5">
        <v>2023.0</v>
      </c>
      <c r="K639" s="5" t="s">
        <v>221</v>
      </c>
      <c r="L639" s="5">
        <v>1.0</v>
      </c>
      <c r="M639" s="7">
        <f t="shared" si="3"/>
        <v>0.31</v>
      </c>
    </row>
    <row r="640">
      <c r="A640" s="5" t="s">
        <v>1600</v>
      </c>
      <c r="B640" s="5" t="s">
        <v>68</v>
      </c>
      <c r="C640" s="5" t="s">
        <v>15</v>
      </c>
      <c r="D640" s="5" t="s">
        <v>1601</v>
      </c>
      <c r="E640" s="5" t="s">
        <v>873</v>
      </c>
      <c r="F640" s="5" t="s">
        <v>88</v>
      </c>
      <c r="G640" s="6">
        <v>0.08</v>
      </c>
      <c r="H640" s="5" t="s">
        <v>1446</v>
      </c>
      <c r="I640" s="5" t="s">
        <v>20</v>
      </c>
      <c r="J640" s="5">
        <v>2023.0</v>
      </c>
      <c r="L640" s="5">
        <v>1.0</v>
      </c>
      <c r="M640" s="7">
        <f t="shared" si="3"/>
        <v>0.08</v>
      </c>
    </row>
    <row r="641">
      <c r="A641" s="5" t="s">
        <v>1602</v>
      </c>
      <c r="B641" s="5" t="s">
        <v>310</v>
      </c>
      <c r="C641" s="5" t="s">
        <v>15</v>
      </c>
      <c r="D641" s="5" t="s">
        <v>1603</v>
      </c>
      <c r="E641" s="5" t="s">
        <v>873</v>
      </c>
      <c r="F641" s="5" t="s">
        <v>88</v>
      </c>
      <c r="G641" s="6">
        <v>0.14</v>
      </c>
      <c r="H641" s="5" t="s">
        <v>1446</v>
      </c>
      <c r="I641" s="5" t="s">
        <v>20</v>
      </c>
      <c r="J641" s="5">
        <v>2023.0</v>
      </c>
      <c r="K641" s="8">
        <v>46084.0</v>
      </c>
      <c r="L641" s="5">
        <v>1.0</v>
      </c>
      <c r="M641" s="7">
        <f t="shared" si="3"/>
        <v>0.14</v>
      </c>
    </row>
    <row r="642">
      <c r="A642" s="5" t="s">
        <v>1604</v>
      </c>
      <c r="B642" s="5" t="s">
        <v>1551</v>
      </c>
      <c r="C642" s="5" t="s">
        <v>22</v>
      </c>
      <c r="D642" s="5" t="s">
        <v>1605</v>
      </c>
      <c r="E642" s="5" t="s">
        <v>914</v>
      </c>
      <c r="F642" s="5" t="s">
        <v>88</v>
      </c>
      <c r="G642" s="6">
        <v>0.25</v>
      </c>
      <c r="H642" s="5" t="s">
        <v>1446</v>
      </c>
      <c r="I642" s="5" t="s">
        <v>20</v>
      </c>
      <c r="J642" s="5">
        <v>2023.0</v>
      </c>
      <c r="K642" s="8">
        <v>46116.0</v>
      </c>
      <c r="L642" s="5">
        <v>1.0</v>
      </c>
      <c r="M642" s="7">
        <f t="shared" si="3"/>
        <v>0.25</v>
      </c>
    </row>
    <row r="643">
      <c r="A643" s="5" t="s">
        <v>1606</v>
      </c>
      <c r="B643" s="5" t="s">
        <v>706</v>
      </c>
      <c r="C643" s="5" t="s">
        <v>22</v>
      </c>
      <c r="D643" s="5" t="s">
        <v>1607</v>
      </c>
      <c r="E643" s="5" t="s">
        <v>865</v>
      </c>
      <c r="F643" s="5" t="s">
        <v>88</v>
      </c>
      <c r="G643" s="6">
        <v>0.34</v>
      </c>
      <c r="H643" s="5" t="s">
        <v>1446</v>
      </c>
      <c r="I643" s="5" t="s">
        <v>20</v>
      </c>
      <c r="J643" s="5">
        <v>2023.0</v>
      </c>
      <c r="K643" s="8">
        <v>46113.0</v>
      </c>
      <c r="L643" s="5">
        <v>2.0</v>
      </c>
      <c r="M643" s="7">
        <f t="shared" si="3"/>
        <v>0.68</v>
      </c>
    </row>
    <row r="644">
      <c r="A644" s="5" t="s">
        <v>1608</v>
      </c>
      <c r="B644" s="5" t="s">
        <v>1609</v>
      </c>
      <c r="C644" s="5" t="s">
        <v>22</v>
      </c>
      <c r="D644" s="5" t="s">
        <v>1610</v>
      </c>
      <c r="E644" s="5" t="s">
        <v>696</v>
      </c>
      <c r="F644" s="5" t="s">
        <v>152</v>
      </c>
      <c r="G644" s="6">
        <v>0.24</v>
      </c>
      <c r="H644" s="5" t="s">
        <v>1446</v>
      </c>
      <c r="I644" s="5" t="s">
        <v>20</v>
      </c>
      <c r="J644" s="5">
        <v>2023.0</v>
      </c>
      <c r="K644" s="8">
        <v>46055.0</v>
      </c>
      <c r="L644" s="5">
        <v>1.0</v>
      </c>
      <c r="M644" s="7">
        <f t="shared" si="3"/>
        <v>0.24</v>
      </c>
    </row>
    <row r="645">
      <c r="A645" s="5" t="s">
        <v>1611</v>
      </c>
      <c r="B645" s="5" t="s">
        <v>1612</v>
      </c>
      <c r="C645" s="5" t="s">
        <v>1613</v>
      </c>
      <c r="D645" s="5" t="s">
        <v>1614</v>
      </c>
      <c r="E645" s="5" t="s">
        <v>1615</v>
      </c>
      <c r="F645" s="5" t="s">
        <v>1616</v>
      </c>
      <c r="G645" s="6">
        <v>1.35</v>
      </c>
      <c r="H645" s="5" t="s">
        <v>1617</v>
      </c>
      <c r="I645" s="5" t="s">
        <v>20</v>
      </c>
      <c r="K645" s="8">
        <v>46082.0</v>
      </c>
      <c r="L645" s="5">
        <v>1.0</v>
      </c>
      <c r="M645" s="7">
        <f t="shared" si="3"/>
        <v>1.35</v>
      </c>
    </row>
    <row r="646">
      <c r="A646" s="5" t="s">
        <v>1618</v>
      </c>
      <c r="B646" s="5" t="s">
        <v>1619</v>
      </c>
      <c r="C646" s="5" t="s">
        <v>22</v>
      </c>
      <c r="D646" s="5" t="s">
        <v>1620</v>
      </c>
      <c r="E646" s="5" t="s">
        <v>1621</v>
      </c>
      <c r="F646" s="5" t="s">
        <v>1616</v>
      </c>
      <c r="G646" s="6">
        <v>0.09</v>
      </c>
      <c r="H646" s="5" t="s">
        <v>1622</v>
      </c>
      <c r="I646" s="5" t="s">
        <v>20</v>
      </c>
      <c r="J646" s="5">
        <v>2022.0</v>
      </c>
      <c r="K646" s="5" t="s">
        <v>1623</v>
      </c>
      <c r="L646" s="5">
        <v>1.0</v>
      </c>
      <c r="M646" s="7">
        <f t="shared" si="3"/>
        <v>0.09</v>
      </c>
    </row>
    <row r="647">
      <c r="A647" s="5" t="s">
        <v>1624</v>
      </c>
      <c r="B647" s="5" t="s">
        <v>1625</v>
      </c>
      <c r="C647" s="5" t="s">
        <v>22</v>
      </c>
      <c r="D647" s="5" t="s">
        <v>1626</v>
      </c>
      <c r="E647" s="5" t="s">
        <v>1627</v>
      </c>
      <c r="F647" s="5" t="s">
        <v>1616</v>
      </c>
      <c r="G647" s="6">
        <v>0.09</v>
      </c>
      <c r="H647" s="5" t="s">
        <v>1628</v>
      </c>
      <c r="I647" s="5" t="s">
        <v>20</v>
      </c>
      <c r="J647" s="5">
        <v>2021.0</v>
      </c>
      <c r="K647" s="8">
        <v>46085.0</v>
      </c>
      <c r="L647" s="5">
        <v>1.0</v>
      </c>
      <c r="M647" s="7">
        <f t="shared" si="3"/>
        <v>0.09</v>
      </c>
    </row>
    <row r="648">
      <c r="A648" s="5" t="s">
        <v>1629</v>
      </c>
      <c r="B648" s="5" t="s">
        <v>1630</v>
      </c>
      <c r="C648" s="5" t="s">
        <v>1631</v>
      </c>
      <c r="D648" s="5" t="s">
        <v>1632</v>
      </c>
      <c r="E648" s="5" t="s">
        <v>1281</v>
      </c>
      <c r="F648" s="5" t="s">
        <v>1633</v>
      </c>
      <c r="G648" s="6">
        <v>0.24</v>
      </c>
      <c r="H648" s="5" t="s">
        <v>1634</v>
      </c>
      <c r="I648" s="5" t="s">
        <v>20</v>
      </c>
      <c r="J648" s="5">
        <v>2024.0</v>
      </c>
      <c r="K648" s="8">
        <v>46056.0</v>
      </c>
      <c r="L648" s="5">
        <v>1.0</v>
      </c>
      <c r="M648" s="7">
        <f t="shared" si="3"/>
        <v>0.24</v>
      </c>
    </row>
    <row r="649">
      <c r="A649" s="5" t="s">
        <v>1635</v>
      </c>
      <c r="B649" s="5" t="s">
        <v>612</v>
      </c>
      <c r="C649" s="5" t="s">
        <v>1631</v>
      </c>
      <c r="D649" s="5" t="s">
        <v>1636</v>
      </c>
      <c r="E649" s="5" t="s">
        <v>975</v>
      </c>
      <c r="F649" s="5" t="s">
        <v>1633</v>
      </c>
      <c r="G649" s="6">
        <v>0.1</v>
      </c>
      <c r="H649" s="5" t="s">
        <v>1637</v>
      </c>
      <c r="I649" s="5" t="s">
        <v>20</v>
      </c>
      <c r="J649" s="5">
        <v>2005.0</v>
      </c>
      <c r="L649" s="5">
        <v>1.0</v>
      </c>
      <c r="M649" s="7">
        <f t="shared" si="3"/>
        <v>0.1</v>
      </c>
    </row>
    <row r="650">
      <c r="A650" s="5" t="s">
        <v>1638</v>
      </c>
      <c r="B650" s="5" t="s">
        <v>1639</v>
      </c>
      <c r="C650" s="5" t="s">
        <v>101</v>
      </c>
      <c r="D650" s="5" t="s">
        <v>1640</v>
      </c>
      <c r="E650" s="5" t="s">
        <v>1281</v>
      </c>
      <c r="F650" s="5" t="s">
        <v>1616</v>
      </c>
      <c r="G650" s="6">
        <v>0.75</v>
      </c>
      <c r="H650" s="5" t="s">
        <v>1641</v>
      </c>
      <c r="I650" s="5" t="s">
        <v>20</v>
      </c>
      <c r="J650" s="5">
        <v>2024.0</v>
      </c>
      <c r="K650" s="5" t="s">
        <v>221</v>
      </c>
      <c r="L650" s="5">
        <v>1.0</v>
      </c>
      <c r="M650" s="7">
        <f t="shared" si="3"/>
        <v>0.75</v>
      </c>
    </row>
    <row r="651">
      <c r="A651" s="5" t="s">
        <v>1642</v>
      </c>
      <c r="B651" s="5" t="s">
        <v>82</v>
      </c>
      <c r="C651" s="5" t="s">
        <v>101</v>
      </c>
      <c r="D651" s="5" t="s">
        <v>1643</v>
      </c>
      <c r="E651" s="5" t="s">
        <v>1037</v>
      </c>
      <c r="F651" s="5" t="s">
        <v>80</v>
      </c>
      <c r="G651" s="6">
        <v>0.23</v>
      </c>
      <c r="H651" s="5" t="s">
        <v>1644</v>
      </c>
      <c r="I651" s="5" t="s">
        <v>20</v>
      </c>
      <c r="J651" s="5">
        <v>2019.0</v>
      </c>
      <c r="K651" s="5" t="s">
        <v>221</v>
      </c>
      <c r="L651" s="5">
        <v>1.0</v>
      </c>
      <c r="M651" s="7">
        <f t="shared" si="3"/>
        <v>0.23</v>
      </c>
    </row>
    <row r="652">
      <c r="A652" s="5" t="s">
        <v>1645</v>
      </c>
      <c r="B652" s="5" t="s">
        <v>406</v>
      </c>
      <c r="C652" s="5" t="s">
        <v>22</v>
      </c>
      <c r="D652" s="5" t="s">
        <v>1646</v>
      </c>
      <c r="E652" s="5" t="s">
        <v>1037</v>
      </c>
      <c r="F652" s="5" t="s">
        <v>80</v>
      </c>
      <c r="G652" s="6">
        <v>0.03</v>
      </c>
      <c r="H652" s="5" t="s">
        <v>1647</v>
      </c>
      <c r="I652" s="5" t="s">
        <v>20</v>
      </c>
      <c r="J652" s="5">
        <v>2018.0</v>
      </c>
      <c r="K652" s="5" t="s">
        <v>221</v>
      </c>
      <c r="L652" s="5">
        <v>1.0</v>
      </c>
      <c r="M652" s="7">
        <f t="shared" si="3"/>
        <v>0.03</v>
      </c>
    </row>
    <row r="653">
      <c r="A653" s="5" t="s">
        <v>1648</v>
      </c>
      <c r="B653" s="5" t="s">
        <v>82</v>
      </c>
      <c r="C653" s="5" t="s">
        <v>1649</v>
      </c>
      <c r="D653" s="5" t="s">
        <v>1650</v>
      </c>
      <c r="E653" s="5" t="s">
        <v>1271</v>
      </c>
      <c r="F653" s="5" t="s">
        <v>80</v>
      </c>
      <c r="G653" s="6">
        <v>1.5</v>
      </c>
      <c r="H653" s="5" t="s">
        <v>1651</v>
      </c>
      <c r="I653" s="5" t="s">
        <v>20</v>
      </c>
      <c r="J653" s="5">
        <v>2024.0</v>
      </c>
      <c r="K653" s="5" t="s">
        <v>221</v>
      </c>
      <c r="L653" s="5">
        <v>4.0</v>
      </c>
      <c r="M653" s="7">
        <f t="shared" si="3"/>
        <v>6</v>
      </c>
    </row>
    <row r="654">
      <c r="A654" s="5" t="s">
        <v>1652</v>
      </c>
      <c r="B654" s="5" t="s">
        <v>82</v>
      </c>
      <c r="C654" s="5" t="s">
        <v>15</v>
      </c>
      <c r="D654" s="5" t="s">
        <v>1653</v>
      </c>
      <c r="E654" s="5" t="s">
        <v>1034</v>
      </c>
      <c r="F654" s="5" t="s">
        <v>80</v>
      </c>
      <c r="G654" s="6">
        <v>0.06</v>
      </c>
      <c r="H654" s="5" t="s">
        <v>1644</v>
      </c>
      <c r="I654" s="5" t="s">
        <v>20</v>
      </c>
      <c r="J654" s="5">
        <v>2019.0</v>
      </c>
      <c r="K654" s="5" t="s">
        <v>221</v>
      </c>
      <c r="L654" s="5">
        <v>2.0</v>
      </c>
      <c r="M654" s="7">
        <f t="shared" si="3"/>
        <v>0.12</v>
      </c>
    </row>
    <row r="655">
      <c r="A655" s="5" t="s">
        <v>1654</v>
      </c>
      <c r="B655" s="5" t="s">
        <v>82</v>
      </c>
      <c r="C655" s="5" t="s">
        <v>15</v>
      </c>
      <c r="D655" s="5" t="s">
        <v>1655</v>
      </c>
      <c r="E655" s="5" t="s">
        <v>1034</v>
      </c>
      <c r="F655" s="5" t="s">
        <v>80</v>
      </c>
      <c r="G655" s="6">
        <v>0.06</v>
      </c>
      <c r="H655" s="5" t="s">
        <v>1644</v>
      </c>
      <c r="I655" s="5" t="s">
        <v>20</v>
      </c>
      <c r="J655" s="5">
        <v>2019.0</v>
      </c>
      <c r="K655" s="5" t="s">
        <v>221</v>
      </c>
      <c r="L655" s="5">
        <v>2.0</v>
      </c>
      <c r="M655" s="7">
        <f t="shared" si="3"/>
        <v>0.12</v>
      </c>
    </row>
    <row r="656">
      <c r="A656" s="5" t="s">
        <v>1656</v>
      </c>
      <c r="B656" s="5" t="s">
        <v>82</v>
      </c>
      <c r="C656" s="5" t="s">
        <v>15</v>
      </c>
      <c r="D656" s="5" t="s">
        <v>1657</v>
      </c>
      <c r="E656" s="5" t="s">
        <v>1034</v>
      </c>
      <c r="F656" s="5" t="s">
        <v>80</v>
      </c>
      <c r="G656" s="6">
        <v>0.08</v>
      </c>
      <c r="H656" s="5" t="s">
        <v>1644</v>
      </c>
      <c r="I656" s="5" t="s">
        <v>20</v>
      </c>
      <c r="J656" s="5">
        <v>2019.0</v>
      </c>
      <c r="K656" s="5" t="s">
        <v>221</v>
      </c>
      <c r="L656" s="5">
        <v>2.0</v>
      </c>
      <c r="M656" s="7">
        <f t="shared" si="3"/>
        <v>0.16</v>
      </c>
    </row>
    <row r="657">
      <c r="A657" s="5" t="s">
        <v>1658</v>
      </c>
      <c r="B657" s="5" t="s">
        <v>82</v>
      </c>
      <c r="C657" s="5" t="s">
        <v>15</v>
      </c>
      <c r="D657" s="5" t="s">
        <v>1659</v>
      </c>
      <c r="E657" s="5" t="s">
        <v>1034</v>
      </c>
      <c r="F657" s="5" t="s">
        <v>80</v>
      </c>
      <c r="G657" s="6">
        <v>0.06</v>
      </c>
      <c r="H657" s="5" t="s">
        <v>1644</v>
      </c>
      <c r="I657" s="5" t="s">
        <v>20</v>
      </c>
      <c r="J657" s="5">
        <v>2019.0</v>
      </c>
      <c r="K657" s="5" t="s">
        <v>221</v>
      </c>
      <c r="L657" s="5">
        <v>4.0</v>
      </c>
      <c r="M657" s="7">
        <f t="shared" si="3"/>
        <v>0.24</v>
      </c>
    </row>
    <row r="658">
      <c r="A658" s="5" t="s">
        <v>1660</v>
      </c>
      <c r="B658" s="5" t="s">
        <v>406</v>
      </c>
      <c r="C658" s="5" t="s">
        <v>22</v>
      </c>
      <c r="D658" s="5" t="s">
        <v>1661</v>
      </c>
      <c r="E658" s="5" t="s">
        <v>1271</v>
      </c>
      <c r="F658" s="5" t="s">
        <v>80</v>
      </c>
      <c r="G658" s="6">
        <v>0.06</v>
      </c>
      <c r="H658" s="5" t="s">
        <v>1644</v>
      </c>
      <c r="I658" s="5" t="s">
        <v>20</v>
      </c>
      <c r="J658" s="5">
        <v>2019.0</v>
      </c>
      <c r="K658" s="5" t="s">
        <v>221</v>
      </c>
      <c r="L658" s="5">
        <v>4.0</v>
      </c>
      <c r="M658" s="7">
        <f t="shared" si="3"/>
        <v>0.24</v>
      </c>
    </row>
    <row r="659">
      <c r="A659" s="5" t="s">
        <v>1662</v>
      </c>
      <c r="B659" s="5" t="s">
        <v>82</v>
      </c>
      <c r="C659" s="5" t="s">
        <v>15</v>
      </c>
      <c r="D659" s="5" t="s">
        <v>1663</v>
      </c>
      <c r="E659" s="5" t="s">
        <v>1034</v>
      </c>
      <c r="F659" s="5" t="s">
        <v>80</v>
      </c>
      <c r="G659" s="6">
        <v>0.06</v>
      </c>
      <c r="H659" s="5" t="s">
        <v>1644</v>
      </c>
      <c r="I659" s="5" t="s">
        <v>20</v>
      </c>
      <c r="J659" s="5">
        <v>2019.0</v>
      </c>
      <c r="K659" s="5" t="s">
        <v>221</v>
      </c>
      <c r="L659" s="5">
        <v>3.0</v>
      </c>
      <c r="M659" s="7">
        <f t="shared" si="3"/>
        <v>0.18</v>
      </c>
    </row>
    <row r="660">
      <c r="A660" s="5" t="s">
        <v>1664</v>
      </c>
      <c r="B660" s="5" t="s">
        <v>1665</v>
      </c>
      <c r="C660" s="5" t="s">
        <v>15</v>
      </c>
      <c r="D660" s="5" t="s">
        <v>1666</v>
      </c>
      <c r="E660" s="5" t="s">
        <v>1037</v>
      </c>
      <c r="F660" s="5" t="s">
        <v>80</v>
      </c>
      <c r="G660" s="6">
        <v>0.03</v>
      </c>
      <c r="H660" s="5" t="s">
        <v>1667</v>
      </c>
      <c r="I660" s="5" t="s">
        <v>20</v>
      </c>
      <c r="J660" s="5">
        <v>2018.0</v>
      </c>
      <c r="K660" s="8">
        <v>46082.0</v>
      </c>
      <c r="L660" s="5">
        <v>4.0</v>
      </c>
      <c r="M660" s="7">
        <f t="shared" si="3"/>
        <v>0.12</v>
      </c>
    </row>
    <row r="661">
      <c r="A661" s="5" t="s">
        <v>1668</v>
      </c>
      <c r="B661" s="5" t="s">
        <v>1669</v>
      </c>
      <c r="C661" s="5" t="s">
        <v>1670</v>
      </c>
      <c r="D661" s="5" t="s">
        <v>1671</v>
      </c>
      <c r="E661" s="5" t="s">
        <v>1271</v>
      </c>
      <c r="F661" s="5" t="s">
        <v>1672</v>
      </c>
      <c r="G661" s="6">
        <v>0.15</v>
      </c>
      <c r="H661" s="5" t="s">
        <v>1673</v>
      </c>
      <c r="I661" s="5" t="s">
        <v>20</v>
      </c>
      <c r="J661" s="5">
        <v>2025.0</v>
      </c>
      <c r="K661" s="5" t="s">
        <v>221</v>
      </c>
      <c r="L661" s="5">
        <v>4.0</v>
      </c>
      <c r="M661" s="7">
        <f t="shared" si="3"/>
        <v>0.6</v>
      </c>
    </row>
    <row r="662">
      <c r="A662" s="5" t="s">
        <v>1674</v>
      </c>
      <c r="B662" s="5" t="s">
        <v>82</v>
      </c>
      <c r="C662" s="5" t="s">
        <v>22</v>
      </c>
      <c r="D662" s="5" t="s">
        <v>1675</v>
      </c>
      <c r="E662" s="5" t="s">
        <v>1271</v>
      </c>
      <c r="F662" s="5" t="s">
        <v>80</v>
      </c>
      <c r="G662" s="6">
        <v>0.25</v>
      </c>
      <c r="H662" s="5" t="s">
        <v>1676</v>
      </c>
      <c r="I662" s="5" t="s">
        <v>20</v>
      </c>
      <c r="J662" s="5">
        <v>2012.0</v>
      </c>
      <c r="K662" s="5" t="s">
        <v>221</v>
      </c>
      <c r="L662" s="5">
        <v>3.0</v>
      </c>
      <c r="M662" s="7">
        <f t="shared" si="3"/>
        <v>0.75</v>
      </c>
    </row>
    <row r="663">
      <c r="A663" s="5" t="s">
        <v>1677</v>
      </c>
      <c r="B663" s="5" t="s">
        <v>1509</v>
      </c>
      <c r="C663" s="5" t="s">
        <v>15</v>
      </c>
      <c r="D663" s="5" t="s">
        <v>1678</v>
      </c>
      <c r="E663" s="5" t="s">
        <v>1034</v>
      </c>
      <c r="F663" s="5" t="s">
        <v>80</v>
      </c>
      <c r="G663" s="6">
        <v>0.13</v>
      </c>
      <c r="H663" s="5" t="s">
        <v>1679</v>
      </c>
      <c r="I663" s="5" t="s">
        <v>20</v>
      </c>
      <c r="J663" s="5">
        <v>2008.0</v>
      </c>
      <c r="K663" s="8">
        <v>46055.0</v>
      </c>
      <c r="L663" s="5">
        <v>2.0</v>
      </c>
      <c r="M663" s="7">
        <f t="shared" si="3"/>
        <v>0.26</v>
      </c>
    </row>
    <row r="664">
      <c r="A664" s="5" t="s">
        <v>1680</v>
      </c>
      <c r="B664" s="5" t="s">
        <v>1681</v>
      </c>
      <c r="C664" s="5" t="s">
        <v>1670</v>
      </c>
      <c r="D664" s="5" t="s">
        <v>1682</v>
      </c>
      <c r="E664" s="5" t="s">
        <v>1683</v>
      </c>
      <c r="F664" s="5" t="s">
        <v>1672</v>
      </c>
      <c r="G664" s="6">
        <v>0.03</v>
      </c>
      <c r="H664" s="5" t="s">
        <v>1684</v>
      </c>
      <c r="I664" s="5" t="s">
        <v>20</v>
      </c>
      <c r="J664" s="5">
        <v>2015.0</v>
      </c>
      <c r="K664" s="5" t="s">
        <v>1258</v>
      </c>
      <c r="L664" s="5">
        <v>2.0</v>
      </c>
      <c r="M664" s="7">
        <f t="shared" si="3"/>
        <v>0.06</v>
      </c>
    </row>
    <row r="665">
      <c r="A665" s="5" t="s">
        <v>1685</v>
      </c>
      <c r="B665" s="5" t="s">
        <v>1686</v>
      </c>
      <c r="C665" s="5" t="s">
        <v>15</v>
      </c>
      <c r="D665" s="5" t="s">
        <v>1687</v>
      </c>
      <c r="E665" s="5" t="s">
        <v>1034</v>
      </c>
      <c r="F665" s="5" t="s">
        <v>80</v>
      </c>
      <c r="G665" s="6">
        <v>0.15</v>
      </c>
      <c r="H665" s="5" t="s">
        <v>1688</v>
      </c>
      <c r="I665" s="5" t="s">
        <v>20</v>
      </c>
      <c r="J665" s="5">
        <v>2021.0</v>
      </c>
      <c r="K665" s="5" t="s">
        <v>221</v>
      </c>
      <c r="L665" s="5">
        <v>2.0</v>
      </c>
      <c r="M665" s="7">
        <f t="shared" si="3"/>
        <v>0.3</v>
      </c>
    </row>
    <row r="666">
      <c r="A666" s="5" t="s">
        <v>1689</v>
      </c>
      <c r="B666" s="5" t="s">
        <v>1690</v>
      </c>
      <c r="C666" s="5" t="s">
        <v>15</v>
      </c>
      <c r="D666" s="5" t="s">
        <v>1691</v>
      </c>
      <c r="E666" s="5" t="s">
        <v>1034</v>
      </c>
      <c r="F666" s="5" t="s">
        <v>80</v>
      </c>
      <c r="G666" s="6">
        <v>0.1</v>
      </c>
      <c r="H666" s="5" t="s">
        <v>1692</v>
      </c>
      <c r="I666" s="5" t="s">
        <v>20</v>
      </c>
      <c r="J666" s="5">
        <v>2020.0</v>
      </c>
      <c r="K666" s="8">
        <v>46055.0</v>
      </c>
      <c r="L666" s="5">
        <v>4.0</v>
      </c>
      <c r="M666" s="7">
        <f t="shared" si="3"/>
        <v>0.4</v>
      </c>
    </row>
    <row r="667">
      <c r="A667" s="5" t="s">
        <v>1693</v>
      </c>
      <c r="B667" s="5" t="s">
        <v>1694</v>
      </c>
      <c r="C667" s="5" t="s">
        <v>15</v>
      </c>
      <c r="D667" s="5" t="s">
        <v>1695</v>
      </c>
      <c r="E667" s="5" t="s">
        <v>1696</v>
      </c>
      <c r="F667" s="5" t="s">
        <v>80</v>
      </c>
      <c r="G667" s="6">
        <v>0.1</v>
      </c>
      <c r="H667" s="5" t="s">
        <v>1697</v>
      </c>
      <c r="I667" s="5" t="s">
        <v>20</v>
      </c>
      <c r="J667" s="5">
        <v>2004.0</v>
      </c>
      <c r="K667" s="8">
        <v>46114.0</v>
      </c>
      <c r="L667" s="5">
        <v>2.0</v>
      </c>
      <c r="M667" s="7">
        <f t="shared" si="3"/>
        <v>0.2</v>
      </c>
    </row>
    <row r="668">
      <c r="A668" s="5" t="s">
        <v>1698</v>
      </c>
      <c r="B668" s="5" t="s">
        <v>82</v>
      </c>
      <c r="C668" s="5" t="s">
        <v>15</v>
      </c>
      <c r="D668" s="5" t="s">
        <v>1699</v>
      </c>
      <c r="E668" s="5" t="s">
        <v>1271</v>
      </c>
      <c r="F668" s="5" t="s">
        <v>80</v>
      </c>
      <c r="G668" s="6">
        <v>0.45</v>
      </c>
      <c r="H668" s="5" t="s">
        <v>1700</v>
      </c>
      <c r="I668" s="5" t="s">
        <v>20</v>
      </c>
      <c r="J668" s="5">
        <v>2003.0</v>
      </c>
      <c r="K668" s="5" t="s">
        <v>221</v>
      </c>
      <c r="L668" s="5">
        <v>1.0</v>
      </c>
      <c r="M668" s="7">
        <f t="shared" si="3"/>
        <v>0.45</v>
      </c>
    </row>
    <row r="669">
      <c r="A669" s="5" t="s">
        <v>1698</v>
      </c>
      <c r="B669" s="5" t="s">
        <v>82</v>
      </c>
      <c r="C669" s="5" t="s">
        <v>15</v>
      </c>
      <c r="D669" s="5" t="s">
        <v>1699</v>
      </c>
      <c r="E669" s="5" t="s">
        <v>1271</v>
      </c>
      <c r="F669" s="5" t="s">
        <v>80</v>
      </c>
      <c r="G669" s="6">
        <v>2.99</v>
      </c>
      <c r="H669" s="5" t="s">
        <v>1701</v>
      </c>
      <c r="I669" s="5" t="s">
        <v>20</v>
      </c>
      <c r="J669" s="5">
        <v>2010.0</v>
      </c>
      <c r="K669" s="5" t="s">
        <v>221</v>
      </c>
      <c r="L669" s="5">
        <v>2.0</v>
      </c>
      <c r="M669" s="7">
        <f t="shared" si="3"/>
        <v>5.98</v>
      </c>
    </row>
    <row r="670">
      <c r="A670" s="5" t="s">
        <v>1702</v>
      </c>
      <c r="B670" s="5" t="s">
        <v>82</v>
      </c>
      <c r="C670" s="5" t="s">
        <v>15</v>
      </c>
      <c r="D670" s="5" t="s">
        <v>1703</v>
      </c>
      <c r="E670" s="5" t="s">
        <v>1034</v>
      </c>
      <c r="F670" s="5" t="s">
        <v>80</v>
      </c>
      <c r="G670" s="6">
        <v>0.15</v>
      </c>
      <c r="H670" s="5" t="s">
        <v>1704</v>
      </c>
      <c r="I670" s="5" t="s">
        <v>20</v>
      </c>
      <c r="J670" s="5">
        <v>2008.0</v>
      </c>
      <c r="K670" s="5" t="s">
        <v>221</v>
      </c>
      <c r="L670" s="5">
        <v>2.0</v>
      </c>
      <c r="M670" s="7">
        <f t="shared" si="3"/>
        <v>0.3</v>
      </c>
    </row>
    <row r="671">
      <c r="A671" s="5" t="s">
        <v>1705</v>
      </c>
      <c r="B671" s="5" t="s">
        <v>82</v>
      </c>
      <c r="C671" s="5" t="s">
        <v>15</v>
      </c>
      <c r="D671" s="5" t="s">
        <v>1706</v>
      </c>
      <c r="E671" s="5" t="s">
        <v>1037</v>
      </c>
      <c r="F671" s="5" t="s">
        <v>80</v>
      </c>
      <c r="G671" s="6">
        <v>0.09</v>
      </c>
      <c r="H671" s="5" t="s">
        <v>1707</v>
      </c>
      <c r="I671" s="5" t="s">
        <v>20</v>
      </c>
      <c r="J671" s="5">
        <v>2016.0</v>
      </c>
      <c r="K671" s="5" t="s">
        <v>221</v>
      </c>
      <c r="L671" s="5">
        <v>4.0</v>
      </c>
      <c r="M671" s="7">
        <f t="shared" si="3"/>
        <v>0.36</v>
      </c>
    </row>
    <row r="672">
      <c r="A672" s="5" t="s">
        <v>1708</v>
      </c>
      <c r="B672" s="5" t="s">
        <v>1709</v>
      </c>
      <c r="C672" s="5" t="s">
        <v>15</v>
      </c>
      <c r="D672" s="5" t="s">
        <v>1710</v>
      </c>
      <c r="E672" s="5" t="s">
        <v>1696</v>
      </c>
      <c r="F672" s="5" t="s">
        <v>80</v>
      </c>
      <c r="G672" s="6">
        <v>0.04</v>
      </c>
      <c r="H672" s="5" t="s">
        <v>1711</v>
      </c>
      <c r="I672" s="5" t="s">
        <v>20</v>
      </c>
      <c r="J672" s="5">
        <v>2019.0</v>
      </c>
      <c r="K672" s="8">
        <v>46147.0</v>
      </c>
      <c r="L672" s="5">
        <v>3.0</v>
      </c>
      <c r="M672" s="7">
        <f t="shared" si="3"/>
        <v>0.12</v>
      </c>
    </row>
    <row r="673">
      <c r="A673" s="5" t="s">
        <v>1712</v>
      </c>
      <c r="B673" s="5" t="s">
        <v>571</v>
      </c>
      <c r="C673" s="5" t="s">
        <v>15</v>
      </c>
      <c r="D673" s="5" t="s">
        <v>1713</v>
      </c>
      <c r="E673" s="5" t="s">
        <v>1034</v>
      </c>
      <c r="F673" s="5" t="s">
        <v>80</v>
      </c>
      <c r="G673" s="6">
        <v>0.05</v>
      </c>
      <c r="H673" s="5" t="s">
        <v>1714</v>
      </c>
      <c r="I673" s="5" t="s">
        <v>20</v>
      </c>
      <c r="J673" s="5">
        <v>2022.0</v>
      </c>
      <c r="K673" s="8">
        <v>46085.0</v>
      </c>
      <c r="L673" s="5">
        <v>2.0</v>
      </c>
      <c r="M673" s="7">
        <f t="shared" si="3"/>
        <v>0.1</v>
      </c>
    </row>
    <row r="674">
      <c r="A674" s="5" t="s">
        <v>1715</v>
      </c>
      <c r="B674" s="5" t="s">
        <v>82</v>
      </c>
      <c r="C674" s="5" t="s">
        <v>15</v>
      </c>
      <c r="D674" s="5" t="s">
        <v>1716</v>
      </c>
      <c r="E674" s="5" t="s">
        <v>1271</v>
      </c>
      <c r="F674" s="5" t="s">
        <v>80</v>
      </c>
      <c r="G674" s="6">
        <v>0.04</v>
      </c>
      <c r="H674" s="5" t="s">
        <v>1717</v>
      </c>
      <c r="I674" s="5" t="s">
        <v>20</v>
      </c>
      <c r="J674" s="5">
        <v>2020.0</v>
      </c>
      <c r="K674" s="5" t="s">
        <v>221</v>
      </c>
      <c r="L674" s="5">
        <v>1.0</v>
      </c>
      <c r="M674" s="7">
        <f t="shared" si="3"/>
        <v>0.04</v>
      </c>
    </row>
    <row r="675">
      <c r="A675" s="5" t="s">
        <v>1718</v>
      </c>
      <c r="B675" s="5" t="s">
        <v>1719</v>
      </c>
      <c r="C675" s="5" t="s">
        <v>1670</v>
      </c>
      <c r="D675" s="5" t="s">
        <v>1720</v>
      </c>
      <c r="E675" s="5" t="s">
        <v>1721</v>
      </c>
      <c r="F675" s="5" t="s">
        <v>1672</v>
      </c>
      <c r="G675" s="6">
        <v>0.32</v>
      </c>
      <c r="H675" s="5" t="s">
        <v>1684</v>
      </c>
      <c r="I675" s="5" t="s">
        <v>20</v>
      </c>
      <c r="J675" s="5">
        <v>2015.0</v>
      </c>
      <c r="K675" s="8">
        <v>46055.0</v>
      </c>
      <c r="L675" s="5">
        <v>1.0</v>
      </c>
      <c r="M675" s="7">
        <f t="shared" si="3"/>
        <v>0.32</v>
      </c>
    </row>
    <row r="676">
      <c r="A676" s="5" t="s">
        <v>1722</v>
      </c>
      <c r="B676" s="5" t="s">
        <v>1723</v>
      </c>
      <c r="C676" s="5" t="s">
        <v>1670</v>
      </c>
      <c r="D676" s="5" t="s">
        <v>1724</v>
      </c>
      <c r="E676" s="5" t="s">
        <v>1037</v>
      </c>
      <c r="F676" s="5" t="s">
        <v>1672</v>
      </c>
      <c r="G676" s="6">
        <v>0.07</v>
      </c>
      <c r="H676" s="5" t="s">
        <v>1673</v>
      </c>
      <c r="I676" s="5" t="s">
        <v>20</v>
      </c>
      <c r="J676" s="5">
        <v>2025.0</v>
      </c>
      <c r="K676" s="8">
        <v>46055.0</v>
      </c>
      <c r="L676" s="5">
        <v>1.0</v>
      </c>
      <c r="M676" s="7">
        <f t="shared" si="3"/>
        <v>0.07</v>
      </c>
    </row>
    <row r="677">
      <c r="A677" s="5" t="s">
        <v>1725</v>
      </c>
      <c r="B677" s="5" t="s">
        <v>1509</v>
      </c>
      <c r="C677" s="5" t="s">
        <v>15</v>
      </c>
      <c r="D677" s="5" t="s">
        <v>1726</v>
      </c>
      <c r="E677" s="5" t="s">
        <v>1721</v>
      </c>
      <c r="F677" s="5" t="s">
        <v>80</v>
      </c>
      <c r="G677" s="6">
        <v>0.05</v>
      </c>
      <c r="H677" s="5" t="s">
        <v>1711</v>
      </c>
      <c r="I677" s="5" t="s">
        <v>20</v>
      </c>
      <c r="J677" s="5">
        <v>2019.0</v>
      </c>
      <c r="K677" s="8">
        <v>46114.0</v>
      </c>
      <c r="L677" s="5">
        <v>1.0</v>
      </c>
      <c r="M677" s="7">
        <f t="shared" si="3"/>
        <v>0.05</v>
      </c>
    </row>
    <row r="678">
      <c r="A678" s="5" t="s">
        <v>1727</v>
      </c>
      <c r="B678" s="5" t="s">
        <v>1728</v>
      </c>
      <c r="C678" s="5" t="s">
        <v>1670</v>
      </c>
      <c r="D678" s="5" t="s">
        <v>1729</v>
      </c>
      <c r="E678" s="5" t="s">
        <v>1037</v>
      </c>
      <c r="F678" s="5" t="s">
        <v>1672</v>
      </c>
      <c r="G678" s="6">
        <v>0.05</v>
      </c>
      <c r="H678" s="5" t="s">
        <v>1673</v>
      </c>
      <c r="I678" s="5" t="s">
        <v>20</v>
      </c>
      <c r="J678" s="5">
        <v>2025.0</v>
      </c>
      <c r="K678" s="8">
        <v>46024.0</v>
      </c>
      <c r="L678" s="5">
        <v>1.0</v>
      </c>
      <c r="M678" s="7">
        <f t="shared" si="3"/>
        <v>0.05</v>
      </c>
    </row>
    <row r="679">
      <c r="A679" s="5" t="s">
        <v>1730</v>
      </c>
      <c r="B679" s="5" t="s">
        <v>82</v>
      </c>
      <c r="C679" s="5" t="s">
        <v>15</v>
      </c>
      <c r="D679" s="5" t="s">
        <v>1731</v>
      </c>
      <c r="E679" s="5" t="s">
        <v>1034</v>
      </c>
      <c r="F679" s="5" t="s">
        <v>80</v>
      </c>
      <c r="G679" s="6">
        <v>0.4</v>
      </c>
      <c r="H679" s="5" t="s">
        <v>1714</v>
      </c>
      <c r="I679" s="5" t="s">
        <v>31</v>
      </c>
      <c r="J679" s="5">
        <v>2022.0</v>
      </c>
      <c r="K679" s="5" t="s">
        <v>221</v>
      </c>
      <c r="L679" s="5">
        <v>2.0</v>
      </c>
      <c r="M679" s="7">
        <f t="shared" si="3"/>
        <v>0.8</v>
      </c>
    </row>
    <row r="680">
      <c r="A680" s="5" t="s">
        <v>1732</v>
      </c>
      <c r="B680" s="5" t="s">
        <v>1733</v>
      </c>
      <c r="C680" s="5" t="s">
        <v>1631</v>
      </c>
      <c r="D680" s="5" t="s">
        <v>1734</v>
      </c>
      <c r="E680" s="5" t="s">
        <v>1735</v>
      </c>
      <c r="F680" s="5" t="s">
        <v>1672</v>
      </c>
      <c r="G680" s="6">
        <v>1.1</v>
      </c>
      <c r="H680" s="5" t="s">
        <v>1700</v>
      </c>
      <c r="I680" s="5" t="s">
        <v>20</v>
      </c>
      <c r="J680" s="5">
        <v>2003.0</v>
      </c>
      <c r="K680" s="5" t="s">
        <v>1736</v>
      </c>
      <c r="L680" s="5">
        <v>1.0</v>
      </c>
      <c r="M680" s="7">
        <f t="shared" si="3"/>
        <v>1.1</v>
      </c>
    </row>
    <row r="681">
      <c r="A681" s="5" t="s">
        <v>1737</v>
      </c>
      <c r="B681" s="5" t="s">
        <v>1738</v>
      </c>
      <c r="C681" s="5" t="s">
        <v>15</v>
      </c>
      <c r="D681" s="5" t="s">
        <v>1739</v>
      </c>
      <c r="E681" s="5" t="s">
        <v>1037</v>
      </c>
      <c r="F681" s="5" t="s">
        <v>80</v>
      </c>
      <c r="G681" s="6">
        <v>0.04</v>
      </c>
      <c r="H681" s="5" t="s">
        <v>1711</v>
      </c>
      <c r="I681" s="5" t="s">
        <v>20</v>
      </c>
      <c r="J681" s="5">
        <v>2019.0</v>
      </c>
      <c r="K681" s="8">
        <v>46024.0</v>
      </c>
      <c r="L681" s="5">
        <v>1.0</v>
      </c>
      <c r="M681" s="7">
        <f t="shared" si="3"/>
        <v>0.04</v>
      </c>
    </row>
    <row r="682">
      <c r="A682" s="5" t="s">
        <v>1740</v>
      </c>
      <c r="B682" s="5" t="s">
        <v>82</v>
      </c>
      <c r="C682" s="5" t="s">
        <v>15</v>
      </c>
      <c r="D682" s="5" t="s">
        <v>1741</v>
      </c>
      <c r="E682" s="5" t="s">
        <v>1271</v>
      </c>
      <c r="F682" s="5" t="s">
        <v>80</v>
      </c>
      <c r="G682" s="6">
        <v>0.27</v>
      </c>
      <c r="H682" s="5" t="s">
        <v>1742</v>
      </c>
      <c r="I682" s="5" t="s">
        <v>31</v>
      </c>
      <c r="J682" s="5">
        <v>2023.0</v>
      </c>
      <c r="K682" s="5" t="s">
        <v>221</v>
      </c>
      <c r="L682" s="5">
        <v>1.0</v>
      </c>
      <c r="M682" s="7">
        <f t="shared" si="3"/>
        <v>0.27</v>
      </c>
    </row>
    <row r="683">
      <c r="A683" s="5" t="s">
        <v>1743</v>
      </c>
      <c r="B683" s="5" t="s">
        <v>1744</v>
      </c>
      <c r="C683" s="5" t="s">
        <v>1670</v>
      </c>
      <c r="D683" s="5" t="s">
        <v>1745</v>
      </c>
      <c r="E683" s="5" t="s">
        <v>1746</v>
      </c>
      <c r="F683" s="5" t="s">
        <v>152</v>
      </c>
      <c r="G683" s="6">
        <v>2.5</v>
      </c>
      <c r="H683" s="5" t="s">
        <v>1747</v>
      </c>
      <c r="I683" s="5" t="s">
        <v>20</v>
      </c>
      <c r="J683" s="5">
        <v>2000.0</v>
      </c>
      <c r="K683" s="8">
        <v>46023.0</v>
      </c>
      <c r="L683" s="5">
        <v>1.0</v>
      </c>
      <c r="M683" s="7">
        <f t="shared" si="3"/>
        <v>2.5</v>
      </c>
    </row>
    <row r="684">
      <c r="A684" s="5" t="s">
        <v>1748</v>
      </c>
      <c r="B684" s="5" t="s">
        <v>1749</v>
      </c>
      <c r="C684" s="5" t="s">
        <v>15</v>
      </c>
      <c r="D684" s="5" t="s">
        <v>1750</v>
      </c>
      <c r="E684" s="5" t="s">
        <v>715</v>
      </c>
      <c r="F684" s="5" t="s">
        <v>152</v>
      </c>
      <c r="G684" s="6">
        <v>0.24</v>
      </c>
      <c r="H684" s="5" t="s">
        <v>1751</v>
      </c>
      <c r="I684" s="5" t="s">
        <v>20</v>
      </c>
      <c r="J684" s="5">
        <v>1993.0</v>
      </c>
      <c r="K684" s="8">
        <v>46023.0</v>
      </c>
      <c r="L684" s="5">
        <v>1.0</v>
      </c>
      <c r="M684" s="7">
        <f t="shared" si="3"/>
        <v>0.24</v>
      </c>
    </row>
    <row r="685">
      <c r="A685" s="5" t="s">
        <v>1752</v>
      </c>
      <c r="B685" s="5" t="s">
        <v>1753</v>
      </c>
      <c r="C685" s="5" t="s">
        <v>15</v>
      </c>
      <c r="D685" s="5" t="s">
        <v>1754</v>
      </c>
      <c r="E685" s="5" t="s">
        <v>715</v>
      </c>
      <c r="F685" s="5" t="s">
        <v>152</v>
      </c>
      <c r="G685" s="6">
        <v>0.25</v>
      </c>
      <c r="H685" s="5" t="s">
        <v>1751</v>
      </c>
      <c r="I685" s="5" t="s">
        <v>20</v>
      </c>
      <c r="J685" s="5">
        <v>1993.0</v>
      </c>
      <c r="K685" s="5" t="s">
        <v>221</v>
      </c>
      <c r="L685" s="5">
        <v>1.0</v>
      </c>
      <c r="M685" s="7">
        <f t="shared" si="3"/>
        <v>0.25</v>
      </c>
    </row>
    <row r="686">
      <c r="A686" s="5" t="s">
        <v>1755</v>
      </c>
      <c r="B686" s="5" t="s">
        <v>1756</v>
      </c>
      <c r="C686" s="5" t="s">
        <v>22</v>
      </c>
      <c r="D686" s="5" t="s">
        <v>1757</v>
      </c>
      <c r="E686" s="5" t="s">
        <v>1758</v>
      </c>
      <c r="F686" s="5" t="s">
        <v>152</v>
      </c>
      <c r="G686" s="6">
        <v>0.5</v>
      </c>
      <c r="H686" s="5" t="s">
        <v>1751</v>
      </c>
      <c r="I686" s="5" t="s">
        <v>20</v>
      </c>
      <c r="J686" s="5">
        <v>1993.0</v>
      </c>
      <c r="K686" s="5" t="s">
        <v>221</v>
      </c>
      <c r="L686" s="5">
        <v>1.0</v>
      </c>
      <c r="M686" s="7">
        <f t="shared" si="3"/>
        <v>0.5</v>
      </c>
    </row>
    <row r="687">
      <c r="A687" s="5" t="s">
        <v>1759</v>
      </c>
      <c r="B687" s="5" t="s">
        <v>1756</v>
      </c>
      <c r="C687" s="5" t="s">
        <v>15</v>
      </c>
      <c r="D687" s="5" t="s">
        <v>1760</v>
      </c>
      <c r="E687" s="5" t="s">
        <v>1761</v>
      </c>
      <c r="F687" s="5" t="s">
        <v>280</v>
      </c>
      <c r="G687" s="6">
        <v>3.12</v>
      </c>
      <c r="H687" s="5" t="s">
        <v>1751</v>
      </c>
      <c r="I687" s="5" t="s">
        <v>20</v>
      </c>
      <c r="J687" s="5">
        <v>1993.0</v>
      </c>
      <c r="K687" s="5" t="s">
        <v>221</v>
      </c>
      <c r="L687" s="5">
        <v>2.0</v>
      </c>
      <c r="M687" s="7">
        <f t="shared" si="3"/>
        <v>6.24</v>
      </c>
    </row>
    <row r="688">
      <c r="A688" s="5" t="s">
        <v>1762</v>
      </c>
      <c r="B688" s="5" t="s">
        <v>612</v>
      </c>
      <c r="C688" s="5" t="s">
        <v>1613</v>
      </c>
      <c r="D688" s="5" t="s">
        <v>1763</v>
      </c>
      <c r="E688" s="5" t="s">
        <v>1764</v>
      </c>
      <c r="F688" s="5" t="s">
        <v>152</v>
      </c>
      <c r="G688" s="6">
        <v>0.75</v>
      </c>
      <c r="H688" s="5" t="s">
        <v>1765</v>
      </c>
      <c r="I688" s="5" t="s">
        <v>20</v>
      </c>
      <c r="J688" s="5">
        <v>2000.0</v>
      </c>
      <c r="K688" s="5" t="s">
        <v>221</v>
      </c>
      <c r="L688" s="5">
        <v>1.0</v>
      </c>
      <c r="M688" s="7">
        <f t="shared" si="3"/>
        <v>0.75</v>
      </c>
    </row>
    <row r="689">
      <c r="A689" s="5" t="s">
        <v>1766</v>
      </c>
      <c r="B689" s="5" t="s">
        <v>1753</v>
      </c>
      <c r="C689" s="5" t="s">
        <v>15</v>
      </c>
      <c r="D689" s="5" t="s">
        <v>1767</v>
      </c>
      <c r="E689" s="5" t="s">
        <v>631</v>
      </c>
      <c r="F689" s="5" t="s">
        <v>280</v>
      </c>
      <c r="G689" s="6">
        <v>0.09</v>
      </c>
      <c r="H689" s="5" t="s">
        <v>1768</v>
      </c>
      <c r="I689" s="5" t="s">
        <v>20</v>
      </c>
      <c r="J689" s="5">
        <v>1997.0</v>
      </c>
      <c r="K689" s="5" t="s">
        <v>221</v>
      </c>
      <c r="L689" s="5">
        <v>1.0</v>
      </c>
      <c r="M689" s="7">
        <f t="shared" si="3"/>
        <v>0.09</v>
      </c>
    </row>
    <row r="690">
      <c r="A690" s="5" t="s">
        <v>1769</v>
      </c>
      <c r="B690" s="5" t="s">
        <v>1733</v>
      </c>
      <c r="C690" s="5" t="s">
        <v>22</v>
      </c>
      <c r="D690" s="5" t="s">
        <v>1770</v>
      </c>
      <c r="E690" s="5" t="s">
        <v>1721</v>
      </c>
      <c r="F690" s="5" t="s">
        <v>80</v>
      </c>
      <c r="G690" s="6">
        <v>0.14</v>
      </c>
      <c r="H690" s="5" t="s">
        <v>1771</v>
      </c>
      <c r="I690" s="5" t="s">
        <v>20</v>
      </c>
      <c r="J690" s="5">
        <v>1997.0</v>
      </c>
      <c r="K690" s="8">
        <v>46025.0</v>
      </c>
      <c r="L690" s="5">
        <v>1.0</v>
      </c>
      <c r="M690" s="7">
        <f t="shared" si="3"/>
        <v>0.14</v>
      </c>
    </row>
    <row r="691">
      <c r="A691" s="5" t="s">
        <v>1772</v>
      </c>
      <c r="B691" s="5" t="s">
        <v>1733</v>
      </c>
      <c r="C691" s="5" t="s">
        <v>15</v>
      </c>
      <c r="D691" s="5" t="s">
        <v>1773</v>
      </c>
      <c r="E691" s="5" t="s">
        <v>1037</v>
      </c>
      <c r="F691" s="5" t="s">
        <v>80</v>
      </c>
      <c r="G691" s="6">
        <v>0.05</v>
      </c>
      <c r="H691" s="5" t="s">
        <v>1774</v>
      </c>
      <c r="I691" s="5" t="s">
        <v>20</v>
      </c>
      <c r="J691" s="5">
        <v>1995.0</v>
      </c>
      <c r="K691" s="8">
        <v>46023.0</v>
      </c>
      <c r="L691" s="5">
        <v>3.0</v>
      </c>
      <c r="M691" s="7">
        <f t="shared" si="3"/>
        <v>0.15</v>
      </c>
    </row>
    <row r="692">
      <c r="A692" s="5" t="s">
        <v>1775</v>
      </c>
      <c r="B692" s="5" t="s">
        <v>1733</v>
      </c>
      <c r="C692" s="5" t="s">
        <v>22</v>
      </c>
      <c r="D692" s="5" t="s">
        <v>1776</v>
      </c>
      <c r="E692" s="5" t="s">
        <v>1721</v>
      </c>
      <c r="F692" s="5" t="s">
        <v>80</v>
      </c>
      <c r="G692" s="6">
        <v>0.2</v>
      </c>
      <c r="H692" s="5" t="s">
        <v>1777</v>
      </c>
      <c r="I692" s="5" t="s">
        <v>20</v>
      </c>
      <c r="J692" s="5">
        <v>1995.0</v>
      </c>
      <c r="K692" s="5" t="s">
        <v>1778</v>
      </c>
      <c r="L692" s="5">
        <v>1.0</v>
      </c>
      <c r="M692" s="7">
        <f t="shared" si="3"/>
        <v>0.2</v>
      </c>
    </row>
    <row r="693">
      <c r="A693" s="5" t="s">
        <v>1779</v>
      </c>
      <c r="B693" s="5" t="s">
        <v>1780</v>
      </c>
      <c r="C693" s="5" t="s">
        <v>22</v>
      </c>
      <c r="D693" s="5" t="s">
        <v>1781</v>
      </c>
      <c r="E693" s="5" t="s">
        <v>1782</v>
      </c>
      <c r="F693" s="5" t="s">
        <v>152</v>
      </c>
      <c r="G693" s="6">
        <v>0.24</v>
      </c>
      <c r="H693" s="5" t="s">
        <v>1783</v>
      </c>
      <c r="I693" s="5" t="s">
        <v>20</v>
      </c>
      <c r="J693" s="5">
        <v>1994.0</v>
      </c>
      <c r="K693" s="5" t="s">
        <v>1736</v>
      </c>
      <c r="L693" s="5">
        <v>4.0</v>
      </c>
      <c r="M693" s="7">
        <f t="shared" si="3"/>
        <v>0.96</v>
      </c>
    </row>
    <row r="694">
      <c r="A694" s="5" t="s">
        <v>1784</v>
      </c>
      <c r="B694" s="5" t="s">
        <v>1785</v>
      </c>
      <c r="C694" s="5" t="s">
        <v>15</v>
      </c>
      <c r="D694" s="5" t="s">
        <v>1786</v>
      </c>
      <c r="E694" s="5" t="s">
        <v>715</v>
      </c>
      <c r="F694" s="5" t="s">
        <v>152</v>
      </c>
      <c r="G694" s="6">
        <v>0.17</v>
      </c>
      <c r="H694" s="5" t="s">
        <v>1774</v>
      </c>
      <c r="I694" s="5" t="s">
        <v>20</v>
      </c>
      <c r="J694" s="5">
        <v>1995.0</v>
      </c>
      <c r="L694" s="5">
        <v>2.0</v>
      </c>
      <c r="M694" s="7">
        <f t="shared" si="3"/>
        <v>0.34</v>
      </c>
    </row>
    <row r="695">
      <c r="A695" s="5" t="s">
        <v>1787</v>
      </c>
      <c r="B695" s="5" t="s">
        <v>1753</v>
      </c>
      <c r="C695" s="5" t="s">
        <v>15</v>
      </c>
      <c r="D695" s="5" t="s">
        <v>1788</v>
      </c>
      <c r="E695" s="5" t="s">
        <v>715</v>
      </c>
      <c r="F695" s="5" t="s">
        <v>152</v>
      </c>
      <c r="G695" s="6">
        <v>0.15</v>
      </c>
      <c r="H695" s="5" t="s">
        <v>1751</v>
      </c>
      <c r="I695" s="5" t="s">
        <v>20</v>
      </c>
      <c r="J695" s="5">
        <v>1993.0</v>
      </c>
      <c r="L695" s="5">
        <v>1.0</v>
      </c>
      <c r="M695" s="7">
        <f t="shared" si="3"/>
        <v>0.15</v>
      </c>
    </row>
    <row r="696">
      <c r="A696" s="5" t="s">
        <v>1789</v>
      </c>
      <c r="B696" s="5" t="s">
        <v>63</v>
      </c>
      <c r="C696" s="5" t="s">
        <v>15</v>
      </c>
      <c r="D696" s="5" t="s">
        <v>1790</v>
      </c>
      <c r="E696" s="5" t="s">
        <v>1746</v>
      </c>
      <c r="F696" s="5" t="s">
        <v>152</v>
      </c>
      <c r="G696" s="6">
        <v>0.2</v>
      </c>
      <c r="H696" s="5" t="s">
        <v>1774</v>
      </c>
      <c r="I696" s="5" t="s">
        <v>20</v>
      </c>
      <c r="J696" s="5">
        <v>1995.0</v>
      </c>
      <c r="L696" s="5">
        <v>3.0</v>
      </c>
      <c r="M696" s="7">
        <f t="shared" si="3"/>
        <v>0.6</v>
      </c>
    </row>
    <row r="697">
      <c r="A697" s="5" t="s">
        <v>1791</v>
      </c>
      <c r="B697" s="5" t="s">
        <v>1756</v>
      </c>
      <c r="C697" s="5" t="s">
        <v>1670</v>
      </c>
      <c r="D697" s="5" t="s">
        <v>1792</v>
      </c>
      <c r="E697" s="5" t="s">
        <v>1746</v>
      </c>
      <c r="F697" s="5" t="s">
        <v>152</v>
      </c>
      <c r="G697" s="6">
        <v>0.1</v>
      </c>
      <c r="H697" s="5" t="s">
        <v>1793</v>
      </c>
      <c r="I697" s="5" t="s">
        <v>1794</v>
      </c>
      <c r="J697" s="5">
        <v>1995.0</v>
      </c>
      <c r="L697" s="5">
        <v>1.0</v>
      </c>
      <c r="M697" s="7">
        <f t="shared" si="3"/>
        <v>0.1</v>
      </c>
    </row>
    <row r="698">
      <c r="A698" s="5" t="s">
        <v>1795</v>
      </c>
      <c r="B698" s="5" t="s">
        <v>387</v>
      </c>
      <c r="C698" s="5" t="s">
        <v>1613</v>
      </c>
      <c r="D698" s="5" t="s">
        <v>1796</v>
      </c>
      <c r="E698" s="5" t="s">
        <v>1797</v>
      </c>
      <c r="F698" s="5" t="s">
        <v>1798</v>
      </c>
      <c r="G698" s="6">
        <v>6.8</v>
      </c>
      <c r="H698" s="5" t="s">
        <v>1799</v>
      </c>
      <c r="I698" s="5" t="s">
        <v>1794</v>
      </c>
      <c r="J698" s="5">
        <v>1998.0</v>
      </c>
      <c r="L698" s="5">
        <v>1.0</v>
      </c>
      <c r="M698" s="7">
        <f t="shared" si="3"/>
        <v>6.8</v>
      </c>
    </row>
    <row r="699">
      <c r="A699" s="5" t="s">
        <v>1800</v>
      </c>
      <c r="B699" s="5" t="s">
        <v>1801</v>
      </c>
      <c r="C699" s="5" t="s">
        <v>1613</v>
      </c>
      <c r="D699" s="5" t="s">
        <v>1802</v>
      </c>
      <c r="E699" s="5" t="s">
        <v>631</v>
      </c>
      <c r="F699" s="5" t="s">
        <v>280</v>
      </c>
      <c r="G699" s="6">
        <v>1.25</v>
      </c>
      <c r="H699" s="5" t="s">
        <v>1799</v>
      </c>
      <c r="I699" s="5" t="s">
        <v>1794</v>
      </c>
      <c r="J699" s="5">
        <v>1998.0</v>
      </c>
      <c r="L699" s="5">
        <v>1.0</v>
      </c>
      <c r="M699" s="7">
        <f t="shared" si="3"/>
        <v>1.25</v>
      </c>
    </row>
    <row r="700">
      <c r="A700" s="5" t="s">
        <v>1803</v>
      </c>
      <c r="B700" s="5" t="s">
        <v>1756</v>
      </c>
      <c r="C700" s="5" t="s">
        <v>1613</v>
      </c>
      <c r="D700" s="5" t="s">
        <v>1804</v>
      </c>
      <c r="E700" s="5" t="s">
        <v>1805</v>
      </c>
      <c r="F700" s="5" t="s">
        <v>1798</v>
      </c>
      <c r="G700" s="6">
        <v>29.98</v>
      </c>
      <c r="H700" s="5" t="s">
        <v>1799</v>
      </c>
      <c r="I700" s="5" t="s">
        <v>1794</v>
      </c>
      <c r="J700" s="5">
        <v>1998.0</v>
      </c>
      <c r="L700" s="5">
        <v>1.0</v>
      </c>
      <c r="M700" s="7">
        <f t="shared" si="3"/>
        <v>29.98</v>
      </c>
    </row>
    <row r="701">
      <c r="A701" s="5" t="s">
        <v>1806</v>
      </c>
      <c r="B701" s="5" t="s">
        <v>612</v>
      </c>
      <c r="C701" s="5" t="s">
        <v>1670</v>
      </c>
      <c r="D701" s="5" t="s">
        <v>1807</v>
      </c>
      <c r="E701" s="5" t="s">
        <v>1746</v>
      </c>
      <c r="F701" s="5" t="s">
        <v>1798</v>
      </c>
      <c r="G701" s="6">
        <v>0.05</v>
      </c>
      <c r="H701" s="5" t="s">
        <v>1808</v>
      </c>
      <c r="I701" s="5" t="s">
        <v>1794</v>
      </c>
      <c r="J701" s="5">
        <v>1996.0</v>
      </c>
      <c r="L701" s="5">
        <v>1.0</v>
      </c>
      <c r="M701" s="7">
        <f t="shared" si="3"/>
        <v>0.05</v>
      </c>
    </row>
    <row r="702">
      <c r="A702" s="5" t="s">
        <v>1809</v>
      </c>
      <c r="B702" s="5" t="s">
        <v>1756</v>
      </c>
      <c r="C702" s="5" t="s">
        <v>1670</v>
      </c>
      <c r="D702" s="5" t="s">
        <v>1810</v>
      </c>
      <c r="E702" s="5" t="s">
        <v>1746</v>
      </c>
      <c r="F702" s="5" t="s">
        <v>1798</v>
      </c>
      <c r="G702" s="6">
        <v>0.24</v>
      </c>
      <c r="H702" s="5" t="s">
        <v>1774</v>
      </c>
      <c r="I702" s="5" t="s">
        <v>1794</v>
      </c>
      <c r="J702" s="5">
        <v>1995.0</v>
      </c>
      <c r="L702" s="5">
        <v>4.0</v>
      </c>
      <c r="M702" s="7">
        <f t="shared" si="3"/>
        <v>0.96</v>
      </c>
    </row>
    <row r="703">
      <c r="A703" s="5" t="s">
        <v>1811</v>
      </c>
      <c r="B703" s="5" t="s">
        <v>1812</v>
      </c>
      <c r="C703" s="5" t="s">
        <v>1670</v>
      </c>
      <c r="D703" s="5" t="s">
        <v>1813</v>
      </c>
      <c r="E703" s="5" t="s">
        <v>1814</v>
      </c>
      <c r="F703" s="5" t="s">
        <v>1798</v>
      </c>
      <c r="G703" s="6">
        <v>0.25</v>
      </c>
      <c r="H703" s="5" t="s">
        <v>1799</v>
      </c>
      <c r="I703" s="5" t="s">
        <v>1794</v>
      </c>
      <c r="J703" s="5">
        <v>1998.0</v>
      </c>
      <c r="K703" s="8">
        <v>46055.0</v>
      </c>
      <c r="L703" s="5">
        <v>2.0</v>
      </c>
      <c r="M703" s="7">
        <f t="shared" si="3"/>
        <v>0.5</v>
      </c>
    </row>
    <row r="704">
      <c r="A704" s="5" t="s">
        <v>1815</v>
      </c>
      <c r="B704" s="5" t="s">
        <v>1816</v>
      </c>
      <c r="C704" s="5" t="s">
        <v>1631</v>
      </c>
      <c r="D704" s="5" t="s">
        <v>1817</v>
      </c>
      <c r="E704" s="5" t="s">
        <v>1735</v>
      </c>
      <c r="F704" s="5" t="s">
        <v>1672</v>
      </c>
      <c r="G704" s="6">
        <v>0.45</v>
      </c>
      <c r="H704" s="5" t="s">
        <v>1771</v>
      </c>
      <c r="I704" s="5" t="s">
        <v>1794</v>
      </c>
      <c r="J704" s="5">
        <v>1997.0</v>
      </c>
      <c r="L704" s="5">
        <v>1.0</v>
      </c>
      <c r="M704" s="7">
        <f t="shared" si="3"/>
        <v>0.45</v>
      </c>
    </row>
    <row r="705">
      <c r="A705" s="5" t="s">
        <v>1818</v>
      </c>
      <c r="B705" s="5" t="s">
        <v>1819</v>
      </c>
      <c r="C705" s="5" t="s">
        <v>1670</v>
      </c>
      <c r="D705" s="5" t="s">
        <v>1820</v>
      </c>
      <c r="E705" s="5" t="s">
        <v>715</v>
      </c>
      <c r="F705" s="5" t="s">
        <v>1798</v>
      </c>
      <c r="G705" s="6">
        <v>0.1</v>
      </c>
      <c r="H705" s="5" t="s">
        <v>1821</v>
      </c>
      <c r="I705" s="5" t="s">
        <v>1794</v>
      </c>
      <c r="J705" s="5">
        <v>1999.0</v>
      </c>
      <c r="K705" s="8">
        <v>46023.0</v>
      </c>
      <c r="L705" s="5">
        <v>1.0</v>
      </c>
      <c r="M705" s="7">
        <f t="shared" si="3"/>
        <v>0.1</v>
      </c>
    </row>
    <row r="706">
      <c r="A706" s="5" t="s">
        <v>1818</v>
      </c>
      <c r="B706" s="5" t="s">
        <v>1819</v>
      </c>
      <c r="C706" s="5" t="s">
        <v>1670</v>
      </c>
      <c r="D706" s="5" t="s">
        <v>1820</v>
      </c>
      <c r="E706" s="5" t="s">
        <v>715</v>
      </c>
      <c r="F706" s="5" t="s">
        <v>1798</v>
      </c>
      <c r="G706" s="6">
        <v>0.28</v>
      </c>
      <c r="H706" s="5" t="s">
        <v>1821</v>
      </c>
      <c r="I706" s="5" t="s">
        <v>1794</v>
      </c>
      <c r="J706" s="5">
        <v>1995.0</v>
      </c>
      <c r="K706" s="8">
        <v>46023.0</v>
      </c>
      <c r="L706" s="5">
        <v>1.0</v>
      </c>
      <c r="M706" s="7">
        <f t="shared" si="3"/>
        <v>0.28</v>
      </c>
    </row>
    <row r="707">
      <c r="A707" s="5" t="s">
        <v>1822</v>
      </c>
      <c r="B707" s="5" t="s">
        <v>1823</v>
      </c>
      <c r="C707" s="5" t="s">
        <v>1613</v>
      </c>
      <c r="D707" s="5" t="s">
        <v>1824</v>
      </c>
      <c r="E707" s="5" t="s">
        <v>1825</v>
      </c>
      <c r="F707" s="5" t="s">
        <v>1798</v>
      </c>
      <c r="G707" s="6">
        <v>1.25</v>
      </c>
      <c r="H707" s="5" t="s">
        <v>1765</v>
      </c>
      <c r="I707" s="5" t="s">
        <v>1794</v>
      </c>
      <c r="J707" s="5">
        <v>2000.0</v>
      </c>
      <c r="K707" s="8">
        <v>46269.0</v>
      </c>
      <c r="L707" s="5">
        <v>2.0</v>
      </c>
      <c r="M707" s="7">
        <f t="shared" si="3"/>
        <v>2.5</v>
      </c>
    </row>
    <row r="708">
      <c r="A708" s="5" t="s">
        <v>1826</v>
      </c>
      <c r="B708" s="5" t="s">
        <v>1785</v>
      </c>
      <c r="C708" s="5" t="s">
        <v>15</v>
      </c>
      <c r="D708" s="5" t="s">
        <v>1827</v>
      </c>
      <c r="E708" s="5" t="s">
        <v>715</v>
      </c>
      <c r="F708" s="5" t="s">
        <v>152</v>
      </c>
      <c r="G708" s="6">
        <v>0.13</v>
      </c>
      <c r="H708" s="5" t="s">
        <v>1774</v>
      </c>
      <c r="I708" s="5" t="s">
        <v>20</v>
      </c>
      <c r="J708" s="5">
        <v>1995.0</v>
      </c>
      <c r="L708" s="5">
        <v>1.0</v>
      </c>
      <c r="M708" s="7">
        <f t="shared" si="3"/>
        <v>0.13</v>
      </c>
    </row>
    <row r="709">
      <c r="A709" s="5" t="s">
        <v>1826</v>
      </c>
      <c r="B709" s="5" t="s">
        <v>1785</v>
      </c>
      <c r="C709" s="5" t="s">
        <v>15</v>
      </c>
      <c r="D709" s="5" t="s">
        <v>1827</v>
      </c>
      <c r="E709" s="5" t="s">
        <v>715</v>
      </c>
      <c r="F709" s="5" t="s">
        <v>152</v>
      </c>
      <c r="G709" s="6">
        <v>0.09</v>
      </c>
      <c r="H709" s="5" t="s">
        <v>1793</v>
      </c>
      <c r="I709" s="5" t="s">
        <v>20</v>
      </c>
      <c r="J709" s="5">
        <v>1995.0</v>
      </c>
      <c r="L709" s="5">
        <v>1.0</v>
      </c>
      <c r="M709" s="7">
        <f t="shared" si="3"/>
        <v>0.09</v>
      </c>
    </row>
    <row r="710">
      <c r="A710" s="5" t="s">
        <v>1828</v>
      </c>
      <c r="B710" s="5" t="s">
        <v>63</v>
      </c>
      <c r="C710" s="5" t="s">
        <v>22</v>
      </c>
      <c r="D710" s="5" t="s">
        <v>1829</v>
      </c>
      <c r="E710" s="5" t="s">
        <v>1764</v>
      </c>
      <c r="F710" s="5" t="s">
        <v>152</v>
      </c>
      <c r="G710" s="6">
        <v>0.43</v>
      </c>
      <c r="H710" s="5" t="s">
        <v>1774</v>
      </c>
      <c r="I710" s="5" t="s">
        <v>20</v>
      </c>
      <c r="J710" s="5">
        <v>1995.0</v>
      </c>
      <c r="L710" s="5">
        <v>1.0</v>
      </c>
      <c r="M710" s="7">
        <f t="shared" si="3"/>
        <v>0.43</v>
      </c>
    </row>
    <row r="711">
      <c r="A711" s="5" t="s">
        <v>1828</v>
      </c>
      <c r="B711" s="5" t="s">
        <v>63</v>
      </c>
      <c r="C711" s="5" t="s">
        <v>22</v>
      </c>
      <c r="D711" s="5" t="s">
        <v>1829</v>
      </c>
      <c r="E711" s="5" t="s">
        <v>1764</v>
      </c>
      <c r="F711" s="5" t="s">
        <v>152</v>
      </c>
      <c r="G711" s="6">
        <v>0.17</v>
      </c>
      <c r="H711" s="5" t="s">
        <v>1774</v>
      </c>
      <c r="I711" s="5" t="s">
        <v>20</v>
      </c>
      <c r="J711" s="5">
        <v>1999.0</v>
      </c>
      <c r="L711" s="5">
        <v>1.0</v>
      </c>
      <c r="M711" s="7">
        <f t="shared" si="3"/>
        <v>0.17</v>
      </c>
    </row>
    <row r="712">
      <c r="A712" s="5" t="s">
        <v>1830</v>
      </c>
      <c r="B712" s="5" t="s">
        <v>1831</v>
      </c>
      <c r="C712" s="5" t="s">
        <v>1670</v>
      </c>
      <c r="D712" s="5" t="s">
        <v>1832</v>
      </c>
      <c r="E712" s="5" t="s">
        <v>1764</v>
      </c>
      <c r="F712" s="5" t="s">
        <v>1798</v>
      </c>
      <c r="G712" s="6">
        <v>0.07</v>
      </c>
      <c r="H712" s="5" t="s">
        <v>1833</v>
      </c>
      <c r="I712" s="5" t="s">
        <v>1794</v>
      </c>
      <c r="J712" s="5">
        <v>1995.0</v>
      </c>
      <c r="K712" s="8">
        <v>46055.0</v>
      </c>
      <c r="L712" s="5">
        <v>1.0</v>
      </c>
      <c r="M712" s="7">
        <f t="shared" si="3"/>
        <v>0.07</v>
      </c>
    </row>
    <row r="713">
      <c r="A713" s="5" t="s">
        <v>1834</v>
      </c>
      <c r="B713" s="5" t="s">
        <v>1835</v>
      </c>
      <c r="C713" s="5" t="s">
        <v>1670</v>
      </c>
      <c r="D713" s="5" t="s">
        <v>1836</v>
      </c>
      <c r="E713" s="5" t="s">
        <v>715</v>
      </c>
      <c r="F713" s="5" t="s">
        <v>1798</v>
      </c>
      <c r="G713" s="6">
        <v>0.05</v>
      </c>
      <c r="H713" s="5" t="s">
        <v>1765</v>
      </c>
      <c r="I713" s="5" t="s">
        <v>1794</v>
      </c>
      <c r="J713" s="5">
        <v>2000.0</v>
      </c>
      <c r="K713" s="8">
        <v>46023.0</v>
      </c>
      <c r="L713" s="5">
        <v>2.0</v>
      </c>
      <c r="M713" s="7">
        <f t="shared" si="3"/>
        <v>0.1</v>
      </c>
    </row>
    <row r="714">
      <c r="A714" s="5" t="s">
        <v>1837</v>
      </c>
      <c r="B714" s="5" t="s">
        <v>1838</v>
      </c>
      <c r="C714" s="5" t="s">
        <v>1631</v>
      </c>
      <c r="D714" s="5" t="s">
        <v>1839</v>
      </c>
      <c r="E714" s="5" t="s">
        <v>1840</v>
      </c>
      <c r="F714" s="5" t="s">
        <v>152</v>
      </c>
      <c r="G714" s="6">
        <v>0.15</v>
      </c>
      <c r="H714" s="5" t="s">
        <v>1747</v>
      </c>
      <c r="I714" s="5" t="s">
        <v>20</v>
      </c>
      <c r="J714" s="5">
        <v>2000.0</v>
      </c>
      <c r="K714" s="8">
        <v>46084.0</v>
      </c>
      <c r="L714" s="5">
        <v>2.0</v>
      </c>
      <c r="M714" s="7">
        <f t="shared" si="3"/>
        <v>0.3</v>
      </c>
    </row>
    <row r="715">
      <c r="A715" s="5" t="s">
        <v>1841</v>
      </c>
      <c r="B715" s="5" t="s">
        <v>1753</v>
      </c>
      <c r="C715" s="5" t="s">
        <v>15</v>
      </c>
      <c r="D715" s="5" t="s">
        <v>1842</v>
      </c>
      <c r="E715" s="5" t="s">
        <v>1758</v>
      </c>
      <c r="F715" s="5" t="s">
        <v>152</v>
      </c>
      <c r="G715" s="6">
        <v>0.05</v>
      </c>
      <c r="H715" s="5" t="s">
        <v>1774</v>
      </c>
      <c r="I715" s="5" t="s">
        <v>20</v>
      </c>
      <c r="J715" s="5">
        <v>1995.0</v>
      </c>
      <c r="K715" s="5" t="s">
        <v>221</v>
      </c>
      <c r="L715" s="5">
        <v>2.0</v>
      </c>
      <c r="M715" s="7">
        <f t="shared" si="3"/>
        <v>0.1</v>
      </c>
    </row>
    <row r="716">
      <c r="A716" s="5" t="s">
        <v>1843</v>
      </c>
      <c r="B716" s="5" t="s">
        <v>1733</v>
      </c>
      <c r="C716" s="5" t="s">
        <v>1631</v>
      </c>
      <c r="D716" s="5" t="s">
        <v>1734</v>
      </c>
      <c r="E716" s="5" t="s">
        <v>1721</v>
      </c>
      <c r="F716" s="5" t="s">
        <v>80</v>
      </c>
      <c r="G716" s="6">
        <v>2.99</v>
      </c>
      <c r="H716" s="5" t="s">
        <v>1808</v>
      </c>
      <c r="I716" s="5" t="s">
        <v>20</v>
      </c>
      <c r="J716" s="5">
        <v>1996.0</v>
      </c>
      <c r="K716" s="8">
        <v>46143.0</v>
      </c>
      <c r="L716" s="5">
        <v>3.0</v>
      </c>
      <c r="M716" s="7">
        <f t="shared" si="3"/>
        <v>8.97</v>
      </c>
    </row>
    <row r="717">
      <c r="A717" s="5" t="s">
        <v>1844</v>
      </c>
      <c r="B717" s="5" t="s">
        <v>1845</v>
      </c>
      <c r="C717" s="5" t="s">
        <v>1631</v>
      </c>
      <c r="D717" s="5" t="s">
        <v>1846</v>
      </c>
      <c r="E717" s="5" t="s">
        <v>1782</v>
      </c>
      <c r="F717" s="5" t="s">
        <v>1798</v>
      </c>
      <c r="G717" s="6">
        <v>0.09</v>
      </c>
      <c r="H717" s="5" t="s">
        <v>1765</v>
      </c>
      <c r="I717" s="5" t="s">
        <v>1794</v>
      </c>
      <c r="J717" s="5">
        <v>2000.0</v>
      </c>
      <c r="K717" s="8">
        <v>46023.0</v>
      </c>
      <c r="L717" s="5">
        <v>2.0</v>
      </c>
      <c r="M717" s="7">
        <f t="shared" si="3"/>
        <v>0.18</v>
      </c>
    </row>
    <row r="718">
      <c r="A718" s="5" t="s">
        <v>1847</v>
      </c>
      <c r="B718" s="5" t="s">
        <v>1848</v>
      </c>
      <c r="C718" s="5" t="s">
        <v>1670</v>
      </c>
      <c r="D718" s="5" t="s">
        <v>1849</v>
      </c>
      <c r="E718" s="5" t="s">
        <v>1814</v>
      </c>
      <c r="F718" s="5" t="s">
        <v>1798</v>
      </c>
      <c r="G718" s="6">
        <v>0.25</v>
      </c>
      <c r="H718" s="5" t="s">
        <v>1799</v>
      </c>
      <c r="I718" s="5" t="s">
        <v>1794</v>
      </c>
      <c r="J718" s="5">
        <v>1998.0</v>
      </c>
      <c r="K718" s="8">
        <v>46055.0</v>
      </c>
      <c r="L718" s="5">
        <v>2.0</v>
      </c>
      <c r="M718" s="7">
        <f t="shared" si="3"/>
        <v>0.5</v>
      </c>
    </row>
    <row r="719">
      <c r="A719" s="5" t="s">
        <v>1850</v>
      </c>
      <c r="B719" s="5" t="s">
        <v>1756</v>
      </c>
      <c r="C719" s="5" t="s">
        <v>1670</v>
      </c>
      <c r="D719" s="5" t="s">
        <v>1851</v>
      </c>
      <c r="E719" s="5" t="s">
        <v>1746</v>
      </c>
      <c r="F719" s="5" t="s">
        <v>1798</v>
      </c>
      <c r="G719" s="6">
        <v>0.2</v>
      </c>
      <c r="H719" s="5" t="s">
        <v>1774</v>
      </c>
      <c r="I719" s="5" t="s">
        <v>1794</v>
      </c>
      <c r="J719" s="5">
        <v>1995.0</v>
      </c>
      <c r="K719" s="5" t="s">
        <v>1852</v>
      </c>
      <c r="L719" s="5">
        <v>3.0</v>
      </c>
      <c r="M719" s="7">
        <f t="shared" si="3"/>
        <v>0.6</v>
      </c>
    </row>
    <row r="720">
      <c r="A720" s="5" t="s">
        <v>1853</v>
      </c>
      <c r="B720" s="5" t="s">
        <v>1854</v>
      </c>
      <c r="C720" s="5" t="s">
        <v>1613</v>
      </c>
      <c r="D720" s="5" t="s">
        <v>1855</v>
      </c>
      <c r="E720" s="5" t="s">
        <v>1856</v>
      </c>
      <c r="F720" s="5" t="s">
        <v>280</v>
      </c>
      <c r="G720" s="6">
        <v>0.25</v>
      </c>
      <c r="H720" s="5" t="s">
        <v>1799</v>
      </c>
      <c r="I720" s="5" t="s">
        <v>1794</v>
      </c>
      <c r="J720" s="5">
        <v>1998.0</v>
      </c>
      <c r="K720" s="8">
        <v>46084.0</v>
      </c>
      <c r="L720" s="5">
        <v>2.0</v>
      </c>
      <c r="M720" s="7">
        <f t="shared" si="3"/>
        <v>0.5</v>
      </c>
    </row>
    <row r="721">
      <c r="A721" s="5" t="s">
        <v>1857</v>
      </c>
      <c r="B721" s="5" t="s">
        <v>1812</v>
      </c>
      <c r="C721" s="5" t="s">
        <v>1613</v>
      </c>
      <c r="D721" s="5" t="s">
        <v>1858</v>
      </c>
      <c r="E721" s="5" t="s">
        <v>1859</v>
      </c>
      <c r="F721" s="5" t="s">
        <v>280</v>
      </c>
      <c r="G721" s="6">
        <v>0.3</v>
      </c>
      <c r="H721" s="5" t="s">
        <v>1799</v>
      </c>
      <c r="I721" s="5" t="s">
        <v>1794</v>
      </c>
      <c r="J721" s="5">
        <v>1998.0</v>
      </c>
      <c r="K721" s="8">
        <v>46023.0</v>
      </c>
      <c r="L721" s="5">
        <v>2.0</v>
      </c>
      <c r="M721" s="7">
        <f t="shared" si="3"/>
        <v>0.6</v>
      </c>
    </row>
    <row r="722">
      <c r="A722" s="5" t="s">
        <v>1860</v>
      </c>
      <c r="B722" s="5" t="s">
        <v>556</v>
      </c>
      <c r="C722" s="5" t="s">
        <v>1631</v>
      </c>
      <c r="D722" s="5" t="s">
        <v>1861</v>
      </c>
      <c r="E722" s="5" t="s">
        <v>1037</v>
      </c>
      <c r="F722" s="5" t="s">
        <v>80</v>
      </c>
      <c r="G722" s="6">
        <v>0.1</v>
      </c>
      <c r="H722" s="5" t="s">
        <v>1774</v>
      </c>
      <c r="I722" s="5" t="s">
        <v>20</v>
      </c>
      <c r="J722" s="5">
        <v>1995.0</v>
      </c>
      <c r="K722" s="5" t="s">
        <v>221</v>
      </c>
      <c r="L722" s="5">
        <v>1.0</v>
      </c>
      <c r="M722" s="7">
        <f t="shared" si="3"/>
        <v>0.1</v>
      </c>
    </row>
    <row r="723">
      <c r="A723" s="5" t="s">
        <v>1862</v>
      </c>
      <c r="B723" s="5" t="s">
        <v>1733</v>
      </c>
      <c r="C723" s="5" t="s">
        <v>1631</v>
      </c>
      <c r="D723" s="5" t="s">
        <v>1863</v>
      </c>
      <c r="E723" s="5" t="s">
        <v>1034</v>
      </c>
      <c r="F723" s="5" t="s">
        <v>1672</v>
      </c>
      <c r="G723" s="6">
        <v>0.25</v>
      </c>
      <c r="H723" s="5" t="s">
        <v>1864</v>
      </c>
      <c r="I723" s="5" t="s">
        <v>1794</v>
      </c>
      <c r="J723" s="5">
        <v>1997.0</v>
      </c>
      <c r="K723" s="8">
        <v>46055.0</v>
      </c>
      <c r="L723" s="5">
        <v>1.0</v>
      </c>
      <c r="M723" s="7">
        <f t="shared" si="3"/>
        <v>0.25</v>
      </c>
    </row>
    <row r="724">
      <c r="A724" s="5" t="s">
        <v>1865</v>
      </c>
      <c r="B724" s="5" t="s">
        <v>556</v>
      </c>
      <c r="C724" s="5" t="s">
        <v>1670</v>
      </c>
      <c r="D724" s="5" t="s">
        <v>1866</v>
      </c>
      <c r="E724" s="5" t="s">
        <v>1037</v>
      </c>
      <c r="F724" s="5" t="s">
        <v>1672</v>
      </c>
      <c r="G724" s="6">
        <v>0.09</v>
      </c>
      <c r="H724" s="5" t="s">
        <v>1864</v>
      </c>
      <c r="I724" s="5" t="s">
        <v>1794</v>
      </c>
      <c r="J724" s="5">
        <v>1997.0</v>
      </c>
      <c r="K724" s="5" t="s">
        <v>1852</v>
      </c>
      <c r="L724" s="5">
        <v>1.0</v>
      </c>
      <c r="M724" s="7">
        <f t="shared" si="3"/>
        <v>0.09</v>
      </c>
    </row>
    <row r="725">
      <c r="A725" s="5" t="s">
        <v>1865</v>
      </c>
      <c r="B725" s="5" t="s">
        <v>556</v>
      </c>
      <c r="C725" s="5" t="s">
        <v>1670</v>
      </c>
      <c r="D725" s="5" t="s">
        <v>1866</v>
      </c>
      <c r="E725" s="5" t="s">
        <v>1037</v>
      </c>
      <c r="F725" s="5" t="s">
        <v>1672</v>
      </c>
      <c r="G725" s="6">
        <v>0.05</v>
      </c>
      <c r="H725" s="5" t="s">
        <v>1864</v>
      </c>
      <c r="I725" s="5" t="s">
        <v>1794</v>
      </c>
      <c r="J725" s="5">
        <v>1995.0</v>
      </c>
      <c r="K725" s="5" t="s">
        <v>1852</v>
      </c>
      <c r="L725" s="5">
        <v>1.0</v>
      </c>
      <c r="M725" s="7">
        <f t="shared" si="3"/>
        <v>0.05</v>
      </c>
    </row>
    <row r="726">
      <c r="A726" s="5" t="s">
        <v>1867</v>
      </c>
      <c r="B726" s="5" t="s">
        <v>612</v>
      </c>
      <c r="C726" s="5" t="s">
        <v>1670</v>
      </c>
      <c r="D726" s="5" t="s">
        <v>1868</v>
      </c>
      <c r="E726" s="5" t="s">
        <v>1746</v>
      </c>
      <c r="F726" s="5" t="s">
        <v>1798</v>
      </c>
      <c r="G726" s="6">
        <v>0.09</v>
      </c>
      <c r="H726" s="5" t="s">
        <v>1821</v>
      </c>
      <c r="I726" s="5" t="s">
        <v>1794</v>
      </c>
      <c r="J726" s="5">
        <v>1999.0</v>
      </c>
      <c r="K726" s="5" t="s">
        <v>1852</v>
      </c>
      <c r="L726" s="5">
        <v>1.0</v>
      </c>
      <c r="M726" s="7">
        <f t="shared" si="3"/>
        <v>0.09</v>
      </c>
    </row>
    <row r="727">
      <c r="A727" s="5" t="s">
        <v>1869</v>
      </c>
      <c r="B727" s="5" t="s">
        <v>1870</v>
      </c>
      <c r="C727" s="5" t="s">
        <v>297</v>
      </c>
      <c r="D727" s="5" t="s">
        <v>1871</v>
      </c>
      <c r="E727" s="5" t="s">
        <v>715</v>
      </c>
      <c r="F727" s="5" t="s">
        <v>152</v>
      </c>
      <c r="G727" s="6">
        <v>0.05</v>
      </c>
      <c r="H727" s="5" t="s">
        <v>1774</v>
      </c>
      <c r="I727" s="5" t="s">
        <v>1794</v>
      </c>
      <c r="J727" s="5">
        <v>1995.0</v>
      </c>
      <c r="K727" s="8">
        <v>46023.0</v>
      </c>
      <c r="L727" s="5">
        <v>1.0</v>
      </c>
      <c r="M727" s="7">
        <f t="shared" si="3"/>
        <v>0.05</v>
      </c>
    </row>
    <row r="728">
      <c r="A728" s="5" t="s">
        <v>1872</v>
      </c>
      <c r="B728" s="5" t="s">
        <v>1873</v>
      </c>
      <c r="C728" s="5" t="s">
        <v>1613</v>
      </c>
      <c r="D728" s="5" t="s">
        <v>1874</v>
      </c>
      <c r="E728" s="5" t="s">
        <v>1764</v>
      </c>
      <c r="F728" s="5" t="s">
        <v>1798</v>
      </c>
      <c r="G728" s="6">
        <v>0.25</v>
      </c>
      <c r="H728" s="5" t="s">
        <v>1799</v>
      </c>
      <c r="I728" s="5" t="s">
        <v>1794</v>
      </c>
      <c r="J728" s="5">
        <v>1998.0</v>
      </c>
      <c r="K728" s="8">
        <v>46025.0</v>
      </c>
      <c r="L728" s="5">
        <v>1.0</v>
      </c>
      <c r="M728" s="7">
        <f t="shared" si="3"/>
        <v>0.25</v>
      </c>
    </row>
    <row r="729">
      <c r="A729" s="5" t="s">
        <v>1875</v>
      </c>
      <c r="B729" s="5" t="s">
        <v>556</v>
      </c>
      <c r="C729" s="5" t="s">
        <v>1631</v>
      </c>
      <c r="D729" s="5" t="s">
        <v>1876</v>
      </c>
      <c r="E729" s="5" t="s">
        <v>1037</v>
      </c>
      <c r="F729" s="5" t="s">
        <v>1672</v>
      </c>
      <c r="G729" s="6">
        <v>5.1</v>
      </c>
      <c r="H729" s="5" t="s">
        <v>1808</v>
      </c>
      <c r="I729" s="5" t="s">
        <v>1794</v>
      </c>
      <c r="J729" s="5">
        <v>1996.0</v>
      </c>
      <c r="K729" s="5" t="s">
        <v>1852</v>
      </c>
      <c r="L729" s="5">
        <v>1.0</v>
      </c>
      <c r="M729" s="7">
        <f t="shared" si="3"/>
        <v>5.1</v>
      </c>
    </row>
    <row r="730">
      <c r="A730" s="5" t="s">
        <v>1877</v>
      </c>
      <c r="B730" s="5" t="s">
        <v>556</v>
      </c>
      <c r="C730" s="5" t="s">
        <v>1631</v>
      </c>
      <c r="D730" s="5" t="s">
        <v>1878</v>
      </c>
      <c r="E730" s="5" t="s">
        <v>1271</v>
      </c>
      <c r="F730" s="5" t="s">
        <v>1672</v>
      </c>
      <c r="G730" s="6">
        <v>0.39</v>
      </c>
      <c r="H730" s="5" t="s">
        <v>1821</v>
      </c>
      <c r="I730" s="5" t="s">
        <v>1794</v>
      </c>
      <c r="J730" s="5">
        <v>1999.0</v>
      </c>
      <c r="K730" s="5" t="s">
        <v>1852</v>
      </c>
      <c r="L730" s="5">
        <v>1.0</v>
      </c>
      <c r="M730" s="7">
        <f t="shared" si="3"/>
        <v>0.39</v>
      </c>
    </row>
    <row r="731">
      <c r="A731" s="5" t="s">
        <v>1879</v>
      </c>
      <c r="B731" s="5" t="s">
        <v>1753</v>
      </c>
      <c r="C731" s="5" t="s">
        <v>1631</v>
      </c>
      <c r="D731" s="5" t="s">
        <v>1880</v>
      </c>
      <c r="G731" s="6">
        <v>0.27</v>
      </c>
      <c r="H731" s="5" t="s">
        <v>1881</v>
      </c>
      <c r="I731" s="5" t="s">
        <v>20</v>
      </c>
      <c r="J731" s="5">
        <v>1994.0</v>
      </c>
      <c r="L731" s="5">
        <v>1.0</v>
      </c>
      <c r="M731" s="7">
        <f t="shared" si="3"/>
        <v>0.27</v>
      </c>
    </row>
    <row r="732">
      <c r="A732" s="5" t="s">
        <v>1882</v>
      </c>
      <c r="B732" s="5" t="s">
        <v>556</v>
      </c>
      <c r="C732" s="5" t="s">
        <v>1631</v>
      </c>
      <c r="D732" s="5" t="s">
        <v>1883</v>
      </c>
      <c r="E732" s="5" t="s">
        <v>1271</v>
      </c>
      <c r="F732" s="5" t="s">
        <v>1672</v>
      </c>
      <c r="G732" s="6">
        <v>0.9</v>
      </c>
      <c r="H732" s="5" t="s">
        <v>1768</v>
      </c>
      <c r="I732" s="5" t="s">
        <v>1794</v>
      </c>
      <c r="J732" s="5">
        <v>1997.0</v>
      </c>
      <c r="K732" s="5" t="s">
        <v>1852</v>
      </c>
      <c r="L732" s="5">
        <v>1.0</v>
      </c>
      <c r="M732" s="7">
        <f t="shared" si="3"/>
        <v>0.9</v>
      </c>
    </row>
    <row r="733">
      <c r="A733" s="5" t="s">
        <v>1884</v>
      </c>
      <c r="B733" s="5" t="s">
        <v>1885</v>
      </c>
      <c r="C733" s="5" t="s">
        <v>297</v>
      </c>
      <c r="D733" s="5" t="s">
        <v>1886</v>
      </c>
      <c r="E733" s="5" t="s">
        <v>1887</v>
      </c>
      <c r="F733" s="5" t="s">
        <v>152</v>
      </c>
      <c r="G733" s="6">
        <v>1.45</v>
      </c>
      <c r="H733" s="5" t="s">
        <v>1888</v>
      </c>
      <c r="I733" s="5" t="s">
        <v>1794</v>
      </c>
      <c r="J733" s="5">
        <v>1994.0</v>
      </c>
      <c r="K733" s="8">
        <v>46083.0</v>
      </c>
      <c r="L733" s="5">
        <v>1.0</v>
      </c>
      <c r="M733" s="7">
        <f t="shared" si="3"/>
        <v>1.45</v>
      </c>
    </row>
    <row r="734">
      <c r="A734" s="5" t="s">
        <v>1889</v>
      </c>
      <c r="B734" s="5" t="s">
        <v>1890</v>
      </c>
      <c r="C734" s="5" t="s">
        <v>1670</v>
      </c>
      <c r="D734" s="5" t="s">
        <v>1891</v>
      </c>
      <c r="E734" s="5" t="s">
        <v>1814</v>
      </c>
      <c r="F734" s="5" t="s">
        <v>1798</v>
      </c>
      <c r="G734" s="6">
        <v>4.41</v>
      </c>
      <c r="H734" s="5" t="s">
        <v>1771</v>
      </c>
      <c r="I734" s="5" t="s">
        <v>1794</v>
      </c>
      <c r="J734" s="5">
        <v>1997.0</v>
      </c>
      <c r="K734" s="8">
        <v>46024.0</v>
      </c>
      <c r="L734" s="5">
        <v>1.0</v>
      </c>
      <c r="M734" s="7">
        <f t="shared" si="3"/>
        <v>4.41</v>
      </c>
    </row>
    <row r="735">
      <c r="A735" s="5" t="s">
        <v>1892</v>
      </c>
      <c r="B735" s="5" t="s">
        <v>1756</v>
      </c>
      <c r="C735" s="5" t="s">
        <v>1670</v>
      </c>
      <c r="D735" s="5" t="s">
        <v>1893</v>
      </c>
      <c r="E735" s="5" t="s">
        <v>1746</v>
      </c>
      <c r="F735" s="5" t="s">
        <v>1798</v>
      </c>
      <c r="G735" s="6">
        <v>3.45</v>
      </c>
      <c r="H735" s="5" t="s">
        <v>1765</v>
      </c>
      <c r="I735" s="5" t="s">
        <v>1794</v>
      </c>
      <c r="J735" s="5">
        <v>2000.0</v>
      </c>
      <c r="L735" s="5">
        <v>1.0</v>
      </c>
      <c r="M735" s="7">
        <f t="shared" si="3"/>
        <v>3.45</v>
      </c>
    </row>
    <row r="736">
      <c r="A736" s="5" t="s">
        <v>1894</v>
      </c>
      <c r="B736" s="5" t="s">
        <v>556</v>
      </c>
      <c r="C736" s="5" t="s">
        <v>1631</v>
      </c>
      <c r="D736" s="5" t="s">
        <v>1895</v>
      </c>
      <c r="E736" s="5" t="s">
        <v>1037</v>
      </c>
      <c r="F736" s="5" t="s">
        <v>1672</v>
      </c>
      <c r="G736" s="6">
        <v>7.75</v>
      </c>
      <c r="H736" s="5" t="s">
        <v>1896</v>
      </c>
      <c r="I736" s="5" t="s">
        <v>1794</v>
      </c>
      <c r="J736" s="5">
        <v>1998.0</v>
      </c>
      <c r="L736" s="5">
        <v>1.0</v>
      </c>
      <c r="M736" s="7">
        <f t="shared" si="3"/>
        <v>7.75</v>
      </c>
    </row>
    <row r="737">
      <c r="A737" s="5" t="s">
        <v>1897</v>
      </c>
      <c r="B737" s="5" t="s">
        <v>1898</v>
      </c>
      <c r="C737" s="5" t="s">
        <v>1899</v>
      </c>
      <c r="D737" s="5" t="s">
        <v>1900</v>
      </c>
      <c r="E737" s="5" t="s">
        <v>1721</v>
      </c>
      <c r="F737" s="5" t="s">
        <v>80</v>
      </c>
      <c r="G737" s="6">
        <v>0.55</v>
      </c>
      <c r="H737" s="5" t="s">
        <v>1771</v>
      </c>
      <c r="I737" s="5" t="s">
        <v>1794</v>
      </c>
      <c r="J737" s="5">
        <v>1997.0</v>
      </c>
      <c r="L737" s="5">
        <v>1.0</v>
      </c>
      <c r="M737" s="7">
        <f t="shared" si="3"/>
        <v>0.55</v>
      </c>
    </row>
    <row r="738">
      <c r="A738" s="5" t="s">
        <v>1901</v>
      </c>
      <c r="B738" s="5" t="s">
        <v>556</v>
      </c>
      <c r="C738" s="5" t="s">
        <v>1613</v>
      </c>
      <c r="D738" s="5" t="s">
        <v>1902</v>
      </c>
      <c r="E738" s="5" t="s">
        <v>1721</v>
      </c>
      <c r="F738" s="5" t="s">
        <v>80</v>
      </c>
      <c r="G738" s="6">
        <v>0.48</v>
      </c>
      <c r="H738" s="5" t="s">
        <v>1903</v>
      </c>
      <c r="I738" s="5" t="s">
        <v>20</v>
      </c>
      <c r="J738" s="5">
        <v>1996.0</v>
      </c>
      <c r="L738" s="5">
        <v>1.0</v>
      </c>
      <c r="M738" s="7">
        <f t="shared" si="3"/>
        <v>0.48</v>
      </c>
    </row>
    <row r="739">
      <c r="A739" s="5" t="s">
        <v>1901</v>
      </c>
      <c r="B739" s="5" t="s">
        <v>556</v>
      </c>
      <c r="C739" s="5" t="s">
        <v>1613</v>
      </c>
      <c r="D739" s="5" t="s">
        <v>1904</v>
      </c>
      <c r="E739" s="5" t="s">
        <v>1034</v>
      </c>
      <c r="F739" s="5" t="s">
        <v>80</v>
      </c>
      <c r="G739" s="6">
        <v>0.09</v>
      </c>
      <c r="H739" s="5" t="s">
        <v>1905</v>
      </c>
      <c r="I739" s="5" t="s">
        <v>20</v>
      </c>
      <c r="J739" s="5">
        <v>2000.0</v>
      </c>
      <c r="L739" s="5">
        <v>1.0</v>
      </c>
      <c r="M739" s="7">
        <f t="shared" si="3"/>
        <v>0.09</v>
      </c>
    </row>
    <row r="740">
      <c r="A740" s="5" t="s">
        <v>1906</v>
      </c>
      <c r="B740" s="5" t="s">
        <v>387</v>
      </c>
      <c r="C740" s="5" t="s">
        <v>1613</v>
      </c>
      <c r="D740" s="5" t="s">
        <v>1907</v>
      </c>
      <c r="E740" s="5" t="s">
        <v>1746</v>
      </c>
      <c r="F740" s="5" t="s">
        <v>1798</v>
      </c>
      <c r="G740" s="6">
        <v>0.62</v>
      </c>
      <c r="H740" s="5" t="s">
        <v>1908</v>
      </c>
      <c r="I740" s="5" t="s">
        <v>1794</v>
      </c>
      <c r="J740" s="5">
        <v>2001.0</v>
      </c>
      <c r="L740" s="5">
        <v>1.0</v>
      </c>
      <c r="M740" s="7">
        <f t="shared" si="3"/>
        <v>0.62</v>
      </c>
    </row>
    <row r="741">
      <c r="A741" s="5" t="s">
        <v>1909</v>
      </c>
      <c r="B741" s="5" t="s">
        <v>556</v>
      </c>
      <c r="C741" s="5" t="s">
        <v>1613</v>
      </c>
      <c r="D741" s="5" t="s">
        <v>1910</v>
      </c>
      <c r="E741" s="5" t="s">
        <v>1911</v>
      </c>
      <c r="F741" s="5" t="s">
        <v>1672</v>
      </c>
      <c r="G741" s="6">
        <v>0.75</v>
      </c>
      <c r="H741" s="5" t="s">
        <v>1774</v>
      </c>
      <c r="I741" s="5" t="s">
        <v>1794</v>
      </c>
      <c r="J741" s="5">
        <v>1995.0</v>
      </c>
      <c r="L741" s="5">
        <v>1.0</v>
      </c>
      <c r="M741" s="7">
        <f t="shared" si="3"/>
        <v>0.75</v>
      </c>
    </row>
    <row r="742">
      <c r="A742" s="5" t="s">
        <v>1912</v>
      </c>
      <c r="B742" s="5" t="s">
        <v>612</v>
      </c>
      <c r="C742" s="5" t="s">
        <v>1613</v>
      </c>
      <c r="D742" s="5" t="s">
        <v>1913</v>
      </c>
      <c r="E742" s="5" t="s">
        <v>1914</v>
      </c>
      <c r="F742" s="5" t="s">
        <v>1915</v>
      </c>
      <c r="G742" s="6">
        <v>0.45</v>
      </c>
      <c r="H742" s="5" t="s">
        <v>1799</v>
      </c>
      <c r="I742" s="5" t="s">
        <v>1794</v>
      </c>
      <c r="J742" s="5">
        <v>1998.0</v>
      </c>
      <c r="L742" s="5">
        <v>1.0</v>
      </c>
      <c r="M742" s="7">
        <f t="shared" si="3"/>
        <v>0.45</v>
      </c>
    </row>
    <row r="743">
      <c r="A743" s="5" t="s">
        <v>1916</v>
      </c>
      <c r="B743" s="5" t="s">
        <v>1917</v>
      </c>
      <c r="C743" s="5" t="s">
        <v>297</v>
      </c>
      <c r="D743" s="5" t="s">
        <v>1918</v>
      </c>
      <c r="E743" s="5" t="s">
        <v>1886</v>
      </c>
      <c r="F743" s="5" t="s">
        <v>80</v>
      </c>
      <c r="G743" s="6">
        <v>3.0</v>
      </c>
      <c r="H743" s="5" t="s">
        <v>1919</v>
      </c>
      <c r="I743" s="5" t="s">
        <v>1794</v>
      </c>
      <c r="J743" s="5">
        <v>1995.0</v>
      </c>
      <c r="L743" s="5">
        <v>1.0</v>
      </c>
      <c r="M743" s="7">
        <f t="shared" si="3"/>
        <v>3</v>
      </c>
    </row>
    <row r="744">
      <c r="A744" s="5" t="s">
        <v>1920</v>
      </c>
      <c r="B744" s="5" t="s">
        <v>1756</v>
      </c>
      <c r="C744" s="5" t="s">
        <v>1613</v>
      </c>
      <c r="D744" s="5" t="s">
        <v>1921</v>
      </c>
      <c r="E744" s="5" t="s">
        <v>1758</v>
      </c>
      <c r="F744" s="5" t="s">
        <v>1798</v>
      </c>
      <c r="G744" s="6">
        <v>0.32</v>
      </c>
      <c r="H744" s="5" t="s">
        <v>1765</v>
      </c>
      <c r="I744" s="5" t="s">
        <v>1794</v>
      </c>
      <c r="J744" s="5">
        <v>2000.0</v>
      </c>
      <c r="L744" s="5">
        <v>1.0</v>
      </c>
      <c r="M744" s="7">
        <f t="shared" si="3"/>
        <v>0.32</v>
      </c>
    </row>
    <row r="745">
      <c r="A745" s="5" t="s">
        <v>1922</v>
      </c>
      <c r="B745" s="5" t="s">
        <v>556</v>
      </c>
      <c r="C745" s="5" t="s">
        <v>1613</v>
      </c>
      <c r="D745" s="5" t="s">
        <v>1923</v>
      </c>
      <c r="E745" s="5" t="s">
        <v>1037</v>
      </c>
      <c r="F745" s="5" t="s">
        <v>1672</v>
      </c>
      <c r="G745" s="6">
        <v>11.99</v>
      </c>
      <c r="H745" s="5" t="s">
        <v>1768</v>
      </c>
      <c r="I745" s="5" t="s">
        <v>1794</v>
      </c>
      <c r="J745" s="5">
        <v>1997.0</v>
      </c>
      <c r="L745" s="5">
        <v>1.0</v>
      </c>
      <c r="M745" s="7">
        <f t="shared" si="3"/>
        <v>11.99</v>
      </c>
    </row>
    <row r="746">
      <c r="A746" s="5" t="s">
        <v>1924</v>
      </c>
      <c r="B746" s="5" t="s">
        <v>1816</v>
      </c>
      <c r="C746" s="5" t="s">
        <v>1613</v>
      </c>
      <c r="D746" s="5" t="s">
        <v>1925</v>
      </c>
      <c r="E746" s="5" t="s">
        <v>1886</v>
      </c>
      <c r="F746" s="5" t="s">
        <v>1926</v>
      </c>
      <c r="G746" s="6">
        <v>26.78</v>
      </c>
      <c r="H746" s="5" t="s">
        <v>1821</v>
      </c>
      <c r="I746" s="5" t="s">
        <v>1794</v>
      </c>
      <c r="J746" s="5">
        <v>1999.0</v>
      </c>
      <c r="L746" s="5">
        <v>1.0</v>
      </c>
      <c r="M746" s="7">
        <f t="shared" si="3"/>
        <v>26.78</v>
      </c>
    </row>
    <row r="747">
      <c r="A747" s="5" t="s">
        <v>1927</v>
      </c>
      <c r="B747" s="5" t="s">
        <v>1928</v>
      </c>
      <c r="C747" s="5" t="s">
        <v>1899</v>
      </c>
      <c r="D747" s="5" t="s">
        <v>1929</v>
      </c>
      <c r="E747" s="5" t="s">
        <v>1696</v>
      </c>
      <c r="F747" s="5" t="s">
        <v>80</v>
      </c>
      <c r="G747" s="6">
        <v>0.43</v>
      </c>
      <c r="H747" s="5" t="s">
        <v>1919</v>
      </c>
      <c r="I747" s="5" t="s">
        <v>1794</v>
      </c>
      <c r="J747" s="5">
        <v>1995.0</v>
      </c>
      <c r="K747" s="5" t="s">
        <v>1930</v>
      </c>
      <c r="L747" s="5">
        <v>1.0</v>
      </c>
      <c r="M747" s="7">
        <f t="shared" si="3"/>
        <v>0.43</v>
      </c>
    </row>
    <row r="748">
      <c r="A748" s="5" t="s">
        <v>1931</v>
      </c>
      <c r="B748" s="5" t="s">
        <v>1756</v>
      </c>
      <c r="C748" s="5" t="s">
        <v>1631</v>
      </c>
      <c r="D748" s="5" t="s">
        <v>1932</v>
      </c>
      <c r="E748" s="5" t="s">
        <v>1782</v>
      </c>
      <c r="F748" s="5" t="s">
        <v>1798</v>
      </c>
      <c r="G748" s="6">
        <v>3.9</v>
      </c>
      <c r="H748" s="5" t="s">
        <v>1933</v>
      </c>
      <c r="I748" s="5" t="s">
        <v>1794</v>
      </c>
      <c r="J748" s="5">
        <v>1999.0</v>
      </c>
      <c r="L748" s="5">
        <v>1.0</v>
      </c>
      <c r="M748" s="7">
        <f t="shared" si="3"/>
        <v>3.9</v>
      </c>
    </row>
    <row r="749">
      <c r="A749" s="5" t="s">
        <v>1934</v>
      </c>
      <c r="B749" s="5" t="s">
        <v>556</v>
      </c>
      <c r="C749" s="5" t="s">
        <v>1613</v>
      </c>
      <c r="D749" s="5" t="s">
        <v>1935</v>
      </c>
      <c r="E749" s="5" t="s">
        <v>1034</v>
      </c>
      <c r="F749" s="5" t="s">
        <v>1672</v>
      </c>
      <c r="G749" s="6">
        <v>13.32</v>
      </c>
      <c r="H749" s="5" t="s">
        <v>1936</v>
      </c>
      <c r="I749" s="5" t="s">
        <v>1794</v>
      </c>
      <c r="J749" s="5">
        <v>2000.0</v>
      </c>
      <c r="L749" s="5">
        <v>1.0</v>
      </c>
      <c r="M749" s="7">
        <f t="shared" si="3"/>
        <v>13.32</v>
      </c>
    </row>
    <row r="750">
      <c r="A750" s="5" t="s">
        <v>1937</v>
      </c>
      <c r="B750" s="5" t="s">
        <v>1756</v>
      </c>
      <c r="C750" s="5" t="s">
        <v>1631</v>
      </c>
      <c r="D750" s="5" t="s">
        <v>1938</v>
      </c>
      <c r="E750" s="5" t="s">
        <v>1746</v>
      </c>
      <c r="F750" s="5" t="s">
        <v>1798</v>
      </c>
      <c r="G750" s="6">
        <v>2.38</v>
      </c>
      <c r="H750" s="5" t="s">
        <v>1821</v>
      </c>
      <c r="I750" s="5" t="s">
        <v>1794</v>
      </c>
      <c r="J750" s="5">
        <v>1999.0</v>
      </c>
      <c r="L750" s="5">
        <v>1.0</v>
      </c>
      <c r="M750" s="7">
        <f t="shared" si="3"/>
        <v>2.38</v>
      </c>
    </row>
    <row r="751">
      <c r="A751" s="5" t="s">
        <v>1939</v>
      </c>
      <c r="B751" s="5" t="s">
        <v>556</v>
      </c>
      <c r="C751" s="5" t="s">
        <v>1670</v>
      </c>
      <c r="D751" s="5" t="s">
        <v>1940</v>
      </c>
      <c r="E751" s="5" t="s">
        <v>1037</v>
      </c>
      <c r="F751" s="5" t="s">
        <v>1672</v>
      </c>
      <c r="G751" s="6">
        <v>2.5</v>
      </c>
      <c r="H751" s="5" t="s">
        <v>1808</v>
      </c>
      <c r="I751" s="5" t="s">
        <v>1794</v>
      </c>
      <c r="J751" s="5">
        <v>1996.0</v>
      </c>
      <c r="L751" s="5">
        <v>1.0</v>
      </c>
      <c r="M751" s="7">
        <f t="shared" si="3"/>
        <v>2.5</v>
      </c>
    </row>
    <row r="752">
      <c r="A752" s="5" t="s">
        <v>1941</v>
      </c>
      <c r="B752" s="5" t="s">
        <v>556</v>
      </c>
      <c r="C752" s="5" t="s">
        <v>1613</v>
      </c>
      <c r="D752" s="5" t="s">
        <v>1942</v>
      </c>
      <c r="E752" s="5" t="s">
        <v>1034</v>
      </c>
      <c r="F752" s="5" t="s">
        <v>1672</v>
      </c>
      <c r="G752" s="6">
        <v>0.75</v>
      </c>
      <c r="H752" s="5" t="s">
        <v>1774</v>
      </c>
      <c r="I752" s="5" t="s">
        <v>1794</v>
      </c>
      <c r="J752" s="5">
        <v>1995.0</v>
      </c>
      <c r="L752" s="5">
        <v>1.0</v>
      </c>
      <c r="M752" s="7">
        <f t="shared" si="3"/>
        <v>0.75</v>
      </c>
    </row>
    <row r="753">
      <c r="A753" s="5" t="s">
        <v>1943</v>
      </c>
      <c r="B753" s="5" t="s">
        <v>1744</v>
      </c>
      <c r="C753" s="5" t="s">
        <v>1670</v>
      </c>
      <c r="D753" s="5" t="s">
        <v>1944</v>
      </c>
      <c r="E753" s="5" t="s">
        <v>1746</v>
      </c>
      <c r="F753" s="5" t="s">
        <v>1798</v>
      </c>
      <c r="G753" s="6">
        <v>4.79</v>
      </c>
      <c r="H753" s="5" t="s">
        <v>1747</v>
      </c>
      <c r="I753" s="5" t="s">
        <v>1794</v>
      </c>
      <c r="J753" s="5">
        <v>2000.0</v>
      </c>
      <c r="K753" s="8">
        <v>46023.0</v>
      </c>
      <c r="L753" s="5">
        <v>1.0</v>
      </c>
      <c r="M753" s="7">
        <f t="shared" si="3"/>
        <v>4.79</v>
      </c>
    </row>
    <row r="754">
      <c r="A754" s="5" t="s">
        <v>1945</v>
      </c>
      <c r="B754" s="5" t="s">
        <v>1946</v>
      </c>
      <c r="C754" s="5" t="s">
        <v>297</v>
      </c>
      <c r="D754" s="5" t="s">
        <v>1947</v>
      </c>
      <c r="E754" s="5" t="s">
        <v>1746</v>
      </c>
      <c r="F754" s="5" t="s">
        <v>152</v>
      </c>
      <c r="G754" s="6">
        <v>0.45</v>
      </c>
      <c r="H754" s="5" t="s">
        <v>1774</v>
      </c>
      <c r="I754" s="5" t="s">
        <v>1794</v>
      </c>
      <c r="J754" s="5">
        <v>1995.0</v>
      </c>
      <c r="L754" s="5">
        <v>1.0</v>
      </c>
      <c r="M754" s="7">
        <f t="shared" si="3"/>
        <v>0.45</v>
      </c>
    </row>
    <row r="755">
      <c r="A755" s="5" t="s">
        <v>1948</v>
      </c>
      <c r="B755" s="5" t="s">
        <v>1946</v>
      </c>
      <c r="C755" s="5" t="s">
        <v>297</v>
      </c>
      <c r="D755" s="5" t="s">
        <v>1949</v>
      </c>
      <c r="E755" s="5" t="s">
        <v>1746</v>
      </c>
      <c r="F755" s="5" t="s">
        <v>152</v>
      </c>
      <c r="G755" s="6">
        <v>0.51</v>
      </c>
      <c r="H755" s="5" t="s">
        <v>1774</v>
      </c>
      <c r="I755" s="5" t="s">
        <v>1794</v>
      </c>
      <c r="J755" s="5">
        <v>1995.0</v>
      </c>
      <c r="L755" s="5">
        <v>1.0</v>
      </c>
      <c r="M755" s="7">
        <f t="shared" si="3"/>
        <v>0.51</v>
      </c>
    </row>
    <row r="756">
      <c r="A756" s="5" t="s">
        <v>1950</v>
      </c>
      <c r="B756" s="5" t="s">
        <v>1898</v>
      </c>
      <c r="C756" s="5" t="s">
        <v>1951</v>
      </c>
      <c r="D756" s="5" t="s">
        <v>1952</v>
      </c>
      <c r="E756" s="5" t="s">
        <v>1037</v>
      </c>
      <c r="F756" s="5" t="s">
        <v>80</v>
      </c>
      <c r="G756" s="6">
        <v>0.1</v>
      </c>
      <c r="H756" s="5" t="s">
        <v>1628</v>
      </c>
      <c r="I756" s="5" t="s">
        <v>1794</v>
      </c>
      <c r="J756" s="5">
        <v>2021.0</v>
      </c>
      <c r="L756" s="5">
        <v>1.0</v>
      </c>
      <c r="M756" s="7">
        <f t="shared" si="3"/>
        <v>0.1</v>
      </c>
    </row>
    <row r="757">
      <c r="A757" s="5" t="s">
        <v>1953</v>
      </c>
      <c r="B757" s="5" t="s">
        <v>1954</v>
      </c>
      <c r="C757" s="5" t="s">
        <v>297</v>
      </c>
      <c r="D757" s="5" t="s">
        <v>1955</v>
      </c>
      <c r="E757" s="5" t="s">
        <v>1956</v>
      </c>
      <c r="F757" s="5" t="s">
        <v>1957</v>
      </c>
      <c r="G757" s="6">
        <v>0.06</v>
      </c>
      <c r="H757" s="5" t="s">
        <v>1958</v>
      </c>
      <c r="I757" s="5" t="s">
        <v>1794</v>
      </c>
      <c r="J757" s="5">
        <v>2021.0</v>
      </c>
      <c r="L757" s="5">
        <v>1.0</v>
      </c>
      <c r="M757" s="7">
        <f t="shared" si="3"/>
        <v>0.06</v>
      </c>
    </row>
    <row r="758">
      <c r="A758" s="5" t="s">
        <v>1959</v>
      </c>
      <c r="B758" s="5" t="s">
        <v>556</v>
      </c>
      <c r="C758" s="5" t="s">
        <v>1670</v>
      </c>
      <c r="D758" s="5" t="s">
        <v>1960</v>
      </c>
      <c r="E758" s="5" t="s">
        <v>1271</v>
      </c>
      <c r="F758" s="5" t="s">
        <v>1672</v>
      </c>
      <c r="G758" s="6">
        <v>0.15</v>
      </c>
      <c r="H758" s="5" t="s">
        <v>1961</v>
      </c>
      <c r="I758" s="5" t="s">
        <v>31</v>
      </c>
      <c r="J758" s="5">
        <v>2024.0</v>
      </c>
      <c r="L758" s="5">
        <v>1.0</v>
      </c>
      <c r="M758" s="7">
        <f t="shared" si="3"/>
        <v>0.15</v>
      </c>
    </row>
    <row r="759">
      <c r="A759" s="5" t="s">
        <v>1962</v>
      </c>
      <c r="B759" s="5" t="s">
        <v>556</v>
      </c>
      <c r="C759" s="5" t="s">
        <v>1631</v>
      </c>
      <c r="D759" s="5" t="s">
        <v>1963</v>
      </c>
      <c r="E759" s="5" t="s">
        <v>1271</v>
      </c>
      <c r="F759" s="5" t="s">
        <v>1672</v>
      </c>
      <c r="G759" s="6">
        <v>8.75</v>
      </c>
      <c r="H759" s="5" t="s">
        <v>1964</v>
      </c>
      <c r="I759" s="5" t="s">
        <v>1794</v>
      </c>
      <c r="J759" s="5">
        <v>2026.0</v>
      </c>
      <c r="L759" s="5">
        <v>1.0</v>
      </c>
      <c r="M759" s="7">
        <f t="shared" si="3"/>
        <v>8.75</v>
      </c>
    </row>
    <row r="760">
      <c r="A760" s="5" t="s">
        <v>1965</v>
      </c>
      <c r="B760" s="5" t="s">
        <v>1898</v>
      </c>
      <c r="C760" s="5" t="s">
        <v>297</v>
      </c>
      <c r="D760" s="5" t="s">
        <v>1966</v>
      </c>
      <c r="E760" s="5" t="s">
        <v>1271</v>
      </c>
      <c r="F760" s="5" t="s">
        <v>80</v>
      </c>
      <c r="G760" s="6">
        <v>0.05</v>
      </c>
      <c r="H760" s="5" t="s">
        <v>1967</v>
      </c>
      <c r="I760" s="5" t="s">
        <v>1794</v>
      </c>
      <c r="J760" s="5">
        <v>2022.0</v>
      </c>
      <c r="L760" s="5">
        <v>1.0</v>
      </c>
      <c r="M760" s="7">
        <f t="shared" si="3"/>
        <v>0.05</v>
      </c>
    </row>
    <row r="761">
      <c r="A761" s="5" t="s">
        <v>1968</v>
      </c>
      <c r="B761" s="5" t="s">
        <v>1969</v>
      </c>
      <c r="C761" s="5" t="s">
        <v>1670</v>
      </c>
      <c r="D761" s="5" t="s">
        <v>1970</v>
      </c>
      <c r="E761" s="5" t="s">
        <v>1271</v>
      </c>
      <c r="F761" s="5" t="s">
        <v>1672</v>
      </c>
      <c r="G761" s="6">
        <v>0.03</v>
      </c>
      <c r="H761" s="5" t="s">
        <v>1961</v>
      </c>
      <c r="I761" s="5" t="s">
        <v>1794</v>
      </c>
      <c r="J761" s="5">
        <v>2024.0</v>
      </c>
      <c r="L761" s="5">
        <v>1.0</v>
      </c>
      <c r="M761" s="7">
        <f t="shared" si="3"/>
        <v>0.03</v>
      </c>
    </row>
    <row r="762">
      <c r="A762" s="5" t="s">
        <v>1971</v>
      </c>
      <c r="B762" s="5" t="s">
        <v>677</v>
      </c>
      <c r="C762" s="5" t="s">
        <v>1670</v>
      </c>
      <c r="D762" s="5" t="s">
        <v>1972</v>
      </c>
      <c r="E762" s="5" t="s">
        <v>1037</v>
      </c>
      <c r="F762" s="5" t="s">
        <v>1672</v>
      </c>
      <c r="G762" s="6">
        <v>0.05</v>
      </c>
      <c r="H762" s="5" t="s">
        <v>1961</v>
      </c>
      <c r="I762" s="5" t="s">
        <v>1794</v>
      </c>
      <c r="J762" s="5">
        <v>2024.0</v>
      </c>
      <c r="L762" s="5">
        <v>1.0</v>
      </c>
      <c r="M762" s="7">
        <f t="shared" si="3"/>
        <v>0.05</v>
      </c>
    </row>
    <row r="763">
      <c r="A763" s="5" t="s">
        <v>1973</v>
      </c>
      <c r="B763" s="5" t="s">
        <v>1974</v>
      </c>
      <c r="C763" s="5" t="s">
        <v>1951</v>
      </c>
      <c r="D763" s="5" t="s">
        <v>1975</v>
      </c>
      <c r="E763" s="5" t="s">
        <v>1976</v>
      </c>
      <c r="F763" s="5" t="s">
        <v>80</v>
      </c>
      <c r="G763" s="6">
        <v>0.09</v>
      </c>
      <c r="H763" s="5" t="s">
        <v>1644</v>
      </c>
      <c r="I763" s="5" t="s">
        <v>1794</v>
      </c>
      <c r="J763" s="5">
        <v>2019.0</v>
      </c>
      <c r="K763" s="8">
        <v>46242.0</v>
      </c>
      <c r="L763" s="5">
        <v>1.0</v>
      </c>
      <c r="M763" s="7">
        <f t="shared" si="3"/>
        <v>0.09</v>
      </c>
    </row>
    <row r="764">
      <c r="A764" s="5" t="s">
        <v>1977</v>
      </c>
      <c r="B764" s="5" t="s">
        <v>1898</v>
      </c>
      <c r="C764" s="5" t="s">
        <v>297</v>
      </c>
      <c r="D764" s="5" t="s">
        <v>1978</v>
      </c>
      <c r="E764" s="5" t="s">
        <v>1037</v>
      </c>
      <c r="F764" s="5" t="s">
        <v>80</v>
      </c>
      <c r="G764" s="6">
        <v>0.05</v>
      </c>
      <c r="H764" s="5" t="s">
        <v>1628</v>
      </c>
      <c r="I764" s="5" t="s">
        <v>1794</v>
      </c>
      <c r="J764" s="5">
        <v>2021.0</v>
      </c>
      <c r="L764" s="5">
        <v>1.0</v>
      </c>
      <c r="M764" s="7">
        <f t="shared" si="3"/>
        <v>0.05</v>
      </c>
    </row>
    <row r="765">
      <c r="A765" s="5" t="s">
        <v>1979</v>
      </c>
      <c r="B765" s="5" t="s">
        <v>1954</v>
      </c>
      <c r="C765" s="5" t="s">
        <v>297</v>
      </c>
      <c r="D765" s="5" t="s">
        <v>1980</v>
      </c>
      <c r="E765" s="5" t="s">
        <v>1037</v>
      </c>
      <c r="F765" s="5" t="s">
        <v>80</v>
      </c>
      <c r="G765" s="6">
        <v>0.2</v>
      </c>
      <c r="H765" s="5" t="s">
        <v>1981</v>
      </c>
      <c r="I765" s="5" t="s">
        <v>31</v>
      </c>
      <c r="J765" s="5">
        <v>2022.0</v>
      </c>
      <c r="L765" s="5">
        <v>1.0</v>
      </c>
      <c r="M765" s="7">
        <f t="shared" si="3"/>
        <v>0.2</v>
      </c>
    </row>
    <row r="766">
      <c r="A766" s="5" t="s">
        <v>1982</v>
      </c>
      <c r="B766" s="5" t="s">
        <v>1898</v>
      </c>
      <c r="C766" s="5" t="s">
        <v>1951</v>
      </c>
      <c r="D766" s="5" t="s">
        <v>1983</v>
      </c>
      <c r="E766" s="5" t="s">
        <v>1721</v>
      </c>
      <c r="F766" s="5" t="s">
        <v>80</v>
      </c>
      <c r="G766" s="6">
        <v>0.06</v>
      </c>
      <c r="H766" s="5" t="s">
        <v>1679</v>
      </c>
      <c r="I766" s="5" t="s">
        <v>1794</v>
      </c>
      <c r="J766" s="5">
        <v>2008.0</v>
      </c>
      <c r="L766" s="5">
        <v>1.0</v>
      </c>
      <c r="M766" s="7">
        <f t="shared" si="3"/>
        <v>0.06</v>
      </c>
    </row>
    <row r="767">
      <c r="A767" s="5" t="s">
        <v>1984</v>
      </c>
      <c r="B767" s="5" t="s">
        <v>1954</v>
      </c>
      <c r="C767" s="5" t="s">
        <v>297</v>
      </c>
      <c r="D767" s="5" t="s">
        <v>1985</v>
      </c>
      <c r="E767" s="5" t="s">
        <v>1271</v>
      </c>
      <c r="F767" s="5" t="s">
        <v>80</v>
      </c>
      <c r="G767" s="6">
        <v>0.09</v>
      </c>
      <c r="H767" s="5" t="s">
        <v>1986</v>
      </c>
      <c r="I767" s="5" t="s">
        <v>1794</v>
      </c>
      <c r="J767" s="5">
        <v>2015.0</v>
      </c>
      <c r="L767" s="5">
        <v>1.0</v>
      </c>
      <c r="M767" s="7">
        <f t="shared" si="3"/>
        <v>0.09</v>
      </c>
    </row>
    <row r="768">
      <c r="A768" s="5" t="s">
        <v>1987</v>
      </c>
      <c r="B768" s="5" t="s">
        <v>1898</v>
      </c>
      <c r="C768" s="5" t="s">
        <v>1951</v>
      </c>
      <c r="D768" s="5" t="s">
        <v>1988</v>
      </c>
      <c r="E768" s="5" t="s">
        <v>1034</v>
      </c>
      <c r="F768" s="5" t="s">
        <v>80</v>
      </c>
      <c r="G768" s="6">
        <v>0.06</v>
      </c>
      <c r="H768" s="5" t="s">
        <v>1989</v>
      </c>
      <c r="I768" s="5" t="s">
        <v>1794</v>
      </c>
      <c r="J768" s="5">
        <v>2019.0</v>
      </c>
      <c r="L768" s="5">
        <v>1.0</v>
      </c>
      <c r="M768" s="7">
        <f t="shared" si="3"/>
        <v>0.06</v>
      </c>
    </row>
    <row r="769">
      <c r="A769" s="5" t="s">
        <v>1990</v>
      </c>
      <c r="B769" s="5" t="s">
        <v>1954</v>
      </c>
      <c r="C769" s="5" t="s">
        <v>1899</v>
      </c>
      <c r="D769" s="5" t="s">
        <v>1991</v>
      </c>
      <c r="E769" s="5" t="s">
        <v>1037</v>
      </c>
      <c r="F769" s="5" t="s">
        <v>80</v>
      </c>
      <c r="G769" s="6">
        <v>0.5</v>
      </c>
      <c r="H769" s="5" t="s">
        <v>1992</v>
      </c>
      <c r="I769" s="5" t="s">
        <v>1794</v>
      </c>
      <c r="J769" s="5">
        <v>2011.0</v>
      </c>
      <c r="L769" s="5">
        <v>1.0</v>
      </c>
      <c r="M769" s="7">
        <f t="shared" si="3"/>
        <v>0.5</v>
      </c>
    </row>
    <row r="770">
      <c r="A770" s="5" t="s">
        <v>1993</v>
      </c>
      <c r="B770" s="5" t="s">
        <v>556</v>
      </c>
      <c r="C770" s="5" t="s">
        <v>1631</v>
      </c>
      <c r="D770" s="5" t="s">
        <v>1994</v>
      </c>
      <c r="E770" s="5" t="s">
        <v>1037</v>
      </c>
      <c r="F770" s="5" t="s">
        <v>1672</v>
      </c>
      <c r="G770" s="6">
        <v>0.05</v>
      </c>
      <c r="H770" s="5" t="s">
        <v>1700</v>
      </c>
      <c r="I770" s="5" t="s">
        <v>1794</v>
      </c>
      <c r="J770" s="5">
        <v>2003.0</v>
      </c>
      <c r="L770" s="5">
        <v>1.0</v>
      </c>
      <c r="M770" s="7">
        <f t="shared" si="3"/>
        <v>0.05</v>
      </c>
    </row>
    <row r="771">
      <c r="A771" s="5" t="s">
        <v>1995</v>
      </c>
      <c r="B771" s="5" t="s">
        <v>1954</v>
      </c>
      <c r="C771" s="5" t="s">
        <v>297</v>
      </c>
      <c r="D771" s="5" t="s">
        <v>1996</v>
      </c>
      <c r="E771" s="5" t="s">
        <v>1735</v>
      </c>
      <c r="F771" s="5" t="s">
        <v>80</v>
      </c>
      <c r="G771" s="6">
        <v>0.08</v>
      </c>
      <c r="H771" s="5" t="s">
        <v>1997</v>
      </c>
      <c r="I771" s="5" t="s">
        <v>1794</v>
      </c>
      <c r="J771" s="5">
        <v>2016.0</v>
      </c>
      <c r="L771" s="5">
        <v>1.0</v>
      </c>
      <c r="M771" s="7">
        <f t="shared" si="3"/>
        <v>0.08</v>
      </c>
    </row>
    <row r="772">
      <c r="A772" s="5" t="s">
        <v>1998</v>
      </c>
      <c r="B772" s="5" t="s">
        <v>1898</v>
      </c>
      <c r="C772" s="5" t="s">
        <v>297</v>
      </c>
      <c r="D772" s="5" t="s">
        <v>1999</v>
      </c>
      <c r="E772" s="5" t="s">
        <v>1721</v>
      </c>
      <c r="F772" s="5" t="s">
        <v>80</v>
      </c>
      <c r="G772" s="6">
        <v>0.04</v>
      </c>
      <c r="H772" s="5" t="s">
        <v>1711</v>
      </c>
      <c r="I772" s="5" t="s">
        <v>1794</v>
      </c>
      <c r="J772" s="5">
        <v>2019.0</v>
      </c>
      <c r="L772" s="5">
        <v>1.0</v>
      </c>
      <c r="M772" s="7">
        <f t="shared" si="3"/>
        <v>0.04</v>
      </c>
    </row>
    <row r="773">
      <c r="A773" s="5" t="s">
        <v>2000</v>
      </c>
      <c r="B773" s="5" t="s">
        <v>556</v>
      </c>
      <c r="C773" s="5" t="s">
        <v>1670</v>
      </c>
      <c r="D773" s="5" t="s">
        <v>2001</v>
      </c>
      <c r="E773" s="5" t="s">
        <v>1721</v>
      </c>
      <c r="F773" s="5" t="s">
        <v>1672</v>
      </c>
      <c r="G773" s="6">
        <v>0.03</v>
      </c>
      <c r="H773" s="5" t="s">
        <v>1684</v>
      </c>
      <c r="I773" s="5" t="s">
        <v>1794</v>
      </c>
      <c r="J773" s="5">
        <v>2015.0</v>
      </c>
      <c r="K773" s="8">
        <v>46147.0</v>
      </c>
      <c r="L773" s="5">
        <v>1.0</v>
      </c>
      <c r="M773" s="7">
        <f t="shared" si="3"/>
        <v>0.03</v>
      </c>
    </row>
    <row r="774">
      <c r="A774" s="5" t="s">
        <v>2002</v>
      </c>
      <c r="B774" s="5" t="s">
        <v>2003</v>
      </c>
      <c r="C774" s="5" t="s">
        <v>297</v>
      </c>
      <c r="D774" s="5" t="s">
        <v>2004</v>
      </c>
      <c r="E774" s="5" t="s">
        <v>1037</v>
      </c>
      <c r="F774" s="5" t="s">
        <v>80</v>
      </c>
      <c r="G774" s="6">
        <v>0.05</v>
      </c>
      <c r="H774" s="5" t="s">
        <v>2005</v>
      </c>
      <c r="I774" s="5" t="s">
        <v>1794</v>
      </c>
      <c r="J774" s="5">
        <v>2020.0</v>
      </c>
      <c r="K774" s="8">
        <v>46024.0</v>
      </c>
      <c r="L774" s="5">
        <v>1.0</v>
      </c>
      <c r="M774" s="7">
        <f t="shared" si="3"/>
        <v>0.05</v>
      </c>
    </row>
    <row r="775">
      <c r="A775" s="5" t="s">
        <v>2006</v>
      </c>
      <c r="B775" s="5" t="s">
        <v>1898</v>
      </c>
      <c r="C775" s="5" t="s">
        <v>1951</v>
      </c>
      <c r="D775" s="5" t="s">
        <v>2007</v>
      </c>
      <c r="E775" s="5" t="s">
        <v>1034</v>
      </c>
      <c r="F775" s="5" t="s">
        <v>80</v>
      </c>
      <c r="G775" s="6">
        <v>0.21</v>
      </c>
      <c r="H775" s="5" t="s">
        <v>2008</v>
      </c>
      <c r="I775" s="5" t="s">
        <v>1794</v>
      </c>
      <c r="J775" s="5">
        <v>2013.0</v>
      </c>
      <c r="L775" s="5">
        <v>1.0</v>
      </c>
      <c r="M775" s="7">
        <f t="shared" si="3"/>
        <v>0.21</v>
      </c>
    </row>
    <row r="776">
      <c r="A776" s="5" t="s">
        <v>2009</v>
      </c>
      <c r="B776" s="5" t="s">
        <v>1898</v>
      </c>
      <c r="C776" s="5" t="s">
        <v>297</v>
      </c>
      <c r="D776" s="5" t="s">
        <v>2010</v>
      </c>
      <c r="E776" s="5" t="s">
        <v>1034</v>
      </c>
      <c r="F776" s="5" t="s">
        <v>80</v>
      </c>
      <c r="G776" s="6">
        <v>0.06</v>
      </c>
      <c r="H776" s="5" t="s">
        <v>1717</v>
      </c>
      <c r="I776" s="5" t="s">
        <v>1794</v>
      </c>
      <c r="J776" s="5">
        <v>2020.0</v>
      </c>
      <c r="L776" s="5">
        <v>1.0</v>
      </c>
      <c r="M776" s="7">
        <f t="shared" si="3"/>
        <v>0.06</v>
      </c>
    </row>
    <row r="777">
      <c r="A777" s="5" t="s">
        <v>2011</v>
      </c>
      <c r="B777" s="5" t="s">
        <v>1898</v>
      </c>
      <c r="C777" s="5" t="s">
        <v>297</v>
      </c>
      <c r="D777" s="5" t="s">
        <v>2012</v>
      </c>
      <c r="E777" s="5" t="s">
        <v>1037</v>
      </c>
      <c r="F777" s="5" t="s">
        <v>80</v>
      </c>
      <c r="G777" s="6">
        <v>0.06</v>
      </c>
      <c r="H777" s="5" t="s">
        <v>1679</v>
      </c>
      <c r="I777" s="5" t="s">
        <v>1794</v>
      </c>
      <c r="J777" s="5">
        <v>2008.0</v>
      </c>
      <c r="L777" s="5">
        <v>1.0</v>
      </c>
      <c r="M777" s="7">
        <f t="shared" si="3"/>
        <v>0.06</v>
      </c>
    </row>
    <row r="778">
      <c r="A778" s="5" t="s">
        <v>2013</v>
      </c>
      <c r="B778" s="5" t="s">
        <v>1974</v>
      </c>
      <c r="C778" s="5" t="s">
        <v>297</v>
      </c>
      <c r="D778" s="5" t="s">
        <v>2014</v>
      </c>
      <c r="E778" s="5" t="s">
        <v>1683</v>
      </c>
      <c r="F778" s="5" t="s">
        <v>80</v>
      </c>
      <c r="G778" s="6">
        <v>0.25</v>
      </c>
      <c r="H778" s="5" t="s">
        <v>1714</v>
      </c>
      <c r="I778" s="5" t="s">
        <v>31</v>
      </c>
      <c r="J778" s="5">
        <v>2022.0</v>
      </c>
      <c r="K778" s="8">
        <v>46056.0</v>
      </c>
      <c r="L778" s="5">
        <v>1.0</v>
      </c>
      <c r="M778" s="7">
        <f t="shared" si="3"/>
        <v>0.25</v>
      </c>
    </row>
    <row r="779">
      <c r="A779" s="5" t="s">
        <v>2015</v>
      </c>
      <c r="B779" s="5" t="s">
        <v>2016</v>
      </c>
      <c r="C779" s="5" t="s">
        <v>297</v>
      </c>
      <c r="D779" s="5" t="s">
        <v>2017</v>
      </c>
      <c r="E779" s="5" t="s">
        <v>1746</v>
      </c>
      <c r="F779" s="5" t="s">
        <v>152</v>
      </c>
      <c r="G779" s="6">
        <v>0.1</v>
      </c>
      <c r="H779" s="5" t="s">
        <v>1936</v>
      </c>
      <c r="I779" s="5" t="s">
        <v>1794</v>
      </c>
      <c r="J779" s="5">
        <v>2000.0</v>
      </c>
      <c r="K779" s="5" t="s">
        <v>1852</v>
      </c>
      <c r="L779" s="5">
        <v>1.0</v>
      </c>
      <c r="M779" s="7">
        <f t="shared" si="3"/>
        <v>0.1</v>
      </c>
    </row>
    <row r="780">
      <c r="A780" s="5" t="s">
        <v>2018</v>
      </c>
      <c r="B780" s="5" t="s">
        <v>2019</v>
      </c>
      <c r="C780" s="5" t="s">
        <v>297</v>
      </c>
      <c r="D780" s="5" t="s">
        <v>2020</v>
      </c>
      <c r="E780" s="5" t="s">
        <v>1764</v>
      </c>
      <c r="F780" s="5" t="s">
        <v>152</v>
      </c>
      <c r="G780" s="6">
        <v>0.03</v>
      </c>
      <c r="H780" s="5" t="s">
        <v>1771</v>
      </c>
      <c r="I780" s="5" t="s">
        <v>1794</v>
      </c>
      <c r="J780" s="5">
        <v>1997.0</v>
      </c>
      <c r="K780" s="8">
        <v>46055.0</v>
      </c>
      <c r="L780" s="5">
        <v>1.0</v>
      </c>
      <c r="M780" s="7">
        <f t="shared" si="3"/>
        <v>0.03</v>
      </c>
    </row>
    <row r="781">
      <c r="A781" s="5" t="s">
        <v>2021</v>
      </c>
      <c r="B781" s="5" t="s">
        <v>1898</v>
      </c>
      <c r="C781" s="5" t="s">
        <v>1899</v>
      </c>
      <c r="D781" s="5" t="s">
        <v>2022</v>
      </c>
      <c r="E781" s="5" t="s">
        <v>1271</v>
      </c>
      <c r="F781" s="5" t="s">
        <v>80</v>
      </c>
      <c r="G781" s="6">
        <v>0.13</v>
      </c>
      <c r="H781" s="5" t="s">
        <v>2023</v>
      </c>
      <c r="I781" s="5" t="s">
        <v>1794</v>
      </c>
      <c r="J781" s="5">
        <v>1997.0</v>
      </c>
      <c r="L781" s="5">
        <v>1.0</v>
      </c>
      <c r="M781" s="7">
        <f t="shared" si="3"/>
        <v>0.13</v>
      </c>
    </row>
    <row r="782">
      <c r="A782" s="5" t="s">
        <v>2024</v>
      </c>
      <c r="B782" s="5" t="s">
        <v>2003</v>
      </c>
      <c r="C782" s="5" t="s">
        <v>297</v>
      </c>
      <c r="D782" s="5" t="s">
        <v>2025</v>
      </c>
      <c r="E782" s="5" t="s">
        <v>1683</v>
      </c>
      <c r="F782" s="5" t="s">
        <v>80</v>
      </c>
      <c r="G782" s="6">
        <v>0.05</v>
      </c>
      <c r="H782" s="5" t="s">
        <v>2026</v>
      </c>
      <c r="I782" s="5" t="s">
        <v>1794</v>
      </c>
      <c r="J782" s="5">
        <v>1996.0</v>
      </c>
      <c r="K782" s="8">
        <v>46057.0</v>
      </c>
      <c r="L782" s="5">
        <v>1.0</v>
      </c>
      <c r="M782" s="7">
        <f t="shared" si="3"/>
        <v>0.05</v>
      </c>
    </row>
    <row r="783">
      <c r="A783" s="5" t="s">
        <v>1867</v>
      </c>
      <c r="B783" s="5" t="s">
        <v>2027</v>
      </c>
      <c r="C783" s="5" t="s">
        <v>297</v>
      </c>
      <c r="D783" s="5" t="s">
        <v>2028</v>
      </c>
      <c r="E783" s="5" t="s">
        <v>1746</v>
      </c>
      <c r="F783" s="5" t="s">
        <v>152</v>
      </c>
      <c r="G783" s="6">
        <v>0.43</v>
      </c>
      <c r="H783" s="5" t="s">
        <v>2029</v>
      </c>
      <c r="I783" s="5" t="s">
        <v>1794</v>
      </c>
      <c r="J783" s="5">
        <v>1993.0</v>
      </c>
      <c r="K783" s="5" t="s">
        <v>1852</v>
      </c>
      <c r="L783" s="5">
        <v>1.0</v>
      </c>
      <c r="M783" s="7">
        <f t="shared" si="3"/>
        <v>0.43</v>
      </c>
    </row>
    <row r="784">
      <c r="A784" s="5" t="s">
        <v>2030</v>
      </c>
      <c r="B784" s="5" t="s">
        <v>1974</v>
      </c>
      <c r="C784" s="5" t="s">
        <v>1899</v>
      </c>
      <c r="D784" s="5" t="s">
        <v>2031</v>
      </c>
      <c r="E784" s="5" t="s">
        <v>2032</v>
      </c>
      <c r="F784" s="5" t="s">
        <v>80</v>
      </c>
      <c r="G784" s="6">
        <v>0.49</v>
      </c>
      <c r="H784" s="5" t="s">
        <v>1774</v>
      </c>
      <c r="I784" s="5" t="s">
        <v>1794</v>
      </c>
      <c r="J784" s="5">
        <v>1995.0</v>
      </c>
      <c r="K784" s="8">
        <v>46147.0</v>
      </c>
      <c r="L784" s="5">
        <v>1.0</v>
      </c>
      <c r="M784" s="7">
        <f t="shared" si="3"/>
        <v>0.49</v>
      </c>
    </row>
    <row r="785">
      <c r="A785" s="5" t="s">
        <v>2033</v>
      </c>
      <c r="B785" s="5" t="s">
        <v>2034</v>
      </c>
      <c r="C785" s="5" t="s">
        <v>297</v>
      </c>
      <c r="D785" s="5" t="s">
        <v>2035</v>
      </c>
      <c r="E785" s="5" t="s">
        <v>1782</v>
      </c>
      <c r="F785" s="5" t="s">
        <v>152</v>
      </c>
      <c r="G785" s="6">
        <v>0.17</v>
      </c>
      <c r="H785" s="5" t="s">
        <v>1774</v>
      </c>
      <c r="I785" s="5" t="s">
        <v>1794</v>
      </c>
      <c r="J785" s="5">
        <v>1995.0</v>
      </c>
      <c r="K785" s="8">
        <v>46055.0</v>
      </c>
      <c r="L785" s="5">
        <v>1.0</v>
      </c>
      <c r="M785" s="7">
        <f t="shared" si="3"/>
        <v>0.17</v>
      </c>
    </row>
    <row r="786">
      <c r="A786" s="5" t="s">
        <v>2036</v>
      </c>
      <c r="B786" s="5" t="s">
        <v>2037</v>
      </c>
      <c r="C786" s="5" t="s">
        <v>1951</v>
      </c>
      <c r="D786" s="5" t="s">
        <v>2038</v>
      </c>
      <c r="E786" s="5" t="s">
        <v>1764</v>
      </c>
      <c r="F786" s="5" t="s">
        <v>152</v>
      </c>
      <c r="G786" s="6">
        <v>0.09</v>
      </c>
      <c r="H786" s="5" t="s">
        <v>1933</v>
      </c>
      <c r="I786" s="5" t="s">
        <v>1794</v>
      </c>
      <c r="J786" s="5">
        <v>1999.0</v>
      </c>
      <c r="K786" s="8">
        <v>46055.0</v>
      </c>
      <c r="L786" s="5">
        <v>1.0</v>
      </c>
      <c r="M786" s="7">
        <f t="shared" si="3"/>
        <v>0.09</v>
      </c>
    </row>
    <row r="787">
      <c r="A787" s="5" t="s">
        <v>2039</v>
      </c>
      <c r="B787" s="5" t="s">
        <v>2016</v>
      </c>
      <c r="C787" s="5" t="s">
        <v>297</v>
      </c>
      <c r="D787" s="5" t="s">
        <v>2040</v>
      </c>
      <c r="E787" s="5" t="s">
        <v>1782</v>
      </c>
      <c r="F787" s="5" t="s">
        <v>152</v>
      </c>
      <c r="G787" s="6">
        <v>0.05</v>
      </c>
      <c r="H787" s="5" t="s">
        <v>1933</v>
      </c>
      <c r="I787" s="5" t="s">
        <v>1794</v>
      </c>
      <c r="J787" s="5">
        <v>1999.0</v>
      </c>
      <c r="L787" s="5">
        <v>1.0</v>
      </c>
      <c r="M787" s="7">
        <f t="shared" si="3"/>
        <v>0.05</v>
      </c>
    </row>
    <row r="788">
      <c r="A788" s="5" t="s">
        <v>2041</v>
      </c>
      <c r="B788" s="5" t="s">
        <v>2042</v>
      </c>
      <c r="C788" s="5" t="s">
        <v>297</v>
      </c>
      <c r="D788" s="5" t="s">
        <v>2043</v>
      </c>
      <c r="E788" s="5" t="s">
        <v>715</v>
      </c>
      <c r="F788" s="5" t="s">
        <v>152</v>
      </c>
      <c r="G788" s="6">
        <v>0.18</v>
      </c>
      <c r="H788" s="5" t="s">
        <v>1783</v>
      </c>
      <c r="I788" s="5" t="s">
        <v>1794</v>
      </c>
      <c r="J788" s="5">
        <v>1994.0</v>
      </c>
      <c r="K788" s="8">
        <v>46023.0</v>
      </c>
      <c r="L788" s="5">
        <v>1.0</v>
      </c>
      <c r="M788" s="7">
        <f t="shared" si="3"/>
        <v>0.18</v>
      </c>
    </row>
    <row r="789">
      <c r="A789" s="5" t="s">
        <v>2044</v>
      </c>
      <c r="B789" s="5" t="s">
        <v>2045</v>
      </c>
      <c r="C789" s="5" t="s">
        <v>297</v>
      </c>
      <c r="D789" s="5" t="s">
        <v>2046</v>
      </c>
      <c r="E789" s="5" t="s">
        <v>715</v>
      </c>
      <c r="F789" s="5" t="s">
        <v>152</v>
      </c>
      <c r="G789" s="6">
        <v>0.25</v>
      </c>
      <c r="H789" s="5" t="s">
        <v>1783</v>
      </c>
      <c r="I789" s="5" t="s">
        <v>1794</v>
      </c>
      <c r="J789" s="5">
        <v>1994.0</v>
      </c>
      <c r="K789" s="8">
        <v>46023.0</v>
      </c>
      <c r="L789" s="5">
        <v>1.0</v>
      </c>
      <c r="M789" s="7">
        <f t="shared" si="3"/>
        <v>0.25</v>
      </c>
    </row>
    <row r="790">
      <c r="A790" s="5" t="s">
        <v>2047</v>
      </c>
      <c r="B790" s="5" t="s">
        <v>2037</v>
      </c>
      <c r="C790" s="5" t="s">
        <v>297</v>
      </c>
      <c r="D790" s="5" t="s">
        <v>2048</v>
      </c>
      <c r="E790" s="5" t="s">
        <v>1764</v>
      </c>
      <c r="F790" s="5" t="s">
        <v>152</v>
      </c>
      <c r="G790" s="6">
        <v>0.09</v>
      </c>
      <c r="H790" s="5" t="s">
        <v>1936</v>
      </c>
      <c r="I790" s="5" t="s">
        <v>1794</v>
      </c>
      <c r="J790" s="5">
        <v>2000.0</v>
      </c>
      <c r="K790" s="8">
        <v>46083.0</v>
      </c>
      <c r="L790" s="5">
        <v>3.0</v>
      </c>
      <c r="M790" s="7">
        <f t="shared" si="3"/>
        <v>0.27</v>
      </c>
    </row>
    <row r="791">
      <c r="A791" s="5" t="s">
        <v>2049</v>
      </c>
      <c r="B791" s="5" t="s">
        <v>1898</v>
      </c>
      <c r="C791" s="5" t="s">
        <v>1951</v>
      </c>
      <c r="D791" s="5" t="s">
        <v>2050</v>
      </c>
      <c r="E791" s="5" t="s">
        <v>1037</v>
      </c>
      <c r="F791" s="5" t="s">
        <v>80</v>
      </c>
      <c r="G791" s="6">
        <v>0.2</v>
      </c>
      <c r="H791" s="5" t="s">
        <v>1777</v>
      </c>
      <c r="I791" s="5" t="s">
        <v>1794</v>
      </c>
      <c r="J791" s="5">
        <v>1995.0</v>
      </c>
      <c r="L791" s="5">
        <v>1.0</v>
      </c>
      <c r="M791" s="7">
        <f t="shared" si="3"/>
        <v>0.2</v>
      </c>
    </row>
    <row r="792">
      <c r="A792" s="5" t="s">
        <v>2051</v>
      </c>
      <c r="B792" s="5" t="s">
        <v>2052</v>
      </c>
      <c r="C792" s="5" t="s">
        <v>1951</v>
      </c>
      <c r="D792" s="5" t="s">
        <v>2053</v>
      </c>
      <c r="E792" s="5" t="s">
        <v>1721</v>
      </c>
      <c r="F792" s="5" t="s">
        <v>80</v>
      </c>
      <c r="G792" s="6">
        <v>0.2</v>
      </c>
      <c r="H792" s="5" t="s">
        <v>1777</v>
      </c>
      <c r="I792" s="5" t="s">
        <v>1794</v>
      </c>
      <c r="J792" s="5">
        <v>1995.0</v>
      </c>
      <c r="K792" s="5" t="s">
        <v>1778</v>
      </c>
      <c r="L792" s="5">
        <v>1.0</v>
      </c>
      <c r="M792" s="7">
        <f t="shared" si="3"/>
        <v>0.2</v>
      </c>
    </row>
    <row r="793">
      <c r="A793" s="5" t="s">
        <v>2054</v>
      </c>
      <c r="B793" s="5" t="s">
        <v>2055</v>
      </c>
      <c r="C793" s="5" t="s">
        <v>1899</v>
      </c>
      <c r="D793" s="5" t="s">
        <v>2056</v>
      </c>
      <c r="E793" s="5" t="s">
        <v>1782</v>
      </c>
      <c r="F793" s="5" t="s">
        <v>152</v>
      </c>
      <c r="G793" s="6">
        <v>0.35</v>
      </c>
      <c r="H793" s="5" t="s">
        <v>1908</v>
      </c>
      <c r="I793" s="5" t="s">
        <v>1794</v>
      </c>
      <c r="J793" s="5">
        <v>2001.0</v>
      </c>
      <c r="K793" s="8">
        <v>46084.0</v>
      </c>
      <c r="L793" s="5">
        <v>1.0</v>
      </c>
      <c r="M793" s="7">
        <f t="shared" si="3"/>
        <v>0.35</v>
      </c>
    </row>
    <row r="794">
      <c r="A794" s="5" t="s">
        <v>2057</v>
      </c>
      <c r="B794" s="5" t="s">
        <v>2027</v>
      </c>
      <c r="C794" s="5" t="s">
        <v>1899</v>
      </c>
      <c r="D794" s="5" t="s">
        <v>2058</v>
      </c>
      <c r="E794" s="5" t="s">
        <v>1840</v>
      </c>
      <c r="F794" s="5" t="s">
        <v>152</v>
      </c>
      <c r="G794" s="6">
        <v>0.2</v>
      </c>
      <c r="H794" s="5" t="s">
        <v>1799</v>
      </c>
      <c r="I794" s="5" t="s">
        <v>1794</v>
      </c>
      <c r="J794" s="5">
        <v>1998.0</v>
      </c>
      <c r="L794" s="5">
        <v>1.0</v>
      </c>
      <c r="M794" s="7">
        <f t="shared" si="3"/>
        <v>0.2</v>
      </c>
    </row>
    <row r="795">
      <c r="A795" s="5" t="s">
        <v>2059</v>
      </c>
      <c r="B795" s="5" t="s">
        <v>2060</v>
      </c>
      <c r="C795" s="5" t="s">
        <v>297</v>
      </c>
      <c r="D795" s="5" t="s">
        <v>2061</v>
      </c>
      <c r="E795" s="5" t="s">
        <v>715</v>
      </c>
      <c r="F795" s="5" t="s">
        <v>152</v>
      </c>
      <c r="G795" s="6">
        <v>0.45</v>
      </c>
      <c r="H795" s="5" t="s">
        <v>1799</v>
      </c>
      <c r="I795" s="5" t="s">
        <v>1794</v>
      </c>
      <c r="J795" s="5">
        <v>1998.0</v>
      </c>
      <c r="L795" s="5">
        <v>1.0</v>
      </c>
      <c r="M795" s="7">
        <f t="shared" si="3"/>
        <v>0.45</v>
      </c>
    </row>
    <row r="796">
      <c r="A796" s="5" t="s">
        <v>2062</v>
      </c>
      <c r="B796" s="5" t="s">
        <v>2063</v>
      </c>
      <c r="C796" s="5" t="s">
        <v>1899</v>
      </c>
      <c r="D796" s="5" t="s">
        <v>2064</v>
      </c>
      <c r="E796" s="5" t="s">
        <v>1859</v>
      </c>
      <c r="F796" s="5" t="s">
        <v>2065</v>
      </c>
      <c r="G796" s="6">
        <v>0.19</v>
      </c>
      <c r="H796" s="5" t="s">
        <v>1799</v>
      </c>
      <c r="I796" s="5" t="s">
        <v>1794</v>
      </c>
      <c r="J796" s="5">
        <v>1998.0</v>
      </c>
      <c r="K796" s="8">
        <v>46084.0</v>
      </c>
      <c r="L796" s="5">
        <v>1.0</v>
      </c>
      <c r="M796" s="7">
        <f t="shared" si="3"/>
        <v>0.19</v>
      </c>
    </row>
    <row r="797">
      <c r="A797" s="5" t="s">
        <v>2066</v>
      </c>
      <c r="B797" s="5" t="s">
        <v>2037</v>
      </c>
      <c r="C797" s="5" t="s">
        <v>297</v>
      </c>
      <c r="D797" s="5" t="s">
        <v>2067</v>
      </c>
      <c r="E797" s="5" t="s">
        <v>1782</v>
      </c>
      <c r="F797" s="5" t="s">
        <v>152</v>
      </c>
      <c r="G797" s="6">
        <v>0.19</v>
      </c>
      <c r="H797" s="5" t="s">
        <v>1933</v>
      </c>
      <c r="I797" s="5" t="s">
        <v>1794</v>
      </c>
      <c r="J797" s="5">
        <v>1999.0</v>
      </c>
      <c r="K797" s="8">
        <v>46024.0</v>
      </c>
      <c r="L797" s="5">
        <v>1.0</v>
      </c>
      <c r="M797" s="7">
        <f t="shared" si="3"/>
        <v>0.19</v>
      </c>
    </row>
    <row r="798">
      <c r="A798" s="5" t="s">
        <v>2068</v>
      </c>
      <c r="B798" s="5" t="s">
        <v>1898</v>
      </c>
      <c r="C798" s="5" t="s">
        <v>1951</v>
      </c>
      <c r="D798" s="5" t="s">
        <v>2069</v>
      </c>
      <c r="E798" s="5" t="s">
        <v>1721</v>
      </c>
      <c r="F798" s="5" t="s">
        <v>80</v>
      </c>
      <c r="G798" s="6">
        <v>0.25</v>
      </c>
      <c r="H798" s="5" t="s">
        <v>2070</v>
      </c>
      <c r="I798" s="5" t="s">
        <v>1794</v>
      </c>
      <c r="J798" s="5">
        <v>1999.0</v>
      </c>
      <c r="L798" s="5">
        <v>1.0</v>
      </c>
      <c r="M798" s="7">
        <f t="shared" si="3"/>
        <v>0.25</v>
      </c>
    </row>
    <row r="799">
      <c r="A799" s="5" t="s">
        <v>2071</v>
      </c>
      <c r="B799" s="5" t="s">
        <v>1898</v>
      </c>
      <c r="C799" s="5" t="s">
        <v>1951</v>
      </c>
      <c r="D799" s="5" t="s">
        <v>2072</v>
      </c>
      <c r="E799" s="5" t="s">
        <v>1721</v>
      </c>
      <c r="F799" s="5" t="s">
        <v>80</v>
      </c>
      <c r="G799" s="6">
        <v>0.09</v>
      </c>
      <c r="H799" s="5" t="s">
        <v>2070</v>
      </c>
      <c r="I799" s="5" t="s">
        <v>1794</v>
      </c>
      <c r="J799" s="5">
        <v>1999.0</v>
      </c>
      <c r="L799" s="5">
        <v>1.0</v>
      </c>
      <c r="M799" s="7">
        <f t="shared" si="3"/>
        <v>0.09</v>
      </c>
    </row>
    <row r="800">
      <c r="A800" s="5" t="s">
        <v>2073</v>
      </c>
      <c r="B800" s="5" t="s">
        <v>1898</v>
      </c>
      <c r="C800" s="5" t="s">
        <v>1951</v>
      </c>
      <c r="D800" s="5" t="s">
        <v>2074</v>
      </c>
      <c r="E800" s="5" t="s">
        <v>1037</v>
      </c>
      <c r="F800" s="5" t="s">
        <v>80</v>
      </c>
      <c r="G800" s="6">
        <v>0.18</v>
      </c>
      <c r="H800" s="5" t="s">
        <v>1777</v>
      </c>
      <c r="I800" s="5" t="s">
        <v>1794</v>
      </c>
      <c r="J800" s="5">
        <v>1995.0</v>
      </c>
      <c r="L800" s="5">
        <v>1.0</v>
      </c>
      <c r="M800" s="7">
        <f t="shared" si="3"/>
        <v>0.18</v>
      </c>
    </row>
    <row r="801">
      <c r="A801" s="5" t="s">
        <v>2075</v>
      </c>
      <c r="B801" s="5" t="s">
        <v>2045</v>
      </c>
      <c r="C801" s="5" t="s">
        <v>297</v>
      </c>
      <c r="D801" s="5" t="s">
        <v>2076</v>
      </c>
      <c r="E801" s="5" t="s">
        <v>1746</v>
      </c>
      <c r="F801" s="5" t="s">
        <v>152</v>
      </c>
      <c r="G801" s="6">
        <v>0.19</v>
      </c>
      <c r="H801" s="5" t="s">
        <v>1771</v>
      </c>
      <c r="I801" s="5" t="s">
        <v>1794</v>
      </c>
      <c r="J801" s="5">
        <v>1997.0</v>
      </c>
      <c r="K801" s="8">
        <v>46023.0</v>
      </c>
      <c r="L801" s="5">
        <v>1.0</v>
      </c>
      <c r="M801" s="7">
        <f t="shared" si="3"/>
        <v>0.19</v>
      </c>
    </row>
    <row r="802">
      <c r="A802" s="5" t="s">
        <v>2077</v>
      </c>
      <c r="B802" s="5" t="s">
        <v>2045</v>
      </c>
      <c r="C802" s="5" t="s">
        <v>297</v>
      </c>
      <c r="D802" s="5" t="s">
        <v>2078</v>
      </c>
      <c r="E802" s="5" t="s">
        <v>1746</v>
      </c>
      <c r="F802" s="5" t="s">
        <v>152</v>
      </c>
      <c r="G802" s="6">
        <v>0.05</v>
      </c>
      <c r="H802" s="5" t="s">
        <v>1933</v>
      </c>
      <c r="I802" s="5" t="s">
        <v>1794</v>
      </c>
      <c r="J802" s="5">
        <v>1999.0</v>
      </c>
      <c r="K802" s="8">
        <v>46023.0</v>
      </c>
      <c r="L802" s="5">
        <v>1.0</v>
      </c>
      <c r="M802" s="7">
        <f t="shared" si="3"/>
        <v>0.05</v>
      </c>
    </row>
    <row r="803">
      <c r="A803" s="5" t="s">
        <v>2079</v>
      </c>
      <c r="B803" s="5" t="s">
        <v>2080</v>
      </c>
      <c r="C803" s="5" t="s">
        <v>297</v>
      </c>
      <c r="D803" s="5" t="s">
        <v>2081</v>
      </c>
      <c r="E803" s="5" t="s">
        <v>1887</v>
      </c>
      <c r="F803" s="5" t="s">
        <v>152</v>
      </c>
      <c r="G803" s="6">
        <v>0.06</v>
      </c>
      <c r="H803" s="5" t="s">
        <v>1936</v>
      </c>
      <c r="I803" s="5" t="s">
        <v>1794</v>
      </c>
      <c r="J803" s="5">
        <v>2000.0</v>
      </c>
      <c r="K803" s="8">
        <v>46055.0</v>
      </c>
      <c r="L803" s="5">
        <v>1.0</v>
      </c>
      <c r="M803" s="7">
        <f t="shared" si="3"/>
        <v>0.06</v>
      </c>
    </row>
    <row r="804">
      <c r="A804" s="5" t="s">
        <v>2082</v>
      </c>
      <c r="B804" s="5" t="s">
        <v>2083</v>
      </c>
      <c r="C804" s="5" t="s">
        <v>297</v>
      </c>
      <c r="D804" s="5" t="s">
        <v>2084</v>
      </c>
      <c r="E804" s="5" t="s">
        <v>1782</v>
      </c>
      <c r="F804" s="5" t="s">
        <v>152</v>
      </c>
      <c r="G804" s="6">
        <v>0.05</v>
      </c>
      <c r="H804" s="5" t="s">
        <v>1771</v>
      </c>
      <c r="I804" s="5" t="s">
        <v>1794</v>
      </c>
      <c r="J804" s="5">
        <v>1997.0</v>
      </c>
      <c r="K804" s="8">
        <v>46055.0</v>
      </c>
      <c r="L804" s="5">
        <v>1.0</v>
      </c>
      <c r="M804" s="7">
        <f t="shared" si="3"/>
        <v>0.05</v>
      </c>
    </row>
    <row r="805">
      <c r="A805" s="5" t="s">
        <v>2085</v>
      </c>
      <c r="B805" s="5" t="s">
        <v>2027</v>
      </c>
      <c r="C805" s="5" t="s">
        <v>297</v>
      </c>
      <c r="D805" s="5" t="s">
        <v>2086</v>
      </c>
      <c r="E805" s="5" t="s">
        <v>1746</v>
      </c>
      <c r="F805" s="5" t="s">
        <v>152</v>
      </c>
      <c r="G805" s="6">
        <v>0.01</v>
      </c>
      <c r="H805" s="5" t="s">
        <v>1765</v>
      </c>
      <c r="I805" s="5" t="s">
        <v>1794</v>
      </c>
      <c r="J805" s="5">
        <v>2000.0</v>
      </c>
      <c r="L805" s="5">
        <v>1.0</v>
      </c>
      <c r="M805" s="7">
        <f t="shared" si="3"/>
        <v>0.01</v>
      </c>
    </row>
    <row r="806">
      <c r="A806" s="5" t="s">
        <v>2087</v>
      </c>
      <c r="B806" s="5" t="s">
        <v>1898</v>
      </c>
      <c r="C806" s="5" t="s">
        <v>297</v>
      </c>
      <c r="D806" s="5" t="s">
        <v>2088</v>
      </c>
      <c r="E806" s="5" t="s">
        <v>1271</v>
      </c>
      <c r="F806" s="5" t="s">
        <v>80</v>
      </c>
      <c r="G806" s="6">
        <v>0.2</v>
      </c>
      <c r="H806" s="5" t="s">
        <v>1808</v>
      </c>
      <c r="I806" s="5" t="s">
        <v>1794</v>
      </c>
      <c r="J806" s="5">
        <v>1996.0</v>
      </c>
      <c r="L806" s="5">
        <v>1.0</v>
      </c>
      <c r="M806" s="7">
        <f t="shared" si="3"/>
        <v>0.2</v>
      </c>
    </row>
    <row r="807">
      <c r="A807" s="5" t="s">
        <v>2089</v>
      </c>
      <c r="B807" s="5" t="s">
        <v>1898</v>
      </c>
      <c r="C807" s="5" t="s">
        <v>1951</v>
      </c>
      <c r="D807" s="5" t="s">
        <v>2090</v>
      </c>
      <c r="E807" s="5" t="s">
        <v>1696</v>
      </c>
      <c r="F807" s="5" t="s">
        <v>80</v>
      </c>
      <c r="G807" s="6">
        <v>0.14</v>
      </c>
      <c r="H807" s="5" t="s">
        <v>2091</v>
      </c>
      <c r="I807" s="5" t="s">
        <v>1794</v>
      </c>
      <c r="J807" s="5">
        <v>1995.0</v>
      </c>
      <c r="L807" s="5">
        <v>1.0</v>
      </c>
      <c r="M807" s="7">
        <f t="shared" si="3"/>
        <v>0.14</v>
      </c>
    </row>
    <row r="808">
      <c r="A808" s="5" t="s">
        <v>2092</v>
      </c>
      <c r="B808" s="5" t="s">
        <v>1898</v>
      </c>
      <c r="C808" s="5" t="s">
        <v>1951</v>
      </c>
      <c r="D808" s="5" t="s">
        <v>2093</v>
      </c>
      <c r="E808" s="5" t="s">
        <v>1271</v>
      </c>
      <c r="F808" s="5" t="s">
        <v>80</v>
      </c>
      <c r="G808" s="6">
        <v>0.18</v>
      </c>
      <c r="H808" s="5" t="s">
        <v>1919</v>
      </c>
      <c r="I808" s="5" t="s">
        <v>1794</v>
      </c>
      <c r="J808" s="5">
        <v>1995.0</v>
      </c>
      <c r="K808" s="5" t="s">
        <v>1852</v>
      </c>
      <c r="L808" s="5">
        <v>1.0</v>
      </c>
      <c r="M808" s="7">
        <f t="shared" si="3"/>
        <v>0.18</v>
      </c>
    </row>
    <row r="809">
      <c r="A809" s="5" t="s">
        <v>2094</v>
      </c>
      <c r="B809" s="5" t="s">
        <v>380</v>
      </c>
      <c r="C809" s="5" t="s">
        <v>297</v>
      </c>
      <c r="D809" s="5" t="s">
        <v>2095</v>
      </c>
      <c r="E809" s="5" t="s">
        <v>1887</v>
      </c>
      <c r="F809" s="5" t="s">
        <v>152</v>
      </c>
      <c r="G809" s="6">
        <v>0.12</v>
      </c>
      <c r="H809" s="5" t="s">
        <v>1777</v>
      </c>
      <c r="I809" s="5" t="s">
        <v>1794</v>
      </c>
      <c r="J809" s="5">
        <v>1995.0</v>
      </c>
      <c r="K809" s="5" t="s">
        <v>1852</v>
      </c>
      <c r="L809" s="5">
        <v>1.0</v>
      </c>
      <c r="M809" s="7">
        <f t="shared" si="3"/>
        <v>0.12</v>
      </c>
    </row>
    <row r="810">
      <c r="A810" s="5" t="s">
        <v>2096</v>
      </c>
      <c r="B810" s="5" t="s">
        <v>1898</v>
      </c>
      <c r="C810" s="5" t="s">
        <v>1951</v>
      </c>
      <c r="D810" s="5" t="s">
        <v>2097</v>
      </c>
      <c r="E810" s="5" t="s">
        <v>1037</v>
      </c>
      <c r="F810" s="5" t="s">
        <v>80</v>
      </c>
      <c r="G810" s="6">
        <v>0.4</v>
      </c>
      <c r="H810" s="5" t="s">
        <v>1808</v>
      </c>
      <c r="I810" s="5" t="s">
        <v>1794</v>
      </c>
      <c r="J810" s="5">
        <v>1996.0</v>
      </c>
      <c r="K810" s="5" t="s">
        <v>1852</v>
      </c>
      <c r="L810" s="5">
        <v>1.0</v>
      </c>
      <c r="M810" s="7">
        <f t="shared" si="3"/>
        <v>0.4</v>
      </c>
    </row>
    <row r="811">
      <c r="A811" s="5" t="s">
        <v>2098</v>
      </c>
      <c r="B811" s="5" t="s">
        <v>2037</v>
      </c>
      <c r="C811" s="5" t="s">
        <v>1951</v>
      </c>
      <c r="D811" s="5" t="s">
        <v>2099</v>
      </c>
      <c r="E811" s="5" t="s">
        <v>1782</v>
      </c>
      <c r="F811" s="5" t="s">
        <v>152</v>
      </c>
      <c r="G811" s="6">
        <v>0.2</v>
      </c>
      <c r="H811" s="5" t="s">
        <v>1936</v>
      </c>
      <c r="I811" s="5" t="s">
        <v>1794</v>
      </c>
      <c r="J811" s="5">
        <v>2000.0</v>
      </c>
      <c r="K811" s="8">
        <v>46055.0</v>
      </c>
      <c r="L811" s="5">
        <v>1.0</v>
      </c>
      <c r="M811" s="7">
        <f t="shared" si="3"/>
        <v>0.2</v>
      </c>
    </row>
    <row r="812">
      <c r="A812" s="5" t="s">
        <v>2100</v>
      </c>
      <c r="B812" s="5" t="s">
        <v>2037</v>
      </c>
      <c r="C812" s="5" t="s">
        <v>1899</v>
      </c>
      <c r="D812" s="5" t="s">
        <v>2101</v>
      </c>
      <c r="E812" s="5" t="s">
        <v>1782</v>
      </c>
      <c r="F812" s="5" t="s">
        <v>152</v>
      </c>
      <c r="G812" s="6">
        <v>0.09</v>
      </c>
      <c r="H812" s="5" t="s">
        <v>1765</v>
      </c>
      <c r="I812" s="5" t="s">
        <v>1794</v>
      </c>
      <c r="J812" s="5">
        <v>2000.0</v>
      </c>
      <c r="K812" s="8">
        <v>46082.0</v>
      </c>
      <c r="L812" s="5">
        <v>1.0</v>
      </c>
      <c r="M812" s="7">
        <f t="shared" si="3"/>
        <v>0.09</v>
      </c>
    </row>
    <row r="813">
      <c r="A813" s="5" t="s">
        <v>2102</v>
      </c>
      <c r="B813" s="5" t="s">
        <v>2103</v>
      </c>
      <c r="C813" s="5" t="s">
        <v>1951</v>
      </c>
      <c r="D813" s="5" t="s">
        <v>2104</v>
      </c>
      <c r="E813" s="5" t="s">
        <v>1782</v>
      </c>
      <c r="F813" s="5" t="s">
        <v>152</v>
      </c>
      <c r="G813" s="6">
        <v>0.24</v>
      </c>
      <c r="H813" s="5" t="s">
        <v>1765</v>
      </c>
      <c r="I813" s="5" t="s">
        <v>1794</v>
      </c>
      <c r="J813" s="5">
        <v>2000.0</v>
      </c>
      <c r="K813" s="8">
        <v>46024.0</v>
      </c>
      <c r="L813" s="5">
        <v>1.0</v>
      </c>
      <c r="M813" s="7">
        <f t="shared" si="3"/>
        <v>0.24</v>
      </c>
    </row>
    <row r="814">
      <c r="A814" s="5" t="s">
        <v>2105</v>
      </c>
      <c r="B814" s="5" t="s">
        <v>380</v>
      </c>
      <c r="C814" s="5" t="s">
        <v>297</v>
      </c>
      <c r="D814" s="5" t="s">
        <v>2106</v>
      </c>
      <c r="E814" s="5" t="s">
        <v>1782</v>
      </c>
      <c r="F814" s="5" t="s">
        <v>152</v>
      </c>
      <c r="G814" s="6">
        <v>0.14</v>
      </c>
      <c r="H814" s="5" t="s">
        <v>1777</v>
      </c>
      <c r="I814" s="5" t="s">
        <v>1794</v>
      </c>
      <c r="J814" s="5">
        <v>1995.0</v>
      </c>
      <c r="K814" s="5" t="s">
        <v>1852</v>
      </c>
      <c r="L814" s="5">
        <v>1.0</v>
      </c>
      <c r="M814" s="7">
        <f t="shared" si="3"/>
        <v>0.14</v>
      </c>
    </row>
    <row r="815">
      <c r="A815" s="5" t="s">
        <v>2107</v>
      </c>
      <c r="B815" s="5" t="s">
        <v>2108</v>
      </c>
      <c r="C815" s="5" t="s">
        <v>297</v>
      </c>
      <c r="D815" s="5" t="s">
        <v>2109</v>
      </c>
      <c r="E815" s="5" t="s">
        <v>1746</v>
      </c>
      <c r="F815" s="5" t="s">
        <v>152</v>
      </c>
      <c r="G815" s="6">
        <v>0.07</v>
      </c>
      <c r="H815" s="5" t="s">
        <v>1919</v>
      </c>
      <c r="I815" s="5" t="s">
        <v>1794</v>
      </c>
      <c r="J815" s="5">
        <v>1995.0</v>
      </c>
      <c r="K815" s="8">
        <v>46023.0</v>
      </c>
      <c r="L815" s="5">
        <v>1.0</v>
      </c>
      <c r="M815" s="7">
        <f t="shared" si="3"/>
        <v>0.07</v>
      </c>
    </row>
    <row r="816">
      <c r="A816" s="5" t="s">
        <v>2110</v>
      </c>
      <c r="B816" s="5" t="s">
        <v>2037</v>
      </c>
      <c r="C816" s="5" t="s">
        <v>297</v>
      </c>
      <c r="D816" s="5" t="s">
        <v>2111</v>
      </c>
      <c r="E816" s="5" t="s">
        <v>1782</v>
      </c>
      <c r="F816" s="5" t="s">
        <v>152</v>
      </c>
      <c r="G816" s="6">
        <v>0.03</v>
      </c>
      <c r="H816" s="5" t="s">
        <v>1765</v>
      </c>
      <c r="I816" s="5" t="s">
        <v>1794</v>
      </c>
      <c r="J816" s="5">
        <v>2000.0</v>
      </c>
      <c r="K816" s="8">
        <v>46055.0</v>
      </c>
      <c r="L816" s="5">
        <v>1.0</v>
      </c>
      <c r="M816" s="7">
        <f t="shared" si="3"/>
        <v>0.03</v>
      </c>
    </row>
    <row r="817">
      <c r="A817" s="5" t="s">
        <v>2112</v>
      </c>
      <c r="B817" s="5" t="s">
        <v>2016</v>
      </c>
      <c r="C817" s="5" t="s">
        <v>1951</v>
      </c>
      <c r="D817" s="5" t="s">
        <v>2113</v>
      </c>
      <c r="E817" s="5" t="s">
        <v>1746</v>
      </c>
      <c r="F817" s="5" t="s">
        <v>152</v>
      </c>
      <c r="G817" s="6">
        <v>0.05</v>
      </c>
      <c r="H817" s="5" t="s">
        <v>1908</v>
      </c>
      <c r="I817" s="5" t="s">
        <v>1794</v>
      </c>
      <c r="J817" s="5">
        <v>2001.0</v>
      </c>
      <c r="K817" s="5" t="s">
        <v>1852</v>
      </c>
      <c r="L817" s="5">
        <v>1.0</v>
      </c>
      <c r="M817" s="7">
        <f t="shared" si="3"/>
        <v>0.05</v>
      </c>
    </row>
    <row r="818">
      <c r="A818" s="5" t="s">
        <v>2114</v>
      </c>
      <c r="B818" s="5" t="s">
        <v>2083</v>
      </c>
      <c r="C818" s="5" t="s">
        <v>297</v>
      </c>
      <c r="D818" s="5" t="s">
        <v>2115</v>
      </c>
      <c r="E818" s="5" t="s">
        <v>1782</v>
      </c>
      <c r="F818" s="5" t="s">
        <v>152</v>
      </c>
      <c r="G818" s="6">
        <v>0.06</v>
      </c>
      <c r="H818" s="5" t="s">
        <v>1747</v>
      </c>
      <c r="I818" s="5" t="s">
        <v>1794</v>
      </c>
      <c r="J818" s="5">
        <v>2000.0</v>
      </c>
      <c r="K818" s="8">
        <v>46055.0</v>
      </c>
      <c r="L818" s="5">
        <v>1.0</v>
      </c>
      <c r="M818" s="7">
        <f t="shared" si="3"/>
        <v>0.06</v>
      </c>
    </row>
    <row r="819">
      <c r="A819" s="5" t="s">
        <v>2116</v>
      </c>
      <c r="B819" s="5" t="s">
        <v>2117</v>
      </c>
      <c r="C819" s="5" t="s">
        <v>1899</v>
      </c>
      <c r="D819" s="5" t="s">
        <v>2118</v>
      </c>
      <c r="E819" s="5" t="s">
        <v>1764</v>
      </c>
      <c r="F819" s="5" t="s">
        <v>152</v>
      </c>
      <c r="G819" s="6">
        <v>0.06</v>
      </c>
      <c r="H819" s="5" t="s">
        <v>2091</v>
      </c>
      <c r="I819" s="5" t="s">
        <v>1794</v>
      </c>
      <c r="J819" s="5">
        <v>1995.0</v>
      </c>
      <c r="K819" s="5" t="s">
        <v>1736</v>
      </c>
      <c r="L819" s="5">
        <v>1.0</v>
      </c>
      <c r="M819" s="7">
        <f t="shared" si="3"/>
        <v>0.06</v>
      </c>
    </row>
    <row r="820">
      <c r="A820" s="5" t="s">
        <v>2119</v>
      </c>
      <c r="B820" s="5" t="s">
        <v>2120</v>
      </c>
      <c r="C820" s="5" t="s">
        <v>297</v>
      </c>
      <c r="D820" s="5" t="s">
        <v>2121</v>
      </c>
      <c r="E820" s="5" t="s">
        <v>1782</v>
      </c>
      <c r="F820" s="5" t="s">
        <v>152</v>
      </c>
      <c r="G820" s="6">
        <v>0.1</v>
      </c>
      <c r="H820" s="5" t="s">
        <v>2091</v>
      </c>
      <c r="I820" s="5" t="s">
        <v>1794</v>
      </c>
      <c r="J820" s="5">
        <v>1995.0</v>
      </c>
      <c r="K820" s="8">
        <v>46082.0</v>
      </c>
      <c r="L820" s="5">
        <v>1.0</v>
      </c>
      <c r="M820" s="7">
        <f t="shared" si="3"/>
        <v>0.1</v>
      </c>
    </row>
    <row r="821">
      <c r="A821" s="5" t="s">
        <v>2122</v>
      </c>
      <c r="B821" s="5" t="s">
        <v>2080</v>
      </c>
      <c r="C821" s="5" t="s">
        <v>297</v>
      </c>
      <c r="D821" s="5" t="s">
        <v>2123</v>
      </c>
      <c r="E821" s="5" t="s">
        <v>1764</v>
      </c>
      <c r="F821" s="5" t="s">
        <v>152</v>
      </c>
      <c r="G821" s="6">
        <v>0.09</v>
      </c>
      <c r="H821" s="5" t="s">
        <v>1747</v>
      </c>
      <c r="I821" s="5" t="s">
        <v>1794</v>
      </c>
      <c r="J821" s="5">
        <v>2000.0</v>
      </c>
      <c r="K821" s="8">
        <v>46055.0</v>
      </c>
      <c r="L821" s="5">
        <v>1.0</v>
      </c>
      <c r="M821" s="7">
        <f t="shared" si="3"/>
        <v>0.09</v>
      </c>
    </row>
    <row r="822">
      <c r="A822" s="5" t="s">
        <v>2124</v>
      </c>
      <c r="B822" s="5" t="s">
        <v>2034</v>
      </c>
      <c r="C822" s="5" t="s">
        <v>297</v>
      </c>
      <c r="D822" s="5" t="s">
        <v>2125</v>
      </c>
      <c r="E822" s="5" t="s">
        <v>1746</v>
      </c>
      <c r="F822" s="5" t="s">
        <v>152</v>
      </c>
      <c r="G822" s="6">
        <v>0.07</v>
      </c>
      <c r="H822" s="5" t="s">
        <v>1747</v>
      </c>
      <c r="I822" s="5" t="s">
        <v>1794</v>
      </c>
      <c r="J822" s="5">
        <v>2000.0</v>
      </c>
      <c r="K822" s="8">
        <v>46054.0</v>
      </c>
      <c r="L822" s="5">
        <v>1.0</v>
      </c>
      <c r="M822" s="7">
        <f t="shared" si="3"/>
        <v>0.07</v>
      </c>
    </row>
    <row r="823">
      <c r="A823" s="5" t="s">
        <v>2126</v>
      </c>
      <c r="B823" s="5" t="s">
        <v>2045</v>
      </c>
      <c r="C823" s="5" t="s">
        <v>297</v>
      </c>
      <c r="D823" s="5" t="s">
        <v>2127</v>
      </c>
      <c r="E823" s="5" t="s">
        <v>1746</v>
      </c>
      <c r="F823" s="5" t="s">
        <v>152</v>
      </c>
      <c r="G823" s="6">
        <v>0.09</v>
      </c>
      <c r="H823" s="5" t="s">
        <v>1747</v>
      </c>
      <c r="I823" s="5" t="s">
        <v>1794</v>
      </c>
      <c r="J823" s="5">
        <v>2000.0</v>
      </c>
      <c r="K823" s="8">
        <v>46054.0</v>
      </c>
      <c r="L823" s="5">
        <v>1.0</v>
      </c>
      <c r="M823" s="7">
        <f t="shared" si="3"/>
        <v>0.09</v>
      </c>
    </row>
    <row r="824">
      <c r="A824" s="5" t="s">
        <v>2128</v>
      </c>
      <c r="B824" s="5" t="s">
        <v>2129</v>
      </c>
      <c r="C824" s="5" t="s">
        <v>297</v>
      </c>
      <c r="D824" s="5" t="s">
        <v>2130</v>
      </c>
      <c r="E824" s="5" t="s">
        <v>1764</v>
      </c>
      <c r="F824" s="5" t="s">
        <v>152</v>
      </c>
      <c r="G824" s="6">
        <v>0.05</v>
      </c>
      <c r="H824" s="5" t="s">
        <v>1747</v>
      </c>
      <c r="I824" s="5" t="s">
        <v>1794</v>
      </c>
      <c r="J824" s="5">
        <v>2000.0</v>
      </c>
      <c r="K824" s="8">
        <v>46055.0</v>
      </c>
      <c r="L824" s="5">
        <v>1.0</v>
      </c>
      <c r="M824" s="7">
        <f t="shared" si="3"/>
        <v>0.05</v>
      </c>
    </row>
    <row r="825">
      <c r="A825" s="5" t="s">
        <v>2131</v>
      </c>
      <c r="B825" s="5" t="s">
        <v>2132</v>
      </c>
      <c r="C825" s="5" t="s">
        <v>297</v>
      </c>
      <c r="D825" s="5" t="s">
        <v>2133</v>
      </c>
      <c r="E825" s="5" t="s">
        <v>1037</v>
      </c>
      <c r="F825" s="5" t="s">
        <v>80</v>
      </c>
      <c r="G825" s="6">
        <v>3.76</v>
      </c>
      <c r="H825" s="5" t="s">
        <v>2134</v>
      </c>
      <c r="I825" s="5" t="s">
        <v>1794</v>
      </c>
      <c r="J825" s="5">
        <v>2020.0</v>
      </c>
      <c r="K825" s="8">
        <v>46023.0</v>
      </c>
      <c r="L825" s="5">
        <v>1.0</v>
      </c>
      <c r="M825" s="7">
        <f t="shared" si="3"/>
        <v>3.76</v>
      </c>
    </row>
    <row r="826">
      <c r="A826" s="5" t="s">
        <v>2135</v>
      </c>
      <c r="B826" s="5" t="s">
        <v>2136</v>
      </c>
      <c r="C826" s="5" t="s">
        <v>297</v>
      </c>
      <c r="D826" s="5" t="s">
        <v>2137</v>
      </c>
      <c r="E826" s="5" t="s">
        <v>1034</v>
      </c>
      <c r="F826" s="5" t="s">
        <v>80</v>
      </c>
      <c r="G826" s="6">
        <v>0.06</v>
      </c>
      <c r="H826" s="5" t="s">
        <v>2134</v>
      </c>
      <c r="I826" s="5" t="s">
        <v>1794</v>
      </c>
      <c r="J826" s="5">
        <v>2020.0</v>
      </c>
      <c r="K826" s="8">
        <v>46023.0</v>
      </c>
      <c r="L826" s="5">
        <v>1.0</v>
      </c>
      <c r="M826" s="7">
        <f t="shared" si="3"/>
        <v>0.06</v>
      </c>
    </row>
    <row r="827">
      <c r="A827" s="5" t="s">
        <v>2138</v>
      </c>
      <c r="B827" s="5" t="s">
        <v>2139</v>
      </c>
      <c r="C827" s="5" t="s">
        <v>2140</v>
      </c>
      <c r="D827" s="5" t="s">
        <v>2141</v>
      </c>
      <c r="E827" s="5" t="s">
        <v>1034</v>
      </c>
      <c r="F827" s="5" t="s">
        <v>2142</v>
      </c>
      <c r="G827" s="6">
        <v>0.06</v>
      </c>
      <c r="H827" s="5" t="s">
        <v>2143</v>
      </c>
      <c r="I827" s="5" t="s">
        <v>1794</v>
      </c>
      <c r="J827" s="5">
        <v>2023.0</v>
      </c>
      <c r="K827" s="8">
        <v>46023.0</v>
      </c>
      <c r="L827" s="5">
        <v>1.0</v>
      </c>
      <c r="M827" s="7">
        <f t="shared" si="3"/>
        <v>0.06</v>
      </c>
    </row>
    <row r="828">
      <c r="A828" s="5" t="s">
        <v>2144</v>
      </c>
      <c r="B828" s="5" t="s">
        <v>2145</v>
      </c>
      <c r="C828" s="5" t="s">
        <v>297</v>
      </c>
      <c r="D828" s="5" t="s">
        <v>2146</v>
      </c>
      <c r="E828" s="5" t="s">
        <v>1037</v>
      </c>
      <c r="F828" s="5" t="s">
        <v>80</v>
      </c>
      <c r="G828" s="6">
        <v>0.08</v>
      </c>
      <c r="H828" s="5" t="s">
        <v>1679</v>
      </c>
      <c r="I828" s="5" t="s">
        <v>1794</v>
      </c>
      <c r="J828" s="5">
        <v>2008.0</v>
      </c>
      <c r="K828" s="8">
        <v>46084.0</v>
      </c>
      <c r="L828" s="5">
        <v>1.0</v>
      </c>
      <c r="M828" s="7">
        <f t="shared" si="3"/>
        <v>0.08</v>
      </c>
    </row>
    <row r="829">
      <c r="A829" s="5" t="s">
        <v>2147</v>
      </c>
      <c r="B829" s="5" t="s">
        <v>2145</v>
      </c>
      <c r="C829" s="5" t="s">
        <v>297</v>
      </c>
      <c r="D829" s="5" t="s">
        <v>2148</v>
      </c>
      <c r="E829" s="5" t="s">
        <v>1721</v>
      </c>
      <c r="F829" s="5" t="s">
        <v>80</v>
      </c>
      <c r="G829" s="6">
        <v>0.09</v>
      </c>
      <c r="H829" s="5" t="s">
        <v>1679</v>
      </c>
      <c r="I829" s="5" t="s">
        <v>1794</v>
      </c>
      <c r="J829" s="5">
        <v>2008.0</v>
      </c>
      <c r="K829" s="8">
        <v>46056.0</v>
      </c>
      <c r="L829" s="5">
        <v>1.0</v>
      </c>
      <c r="M829" s="7">
        <f t="shared" si="3"/>
        <v>0.09</v>
      </c>
    </row>
    <row r="830">
      <c r="A830" s="5" t="s">
        <v>2149</v>
      </c>
      <c r="B830" s="5" t="s">
        <v>1974</v>
      </c>
      <c r="C830" s="5" t="s">
        <v>297</v>
      </c>
      <c r="D830" s="5" t="s">
        <v>2150</v>
      </c>
      <c r="E830" s="5" t="s">
        <v>1034</v>
      </c>
      <c r="F830" s="5" t="s">
        <v>80</v>
      </c>
      <c r="G830" s="6">
        <v>0.03</v>
      </c>
      <c r="H830" s="5" t="s">
        <v>1707</v>
      </c>
      <c r="I830" s="5" t="s">
        <v>1794</v>
      </c>
      <c r="J830" s="5">
        <v>2016.0</v>
      </c>
      <c r="K830" s="8">
        <v>46054.0</v>
      </c>
      <c r="L830" s="5">
        <v>1.0</v>
      </c>
      <c r="M830" s="7">
        <f t="shared" si="3"/>
        <v>0.03</v>
      </c>
    </row>
    <row r="831">
      <c r="A831" s="5" t="s">
        <v>2151</v>
      </c>
      <c r="B831" s="5" t="s">
        <v>2136</v>
      </c>
      <c r="C831" s="5" t="s">
        <v>1951</v>
      </c>
      <c r="D831" s="5" t="s">
        <v>2152</v>
      </c>
      <c r="E831" s="5" t="s">
        <v>1696</v>
      </c>
      <c r="F831" s="5" t="s">
        <v>80</v>
      </c>
      <c r="G831" s="6">
        <v>0.13</v>
      </c>
      <c r="H831" s="5" t="s">
        <v>2153</v>
      </c>
      <c r="I831" s="5" t="s">
        <v>1794</v>
      </c>
      <c r="J831" s="5">
        <v>2013.0</v>
      </c>
      <c r="K831" s="5" t="s">
        <v>1258</v>
      </c>
      <c r="L831" s="5">
        <v>1.0</v>
      </c>
      <c r="M831" s="7">
        <f t="shared" si="3"/>
        <v>0.13</v>
      </c>
    </row>
    <row r="832">
      <c r="A832" s="5" t="s">
        <v>2154</v>
      </c>
      <c r="B832" s="5" t="s">
        <v>1974</v>
      </c>
      <c r="C832" s="5" t="s">
        <v>297</v>
      </c>
      <c r="D832" s="5" t="s">
        <v>2155</v>
      </c>
      <c r="E832" s="5" t="s">
        <v>1721</v>
      </c>
      <c r="F832" s="5" t="s">
        <v>80</v>
      </c>
      <c r="G832" s="6">
        <v>0.15</v>
      </c>
      <c r="H832" s="5" t="s">
        <v>2134</v>
      </c>
      <c r="I832" s="5" t="s">
        <v>31</v>
      </c>
      <c r="J832" s="5">
        <v>2020.0</v>
      </c>
      <c r="K832" s="8">
        <v>46055.0</v>
      </c>
      <c r="L832" s="5">
        <v>1.0</v>
      </c>
      <c r="M832" s="7">
        <f t="shared" si="3"/>
        <v>0.15</v>
      </c>
    </row>
    <row r="833">
      <c r="A833" s="5" t="s">
        <v>2156</v>
      </c>
      <c r="B833" s="5" t="s">
        <v>2136</v>
      </c>
      <c r="C833" s="5" t="s">
        <v>297</v>
      </c>
      <c r="D833" s="5" t="s">
        <v>2157</v>
      </c>
      <c r="E833" s="5" t="s">
        <v>1696</v>
      </c>
      <c r="F833" s="5" t="s">
        <v>80</v>
      </c>
      <c r="G833" s="6">
        <v>0.05</v>
      </c>
      <c r="H833" s="5" t="s">
        <v>2158</v>
      </c>
      <c r="I833" s="5" t="s">
        <v>1794</v>
      </c>
      <c r="J833" s="5">
        <v>2014.0</v>
      </c>
      <c r="K833" s="8">
        <v>46116.0</v>
      </c>
      <c r="L833" s="5">
        <v>1.0</v>
      </c>
      <c r="M833" s="7">
        <f t="shared" si="3"/>
        <v>0.05</v>
      </c>
    </row>
    <row r="834">
      <c r="A834" s="5" t="s">
        <v>2159</v>
      </c>
      <c r="B834" s="5" t="s">
        <v>2136</v>
      </c>
      <c r="C834" s="5" t="s">
        <v>297</v>
      </c>
      <c r="D834" s="5" t="s">
        <v>2160</v>
      </c>
      <c r="E834" s="5" t="s">
        <v>1037</v>
      </c>
      <c r="F834" s="5" t="s">
        <v>80</v>
      </c>
      <c r="G834" s="6">
        <v>0.05</v>
      </c>
      <c r="H834" s="5" t="s">
        <v>2161</v>
      </c>
      <c r="I834" s="5" t="s">
        <v>1794</v>
      </c>
      <c r="J834" s="5">
        <v>2024.0</v>
      </c>
      <c r="K834" s="8">
        <v>46024.0</v>
      </c>
      <c r="L834" s="5">
        <v>1.0</v>
      </c>
      <c r="M834" s="7">
        <f t="shared" si="3"/>
        <v>0.05</v>
      </c>
    </row>
    <row r="835">
      <c r="A835" s="5" t="s">
        <v>2162</v>
      </c>
      <c r="B835" s="5" t="s">
        <v>1974</v>
      </c>
      <c r="C835" s="5" t="s">
        <v>1951</v>
      </c>
      <c r="D835" s="5" t="s">
        <v>2163</v>
      </c>
      <c r="E835" s="5" t="s">
        <v>1037</v>
      </c>
      <c r="F835" s="5" t="s">
        <v>80</v>
      </c>
      <c r="G835" s="6">
        <v>0.04</v>
      </c>
      <c r="H835" s="5" t="s">
        <v>2164</v>
      </c>
      <c r="I835" s="5" t="s">
        <v>1794</v>
      </c>
      <c r="J835" s="5">
        <v>2021.0</v>
      </c>
      <c r="K835" s="8">
        <v>46023.0</v>
      </c>
      <c r="L835" s="5">
        <v>1.0</v>
      </c>
      <c r="M835" s="7">
        <f t="shared" si="3"/>
        <v>0.04</v>
      </c>
    </row>
    <row r="836">
      <c r="A836" s="5" t="s">
        <v>2165</v>
      </c>
      <c r="B836" s="5" t="s">
        <v>2166</v>
      </c>
      <c r="C836" s="5" t="s">
        <v>297</v>
      </c>
      <c r="D836" s="5" t="s">
        <v>2167</v>
      </c>
      <c r="E836" s="5" t="s">
        <v>1034</v>
      </c>
      <c r="F836" s="5" t="s">
        <v>80</v>
      </c>
      <c r="G836" s="6">
        <v>0.03</v>
      </c>
      <c r="H836" s="5" t="s">
        <v>2168</v>
      </c>
      <c r="I836" s="5" t="s">
        <v>1794</v>
      </c>
      <c r="J836" s="5">
        <v>2015.0</v>
      </c>
      <c r="K836" s="8">
        <v>46082.0</v>
      </c>
      <c r="L836" s="5">
        <v>1.0</v>
      </c>
      <c r="M836" s="7">
        <f t="shared" si="3"/>
        <v>0.03</v>
      </c>
    </row>
    <row r="837">
      <c r="A837" s="5" t="s">
        <v>2169</v>
      </c>
      <c r="B837" s="5" t="s">
        <v>2170</v>
      </c>
      <c r="C837" s="5" t="s">
        <v>297</v>
      </c>
      <c r="D837" s="5" t="s">
        <v>2171</v>
      </c>
      <c r="E837" s="5" t="s">
        <v>1683</v>
      </c>
      <c r="F837" s="5" t="s">
        <v>80</v>
      </c>
      <c r="G837" s="6">
        <v>0.03</v>
      </c>
      <c r="H837" s="5" t="s">
        <v>1707</v>
      </c>
      <c r="I837" s="5" t="s">
        <v>1794</v>
      </c>
      <c r="J837" s="5">
        <v>2016.0</v>
      </c>
      <c r="K837" s="8">
        <v>46116.0</v>
      </c>
      <c r="L837" s="5">
        <v>1.0</v>
      </c>
      <c r="M837" s="7">
        <f t="shared" si="3"/>
        <v>0.03</v>
      </c>
    </row>
    <row r="838">
      <c r="A838" s="5" t="s">
        <v>2172</v>
      </c>
      <c r="B838" s="5" t="s">
        <v>1898</v>
      </c>
      <c r="C838" s="5" t="s">
        <v>297</v>
      </c>
      <c r="D838" s="5" t="s">
        <v>2173</v>
      </c>
      <c r="E838" s="5" t="s">
        <v>1037</v>
      </c>
      <c r="F838" s="5" t="s">
        <v>80</v>
      </c>
      <c r="G838" s="6">
        <v>1.0</v>
      </c>
      <c r="H838" s="5" t="s">
        <v>2174</v>
      </c>
      <c r="I838" s="5" t="s">
        <v>1794</v>
      </c>
      <c r="J838" s="5">
        <v>2021.0</v>
      </c>
      <c r="L838" s="5">
        <v>1.0</v>
      </c>
      <c r="M838" s="7">
        <f t="shared" si="3"/>
        <v>1</v>
      </c>
    </row>
    <row r="839">
      <c r="A839" s="5" t="s">
        <v>2175</v>
      </c>
      <c r="B839" s="5" t="s">
        <v>1898</v>
      </c>
      <c r="C839" s="5" t="s">
        <v>297</v>
      </c>
      <c r="D839" s="5" t="s">
        <v>2176</v>
      </c>
      <c r="E839" s="5" t="s">
        <v>1037</v>
      </c>
      <c r="F839" s="5" t="s">
        <v>80</v>
      </c>
      <c r="G839" s="6">
        <v>2.64</v>
      </c>
      <c r="H839" s="5" t="s">
        <v>2177</v>
      </c>
      <c r="I839" s="5" t="s">
        <v>1794</v>
      </c>
      <c r="J839" s="5">
        <v>2018.0</v>
      </c>
      <c r="L839" s="5">
        <v>1.0</v>
      </c>
      <c r="M839" s="7">
        <f t="shared" si="3"/>
        <v>2.64</v>
      </c>
    </row>
    <row r="840">
      <c r="A840" s="5" t="s">
        <v>2178</v>
      </c>
      <c r="B840" s="5" t="s">
        <v>2179</v>
      </c>
      <c r="C840" s="5" t="s">
        <v>297</v>
      </c>
      <c r="D840" s="5" t="s">
        <v>2180</v>
      </c>
      <c r="E840" s="5" t="s">
        <v>1976</v>
      </c>
      <c r="F840" s="5" t="s">
        <v>80</v>
      </c>
      <c r="G840" s="6">
        <v>0.9</v>
      </c>
      <c r="H840" s="5" t="s">
        <v>2181</v>
      </c>
      <c r="I840" s="5" t="s">
        <v>1794</v>
      </c>
      <c r="J840" s="5">
        <v>2018.0</v>
      </c>
      <c r="K840" s="8">
        <v>46242.0</v>
      </c>
      <c r="L840" s="5">
        <v>1.0</v>
      </c>
      <c r="M840" s="7">
        <f t="shared" si="3"/>
        <v>0.9</v>
      </c>
    </row>
    <row r="841">
      <c r="A841" s="5" t="s">
        <v>2182</v>
      </c>
      <c r="B841" s="5" t="s">
        <v>2170</v>
      </c>
      <c r="C841" s="5" t="s">
        <v>297</v>
      </c>
      <c r="D841" s="5" t="s">
        <v>2183</v>
      </c>
      <c r="E841" s="5" t="s">
        <v>1034</v>
      </c>
      <c r="F841" s="5" t="s">
        <v>80</v>
      </c>
      <c r="G841" s="6">
        <v>0.17</v>
      </c>
      <c r="H841" s="5" t="s">
        <v>2184</v>
      </c>
      <c r="I841" s="5" t="s">
        <v>1794</v>
      </c>
      <c r="J841" s="5">
        <v>2022.0</v>
      </c>
      <c r="K841" s="8">
        <v>46055.0</v>
      </c>
      <c r="L841" s="5">
        <v>1.0</v>
      </c>
      <c r="M841" s="7">
        <f t="shared" si="3"/>
        <v>0.17</v>
      </c>
    </row>
    <row r="842">
      <c r="A842" s="5" t="s">
        <v>2185</v>
      </c>
      <c r="B842" s="5" t="s">
        <v>2186</v>
      </c>
      <c r="C842" s="5" t="s">
        <v>1951</v>
      </c>
      <c r="D842" s="5" t="s">
        <v>2187</v>
      </c>
      <c r="E842" s="5" t="s">
        <v>1037</v>
      </c>
      <c r="F842" s="5" t="s">
        <v>80</v>
      </c>
      <c r="G842" s="6">
        <v>0.12</v>
      </c>
      <c r="H842" s="5" t="s">
        <v>2188</v>
      </c>
      <c r="I842" s="5" t="s">
        <v>1794</v>
      </c>
      <c r="J842" s="5">
        <v>2022.0</v>
      </c>
      <c r="K842" s="5" t="s">
        <v>566</v>
      </c>
      <c r="L842" s="5">
        <v>1.0</v>
      </c>
      <c r="M842" s="7">
        <f t="shared" si="3"/>
        <v>0.12</v>
      </c>
    </row>
    <row r="843">
      <c r="A843" s="5" t="s">
        <v>2189</v>
      </c>
      <c r="B843" s="5" t="s">
        <v>2190</v>
      </c>
      <c r="C843" s="5" t="s">
        <v>1899</v>
      </c>
      <c r="D843" s="5" t="s">
        <v>2191</v>
      </c>
      <c r="E843" s="5" t="s">
        <v>1976</v>
      </c>
      <c r="F843" s="5" t="s">
        <v>80</v>
      </c>
      <c r="G843" s="6">
        <v>0.35</v>
      </c>
      <c r="H843" s="5" t="s">
        <v>2192</v>
      </c>
      <c r="I843" s="5" t="s">
        <v>1794</v>
      </c>
      <c r="J843" s="5">
        <v>2016.0</v>
      </c>
      <c r="K843" s="8">
        <v>46178.0</v>
      </c>
      <c r="L843" s="5">
        <v>1.0</v>
      </c>
      <c r="M843" s="7">
        <f t="shared" si="3"/>
        <v>0.35</v>
      </c>
    </row>
    <row r="844">
      <c r="A844" s="5" t="s">
        <v>2193</v>
      </c>
      <c r="B844" s="5" t="s">
        <v>2060</v>
      </c>
      <c r="C844" s="5" t="s">
        <v>1899</v>
      </c>
      <c r="D844" s="5" t="s">
        <v>2194</v>
      </c>
      <c r="E844" s="5" t="s">
        <v>1696</v>
      </c>
      <c r="F844" s="5" t="s">
        <v>80</v>
      </c>
      <c r="G844" s="6">
        <v>0.14</v>
      </c>
      <c r="H844" s="5" t="s">
        <v>1986</v>
      </c>
      <c r="I844" s="5" t="s">
        <v>1794</v>
      </c>
      <c r="J844" s="5">
        <v>2015.0</v>
      </c>
      <c r="L844" s="5">
        <v>1.0</v>
      </c>
      <c r="M844" s="7">
        <f t="shared" si="3"/>
        <v>0.14</v>
      </c>
    </row>
    <row r="845">
      <c r="A845" s="5" t="s">
        <v>2195</v>
      </c>
      <c r="B845" s="5" t="s">
        <v>2196</v>
      </c>
      <c r="C845" s="5" t="s">
        <v>297</v>
      </c>
      <c r="D845" s="5" t="s">
        <v>2197</v>
      </c>
      <c r="E845" s="5" t="s">
        <v>1034</v>
      </c>
      <c r="F845" s="5" t="s">
        <v>80</v>
      </c>
      <c r="G845" s="6">
        <v>0.05</v>
      </c>
      <c r="H845" s="5" t="s">
        <v>1700</v>
      </c>
      <c r="I845" s="5" t="s">
        <v>1794</v>
      </c>
      <c r="J845" s="5">
        <v>2003.0</v>
      </c>
      <c r="K845" s="8">
        <v>46055.0</v>
      </c>
      <c r="L845" s="5">
        <v>1.0</v>
      </c>
      <c r="M845" s="7">
        <f t="shared" si="3"/>
        <v>0.05</v>
      </c>
    </row>
    <row r="846">
      <c r="A846" s="5" t="s">
        <v>2198</v>
      </c>
      <c r="B846" s="5" t="s">
        <v>2136</v>
      </c>
      <c r="C846" s="5" t="s">
        <v>297</v>
      </c>
      <c r="D846" s="5" t="s">
        <v>2199</v>
      </c>
      <c r="E846" s="5" t="s">
        <v>1721</v>
      </c>
      <c r="F846" s="5" t="s">
        <v>80</v>
      </c>
      <c r="G846" s="6">
        <v>0.04</v>
      </c>
      <c r="H846" s="5" t="s">
        <v>2164</v>
      </c>
      <c r="I846" s="5" t="s">
        <v>1794</v>
      </c>
      <c r="J846" s="5">
        <v>2021.0</v>
      </c>
      <c r="K846" s="8">
        <v>46084.0</v>
      </c>
      <c r="L846" s="5">
        <v>1.0</v>
      </c>
      <c r="M846" s="7">
        <f t="shared" si="3"/>
        <v>0.04</v>
      </c>
    </row>
    <row r="847">
      <c r="A847" s="5" t="s">
        <v>2200</v>
      </c>
      <c r="B847" s="5" t="s">
        <v>1974</v>
      </c>
      <c r="C847" s="5" t="s">
        <v>1951</v>
      </c>
      <c r="D847" s="5" t="s">
        <v>2201</v>
      </c>
      <c r="F847" s="5" t="s">
        <v>80</v>
      </c>
      <c r="G847" s="6">
        <v>0.06</v>
      </c>
      <c r="H847" s="5" t="s">
        <v>1967</v>
      </c>
      <c r="I847" s="5" t="s">
        <v>1794</v>
      </c>
      <c r="J847" s="5">
        <v>2022.0</v>
      </c>
      <c r="K847" s="8">
        <v>46084.0</v>
      </c>
      <c r="L847" s="5">
        <v>1.0</v>
      </c>
      <c r="M847" s="7">
        <f t="shared" si="3"/>
        <v>0.06</v>
      </c>
    </row>
    <row r="848">
      <c r="A848" s="5" t="s">
        <v>2202</v>
      </c>
      <c r="B848" s="5" t="s">
        <v>1898</v>
      </c>
      <c r="C848" s="5" t="s">
        <v>297</v>
      </c>
      <c r="D848" s="5" t="s">
        <v>2203</v>
      </c>
      <c r="E848" s="5" t="s">
        <v>1034</v>
      </c>
      <c r="F848" s="5" t="s">
        <v>80</v>
      </c>
      <c r="G848" s="6">
        <v>0.08</v>
      </c>
      <c r="H848" s="5" t="s">
        <v>2204</v>
      </c>
      <c r="I848" s="5" t="s">
        <v>1794</v>
      </c>
      <c r="J848" s="5">
        <v>2014.0</v>
      </c>
      <c r="L848" s="5">
        <v>1.0</v>
      </c>
      <c r="M848" s="7">
        <f t="shared" si="3"/>
        <v>0.08</v>
      </c>
    </row>
    <row r="849">
      <c r="A849" s="5" t="s">
        <v>2205</v>
      </c>
      <c r="B849" s="5" t="s">
        <v>1898</v>
      </c>
      <c r="C849" s="5" t="s">
        <v>297</v>
      </c>
      <c r="D849" s="5" t="s">
        <v>2206</v>
      </c>
      <c r="E849" s="5" t="s">
        <v>1696</v>
      </c>
      <c r="F849" s="5" t="s">
        <v>80</v>
      </c>
      <c r="G849" s="6">
        <v>0.07</v>
      </c>
      <c r="H849" s="5" t="s">
        <v>2207</v>
      </c>
      <c r="I849" s="5" t="s">
        <v>1794</v>
      </c>
      <c r="J849" s="5">
        <v>2023.0</v>
      </c>
      <c r="L849" s="5">
        <v>1.0</v>
      </c>
      <c r="M849" s="7">
        <f t="shared" si="3"/>
        <v>0.07</v>
      </c>
    </row>
    <row r="850">
      <c r="A850" s="5" t="s">
        <v>2208</v>
      </c>
      <c r="B850" s="5" t="s">
        <v>1898</v>
      </c>
      <c r="C850" s="5" t="s">
        <v>1951</v>
      </c>
      <c r="D850" s="5" t="s">
        <v>2209</v>
      </c>
      <c r="E850" s="5" t="s">
        <v>1034</v>
      </c>
      <c r="F850" s="5" t="s">
        <v>80</v>
      </c>
      <c r="G850" s="6">
        <v>0.03</v>
      </c>
      <c r="H850" s="5" t="s">
        <v>2168</v>
      </c>
      <c r="I850" s="5" t="s">
        <v>1794</v>
      </c>
      <c r="J850" s="5">
        <v>2015.0</v>
      </c>
      <c r="L850" s="5">
        <v>1.0</v>
      </c>
      <c r="M850" s="7">
        <f t="shared" si="3"/>
        <v>0.03</v>
      </c>
    </row>
    <row r="851">
      <c r="A851" s="5" t="s">
        <v>2210</v>
      </c>
      <c r="B851" s="5" t="s">
        <v>1954</v>
      </c>
      <c r="C851" s="5" t="s">
        <v>297</v>
      </c>
      <c r="D851" s="5" t="s">
        <v>2211</v>
      </c>
      <c r="E851" s="5" t="s">
        <v>1034</v>
      </c>
      <c r="F851" s="5" t="s">
        <v>80</v>
      </c>
      <c r="G851" s="6">
        <v>0.03</v>
      </c>
      <c r="H851" s="5" t="s">
        <v>2168</v>
      </c>
      <c r="I851" s="5" t="s">
        <v>1794</v>
      </c>
      <c r="J851" s="5">
        <v>2015.0</v>
      </c>
      <c r="L851" s="5">
        <v>2.0</v>
      </c>
      <c r="M851" s="7">
        <f t="shared" si="3"/>
        <v>0.06</v>
      </c>
    </row>
    <row r="852">
      <c r="A852" s="5" t="s">
        <v>1705</v>
      </c>
      <c r="B852" s="5" t="s">
        <v>1898</v>
      </c>
      <c r="C852" s="5" t="s">
        <v>297</v>
      </c>
      <c r="D852" s="5" t="s">
        <v>2212</v>
      </c>
      <c r="E852" s="5" t="s">
        <v>1037</v>
      </c>
      <c r="F852" s="5" t="s">
        <v>80</v>
      </c>
      <c r="G852" s="6">
        <v>0.2</v>
      </c>
      <c r="H852" s="5" t="s">
        <v>2143</v>
      </c>
      <c r="I852" s="5" t="s">
        <v>1794</v>
      </c>
      <c r="J852" s="5">
        <v>2023.0</v>
      </c>
      <c r="L852" s="5">
        <v>1.0</v>
      </c>
      <c r="M852" s="7">
        <f t="shared" si="3"/>
        <v>0.2</v>
      </c>
    </row>
    <row r="853">
      <c r="A853" s="5" t="s">
        <v>2213</v>
      </c>
      <c r="B853" s="5" t="s">
        <v>2214</v>
      </c>
      <c r="C853" s="5" t="s">
        <v>297</v>
      </c>
      <c r="D853" s="5" t="s">
        <v>2215</v>
      </c>
      <c r="E853" s="5" t="s">
        <v>1037</v>
      </c>
      <c r="F853" s="5" t="s">
        <v>80</v>
      </c>
      <c r="G853" s="6">
        <v>0.06</v>
      </c>
      <c r="H853" s="5" t="s">
        <v>1711</v>
      </c>
      <c r="I853" s="5" t="s">
        <v>1794</v>
      </c>
      <c r="J853" s="5">
        <v>2019.0</v>
      </c>
      <c r="L853" s="5">
        <v>1.0</v>
      </c>
      <c r="M853" s="7">
        <f t="shared" si="3"/>
        <v>0.06</v>
      </c>
    </row>
    <row r="854">
      <c r="A854" s="5" t="s">
        <v>2216</v>
      </c>
      <c r="B854" s="5" t="s">
        <v>2217</v>
      </c>
      <c r="C854" s="5" t="s">
        <v>297</v>
      </c>
      <c r="D854" s="5" t="s">
        <v>2218</v>
      </c>
      <c r="E854" s="5" t="s">
        <v>1037</v>
      </c>
      <c r="F854" s="5" t="s">
        <v>80</v>
      </c>
      <c r="G854" s="6">
        <v>0.05</v>
      </c>
      <c r="H854" s="5" t="s">
        <v>1961</v>
      </c>
      <c r="I854" s="5" t="s">
        <v>1794</v>
      </c>
      <c r="J854" s="5">
        <v>2024.0</v>
      </c>
      <c r="K854" s="8">
        <v>46055.0</v>
      </c>
      <c r="L854" s="5">
        <v>1.0</v>
      </c>
      <c r="M854" s="7">
        <f t="shared" si="3"/>
        <v>0.05</v>
      </c>
    </row>
    <row r="855">
      <c r="A855" s="5" t="s">
        <v>2219</v>
      </c>
      <c r="B855" s="5" t="s">
        <v>2186</v>
      </c>
      <c r="C855" s="5" t="s">
        <v>297</v>
      </c>
      <c r="D855" s="5" t="s">
        <v>2220</v>
      </c>
      <c r="E855" s="5" t="s">
        <v>1037</v>
      </c>
      <c r="F855" s="5" t="s">
        <v>80</v>
      </c>
      <c r="G855" s="6">
        <v>0.05</v>
      </c>
      <c r="H855" s="5" t="s">
        <v>2221</v>
      </c>
      <c r="I855" s="5" t="s">
        <v>1794</v>
      </c>
      <c r="J855" s="5">
        <v>2024.0</v>
      </c>
      <c r="K855" s="5" t="s">
        <v>566</v>
      </c>
      <c r="L855" s="5">
        <v>1.0</v>
      </c>
      <c r="M855" s="7">
        <f t="shared" si="3"/>
        <v>0.05</v>
      </c>
    </row>
    <row r="856">
      <c r="A856" s="5" t="s">
        <v>2222</v>
      </c>
      <c r="B856" s="5" t="s">
        <v>2223</v>
      </c>
      <c r="C856" s="5" t="s">
        <v>297</v>
      </c>
      <c r="D856" s="5" t="s">
        <v>2224</v>
      </c>
      <c r="E856" s="5" t="s">
        <v>1034</v>
      </c>
      <c r="F856" s="5" t="s">
        <v>80</v>
      </c>
      <c r="G856" s="6">
        <v>0.05</v>
      </c>
      <c r="H856" s="5" t="s">
        <v>2207</v>
      </c>
      <c r="I856" s="5" t="s">
        <v>1794</v>
      </c>
      <c r="J856" s="5">
        <v>2023.0</v>
      </c>
      <c r="K856" s="8">
        <v>46024.0</v>
      </c>
      <c r="L856" s="5">
        <v>1.0</v>
      </c>
      <c r="M856" s="7">
        <f t="shared" si="3"/>
        <v>0.05</v>
      </c>
    </row>
    <row r="857">
      <c r="A857" s="5" t="s">
        <v>2225</v>
      </c>
      <c r="B857" s="5" t="s">
        <v>2226</v>
      </c>
      <c r="C857" s="5" t="s">
        <v>297</v>
      </c>
      <c r="D857" s="5" t="s">
        <v>2227</v>
      </c>
      <c r="E857" s="5" t="s">
        <v>1037</v>
      </c>
      <c r="F857" s="5" t="s">
        <v>80</v>
      </c>
      <c r="G857" s="6">
        <v>0.06</v>
      </c>
      <c r="H857" s="5" t="s">
        <v>2158</v>
      </c>
      <c r="I857" s="5" t="s">
        <v>1794</v>
      </c>
      <c r="J857" s="5">
        <v>2014.0</v>
      </c>
      <c r="K857" s="8">
        <v>46024.0</v>
      </c>
      <c r="L857" s="5">
        <v>1.0</v>
      </c>
      <c r="M857" s="7">
        <f t="shared" si="3"/>
        <v>0.06</v>
      </c>
    </row>
    <row r="858">
      <c r="A858" s="5" t="s">
        <v>2228</v>
      </c>
      <c r="B858" s="5" t="s">
        <v>2223</v>
      </c>
      <c r="C858" s="5" t="s">
        <v>297</v>
      </c>
      <c r="D858" s="5" t="s">
        <v>2229</v>
      </c>
      <c r="E858" s="5" t="s">
        <v>1037</v>
      </c>
      <c r="F858" s="5" t="s">
        <v>80</v>
      </c>
      <c r="G858" s="6">
        <v>0.05</v>
      </c>
      <c r="H858" s="5" t="s">
        <v>2207</v>
      </c>
      <c r="I858" s="5" t="s">
        <v>1794</v>
      </c>
      <c r="J858" s="5">
        <v>2023.0</v>
      </c>
      <c r="K858" s="8">
        <v>46024.0</v>
      </c>
      <c r="L858" s="5">
        <v>1.0</v>
      </c>
      <c r="M858" s="7">
        <f t="shared" si="3"/>
        <v>0.05</v>
      </c>
    </row>
    <row r="859">
      <c r="A859" s="5" t="s">
        <v>2230</v>
      </c>
      <c r="B859" s="5" t="s">
        <v>2231</v>
      </c>
      <c r="C859" s="5" t="s">
        <v>297</v>
      </c>
      <c r="D859" s="5" t="s">
        <v>2232</v>
      </c>
      <c r="E859" s="5" t="s">
        <v>1721</v>
      </c>
      <c r="F859" s="5" t="s">
        <v>80</v>
      </c>
      <c r="G859" s="6">
        <v>0.09</v>
      </c>
      <c r="H859" s="5" t="s">
        <v>2177</v>
      </c>
      <c r="I859" s="5" t="s">
        <v>1794</v>
      </c>
      <c r="J859" s="5">
        <v>2018.0</v>
      </c>
      <c r="K859" s="5" t="s">
        <v>347</v>
      </c>
      <c r="L859" s="5">
        <v>1.0</v>
      </c>
      <c r="M859" s="7">
        <f t="shared" si="3"/>
        <v>0.09</v>
      </c>
    </row>
    <row r="860">
      <c r="A860" s="5" t="s">
        <v>2233</v>
      </c>
      <c r="B860" s="5" t="s">
        <v>2234</v>
      </c>
      <c r="C860" s="5" t="s">
        <v>297</v>
      </c>
      <c r="D860" s="5" t="s">
        <v>2235</v>
      </c>
      <c r="E860" s="5" t="s">
        <v>2032</v>
      </c>
      <c r="F860" s="5" t="s">
        <v>80</v>
      </c>
      <c r="G860" s="6">
        <v>0.09</v>
      </c>
      <c r="H860" s="5" t="s">
        <v>1714</v>
      </c>
      <c r="I860" s="5" t="s">
        <v>1794</v>
      </c>
      <c r="J860" s="5">
        <v>2022.0</v>
      </c>
      <c r="K860" s="8">
        <v>46210.0</v>
      </c>
      <c r="L860" s="5">
        <v>1.0</v>
      </c>
      <c r="M860" s="7">
        <f t="shared" si="3"/>
        <v>0.09</v>
      </c>
    </row>
    <row r="861">
      <c r="A861" s="5" t="s">
        <v>2236</v>
      </c>
      <c r="B861" s="5" t="s">
        <v>2170</v>
      </c>
      <c r="C861" s="5" t="s">
        <v>1899</v>
      </c>
      <c r="D861" s="5" t="s">
        <v>2237</v>
      </c>
      <c r="E861" s="5" t="s">
        <v>1683</v>
      </c>
      <c r="F861" s="5" t="s">
        <v>80</v>
      </c>
      <c r="G861" s="6">
        <v>0.25</v>
      </c>
      <c r="H861" s="5" t="s">
        <v>1667</v>
      </c>
      <c r="I861" s="5" t="s">
        <v>1794</v>
      </c>
      <c r="J861" s="5">
        <v>2018.0</v>
      </c>
      <c r="K861" s="8">
        <v>46055.0</v>
      </c>
      <c r="L861" s="5">
        <v>1.0</v>
      </c>
      <c r="M861" s="7">
        <f t="shared" si="3"/>
        <v>0.25</v>
      </c>
    </row>
    <row r="862">
      <c r="A862" s="5" t="s">
        <v>2238</v>
      </c>
      <c r="B862" s="5" t="s">
        <v>1898</v>
      </c>
      <c r="C862" s="5" t="s">
        <v>297</v>
      </c>
      <c r="D862" s="5" t="s">
        <v>2239</v>
      </c>
      <c r="E862" s="5" t="s">
        <v>1034</v>
      </c>
      <c r="F862" s="5" t="s">
        <v>80</v>
      </c>
      <c r="G862" s="6">
        <v>0.09</v>
      </c>
      <c r="H862" s="5" t="s">
        <v>2240</v>
      </c>
      <c r="I862" s="5" t="s">
        <v>1794</v>
      </c>
      <c r="J862" s="5">
        <v>2024.0</v>
      </c>
      <c r="L862" s="5">
        <v>1.0</v>
      </c>
      <c r="M862" s="7">
        <f t="shared" si="3"/>
        <v>0.09</v>
      </c>
    </row>
    <row r="863">
      <c r="A863" s="5" t="s">
        <v>2241</v>
      </c>
      <c r="B863" s="5" t="s">
        <v>2242</v>
      </c>
      <c r="C863" s="5" t="s">
        <v>1899</v>
      </c>
      <c r="D863" s="5" t="s">
        <v>2243</v>
      </c>
      <c r="E863" s="5" t="s">
        <v>1683</v>
      </c>
      <c r="F863" s="5" t="s">
        <v>80</v>
      </c>
      <c r="G863" s="6">
        <v>0.38</v>
      </c>
      <c r="H863" s="5" t="s">
        <v>2244</v>
      </c>
      <c r="I863" s="5" t="s">
        <v>1794</v>
      </c>
      <c r="J863" s="5">
        <v>2014.0</v>
      </c>
      <c r="L863" s="5">
        <v>1.0</v>
      </c>
      <c r="M863" s="7">
        <f t="shared" si="3"/>
        <v>0.38</v>
      </c>
    </row>
    <row r="864">
      <c r="A864" s="5" t="s">
        <v>2245</v>
      </c>
      <c r="B864" s="5" t="s">
        <v>1954</v>
      </c>
      <c r="C864" s="5" t="s">
        <v>1951</v>
      </c>
      <c r="D864" s="5" t="s">
        <v>2246</v>
      </c>
      <c r="E864" s="5" t="s">
        <v>1721</v>
      </c>
      <c r="F864" s="5" t="s">
        <v>80</v>
      </c>
      <c r="G864" s="6">
        <v>0.1</v>
      </c>
      <c r="H864" s="5" t="s">
        <v>1634</v>
      </c>
      <c r="I864" s="5" t="s">
        <v>1794</v>
      </c>
      <c r="J864" s="5">
        <v>2024.0</v>
      </c>
      <c r="L864" s="5">
        <v>1.0</v>
      </c>
      <c r="M864" s="7">
        <f t="shared" si="3"/>
        <v>0.1</v>
      </c>
    </row>
    <row r="865">
      <c r="A865" s="5" t="s">
        <v>2247</v>
      </c>
      <c r="B865" s="5" t="s">
        <v>1898</v>
      </c>
      <c r="C865" s="5" t="s">
        <v>297</v>
      </c>
      <c r="D865" s="5" t="s">
        <v>2248</v>
      </c>
      <c r="E865" s="5" t="s">
        <v>1037</v>
      </c>
      <c r="F865" s="5" t="s">
        <v>80</v>
      </c>
      <c r="G865" s="6">
        <v>0.49</v>
      </c>
      <c r="H865" s="5" t="s">
        <v>2249</v>
      </c>
      <c r="I865" s="5" t="s">
        <v>1794</v>
      </c>
      <c r="J865" s="5">
        <v>2017.0</v>
      </c>
      <c r="L865" s="5">
        <v>1.0</v>
      </c>
      <c r="M865" s="7">
        <f t="shared" si="3"/>
        <v>0.49</v>
      </c>
    </row>
    <row r="866">
      <c r="A866" s="5" t="s">
        <v>2250</v>
      </c>
      <c r="B866" s="5" t="s">
        <v>2251</v>
      </c>
      <c r="C866" s="5" t="s">
        <v>2252</v>
      </c>
      <c r="D866" s="5" t="s">
        <v>2253</v>
      </c>
      <c r="E866" s="5" t="s">
        <v>1911</v>
      </c>
      <c r="F866" s="5" t="s">
        <v>80</v>
      </c>
      <c r="G866" s="6">
        <v>0.89</v>
      </c>
      <c r="H866" s="5" t="s">
        <v>2192</v>
      </c>
      <c r="I866" s="5" t="s">
        <v>1794</v>
      </c>
      <c r="J866" s="5">
        <v>2016.0</v>
      </c>
      <c r="K866" s="8">
        <v>46210.0</v>
      </c>
      <c r="L866" s="5">
        <v>1.0</v>
      </c>
      <c r="M866" s="7">
        <f t="shared" si="3"/>
        <v>0.89</v>
      </c>
    </row>
    <row r="867">
      <c r="A867" s="5" t="s">
        <v>2254</v>
      </c>
      <c r="B867" s="5" t="s">
        <v>2214</v>
      </c>
      <c r="C867" s="5" t="s">
        <v>297</v>
      </c>
      <c r="D867" s="5" t="s">
        <v>2255</v>
      </c>
      <c r="E867" s="5" t="s">
        <v>1746</v>
      </c>
      <c r="F867" s="5" t="s">
        <v>2256</v>
      </c>
      <c r="G867" s="6">
        <v>0.45</v>
      </c>
      <c r="H867" s="5" t="s">
        <v>1634</v>
      </c>
      <c r="I867" s="5" t="s">
        <v>31</v>
      </c>
      <c r="J867" s="5">
        <v>2024.0</v>
      </c>
      <c r="L867" s="5">
        <v>4.0</v>
      </c>
      <c r="M867" s="7">
        <f t="shared" si="3"/>
        <v>1.8</v>
      </c>
    </row>
    <row r="868">
      <c r="A868" s="5" t="s">
        <v>2193</v>
      </c>
      <c r="B868" s="5" t="s">
        <v>2060</v>
      </c>
      <c r="C868" s="5" t="s">
        <v>1899</v>
      </c>
      <c r="D868" s="5" t="s">
        <v>2257</v>
      </c>
      <c r="E868" s="5" t="s">
        <v>1696</v>
      </c>
      <c r="F868" s="5" t="s">
        <v>80</v>
      </c>
      <c r="G868" s="6">
        <v>0.14</v>
      </c>
      <c r="H868" s="5" t="s">
        <v>1986</v>
      </c>
      <c r="I868" s="5" t="s">
        <v>1794</v>
      </c>
      <c r="J868" s="5">
        <v>2015.0</v>
      </c>
      <c r="L868" s="5">
        <v>1.0</v>
      </c>
      <c r="M868" s="7">
        <f t="shared" si="3"/>
        <v>0.14</v>
      </c>
    </row>
    <row r="869">
      <c r="A869" s="5" t="s">
        <v>2258</v>
      </c>
      <c r="B869" s="5" t="s">
        <v>1954</v>
      </c>
      <c r="C869" s="5" t="s">
        <v>297</v>
      </c>
      <c r="D869" s="5" t="s">
        <v>2259</v>
      </c>
      <c r="E869" s="5" t="s">
        <v>1037</v>
      </c>
      <c r="F869" s="5" t="s">
        <v>80</v>
      </c>
      <c r="G869" s="6">
        <v>0.03</v>
      </c>
      <c r="H869" s="5" t="s">
        <v>1684</v>
      </c>
      <c r="I869" s="5" t="s">
        <v>1794</v>
      </c>
      <c r="J869" s="5">
        <v>2015.0</v>
      </c>
      <c r="L869" s="5">
        <v>1.0</v>
      </c>
      <c r="M869" s="7">
        <f t="shared" si="3"/>
        <v>0.03</v>
      </c>
    </row>
    <row r="870">
      <c r="A870" s="5" t="s">
        <v>2260</v>
      </c>
      <c r="B870" s="5" t="s">
        <v>1898</v>
      </c>
      <c r="C870" s="5" t="s">
        <v>297</v>
      </c>
      <c r="D870" s="5" t="s">
        <v>2261</v>
      </c>
      <c r="E870" s="5" t="s">
        <v>1271</v>
      </c>
      <c r="F870" s="5" t="s">
        <v>80</v>
      </c>
      <c r="G870" s="6">
        <v>0.06</v>
      </c>
      <c r="H870" s="5" t="s">
        <v>2262</v>
      </c>
      <c r="I870" s="5" t="s">
        <v>1794</v>
      </c>
      <c r="J870" s="5">
        <v>2025.0</v>
      </c>
      <c r="L870" s="5">
        <v>1.0</v>
      </c>
      <c r="M870" s="7">
        <f t="shared" si="3"/>
        <v>0.06</v>
      </c>
    </row>
    <row r="871">
      <c r="A871" s="5" t="s">
        <v>2263</v>
      </c>
      <c r="B871" s="5" t="s">
        <v>1954</v>
      </c>
      <c r="C871" s="5" t="s">
        <v>297</v>
      </c>
      <c r="D871" s="5" t="s">
        <v>2264</v>
      </c>
      <c r="E871" s="5" t="s">
        <v>1037</v>
      </c>
      <c r="F871" s="5" t="s">
        <v>80</v>
      </c>
      <c r="G871" s="6">
        <v>0.03</v>
      </c>
      <c r="H871" s="5" t="s">
        <v>2221</v>
      </c>
      <c r="I871" s="5" t="s">
        <v>1794</v>
      </c>
      <c r="J871" s="5">
        <v>2024.0</v>
      </c>
      <c r="L871" s="5">
        <v>1.0</v>
      </c>
      <c r="M871" s="7">
        <f t="shared" si="3"/>
        <v>0.03</v>
      </c>
    </row>
    <row r="872">
      <c r="A872" s="5" t="s">
        <v>2265</v>
      </c>
      <c r="B872" s="5" t="s">
        <v>1898</v>
      </c>
      <c r="C872" s="5" t="s">
        <v>297</v>
      </c>
      <c r="D872" s="5" t="s">
        <v>2266</v>
      </c>
      <c r="E872" s="5" t="s">
        <v>1037</v>
      </c>
      <c r="F872" s="5" t="s">
        <v>80</v>
      </c>
      <c r="G872" s="6">
        <v>0.09</v>
      </c>
      <c r="H872" s="5" t="s">
        <v>2005</v>
      </c>
      <c r="I872" s="5" t="s">
        <v>1794</v>
      </c>
      <c r="J872" s="5">
        <v>2020.0</v>
      </c>
      <c r="L872" s="5">
        <v>1.0</v>
      </c>
      <c r="M872" s="7">
        <f t="shared" si="3"/>
        <v>0.09</v>
      </c>
    </row>
    <row r="873">
      <c r="A873" s="5" t="s">
        <v>2267</v>
      </c>
      <c r="B873" s="5" t="s">
        <v>1898</v>
      </c>
      <c r="C873" s="5" t="s">
        <v>297</v>
      </c>
      <c r="D873" s="5" t="s">
        <v>2268</v>
      </c>
      <c r="E873" s="5" t="s">
        <v>1037</v>
      </c>
      <c r="F873" s="5" t="s">
        <v>80</v>
      </c>
      <c r="G873" s="6">
        <v>0.06</v>
      </c>
      <c r="H873" s="5" t="s">
        <v>2158</v>
      </c>
      <c r="I873" s="5" t="s">
        <v>1794</v>
      </c>
      <c r="J873" s="5">
        <v>2014.0</v>
      </c>
      <c r="L873" s="5">
        <v>1.0</v>
      </c>
      <c r="M873" s="7">
        <f t="shared" si="3"/>
        <v>0.06</v>
      </c>
    </row>
    <row r="874">
      <c r="A874" s="5" t="s">
        <v>2269</v>
      </c>
      <c r="B874" s="5" t="s">
        <v>1898</v>
      </c>
      <c r="C874" s="5" t="s">
        <v>297</v>
      </c>
      <c r="D874" s="5" t="s">
        <v>2270</v>
      </c>
      <c r="E874" s="5" t="s">
        <v>1037</v>
      </c>
      <c r="F874" s="5" t="s">
        <v>80</v>
      </c>
      <c r="G874" s="6">
        <v>0.2</v>
      </c>
      <c r="H874" s="5" t="s">
        <v>2271</v>
      </c>
      <c r="I874" s="5" t="s">
        <v>1794</v>
      </c>
      <c r="J874" s="5">
        <v>2004.0</v>
      </c>
      <c r="L874" s="5">
        <v>1.0</v>
      </c>
      <c r="M874" s="7">
        <f t="shared" si="3"/>
        <v>0.2</v>
      </c>
    </row>
    <row r="875">
      <c r="A875" s="5" t="s">
        <v>2272</v>
      </c>
      <c r="B875" s="5" t="s">
        <v>1954</v>
      </c>
      <c r="C875" s="5" t="s">
        <v>1951</v>
      </c>
      <c r="D875" s="5" t="s">
        <v>2273</v>
      </c>
      <c r="E875" s="5" t="s">
        <v>1037</v>
      </c>
      <c r="F875" s="5" t="s">
        <v>80</v>
      </c>
      <c r="G875" s="6">
        <v>0.09</v>
      </c>
      <c r="H875" s="5" t="s">
        <v>2164</v>
      </c>
      <c r="I875" s="5" t="s">
        <v>1794</v>
      </c>
      <c r="J875" s="5">
        <v>2021.0</v>
      </c>
      <c r="L875" s="5">
        <v>1.0</v>
      </c>
      <c r="M875" s="7">
        <f t="shared" si="3"/>
        <v>0.09</v>
      </c>
    </row>
    <row r="876">
      <c r="A876" s="5" t="s">
        <v>2162</v>
      </c>
      <c r="B876" s="5" t="s">
        <v>1974</v>
      </c>
      <c r="C876" s="5" t="s">
        <v>1951</v>
      </c>
      <c r="D876" s="5" t="s">
        <v>2163</v>
      </c>
      <c r="E876" s="5" t="s">
        <v>1037</v>
      </c>
      <c r="F876" s="5" t="s">
        <v>80</v>
      </c>
      <c r="G876" s="6">
        <v>0.04</v>
      </c>
      <c r="H876" s="5" t="s">
        <v>2164</v>
      </c>
      <c r="I876" s="5" t="s">
        <v>1794</v>
      </c>
      <c r="J876" s="5">
        <v>2021.0</v>
      </c>
      <c r="K876" s="8">
        <v>46023.0</v>
      </c>
      <c r="L876" s="5">
        <v>1.0</v>
      </c>
      <c r="M876" s="7">
        <f t="shared" si="3"/>
        <v>0.04</v>
      </c>
    </row>
    <row r="877">
      <c r="A877" s="5" t="s">
        <v>2274</v>
      </c>
      <c r="B877" s="5" t="s">
        <v>2275</v>
      </c>
      <c r="C877" s="5" t="s">
        <v>297</v>
      </c>
      <c r="D877" s="5" t="s">
        <v>2276</v>
      </c>
      <c r="E877" s="5" t="s">
        <v>1859</v>
      </c>
      <c r="F877" s="5" t="s">
        <v>280</v>
      </c>
      <c r="G877" s="6">
        <v>0.09</v>
      </c>
      <c r="H877" s="5" t="s">
        <v>2277</v>
      </c>
      <c r="I877" s="5" t="s">
        <v>1794</v>
      </c>
      <c r="J877" s="5">
        <v>2026.0</v>
      </c>
      <c r="K877" s="8">
        <v>46056.0</v>
      </c>
      <c r="L877" s="5">
        <v>1.0</v>
      </c>
      <c r="M877" s="7">
        <f t="shared" si="3"/>
        <v>0.09</v>
      </c>
    </row>
    <row r="878">
      <c r="A878" s="5" t="s">
        <v>2278</v>
      </c>
      <c r="B878" s="5" t="s">
        <v>2279</v>
      </c>
      <c r="C878" s="5" t="s">
        <v>297</v>
      </c>
      <c r="D878" s="5" t="s">
        <v>2280</v>
      </c>
      <c r="E878" s="5" t="s">
        <v>631</v>
      </c>
      <c r="F878" s="5" t="s">
        <v>280</v>
      </c>
      <c r="G878" s="6">
        <v>0.08</v>
      </c>
      <c r="H878" s="5" t="s">
        <v>2277</v>
      </c>
      <c r="I878" s="5" t="s">
        <v>1794</v>
      </c>
      <c r="J878" s="5">
        <v>2026.0</v>
      </c>
      <c r="K878" s="8">
        <v>46023.0</v>
      </c>
      <c r="L878" s="5">
        <v>3.0</v>
      </c>
      <c r="M878" s="7">
        <f t="shared" si="3"/>
        <v>0.24</v>
      </c>
    </row>
    <row r="879">
      <c r="A879" s="5" t="s">
        <v>2281</v>
      </c>
      <c r="B879" s="5" t="s">
        <v>2060</v>
      </c>
      <c r="C879" s="5" t="s">
        <v>1951</v>
      </c>
      <c r="D879" s="5" t="s">
        <v>2282</v>
      </c>
      <c r="E879" s="5" t="s">
        <v>2283</v>
      </c>
      <c r="F879" s="5" t="s">
        <v>280</v>
      </c>
      <c r="G879" s="6">
        <v>0.25</v>
      </c>
      <c r="H879" s="5" t="s">
        <v>2277</v>
      </c>
      <c r="I879" s="5" t="s">
        <v>1794</v>
      </c>
      <c r="J879" s="5">
        <v>2026.0</v>
      </c>
      <c r="L879" s="5">
        <v>1.0</v>
      </c>
      <c r="M879" s="7">
        <f t="shared" si="3"/>
        <v>0.25</v>
      </c>
    </row>
    <row r="880">
      <c r="A880" s="5" t="s">
        <v>2284</v>
      </c>
      <c r="B880" s="5" t="s">
        <v>2285</v>
      </c>
      <c r="C880" s="5" t="s">
        <v>297</v>
      </c>
      <c r="D880" s="5" t="s">
        <v>2286</v>
      </c>
      <c r="E880" s="5" t="s">
        <v>631</v>
      </c>
      <c r="F880" s="5" t="s">
        <v>280</v>
      </c>
      <c r="G880" s="6">
        <v>0.09</v>
      </c>
      <c r="H880" s="5" t="s">
        <v>2277</v>
      </c>
      <c r="I880" s="5" t="s">
        <v>1794</v>
      </c>
      <c r="J880" s="5">
        <v>2026.0</v>
      </c>
      <c r="L880" s="5">
        <v>1.0</v>
      </c>
      <c r="M880" s="7">
        <f t="shared" si="3"/>
        <v>0.09</v>
      </c>
    </row>
    <row r="881">
      <c r="A881" s="5" t="s">
        <v>2287</v>
      </c>
      <c r="B881" s="5" t="s">
        <v>2288</v>
      </c>
      <c r="C881" s="5" t="s">
        <v>297</v>
      </c>
      <c r="D881" s="5" t="s">
        <v>2289</v>
      </c>
      <c r="E881" s="5" t="s">
        <v>2290</v>
      </c>
      <c r="F881" s="5" t="s">
        <v>280</v>
      </c>
      <c r="G881" s="6">
        <v>0.09</v>
      </c>
      <c r="H881" s="5" t="s">
        <v>2277</v>
      </c>
      <c r="I881" s="5" t="s">
        <v>1794</v>
      </c>
      <c r="J881" s="5">
        <v>2026.0</v>
      </c>
      <c r="K881" s="8">
        <v>46084.0</v>
      </c>
      <c r="L881" s="5">
        <v>1.0</v>
      </c>
      <c r="M881" s="7">
        <f t="shared" si="3"/>
        <v>0.09</v>
      </c>
    </row>
    <row r="882">
      <c r="A882" s="5" t="s">
        <v>2291</v>
      </c>
      <c r="B882" s="5" t="s">
        <v>2285</v>
      </c>
      <c r="C882" s="5" t="s">
        <v>297</v>
      </c>
      <c r="D882" s="5" t="s">
        <v>2292</v>
      </c>
      <c r="E882" s="5" t="s">
        <v>1856</v>
      </c>
      <c r="F882" s="5" t="s">
        <v>280</v>
      </c>
      <c r="G882" s="6">
        <v>0.09</v>
      </c>
      <c r="H882" s="5" t="s">
        <v>2277</v>
      </c>
      <c r="I882" s="5" t="s">
        <v>1794</v>
      </c>
      <c r="J882" s="5">
        <v>2026.0</v>
      </c>
      <c r="L882" s="5">
        <v>2.0</v>
      </c>
      <c r="M882" s="7">
        <f t="shared" si="3"/>
        <v>0.18</v>
      </c>
    </row>
    <row r="883">
      <c r="A883" s="5" t="s">
        <v>2293</v>
      </c>
      <c r="B883" s="5" t="s">
        <v>1946</v>
      </c>
      <c r="C883" s="5" t="s">
        <v>1951</v>
      </c>
      <c r="D883" s="5" t="s">
        <v>2294</v>
      </c>
      <c r="E883" s="5" t="s">
        <v>2295</v>
      </c>
      <c r="F883" s="5" t="s">
        <v>1957</v>
      </c>
      <c r="G883" s="6">
        <v>0.19</v>
      </c>
      <c r="H883" s="5" t="s">
        <v>2277</v>
      </c>
      <c r="I883" s="5" t="s">
        <v>1794</v>
      </c>
      <c r="J883" s="5">
        <v>2026.0</v>
      </c>
      <c r="L883" s="5">
        <v>1.0</v>
      </c>
      <c r="M883" s="7">
        <f t="shared" si="3"/>
        <v>0.19</v>
      </c>
    </row>
    <row r="884">
      <c r="A884" s="5" t="s">
        <v>2296</v>
      </c>
      <c r="B884" s="5" t="s">
        <v>2285</v>
      </c>
      <c r="C884" s="5" t="s">
        <v>297</v>
      </c>
      <c r="D884" s="5" t="s">
        <v>2297</v>
      </c>
      <c r="E884" s="5" t="s">
        <v>2298</v>
      </c>
      <c r="F884" s="5" t="s">
        <v>18</v>
      </c>
      <c r="G884" s="6">
        <v>0.09</v>
      </c>
      <c r="H884" s="5" t="s">
        <v>2277</v>
      </c>
      <c r="I884" s="5" t="s">
        <v>1794</v>
      </c>
      <c r="J884" s="5">
        <v>2026.0</v>
      </c>
      <c r="L884" s="5">
        <v>1.0</v>
      </c>
      <c r="M884" s="7">
        <f t="shared" si="3"/>
        <v>0.09</v>
      </c>
    </row>
    <row r="885">
      <c r="A885" s="5" t="s">
        <v>2299</v>
      </c>
      <c r="B885" s="5" t="s">
        <v>2300</v>
      </c>
      <c r="C885" s="5" t="s">
        <v>1951</v>
      </c>
      <c r="D885" s="5" t="s">
        <v>2301</v>
      </c>
      <c r="E885" s="5" t="s">
        <v>2302</v>
      </c>
      <c r="F885" s="5" t="s">
        <v>18</v>
      </c>
      <c r="G885" s="6">
        <v>0.4</v>
      </c>
      <c r="H885" s="5" t="s">
        <v>2277</v>
      </c>
      <c r="I885" s="5" t="s">
        <v>31</v>
      </c>
      <c r="J885" s="5">
        <v>2026.0</v>
      </c>
      <c r="K885" s="8">
        <v>46116.0</v>
      </c>
      <c r="L885" s="5">
        <v>1.0</v>
      </c>
      <c r="M885" s="7">
        <f t="shared" si="3"/>
        <v>0.4</v>
      </c>
    </row>
    <row r="886">
      <c r="A886" s="5" t="s">
        <v>2303</v>
      </c>
      <c r="B886" s="5" t="s">
        <v>2304</v>
      </c>
      <c r="C886" s="5" t="s">
        <v>1951</v>
      </c>
      <c r="D886" s="5" t="s">
        <v>2305</v>
      </c>
      <c r="E886" s="5" t="s">
        <v>2298</v>
      </c>
      <c r="F886" s="5" t="s">
        <v>18</v>
      </c>
      <c r="G886" s="6">
        <v>0.3</v>
      </c>
      <c r="H886" s="5" t="s">
        <v>2277</v>
      </c>
      <c r="I886" s="5" t="s">
        <v>1794</v>
      </c>
      <c r="J886" s="5">
        <v>2026.0</v>
      </c>
      <c r="K886" s="8">
        <v>46054.0</v>
      </c>
      <c r="L886" s="5">
        <v>2.0</v>
      </c>
      <c r="M886" s="7">
        <f t="shared" si="3"/>
        <v>0.6</v>
      </c>
    </row>
    <row r="887">
      <c r="A887" s="5" t="s">
        <v>2306</v>
      </c>
      <c r="B887" s="5" t="s">
        <v>2060</v>
      </c>
      <c r="C887" s="5" t="s">
        <v>297</v>
      </c>
      <c r="D887" s="5" t="s">
        <v>2307</v>
      </c>
      <c r="E887" s="5" t="s">
        <v>2308</v>
      </c>
      <c r="F887" s="5" t="s">
        <v>18</v>
      </c>
      <c r="G887" s="6">
        <v>0.06</v>
      </c>
      <c r="H887" s="5" t="s">
        <v>2277</v>
      </c>
      <c r="I887" s="5" t="s">
        <v>1794</v>
      </c>
      <c r="J887" s="5">
        <v>2026.0</v>
      </c>
      <c r="L887" s="5">
        <v>1.0</v>
      </c>
      <c r="M887" s="7">
        <f t="shared" si="3"/>
        <v>0.06</v>
      </c>
    </row>
    <row r="888">
      <c r="A888" s="5" t="s">
        <v>2309</v>
      </c>
      <c r="B888" s="5" t="s">
        <v>2310</v>
      </c>
      <c r="C888" s="5" t="s">
        <v>1951</v>
      </c>
      <c r="D888" s="5" t="s">
        <v>2311</v>
      </c>
      <c r="E888" s="5" t="s">
        <v>1956</v>
      </c>
      <c r="F888" s="5" t="s">
        <v>18</v>
      </c>
      <c r="G888" s="6">
        <v>0.17</v>
      </c>
      <c r="H888" s="5" t="s">
        <v>2277</v>
      </c>
      <c r="I888" s="5" t="s">
        <v>1794</v>
      </c>
      <c r="J888" s="5">
        <v>2026.0</v>
      </c>
      <c r="K888" s="8">
        <v>46055.0</v>
      </c>
      <c r="L888" s="5">
        <v>1.0</v>
      </c>
      <c r="M888" s="7">
        <f t="shared" si="3"/>
        <v>0.17</v>
      </c>
    </row>
    <row r="889">
      <c r="A889" s="5" t="s">
        <v>2312</v>
      </c>
      <c r="B889" s="5" t="s">
        <v>2313</v>
      </c>
      <c r="C889" s="5" t="s">
        <v>297</v>
      </c>
      <c r="D889" s="5" t="s">
        <v>2314</v>
      </c>
      <c r="E889" s="5" t="s">
        <v>2302</v>
      </c>
      <c r="F889" s="5" t="s">
        <v>18</v>
      </c>
      <c r="G889" s="6">
        <v>0.06</v>
      </c>
      <c r="H889" s="5" t="s">
        <v>2277</v>
      </c>
      <c r="I889" s="5" t="s">
        <v>1794</v>
      </c>
      <c r="J889" s="5">
        <v>2026.0</v>
      </c>
      <c r="K889" s="8">
        <v>46115.0</v>
      </c>
      <c r="L889" s="5">
        <v>2.0</v>
      </c>
      <c r="M889" s="7">
        <f t="shared" si="3"/>
        <v>0.12</v>
      </c>
    </row>
    <row r="890">
      <c r="A890" s="5" t="s">
        <v>2315</v>
      </c>
      <c r="B890" s="5" t="s">
        <v>2316</v>
      </c>
      <c r="C890" s="5" t="s">
        <v>297</v>
      </c>
      <c r="D890" s="5" t="s">
        <v>2317</v>
      </c>
      <c r="E890" s="5" t="s">
        <v>1956</v>
      </c>
      <c r="F890" s="5" t="s">
        <v>18</v>
      </c>
      <c r="G890" s="6">
        <v>0.1</v>
      </c>
      <c r="H890" s="5" t="s">
        <v>2277</v>
      </c>
      <c r="I890" s="5" t="s">
        <v>1794</v>
      </c>
      <c r="J890" s="5">
        <v>2026.0</v>
      </c>
      <c r="K890" s="8">
        <v>46054.0</v>
      </c>
      <c r="L890" s="5">
        <v>3.0</v>
      </c>
      <c r="M890" s="7">
        <f t="shared" si="3"/>
        <v>0.3</v>
      </c>
    </row>
    <row r="891">
      <c r="A891" s="5" t="s">
        <v>2318</v>
      </c>
      <c r="B891" s="5" t="s">
        <v>2319</v>
      </c>
      <c r="C891" s="5" t="s">
        <v>1951</v>
      </c>
      <c r="D891" s="5" t="s">
        <v>2320</v>
      </c>
      <c r="E891" s="5" t="s">
        <v>2321</v>
      </c>
      <c r="F891" s="5" t="s">
        <v>88</v>
      </c>
      <c r="G891" s="6">
        <v>0.21</v>
      </c>
      <c r="H891" s="5" t="s">
        <v>2277</v>
      </c>
      <c r="I891" s="5" t="s">
        <v>1794</v>
      </c>
      <c r="J891" s="5">
        <v>2026.0</v>
      </c>
      <c r="K891" s="8">
        <v>46055.0</v>
      </c>
      <c r="L891" s="5">
        <v>1.0</v>
      </c>
      <c r="M891" s="7">
        <f t="shared" si="3"/>
        <v>0.21</v>
      </c>
    </row>
    <row r="892">
      <c r="A892" s="5" t="s">
        <v>2322</v>
      </c>
      <c r="B892" s="5" t="s">
        <v>2285</v>
      </c>
      <c r="C892" s="5" t="s">
        <v>297</v>
      </c>
      <c r="D892" s="5" t="s">
        <v>2323</v>
      </c>
      <c r="E892" s="5" t="s">
        <v>2324</v>
      </c>
      <c r="F892" s="5" t="s">
        <v>88</v>
      </c>
      <c r="G892" s="6">
        <v>0.06</v>
      </c>
      <c r="H892" s="5" t="s">
        <v>2277</v>
      </c>
      <c r="I892" s="5" t="s">
        <v>1794</v>
      </c>
      <c r="J892" s="5">
        <v>2026.0</v>
      </c>
      <c r="K892" s="5" t="s">
        <v>2325</v>
      </c>
      <c r="L892" s="5">
        <v>2.0</v>
      </c>
      <c r="M892" s="7">
        <f t="shared" si="3"/>
        <v>0.12</v>
      </c>
    </row>
    <row r="893">
      <c r="A893" s="5" t="s">
        <v>2326</v>
      </c>
      <c r="B893" s="5" t="s">
        <v>2285</v>
      </c>
      <c r="C893" s="5" t="s">
        <v>297</v>
      </c>
      <c r="D893" s="5" t="s">
        <v>2327</v>
      </c>
      <c r="E893" s="5" t="s">
        <v>2321</v>
      </c>
      <c r="F893" s="5" t="s">
        <v>88</v>
      </c>
      <c r="G893" s="6">
        <v>0.06</v>
      </c>
      <c r="H893" s="5" t="s">
        <v>2277</v>
      </c>
      <c r="I893" s="5" t="s">
        <v>1794</v>
      </c>
      <c r="J893" s="5">
        <v>2026.0</v>
      </c>
      <c r="K893" s="5" t="s">
        <v>2325</v>
      </c>
      <c r="L893" s="5">
        <v>1.0</v>
      </c>
      <c r="M893" s="7">
        <f t="shared" si="3"/>
        <v>0.06</v>
      </c>
    </row>
    <row r="894">
      <c r="A894" s="5" t="s">
        <v>2328</v>
      </c>
      <c r="B894" s="5" t="s">
        <v>2285</v>
      </c>
      <c r="C894" s="5" t="s">
        <v>297</v>
      </c>
      <c r="D894" s="5" t="s">
        <v>2329</v>
      </c>
      <c r="E894" s="5" t="s">
        <v>2330</v>
      </c>
      <c r="F894" s="5" t="s">
        <v>88</v>
      </c>
      <c r="G894" s="6">
        <v>0.04</v>
      </c>
      <c r="H894" s="5" t="s">
        <v>2277</v>
      </c>
      <c r="I894" s="5" t="s">
        <v>1794</v>
      </c>
      <c r="J894" s="5">
        <v>2026.0</v>
      </c>
      <c r="K894" s="5" t="s">
        <v>2325</v>
      </c>
      <c r="L894" s="5">
        <v>2.0</v>
      </c>
      <c r="M894" s="7">
        <f t="shared" si="3"/>
        <v>0.08</v>
      </c>
    </row>
    <row r="895">
      <c r="A895" s="5" t="s">
        <v>2328</v>
      </c>
      <c r="B895" s="5" t="s">
        <v>2285</v>
      </c>
      <c r="C895" s="5" t="s">
        <v>297</v>
      </c>
      <c r="D895" s="5" t="s">
        <v>2329</v>
      </c>
      <c r="E895" s="5" t="s">
        <v>2330</v>
      </c>
      <c r="F895" s="5" t="s">
        <v>88</v>
      </c>
      <c r="G895" s="6">
        <v>0.2</v>
      </c>
      <c r="H895" s="5" t="s">
        <v>2277</v>
      </c>
      <c r="I895" s="5" t="s">
        <v>31</v>
      </c>
      <c r="J895" s="5">
        <v>2026.0</v>
      </c>
      <c r="K895" s="5" t="s">
        <v>2325</v>
      </c>
      <c r="L895" s="5">
        <v>1.0</v>
      </c>
      <c r="M895" s="7">
        <f t="shared" si="3"/>
        <v>0.2</v>
      </c>
    </row>
    <row r="896">
      <c r="A896" s="5" t="s">
        <v>2331</v>
      </c>
      <c r="B896" s="5" t="s">
        <v>2332</v>
      </c>
      <c r="C896" s="5" t="s">
        <v>297</v>
      </c>
      <c r="D896" s="5" t="s">
        <v>2333</v>
      </c>
      <c r="E896" s="5" t="s">
        <v>2330</v>
      </c>
      <c r="F896" s="5" t="s">
        <v>88</v>
      </c>
      <c r="G896" s="6">
        <v>0.06</v>
      </c>
      <c r="H896" s="5" t="s">
        <v>2277</v>
      </c>
      <c r="I896" s="5" t="s">
        <v>1794</v>
      </c>
      <c r="J896" s="5">
        <v>2026.0</v>
      </c>
      <c r="K896" s="8">
        <v>46084.0</v>
      </c>
      <c r="L896" s="5">
        <v>1.0</v>
      </c>
      <c r="M896" s="7">
        <f t="shared" si="3"/>
        <v>0.06</v>
      </c>
    </row>
    <row r="897">
      <c r="A897" s="5" t="s">
        <v>2334</v>
      </c>
      <c r="B897" s="5" t="s">
        <v>2335</v>
      </c>
      <c r="C897" s="5" t="s">
        <v>297</v>
      </c>
      <c r="D897" s="5" t="s">
        <v>2336</v>
      </c>
      <c r="E897" s="5" t="s">
        <v>382</v>
      </c>
      <c r="F897" s="5" t="s">
        <v>88</v>
      </c>
      <c r="G897" s="6">
        <v>0.04</v>
      </c>
      <c r="H897" s="5" t="s">
        <v>2277</v>
      </c>
      <c r="I897" s="5" t="s">
        <v>1794</v>
      </c>
      <c r="J897" s="5">
        <v>2026.0</v>
      </c>
      <c r="K897" s="8">
        <v>46024.0</v>
      </c>
      <c r="L897" s="5">
        <v>3.0</v>
      </c>
      <c r="M897" s="7">
        <f t="shared" si="3"/>
        <v>0.12</v>
      </c>
    </row>
    <row r="898">
      <c r="A898" s="5" t="s">
        <v>2337</v>
      </c>
      <c r="B898" s="5" t="s">
        <v>2285</v>
      </c>
      <c r="C898" s="5" t="s">
        <v>297</v>
      </c>
      <c r="D898" s="5" t="s">
        <v>2338</v>
      </c>
      <c r="E898" s="5" t="s">
        <v>917</v>
      </c>
      <c r="F898" s="5" t="s">
        <v>88</v>
      </c>
      <c r="G898" s="6">
        <v>0.06</v>
      </c>
      <c r="H898" s="5" t="s">
        <v>2277</v>
      </c>
      <c r="I898" s="5" t="s">
        <v>1794</v>
      </c>
      <c r="J898" s="5">
        <v>2026.0</v>
      </c>
      <c r="K898" s="5" t="s">
        <v>2325</v>
      </c>
      <c r="L898" s="5">
        <v>1.0</v>
      </c>
      <c r="M898" s="7">
        <f t="shared" si="3"/>
        <v>0.06</v>
      </c>
    </row>
    <row r="899">
      <c r="A899" s="5" t="s">
        <v>2339</v>
      </c>
      <c r="B899" s="5" t="s">
        <v>2332</v>
      </c>
      <c r="C899" s="5" t="s">
        <v>1951</v>
      </c>
      <c r="D899" s="5" t="s">
        <v>2340</v>
      </c>
      <c r="E899" s="5" t="s">
        <v>2321</v>
      </c>
      <c r="F899" s="5" t="s">
        <v>88</v>
      </c>
      <c r="G899" s="6">
        <v>0.18</v>
      </c>
      <c r="H899" s="5" t="s">
        <v>2277</v>
      </c>
      <c r="I899" s="5" t="s">
        <v>1794</v>
      </c>
      <c r="J899" s="5">
        <v>2026.0</v>
      </c>
      <c r="K899" s="8">
        <v>46083.0</v>
      </c>
      <c r="L899" s="5">
        <v>1.0</v>
      </c>
      <c r="M899" s="7">
        <f t="shared" si="3"/>
        <v>0.18</v>
      </c>
    </row>
    <row r="900">
      <c r="A900" s="5" t="s">
        <v>2341</v>
      </c>
      <c r="B900" s="5" t="s">
        <v>2335</v>
      </c>
      <c r="C900" s="5" t="s">
        <v>297</v>
      </c>
      <c r="D900" s="5" t="s">
        <v>2342</v>
      </c>
      <c r="E900" s="5" t="s">
        <v>382</v>
      </c>
      <c r="F900" s="5" t="s">
        <v>88</v>
      </c>
      <c r="G900" s="6">
        <v>0.04</v>
      </c>
      <c r="H900" s="5" t="s">
        <v>2277</v>
      </c>
      <c r="I900" s="5" t="s">
        <v>1794</v>
      </c>
      <c r="J900" s="5">
        <v>2026.0</v>
      </c>
      <c r="K900" s="8">
        <v>46082.0</v>
      </c>
      <c r="L900" s="5">
        <v>4.0</v>
      </c>
      <c r="M900" s="7">
        <f t="shared" si="3"/>
        <v>0.16</v>
      </c>
    </row>
    <row r="901">
      <c r="A901" s="5" t="s">
        <v>2341</v>
      </c>
      <c r="B901" s="5" t="s">
        <v>2335</v>
      </c>
      <c r="C901" s="5" t="s">
        <v>297</v>
      </c>
      <c r="D901" s="5" t="s">
        <v>2342</v>
      </c>
      <c r="E901" s="5" t="s">
        <v>382</v>
      </c>
      <c r="F901" s="5" t="s">
        <v>88</v>
      </c>
      <c r="G901" s="6">
        <v>0.2</v>
      </c>
      <c r="H901" s="5" t="s">
        <v>2277</v>
      </c>
      <c r="I901" s="5" t="s">
        <v>31</v>
      </c>
      <c r="J901" s="5">
        <v>2026.0</v>
      </c>
      <c r="K901" s="8">
        <v>46082.0</v>
      </c>
      <c r="L901" s="5">
        <v>1.0</v>
      </c>
      <c r="M901" s="7">
        <f t="shared" si="3"/>
        <v>0.2</v>
      </c>
    </row>
    <row r="902">
      <c r="A902" s="5" t="s">
        <v>2343</v>
      </c>
      <c r="B902" s="5" t="s">
        <v>2344</v>
      </c>
      <c r="C902" s="5" t="s">
        <v>297</v>
      </c>
      <c r="D902" s="5" t="s">
        <v>2345</v>
      </c>
      <c r="E902" s="5" t="s">
        <v>2346</v>
      </c>
      <c r="F902" s="5" t="s">
        <v>166</v>
      </c>
      <c r="G902" s="6">
        <v>0.06</v>
      </c>
      <c r="H902" s="5" t="s">
        <v>2277</v>
      </c>
      <c r="I902" s="5" t="s">
        <v>1794</v>
      </c>
      <c r="J902" s="5">
        <v>2026.0</v>
      </c>
      <c r="K902" s="8">
        <v>46055.0</v>
      </c>
      <c r="L902" s="5">
        <v>3.0</v>
      </c>
      <c r="M902" s="7">
        <f t="shared" si="3"/>
        <v>0.18</v>
      </c>
    </row>
    <row r="903">
      <c r="A903" s="5" t="s">
        <v>2347</v>
      </c>
      <c r="B903" s="5" t="s">
        <v>2060</v>
      </c>
      <c r="C903" s="5" t="s">
        <v>297</v>
      </c>
      <c r="D903" s="5" t="s">
        <v>2348</v>
      </c>
      <c r="E903" s="5" t="s">
        <v>932</v>
      </c>
      <c r="F903" s="5" t="s">
        <v>166</v>
      </c>
      <c r="G903" s="6">
        <v>0.07</v>
      </c>
      <c r="H903" s="5" t="s">
        <v>2277</v>
      </c>
      <c r="I903" s="5" t="s">
        <v>1794</v>
      </c>
      <c r="J903" s="5">
        <v>2026.0</v>
      </c>
      <c r="K903" s="5" t="s">
        <v>2325</v>
      </c>
      <c r="L903" s="5">
        <v>1.0</v>
      </c>
      <c r="M903" s="7">
        <f t="shared" si="3"/>
        <v>0.07</v>
      </c>
    </row>
    <row r="904">
      <c r="A904" s="5" t="s">
        <v>2349</v>
      </c>
      <c r="B904" s="5" t="s">
        <v>2060</v>
      </c>
      <c r="C904" s="5" t="s">
        <v>1951</v>
      </c>
      <c r="D904" s="5" t="s">
        <v>2350</v>
      </c>
      <c r="E904" s="5" t="s">
        <v>932</v>
      </c>
      <c r="F904" s="5" t="s">
        <v>166</v>
      </c>
      <c r="G904" s="6">
        <v>1.45</v>
      </c>
      <c r="H904" s="5" t="s">
        <v>2277</v>
      </c>
      <c r="I904" s="5" t="s">
        <v>31</v>
      </c>
      <c r="J904" s="5">
        <v>2026.0</v>
      </c>
      <c r="K904" s="5" t="s">
        <v>2325</v>
      </c>
      <c r="L904" s="5">
        <v>1.0</v>
      </c>
      <c r="M904" s="7">
        <f t="shared" si="3"/>
        <v>1.45</v>
      </c>
    </row>
    <row r="905">
      <c r="A905" s="5" t="s">
        <v>2351</v>
      </c>
      <c r="B905" s="5" t="s">
        <v>2352</v>
      </c>
      <c r="C905" s="5" t="s">
        <v>297</v>
      </c>
      <c r="D905" s="5" t="s">
        <v>2353</v>
      </c>
      <c r="E905" s="5" t="s">
        <v>2354</v>
      </c>
      <c r="F905" s="5" t="s">
        <v>166</v>
      </c>
      <c r="G905" s="6">
        <v>0.32</v>
      </c>
      <c r="H905" s="5" t="s">
        <v>2277</v>
      </c>
      <c r="I905" s="5" t="s">
        <v>31</v>
      </c>
      <c r="J905" s="5">
        <v>2026.0</v>
      </c>
      <c r="K905" s="8">
        <v>46056.0</v>
      </c>
      <c r="L905" s="5">
        <v>1.0</v>
      </c>
      <c r="M905" s="7">
        <f t="shared" si="3"/>
        <v>0.32</v>
      </c>
    </row>
    <row r="906">
      <c r="A906" s="5" t="s">
        <v>2351</v>
      </c>
      <c r="B906" s="5" t="s">
        <v>2352</v>
      </c>
      <c r="C906" s="5" t="s">
        <v>297</v>
      </c>
      <c r="D906" s="5" t="s">
        <v>2353</v>
      </c>
      <c r="E906" s="5" t="s">
        <v>2354</v>
      </c>
      <c r="F906" s="5" t="s">
        <v>166</v>
      </c>
      <c r="G906" s="6">
        <v>0.06</v>
      </c>
      <c r="H906" s="5" t="s">
        <v>2277</v>
      </c>
      <c r="I906" s="5" t="s">
        <v>1794</v>
      </c>
      <c r="J906" s="5">
        <v>2026.0</v>
      </c>
      <c r="K906" s="8">
        <v>46056.0</v>
      </c>
      <c r="L906" s="5">
        <v>1.0</v>
      </c>
      <c r="M906" s="7">
        <f t="shared" si="3"/>
        <v>0.06</v>
      </c>
    </row>
    <row r="907">
      <c r="A907" s="5" t="s">
        <v>2355</v>
      </c>
      <c r="B907" s="5" t="s">
        <v>2060</v>
      </c>
      <c r="C907" s="5" t="s">
        <v>297</v>
      </c>
      <c r="D907" s="5" t="s">
        <v>2356</v>
      </c>
      <c r="E907" s="5" t="s">
        <v>2346</v>
      </c>
      <c r="F907" s="5" t="s">
        <v>166</v>
      </c>
      <c r="G907" s="6">
        <v>0.31</v>
      </c>
      <c r="H907" s="5" t="s">
        <v>2277</v>
      </c>
      <c r="I907" s="5" t="s">
        <v>31</v>
      </c>
      <c r="J907" s="5">
        <v>2026.0</v>
      </c>
      <c r="K907" s="5" t="s">
        <v>2325</v>
      </c>
      <c r="L907" s="5">
        <v>1.0</v>
      </c>
      <c r="M907" s="7">
        <f t="shared" si="3"/>
        <v>0.31</v>
      </c>
    </row>
    <row r="908">
      <c r="A908" s="5" t="s">
        <v>2357</v>
      </c>
      <c r="B908" s="5" t="s">
        <v>2285</v>
      </c>
      <c r="C908" s="5" t="s">
        <v>297</v>
      </c>
      <c r="D908" s="5" t="s">
        <v>2358</v>
      </c>
      <c r="E908" s="5" t="s">
        <v>2354</v>
      </c>
      <c r="F908" s="5" t="s">
        <v>166</v>
      </c>
      <c r="G908" s="6">
        <v>0.06</v>
      </c>
      <c r="H908" s="5" t="s">
        <v>2277</v>
      </c>
      <c r="I908" s="5" t="s">
        <v>1794</v>
      </c>
      <c r="J908" s="5">
        <v>2026.0</v>
      </c>
      <c r="K908" s="5" t="s">
        <v>2325</v>
      </c>
      <c r="L908" s="5">
        <v>1.0</v>
      </c>
      <c r="M908" s="7">
        <f t="shared" si="3"/>
        <v>0.06</v>
      </c>
    </row>
    <row r="909">
      <c r="A909" s="5" t="s">
        <v>2359</v>
      </c>
      <c r="B909" s="5" t="s">
        <v>2360</v>
      </c>
      <c r="C909" s="5" t="s">
        <v>297</v>
      </c>
      <c r="D909" s="5" t="s">
        <v>2361</v>
      </c>
      <c r="E909" s="5" t="s">
        <v>2362</v>
      </c>
      <c r="F909" s="5" t="s">
        <v>166</v>
      </c>
      <c r="G909" s="6">
        <v>0.06</v>
      </c>
      <c r="H909" s="5" t="s">
        <v>2277</v>
      </c>
      <c r="I909" s="5" t="s">
        <v>1794</v>
      </c>
      <c r="J909" s="5">
        <v>2026.0</v>
      </c>
      <c r="K909" s="8">
        <v>46116.0</v>
      </c>
      <c r="L909" s="5">
        <v>2.0</v>
      </c>
      <c r="M909" s="7">
        <f t="shared" si="3"/>
        <v>0.12</v>
      </c>
    </row>
    <row r="910">
      <c r="A910" s="5" t="s">
        <v>2363</v>
      </c>
      <c r="B910" s="5" t="s">
        <v>1946</v>
      </c>
      <c r="C910" s="5" t="s">
        <v>1951</v>
      </c>
      <c r="D910" s="5" t="s">
        <v>2364</v>
      </c>
      <c r="E910" s="5" t="s">
        <v>2346</v>
      </c>
      <c r="F910" s="5" t="s">
        <v>166</v>
      </c>
      <c r="G910" s="6">
        <v>0.14</v>
      </c>
      <c r="H910" s="5" t="s">
        <v>2277</v>
      </c>
      <c r="I910" s="5" t="s">
        <v>1794</v>
      </c>
      <c r="J910" s="5">
        <v>2026.0</v>
      </c>
      <c r="K910" s="5" t="s">
        <v>2325</v>
      </c>
      <c r="L910" s="5">
        <v>1.0</v>
      </c>
      <c r="M910" s="7">
        <f t="shared" si="3"/>
        <v>0.14</v>
      </c>
    </row>
    <row r="911">
      <c r="A911" s="5" t="s">
        <v>2365</v>
      </c>
      <c r="B911" s="5" t="s">
        <v>2060</v>
      </c>
      <c r="C911" s="5" t="s">
        <v>297</v>
      </c>
      <c r="D911" s="5" t="s">
        <v>2366</v>
      </c>
      <c r="E911" s="5" t="s">
        <v>2354</v>
      </c>
      <c r="F911" s="5" t="s">
        <v>166</v>
      </c>
      <c r="G911" s="6">
        <v>0.06</v>
      </c>
      <c r="H911" s="5" t="s">
        <v>2277</v>
      </c>
      <c r="I911" s="5" t="s">
        <v>1794</v>
      </c>
      <c r="J911" s="5">
        <v>2026.0</v>
      </c>
      <c r="K911" s="5" t="s">
        <v>2325</v>
      </c>
      <c r="L911" s="5">
        <v>1.0</v>
      </c>
      <c r="M911" s="7">
        <f t="shared" si="3"/>
        <v>0.06</v>
      </c>
    </row>
    <row r="912">
      <c r="A912" s="5" t="s">
        <v>2367</v>
      </c>
      <c r="B912" s="5" t="s">
        <v>2352</v>
      </c>
      <c r="C912" s="5" t="s">
        <v>1951</v>
      </c>
      <c r="D912" s="5" t="s">
        <v>2368</v>
      </c>
      <c r="E912" s="5" t="s">
        <v>2369</v>
      </c>
      <c r="F912" s="5" t="s">
        <v>166</v>
      </c>
      <c r="G912" s="6">
        <v>0.18</v>
      </c>
      <c r="H912" s="5" t="s">
        <v>2277</v>
      </c>
      <c r="I912" s="5" t="s">
        <v>1794</v>
      </c>
      <c r="J912" s="5">
        <v>2026.0</v>
      </c>
      <c r="K912" s="8">
        <v>46115.0</v>
      </c>
      <c r="L912" s="5">
        <v>1.0</v>
      </c>
      <c r="M912" s="7">
        <f t="shared" si="3"/>
        <v>0.18</v>
      </c>
    </row>
    <row r="913">
      <c r="A913" s="5" t="s">
        <v>2370</v>
      </c>
      <c r="B913" s="5" t="s">
        <v>2371</v>
      </c>
      <c r="C913" s="5" t="s">
        <v>297</v>
      </c>
      <c r="D913" s="5" t="s">
        <v>2372</v>
      </c>
      <c r="E913" s="5" t="s">
        <v>2346</v>
      </c>
      <c r="F913" s="5" t="s">
        <v>166</v>
      </c>
      <c r="G913" s="6">
        <v>0.38</v>
      </c>
      <c r="H913" s="5" t="s">
        <v>2277</v>
      </c>
      <c r="I913" s="5" t="s">
        <v>31</v>
      </c>
      <c r="J913" s="5">
        <v>2026.0</v>
      </c>
      <c r="K913" s="8">
        <v>46055.0</v>
      </c>
      <c r="L913" s="5">
        <v>1.0</v>
      </c>
      <c r="M913" s="7">
        <f t="shared" si="3"/>
        <v>0.38</v>
      </c>
    </row>
    <row r="914">
      <c r="A914" s="5" t="s">
        <v>2373</v>
      </c>
      <c r="B914" s="5" t="s">
        <v>2374</v>
      </c>
      <c r="C914" s="5" t="s">
        <v>1899</v>
      </c>
      <c r="D914" s="5" t="s">
        <v>2375</v>
      </c>
      <c r="E914" s="5" t="s">
        <v>1859</v>
      </c>
      <c r="F914" s="5" t="s">
        <v>280</v>
      </c>
      <c r="G914" s="6">
        <v>0.94</v>
      </c>
      <c r="H914" s="5" t="s">
        <v>2376</v>
      </c>
      <c r="I914" s="5" t="s">
        <v>20</v>
      </c>
      <c r="J914" s="5">
        <v>2010.0</v>
      </c>
      <c r="K914" s="5" t="s">
        <v>1736</v>
      </c>
      <c r="L914" s="5">
        <v>2.0</v>
      </c>
      <c r="M914" s="7">
        <f t="shared" si="3"/>
        <v>1.88</v>
      </c>
    </row>
    <row r="915">
      <c r="A915" s="5" t="s">
        <v>2377</v>
      </c>
      <c r="B915" s="5" t="s">
        <v>380</v>
      </c>
      <c r="C915" s="5" t="s">
        <v>297</v>
      </c>
      <c r="D915" s="5" t="s">
        <v>2378</v>
      </c>
      <c r="E915" s="5" t="s">
        <v>631</v>
      </c>
      <c r="F915" s="5" t="s">
        <v>280</v>
      </c>
      <c r="G915" s="6">
        <v>2.49</v>
      </c>
      <c r="H915" s="5" t="s">
        <v>2379</v>
      </c>
      <c r="I915" s="5" t="s">
        <v>20</v>
      </c>
      <c r="J915" s="5">
        <v>2021.0</v>
      </c>
      <c r="L915" s="5">
        <v>2.0</v>
      </c>
      <c r="M915" s="7">
        <f t="shared" si="3"/>
        <v>4.98</v>
      </c>
    </row>
    <row r="916">
      <c r="A916" s="5" t="s">
        <v>2380</v>
      </c>
      <c r="B916" s="5" t="s">
        <v>2381</v>
      </c>
      <c r="C916" s="5" t="s">
        <v>2382</v>
      </c>
      <c r="D916" s="5" t="s">
        <v>2383</v>
      </c>
      <c r="E916" s="5" t="s">
        <v>2384</v>
      </c>
      <c r="F916" s="5" t="s">
        <v>280</v>
      </c>
      <c r="G916" s="6">
        <v>1.5</v>
      </c>
      <c r="H916" s="5" t="s">
        <v>383</v>
      </c>
      <c r="I916" s="5" t="s">
        <v>20</v>
      </c>
      <c r="J916" s="5">
        <v>2011.0</v>
      </c>
      <c r="K916" s="8">
        <v>46084.0</v>
      </c>
      <c r="L916" s="5">
        <v>1.0</v>
      </c>
      <c r="M916" s="7">
        <f t="shared" si="3"/>
        <v>1.5</v>
      </c>
    </row>
    <row r="917">
      <c r="A917" s="5" t="s">
        <v>2385</v>
      </c>
      <c r="B917" s="5" t="s">
        <v>2386</v>
      </c>
      <c r="C917" s="5" t="s">
        <v>1951</v>
      </c>
      <c r="D917" s="5" t="s">
        <v>2387</v>
      </c>
      <c r="E917" s="5" t="s">
        <v>1856</v>
      </c>
      <c r="F917" s="5" t="s">
        <v>280</v>
      </c>
      <c r="G917" s="6">
        <v>0.39</v>
      </c>
      <c r="H917" s="5" t="s">
        <v>2388</v>
      </c>
      <c r="I917" s="5" t="s">
        <v>20</v>
      </c>
      <c r="J917" s="5">
        <v>2019.0</v>
      </c>
      <c r="K917" s="8">
        <v>46023.0</v>
      </c>
      <c r="L917" s="5">
        <v>1.0</v>
      </c>
      <c r="M917" s="7">
        <f t="shared" si="3"/>
        <v>0.39</v>
      </c>
    </row>
    <row r="918">
      <c r="A918" s="5" t="s">
        <v>2389</v>
      </c>
      <c r="B918" s="5" t="s">
        <v>380</v>
      </c>
      <c r="C918" s="5" t="s">
        <v>1899</v>
      </c>
      <c r="D918" s="5" t="s">
        <v>2390</v>
      </c>
      <c r="E918" s="5" t="s">
        <v>1856</v>
      </c>
      <c r="F918" s="5" t="s">
        <v>280</v>
      </c>
      <c r="G918" s="6">
        <v>0.8</v>
      </c>
      <c r="H918" s="5" t="s">
        <v>2391</v>
      </c>
      <c r="I918" s="5" t="s">
        <v>20</v>
      </c>
      <c r="J918" s="5">
        <v>2022.0</v>
      </c>
      <c r="L918" s="5">
        <v>1.0</v>
      </c>
      <c r="M918" s="7">
        <f t="shared" si="3"/>
        <v>0.8</v>
      </c>
    </row>
    <row r="919">
      <c r="A919" s="5" t="s">
        <v>2392</v>
      </c>
      <c r="B919" s="5" t="s">
        <v>296</v>
      </c>
      <c r="C919" s="5" t="s">
        <v>297</v>
      </c>
      <c r="D919" s="5" t="s">
        <v>2393</v>
      </c>
      <c r="F919" s="5" t="s">
        <v>80</v>
      </c>
      <c r="G919" s="6">
        <v>0.25</v>
      </c>
      <c r="H919" s="5" t="s">
        <v>1446</v>
      </c>
      <c r="I919" s="5" t="s">
        <v>20</v>
      </c>
      <c r="J919" s="5">
        <v>2023.0</v>
      </c>
      <c r="L919" s="5">
        <v>1.0</v>
      </c>
      <c r="M919" s="7">
        <f t="shared" si="3"/>
        <v>0.25</v>
      </c>
    </row>
    <row r="920">
      <c r="A920" s="5" t="s">
        <v>2394</v>
      </c>
      <c r="B920" s="5" t="s">
        <v>2395</v>
      </c>
      <c r="C920" s="5" t="s">
        <v>1951</v>
      </c>
      <c r="D920" s="5" t="s">
        <v>2396</v>
      </c>
      <c r="F920" s="5" t="s">
        <v>80</v>
      </c>
      <c r="G920" s="6">
        <v>0.75</v>
      </c>
      <c r="H920" s="5" t="s">
        <v>1446</v>
      </c>
      <c r="I920" s="5" t="s">
        <v>20</v>
      </c>
      <c r="J920" s="5">
        <v>2023.0</v>
      </c>
      <c r="L920" s="5">
        <v>2.0</v>
      </c>
      <c r="M920" s="7">
        <f t="shared" si="3"/>
        <v>1.5</v>
      </c>
    </row>
    <row r="921">
      <c r="A921" s="5" t="s">
        <v>2397</v>
      </c>
      <c r="B921" s="5" t="s">
        <v>2398</v>
      </c>
      <c r="C921" s="5" t="s">
        <v>1951</v>
      </c>
      <c r="D921" s="5" t="s">
        <v>2399</v>
      </c>
      <c r="E921" s="5" t="s">
        <v>2400</v>
      </c>
      <c r="F921" s="5" t="s">
        <v>481</v>
      </c>
      <c r="G921" s="6">
        <v>0.2</v>
      </c>
      <c r="H921" s="5" t="s">
        <v>1446</v>
      </c>
      <c r="I921" s="5" t="s">
        <v>20</v>
      </c>
      <c r="J921" s="5">
        <v>2023.0</v>
      </c>
      <c r="K921" s="8">
        <v>46082.0</v>
      </c>
      <c r="L921" s="5">
        <v>1.0</v>
      </c>
      <c r="M921" s="7">
        <f t="shared" si="3"/>
        <v>0.2</v>
      </c>
    </row>
    <row r="922">
      <c r="A922" s="5" t="s">
        <v>2401</v>
      </c>
      <c r="B922" s="5" t="s">
        <v>2242</v>
      </c>
      <c r="C922" s="5" t="s">
        <v>1951</v>
      </c>
      <c r="D922" s="5" t="s">
        <v>2402</v>
      </c>
      <c r="E922" s="5" t="s">
        <v>1037</v>
      </c>
      <c r="F922" s="5" t="s">
        <v>80</v>
      </c>
      <c r="G922" s="6">
        <v>0.15</v>
      </c>
      <c r="H922" s="5" t="s">
        <v>1446</v>
      </c>
      <c r="I922" s="5" t="s">
        <v>20</v>
      </c>
      <c r="J922" s="5">
        <v>2023.0</v>
      </c>
      <c r="L922" s="5">
        <v>2.0</v>
      </c>
      <c r="M922" s="7">
        <f t="shared" si="3"/>
        <v>0.3</v>
      </c>
    </row>
    <row r="923">
      <c r="A923" s="5" t="s">
        <v>2403</v>
      </c>
      <c r="B923" s="5" t="s">
        <v>380</v>
      </c>
      <c r="C923" s="5" t="s">
        <v>1951</v>
      </c>
      <c r="D923" s="5" t="s">
        <v>2404</v>
      </c>
      <c r="E923" s="5" t="s">
        <v>2405</v>
      </c>
      <c r="F923" s="5" t="s">
        <v>494</v>
      </c>
      <c r="G923" s="6">
        <v>0.18</v>
      </c>
      <c r="H923" s="5" t="s">
        <v>1446</v>
      </c>
      <c r="I923" s="5" t="s">
        <v>20</v>
      </c>
      <c r="J923" s="5">
        <v>2023.0</v>
      </c>
      <c r="L923" s="5">
        <v>1.0</v>
      </c>
      <c r="M923" s="7">
        <f t="shared" si="3"/>
        <v>0.18</v>
      </c>
    </row>
    <row r="924">
      <c r="A924" s="5" t="s">
        <v>2406</v>
      </c>
      <c r="B924" s="5" t="s">
        <v>2407</v>
      </c>
      <c r="C924" s="5" t="s">
        <v>1951</v>
      </c>
      <c r="D924" s="5" t="s">
        <v>2408</v>
      </c>
      <c r="E924" s="5" t="s">
        <v>2409</v>
      </c>
      <c r="F924" s="5" t="s">
        <v>461</v>
      </c>
      <c r="G924" s="6">
        <v>0.25</v>
      </c>
      <c r="H924" s="5" t="s">
        <v>1446</v>
      </c>
      <c r="I924" s="5" t="s">
        <v>20</v>
      </c>
      <c r="J924" s="5">
        <v>2023.0</v>
      </c>
      <c r="K924" s="8">
        <v>46116.0</v>
      </c>
      <c r="L924" s="5">
        <v>1.0</v>
      </c>
      <c r="M924" s="7">
        <f t="shared" si="3"/>
        <v>0.25</v>
      </c>
    </row>
    <row r="925">
      <c r="A925" s="5" t="s">
        <v>2410</v>
      </c>
      <c r="B925" s="5" t="s">
        <v>2411</v>
      </c>
      <c r="C925" s="5" t="s">
        <v>1951</v>
      </c>
      <c r="D925" s="5" t="s">
        <v>2412</v>
      </c>
      <c r="E925" s="5" t="s">
        <v>1543</v>
      </c>
      <c r="F925" s="5" t="s">
        <v>2413</v>
      </c>
      <c r="G925" s="6">
        <v>0.18</v>
      </c>
      <c r="H925" s="5" t="s">
        <v>1446</v>
      </c>
      <c r="I925" s="5" t="s">
        <v>20</v>
      </c>
      <c r="J925" s="5">
        <v>2023.0</v>
      </c>
      <c r="K925" s="8">
        <v>46055.0</v>
      </c>
      <c r="L925" s="5">
        <v>1.0</v>
      </c>
      <c r="M925" s="7">
        <f t="shared" si="3"/>
        <v>0.18</v>
      </c>
    </row>
    <row r="926">
      <c r="A926" s="5" t="s">
        <v>2414</v>
      </c>
      <c r="B926" s="5" t="s">
        <v>2415</v>
      </c>
      <c r="C926" s="5" t="s">
        <v>297</v>
      </c>
      <c r="D926" s="5" t="s">
        <v>2416</v>
      </c>
      <c r="E926" s="5" t="s">
        <v>1840</v>
      </c>
      <c r="F926" s="5" t="s">
        <v>152</v>
      </c>
      <c r="G926" s="6">
        <v>0.08</v>
      </c>
      <c r="H926" s="5" t="s">
        <v>1446</v>
      </c>
      <c r="I926" s="5" t="s">
        <v>20</v>
      </c>
      <c r="J926" s="5">
        <v>2023.0</v>
      </c>
      <c r="K926" s="8">
        <v>46085.0</v>
      </c>
      <c r="L926" s="5">
        <v>1.0</v>
      </c>
      <c r="M926" s="7">
        <f t="shared" si="3"/>
        <v>0.08</v>
      </c>
    </row>
    <row r="927">
      <c r="A927" s="5" t="s">
        <v>2417</v>
      </c>
      <c r="B927" s="5" t="s">
        <v>2415</v>
      </c>
      <c r="C927" s="5" t="s">
        <v>297</v>
      </c>
      <c r="D927" s="5" t="s">
        <v>2418</v>
      </c>
      <c r="E927" s="5" t="s">
        <v>715</v>
      </c>
      <c r="F927" s="5" t="s">
        <v>152</v>
      </c>
      <c r="G927" s="6">
        <v>0.08</v>
      </c>
      <c r="H927" s="5" t="s">
        <v>1446</v>
      </c>
      <c r="I927" s="5" t="s">
        <v>20</v>
      </c>
      <c r="J927" s="5">
        <v>2023.0</v>
      </c>
      <c r="K927" s="8">
        <v>46023.0</v>
      </c>
      <c r="L927" s="5">
        <v>1.0</v>
      </c>
      <c r="M927" s="7">
        <f t="shared" si="3"/>
        <v>0.08</v>
      </c>
    </row>
    <row r="928">
      <c r="A928" s="5" t="s">
        <v>2419</v>
      </c>
      <c r="B928" s="5" t="s">
        <v>2420</v>
      </c>
      <c r="C928" s="5" t="s">
        <v>297</v>
      </c>
      <c r="D928" s="5" t="s">
        <v>2421</v>
      </c>
      <c r="E928" s="5" t="s">
        <v>1746</v>
      </c>
      <c r="F928" s="5" t="s">
        <v>152</v>
      </c>
      <c r="G928" s="6">
        <v>0.08</v>
      </c>
      <c r="H928" s="5" t="s">
        <v>1446</v>
      </c>
      <c r="I928" s="5" t="s">
        <v>20</v>
      </c>
      <c r="J928" s="5">
        <v>2023.0</v>
      </c>
      <c r="K928" s="8">
        <v>46082.0</v>
      </c>
      <c r="L928" s="5">
        <v>1.0</v>
      </c>
      <c r="M928" s="7">
        <f t="shared" si="3"/>
        <v>0.08</v>
      </c>
    </row>
    <row r="929">
      <c r="A929" s="5" t="s">
        <v>2422</v>
      </c>
      <c r="B929" s="5" t="s">
        <v>2415</v>
      </c>
      <c r="C929" s="5" t="s">
        <v>297</v>
      </c>
      <c r="D929" s="5" t="s">
        <v>2423</v>
      </c>
      <c r="E929" s="5" t="s">
        <v>1764</v>
      </c>
      <c r="F929" s="5" t="s">
        <v>152</v>
      </c>
      <c r="G929" s="6">
        <v>0.08</v>
      </c>
      <c r="H929" s="5" t="s">
        <v>1446</v>
      </c>
      <c r="I929" s="5" t="s">
        <v>20</v>
      </c>
      <c r="J929" s="5">
        <v>2023.0</v>
      </c>
      <c r="K929" s="8">
        <v>46084.0</v>
      </c>
      <c r="L929" s="5">
        <v>1.0</v>
      </c>
      <c r="M929" s="7">
        <f t="shared" si="3"/>
        <v>0.08</v>
      </c>
    </row>
    <row r="930">
      <c r="A930" s="5" t="s">
        <v>2424</v>
      </c>
      <c r="B930" s="5" t="s">
        <v>2425</v>
      </c>
      <c r="C930" s="5" t="s">
        <v>297</v>
      </c>
      <c r="D930" s="5" t="s">
        <v>2426</v>
      </c>
      <c r="E930" s="5" t="s">
        <v>1764</v>
      </c>
      <c r="F930" s="5" t="s">
        <v>152</v>
      </c>
      <c r="G930" s="6">
        <v>0.08</v>
      </c>
      <c r="H930" s="5" t="s">
        <v>1446</v>
      </c>
      <c r="I930" s="5" t="s">
        <v>20</v>
      </c>
      <c r="J930" s="5">
        <v>2023.0</v>
      </c>
      <c r="K930" s="8">
        <v>46055.0</v>
      </c>
      <c r="L930" s="5">
        <v>1.0</v>
      </c>
      <c r="M930" s="7">
        <f t="shared" si="3"/>
        <v>0.08</v>
      </c>
    </row>
    <row r="931">
      <c r="A931" s="5" t="s">
        <v>2427</v>
      </c>
      <c r="B931" s="5" t="s">
        <v>2428</v>
      </c>
      <c r="C931" s="5" t="s">
        <v>1951</v>
      </c>
      <c r="D931" s="5" t="s">
        <v>2429</v>
      </c>
      <c r="E931" s="5" t="s">
        <v>2430</v>
      </c>
      <c r="F931" s="5" t="s">
        <v>152</v>
      </c>
      <c r="G931" s="6">
        <v>0.22</v>
      </c>
      <c r="H931" s="5" t="s">
        <v>1446</v>
      </c>
      <c r="I931" s="5" t="s">
        <v>20</v>
      </c>
      <c r="J931" s="5">
        <v>2023.0</v>
      </c>
      <c r="L931" s="5">
        <v>1.0</v>
      </c>
      <c r="M931" s="7">
        <f t="shared" si="3"/>
        <v>0.22</v>
      </c>
    </row>
    <row r="932">
      <c r="A932" s="5" t="s">
        <v>2431</v>
      </c>
      <c r="B932" s="5" t="s">
        <v>2432</v>
      </c>
      <c r="C932" s="5" t="s">
        <v>1951</v>
      </c>
      <c r="D932" s="5" t="s">
        <v>2433</v>
      </c>
      <c r="E932" s="5" t="s">
        <v>1764</v>
      </c>
      <c r="F932" s="5" t="s">
        <v>152</v>
      </c>
      <c r="G932" s="6">
        <v>0.2</v>
      </c>
      <c r="H932" s="5" t="s">
        <v>1446</v>
      </c>
      <c r="I932" s="5" t="s">
        <v>20</v>
      </c>
      <c r="J932" s="5">
        <v>2023.0</v>
      </c>
      <c r="K932" s="8">
        <v>46084.0</v>
      </c>
      <c r="L932" s="5">
        <v>1.0</v>
      </c>
      <c r="M932" s="7">
        <f t="shared" si="3"/>
        <v>0.2</v>
      </c>
    </row>
    <row r="933">
      <c r="A933" s="5" t="s">
        <v>2434</v>
      </c>
      <c r="B933" s="5" t="s">
        <v>2415</v>
      </c>
      <c r="C933" s="5" t="s">
        <v>297</v>
      </c>
      <c r="D933" s="5" t="s">
        <v>2435</v>
      </c>
      <c r="E933" s="5" t="s">
        <v>1782</v>
      </c>
      <c r="F933" s="5" t="s">
        <v>152</v>
      </c>
      <c r="G933" s="6">
        <v>0.08</v>
      </c>
      <c r="H933" s="5" t="s">
        <v>1446</v>
      </c>
      <c r="I933" s="5" t="s">
        <v>20</v>
      </c>
      <c r="J933" s="5">
        <v>2023.0</v>
      </c>
      <c r="K933" s="8">
        <v>46056.0</v>
      </c>
      <c r="L933" s="5">
        <v>1.0</v>
      </c>
      <c r="M933" s="7">
        <f t="shared" si="3"/>
        <v>0.08</v>
      </c>
    </row>
    <row r="934">
      <c r="A934" s="5" t="s">
        <v>2436</v>
      </c>
      <c r="B934" s="5" t="s">
        <v>2411</v>
      </c>
      <c r="C934" s="5" t="s">
        <v>1951</v>
      </c>
      <c r="D934" s="5" t="s">
        <v>2437</v>
      </c>
      <c r="E934" s="5" t="s">
        <v>1782</v>
      </c>
      <c r="F934" s="5" t="s">
        <v>152</v>
      </c>
      <c r="G934" s="6">
        <v>0.25</v>
      </c>
      <c r="H934" s="5" t="s">
        <v>1446</v>
      </c>
      <c r="I934" s="5" t="s">
        <v>20</v>
      </c>
      <c r="J934" s="5">
        <v>2023.0</v>
      </c>
      <c r="K934" s="8">
        <v>46114.0</v>
      </c>
      <c r="L934" s="5">
        <v>1.0</v>
      </c>
      <c r="M934" s="7">
        <f t="shared" si="3"/>
        <v>0.25</v>
      </c>
    </row>
    <row r="935">
      <c r="A935" s="5" t="s">
        <v>2438</v>
      </c>
      <c r="B935" s="5" t="s">
        <v>2407</v>
      </c>
      <c r="C935" s="5" t="s">
        <v>1951</v>
      </c>
      <c r="D935" s="5" t="s">
        <v>2439</v>
      </c>
      <c r="E935" s="5" t="s">
        <v>1764</v>
      </c>
      <c r="F935" s="5" t="s">
        <v>152</v>
      </c>
      <c r="G935" s="6">
        <v>0.18</v>
      </c>
      <c r="H935" s="5" t="s">
        <v>1446</v>
      </c>
      <c r="I935" s="5" t="s">
        <v>20</v>
      </c>
      <c r="J935" s="5">
        <v>2023.0</v>
      </c>
      <c r="K935" s="8">
        <v>46113.0</v>
      </c>
      <c r="L935" s="5">
        <v>2.0</v>
      </c>
      <c r="M935" s="7">
        <f t="shared" si="3"/>
        <v>0.36</v>
      </c>
    </row>
    <row r="936">
      <c r="A936" s="5" t="s">
        <v>2440</v>
      </c>
      <c r="B936" s="5" t="s">
        <v>2441</v>
      </c>
      <c r="C936" s="5" t="s">
        <v>1951</v>
      </c>
      <c r="D936" s="5" t="s">
        <v>2442</v>
      </c>
      <c r="E936" s="5" t="s">
        <v>1782</v>
      </c>
      <c r="F936" s="5" t="s">
        <v>152</v>
      </c>
      <c r="G936" s="6">
        <v>0.5</v>
      </c>
      <c r="H936" s="5" t="s">
        <v>1446</v>
      </c>
      <c r="I936" s="5" t="s">
        <v>20</v>
      </c>
      <c r="J936" s="5">
        <v>2023.0</v>
      </c>
      <c r="K936" s="8">
        <v>46023.0</v>
      </c>
      <c r="L936" s="5">
        <v>2.0</v>
      </c>
      <c r="M936" s="7">
        <f t="shared" si="3"/>
        <v>1</v>
      </c>
    </row>
    <row r="937">
      <c r="A937" s="5" t="s">
        <v>2443</v>
      </c>
      <c r="B937" s="5" t="s">
        <v>2441</v>
      </c>
      <c r="C937" s="5" t="s">
        <v>1951</v>
      </c>
      <c r="D937" s="5" t="s">
        <v>2444</v>
      </c>
      <c r="E937" s="5" t="s">
        <v>1746</v>
      </c>
      <c r="F937" s="5" t="s">
        <v>152</v>
      </c>
      <c r="G937" s="6">
        <v>0.25</v>
      </c>
      <c r="H937" s="5" t="s">
        <v>1446</v>
      </c>
      <c r="I937" s="5" t="s">
        <v>20</v>
      </c>
      <c r="J937" s="5">
        <v>2023.0</v>
      </c>
      <c r="K937" s="8">
        <v>46024.0</v>
      </c>
      <c r="L937" s="5">
        <v>2.0</v>
      </c>
      <c r="M937" s="7">
        <f t="shared" si="3"/>
        <v>0.5</v>
      </c>
    </row>
    <row r="938">
      <c r="A938" s="5" t="s">
        <v>2445</v>
      </c>
      <c r="B938" s="5" t="s">
        <v>2446</v>
      </c>
      <c r="C938" s="5" t="s">
        <v>297</v>
      </c>
      <c r="D938" s="5" t="s">
        <v>2447</v>
      </c>
      <c r="E938" s="5" t="s">
        <v>2448</v>
      </c>
      <c r="F938" s="5" t="s">
        <v>152</v>
      </c>
      <c r="G938" s="6">
        <v>0.61</v>
      </c>
      <c r="H938" s="5" t="s">
        <v>1446</v>
      </c>
      <c r="I938" s="5" t="s">
        <v>20</v>
      </c>
      <c r="J938" s="5">
        <v>2023.0</v>
      </c>
      <c r="K938" s="8">
        <v>46084.0</v>
      </c>
      <c r="L938" s="5">
        <v>2.0</v>
      </c>
      <c r="M938" s="7">
        <f t="shared" si="3"/>
        <v>1.22</v>
      </c>
    </row>
    <row r="939">
      <c r="A939" s="5" t="s">
        <v>2449</v>
      </c>
      <c r="B939" s="5" t="s">
        <v>380</v>
      </c>
      <c r="C939" s="5" t="s">
        <v>297</v>
      </c>
      <c r="D939" s="5" t="s">
        <v>2450</v>
      </c>
      <c r="E939" s="5" t="s">
        <v>715</v>
      </c>
      <c r="F939" s="5" t="s">
        <v>152</v>
      </c>
      <c r="G939" s="6">
        <v>0.09</v>
      </c>
      <c r="H939" s="5" t="s">
        <v>1446</v>
      </c>
      <c r="I939" s="5" t="s">
        <v>20</v>
      </c>
      <c r="J939" s="5">
        <v>2023.0</v>
      </c>
      <c r="L939" s="5">
        <v>1.0</v>
      </c>
      <c r="M939" s="7">
        <f t="shared" si="3"/>
        <v>0.09</v>
      </c>
    </row>
    <row r="940">
      <c r="A940" s="5" t="s">
        <v>2451</v>
      </c>
      <c r="B940" s="5" t="s">
        <v>2452</v>
      </c>
      <c r="C940" s="5" t="s">
        <v>1951</v>
      </c>
      <c r="D940" s="5" t="s">
        <v>2453</v>
      </c>
      <c r="E940" s="5" t="s">
        <v>1840</v>
      </c>
      <c r="F940" s="5" t="s">
        <v>152</v>
      </c>
      <c r="G940" s="6">
        <v>0.14</v>
      </c>
      <c r="H940" s="5" t="s">
        <v>1446</v>
      </c>
      <c r="I940" s="5" t="s">
        <v>20</v>
      </c>
      <c r="J940" s="5">
        <v>2023.0</v>
      </c>
      <c r="K940" s="8">
        <v>46115.0</v>
      </c>
      <c r="L940" s="5">
        <v>1.0</v>
      </c>
      <c r="M940" s="7">
        <f t="shared" si="3"/>
        <v>0.14</v>
      </c>
    </row>
    <row r="941">
      <c r="A941" s="5" t="s">
        <v>2454</v>
      </c>
      <c r="B941" s="5" t="s">
        <v>2455</v>
      </c>
      <c r="C941" s="5" t="s">
        <v>1951</v>
      </c>
      <c r="D941" s="5" t="s">
        <v>2456</v>
      </c>
      <c r="E941" s="5" t="s">
        <v>1746</v>
      </c>
      <c r="F941" s="5" t="s">
        <v>152</v>
      </c>
      <c r="G941" s="6">
        <v>0.09</v>
      </c>
      <c r="H941" s="5" t="s">
        <v>1446</v>
      </c>
      <c r="I941" s="5" t="s">
        <v>20</v>
      </c>
      <c r="J941" s="5">
        <v>2023.0</v>
      </c>
      <c r="K941" s="8">
        <v>46055.0</v>
      </c>
      <c r="L941" s="5">
        <v>2.0</v>
      </c>
      <c r="M941" s="7">
        <f t="shared" si="3"/>
        <v>0.18</v>
      </c>
    </row>
    <row r="942">
      <c r="A942" s="5" t="s">
        <v>2457</v>
      </c>
      <c r="B942" s="5" t="s">
        <v>2458</v>
      </c>
      <c r="C942" s="5" t="s">
        <v>297</v>
      </c>
      <c r="D942" s="5" t="s">
        <v>2459</v>
      </c>
      <c r="E942" s="5" t="s">
        <v>2308</v>
      </c>
      <c r="F942" s="5" t="s">
        <v>18</v>
      </c>
      <c r="G942" s="6">
        <v>1.68</v>
      </c>
      <c r="H942" s="5" t="s">
        <v>2460</v>
      </c>
      <c r="I942" s="5" t="s">
        <v>20</v>
      </c>
      <c r="J942" s="5">
        <v>2024.0</v>
      </c>
      <c r="K942" s="5" t="s">
        <v>752</v>
      </c>
      <c r="L942" s="5">
        <v>2.0</v>
      </c>
      <c r="M942" s="7">
        <f t="shared" si="3"/>
        <v>3.36</v>
      </c>
    </row>
    <row r="943">
      <c r="A943" s="5" t="s">
        <v>2461</v>
      </c>
      <c r="B943" s="5" t="s">
        <v>2462</v>
      </c>
      <c r="C943" s="5" t="s">
        <v>297</v>
      </c>
      <c r="D943" s="5" t="s">
        <v>2463</v>
      </c>
      <c r="E943" s="5" t="s">
        <v>2298</v>
      </c>
      <c r="F943" s="5" t="s">
        <v>18</v>
      </c>
      <c r="G943" s="6">
        <v>0.09</v>
      </c>
      <c r="H943" s="5" t="s">
        <v>1967</v>
      </c>
      <c r="I943" s="5" t="s">
        <v>20</v>
      </c>
      <c r="J943" s="5">
        <v>2022.0</v>
      </c>
      <c r="K943" s="8">
        <v>46056.0</v>
      </c>
      <c r="L943" s="5">
        <v>3.0</v>
      </c>
      <c r="M943" s="7">
        <f t="shared" si="3"/>
        <v>0.27</v>
      </c>
    </row>
    <row r="944">
      <c r="A944" s="5" t="s">
        <v>2464</v>
      </c>
      <c r="B944" s="5" t="s">
        <v>2465</v>
      </c>
      <c r="C944" s="5" t="s">
        <v>297</v>
      </c>
      <c r="D944" s="5" t="s">
        <v>2466</v>
      </c>
      <c r="E944" s="5" t="s">
        <v>2298</v>
      </c>
      <c r="F944" s="5" t="s">
        <v>18</v>
      </c>
      <c r="G944" s="6">
        <v>0.85</v>
      </c>
      <c r="H944" s="5" t="s">
        <v>2467</v>
      </c>
      <c r="I944" s="5" t="s">
        <v>20</v>
      </c>
      <c r="J944" s="5">
        <v>2008.0</v>
      </c>
      <c r="K944" s="8">
        <v>46082.0</v>
      </c>
      <c r="L944" s="5">
        <v>2.0</v>
      </c>
      <c r="M944" s="7">
        <f t="shared" si="3"/>
        <v>1.7</v>
      </c>
    </row>
    <row r="945">
      <c r="A945" s="5" t="s">
        <v>2468</v>
      </c>
      <c r="B945" s="5" t="s">
        <v>2469</v>
      </c>
      <c r="C945" s="5" t="s">
        <v>297</v>
      </c>
      <c r="D945" s="5" t="s">
        <v>2470</v>
      </c>
      <c r="E945" s="5" t="s">
        <v>2298</v>
      </c>
      <c r="F945" s="5" t="s">
        <v>18</v>
      </c>
      <c r="G945" s="6">
        <v>0.03</v>
      </c>
      <c r="H945" s="5" t="s">
        <v>2471</v>
      </c>
      <c r="I945" s="5" t="s">
        <v>20</v>
      </c>
      <c r="J945" s="5">
        <v>2017.0</v>
      </c>
      <c r="K945" s="8">
        <v>46056.0</v>
      </c>
      <c r="L945" s="5">
        <v>4.0</v>
      </c>
      <c r="M945" s="7">
        <f t="shared" si="3"/>
        <v>0.12</v>
      </c>
    </row>
    <row r="946">
      <c r="A946" s="5" t="s">
        <v>2472</v>
      </c>
      <c r="B946" s="5" t="s">
        <v>2473</v>
      </c>
      <c r="C946" s="5" t="s">
        <v>1899</v>
      </c>
      <c r="D946" s="5" t="s">
        <v>2474</v>
      </c>
      <c r="E946" s="5" t="s">
        <v>782</v>
      </c>
      <c r="F946" s="5" t="s">
        <v>18</v>
      </c>
      <c r="G946" s="6">
        <v>0.65</v>
      </c>
      <c r="H946" s="5" t="s">
        <v>2475</v>
      </c>
      <c r="I946" s="5" t="s">
        <v>20</v>
      </c>
      <c r="J946" s="5">
        <v>2012.0</v>
      </c>
      <c r="K946" s="8">
        <v>46023.0</v>
      </c>
      <c r="L946" s="5">
        <v>1.0</v>
      </c>
      <c r="M946" s="7">
        <f t="shared" si="3"/>
        <v>0.65</v>
      </c>
    </row>
    <row r="947">
      <c r="A947" s="5" t="s">
        <v>2476</v>
      </c>
      <c r="B947" s="5" t="s">
        <v>2310</v>
      </c>
      <c r="C947" s="5" t="s">
        <v>297</v>
      </c>
      <c r="D947" s="5" t="s">
        <v>2477</v>
      </c>
      <c r="E947" s="5" t="s">
        <v>782</v>
      </c>
      <c r="F947" s="5" t="s">
        <v>18</v>
      </c>
      <c r="G947" s="6">
        <v>0.03</v>
      </c>
      <c r="H947" s="5" t="s">
        <v>2478</v>
      </c>
      <c r="I947" s="5" t="s">
        <v>20</v>
      </c>
      <c r="J947" s="5">
        <v>2017.0</v>
      </c>
      <c r="K947" s="5" t="s">
        <v>89</v>
      </c>
      <c r="L947" s="5">
        <v>1.0</v>
      </c>
      <c r="M947" s="7">
        <f t="shared" si="3"/>
        <v>0.03</v>
      </c>
    </row>
    <row r="948">
      <c r="A948" s="5" t="s">
        <v>2479</v>
      </c>
      <c r="B948" s="5" t="s">
        <v>2480</v>
      </c>
      <c r="C948" s="5" t="s">
        <v>297</v>
      </c>
      <c r="D948" s="5" t="s">
        <v>2481</v>
      </c>
      <c r="E948" s="5" t="s">
        <v>782</v>
      </c>
      <c r="F948" s="5" t="s">
        <v>18</v>
      </c>
      <c r="G948" s="6">
        <v>0.23</v>
      </c>
      <c r="H948" s="5" t="s">
        <v>2482</v>
      </c>
      <c r="I948" s="5" t="s">
        <v>20</v>
      </c>
      <c r="J948" s="5">
        <v>2006.0</v>
      </c>
      <c r="K948" s="8">
        <v>46023.0</v>
      </c>
      <c r="L948" s="5">
        <v>4.0</v>
      </c>
      <c r="M948" s="7">
        <f t="shared" si="3"/>
        <v>0.92</v>
      </c>
    </row>
    <row r="949">
      <c r="A949" s="5" t="s">
        <v>2483</v>
      </c>
      <c r="B949" s="5" t="s">
        <v>2484</v>
      </c>
      <c r="C949" s="5" t="s">
        <v>297</v>
      </c>
      <c r="D949" s="5" t="s">
        <v>2485</v>
      </c>
      <c r="E949" s="5" t="s">
        <v>1956</v>
      </c>
      <c r="F949" s="5" t="s">
        <v>18</v>
      </c>
      <c r="G949" s="6">
        <v>0.05</v>
      </c>
      <c r="H949" s="5" t="s">
        <v>1628</v>
      </c>
      <c r="I949" s="5" t="s">
        <v>20</v>
      </c>
      <c r="J949" s="5">
        <v>2021.0</v>
      </c>
      <c r="K949" s="8">
        <v>46023.0</v>
      </c>
      <c r="L949" s="5">
        <v>5.0</v>
      </c>
      <c r="M949" s="7">
        <f t="shared" si="3"/>
        <v>0.25</v>
      </c>
    </row>
    <row r="950">
      <c r="A950" s="5" t="s">
        <v>2486</v>
      </c>
      <c r="B950" s="5" t="s">
        <v>2487</v>
      </c>
      <c r="C950" s="5" t="s">
        <v>297</v>
      </c>
      <c r="D950" s="5" t="s">
        <v>2488</v>
      </c>
      <c r="E950" s="5" t="s">
        <v>2302</v>
      </c>
      <c r="F950" s="5" t="s">
        <v>18</v>
      </c>
      <c r="G950" s="6">
        <v>0.06</v>
      </c>
      <c r="H950" s="5" t="s">
        <v>2376</v>
      </c>
      <c r="I950" s="5" t="s">
        <v>20</v>
      </c>
      <c r="J950" s="5">
        <v>2010.0</v>
      </c>
      <c r="K950" s="8">
        <v>46055.0</v>
      </c>
      <c r="L950" s="5">
        <v>1.0</v>
      </c>
      <c r="M950" s="7">
        <f t="shared" si="3"/>
        <v>0.06</v>
      </c>
    </row>
    <row r="951">
      <c r="A951" s="5" t="s">
        <v>2489</v>
      </c>
      <c r="B951" s="5" t="s">
        <v>2490</v>
      </c>
      <c r="C951" s="5" t="s">
        <v>1951</v>
      </c>
      <c r="D951" s="5" t="s">
        <v>2491</v>
      </c>
      <c r="E951" s="5" t="s">
        <v>2492</v>
      </c>
      <c r="F951" s="5" t="s">
        <v>18</v>
      </c>
      <c r="G951" s="6">
        <v>4.95</v>
      </c>
      <c r="H951" s="5" t="s">
        <v>2493</v>
      </c>
      <c r="I951" s="5" t="s">
        <v>31</v>
      </c>
      <c r="J951" s="5">
        <v>2023.0</v>
      </c>
      <c r="K951" s="8">
        <v>46024.0</v>
      </c>
      <c r="L951" s="5">
        <v>1.0</v>
      </c>
      <c r="M951" s="7">
        <f t="shared" si="3"/>
        <v>4.95</v>
      </c>
    </row>
    <row r="952">
      <c r="A952" s="5" t="s">
        <v>2494</v>
      </c>
      <c r="B952" s="5" t="s">
        <v>2495</v>
      </c>
      <c r="C952" s="5" t="s">
        <v>1951</v>
      </c>
      <c r="D952" s="5" t="s">
        <v>2496</v>
      </c>
      <c r="E952" s="5" t="s">
        <v>2295</v>
      </c>
      <c r="F952" s="5" t="s">
        <v>18</v>
      </c>
      <c r="G952" s="6">
        <v>0.06</v>
      </c>
      <c r="H952" s="5" t="s">
        <v>1707</v>
      </c>
      <c r="I952" s="5" t="s">
        <v>20</v>
      </c>
      <c r="J952" s="5">
        <v>2016.0</v>
      </c>
      <c r="K952" s="8">
        <v>46117.0</v>
      </c>
      <c r="L952" s="5">
        <v>4.0</v>
      </c>
      <c r="M952" s="7">
        <f t="shared" si="3"/>
        <v>0.24</v>
      </c>
    </row>
    <row r="953">
      <c r="A953" s="5" t="s">
        <v>2497</v>
      </c>
      <c r="B953" s="5" t="s">
        <v>2498</v>
      </c>
      <c r="C953" s="5" t="s">
        <v>297</v>
      </c>
      <c r="D953" s="5" t="s">
        <v>2499</v>
      </c>
      <c r="E953" s="5" t="s">
        <v>1956</v>
      </c>
      <c r="F953" s="5" t="s">
        <v>18</v>
      </c>
      <c r="G953" s="6">
        <v>0.75</v>
      </c>
      <c r="H953" s="5" t="s">
        <v>1684</v>
      </c>
      <c r="I953" s="5" t="s">
        <v>20</v>
      </c>
      <c r="J953" s="5">
        <v>2015.0</v>
      </c>
      <c r="K953" s="8">
        <v>46055.0</v>
      </c>
      <c r="L953" s="5">
        <v>2.0</v>
      </c>
      <c r="M953" s="7">
        <f t="shared" si="3"/>
        <v>1.5</v>
      </c>
    </row>
    <row r="954">
      <c r="A954" s="5" t="s">
        <v>2497</v>
      </c>
      <c r="B954" s="5" t="s">
        <v>2498</v>
      </c>
      <c r="C954" s="5" t="s">
        <v>297</v>
      </c>
      <c r="D954" s="5" t="s">
        <v>2500</v>
      </c>
      <c r="E954" s="5" t="s">
        <v>1956</v>
      </c>
      <c r="F954" s="5" t="s">
        <v>18</v>
      </c>
      <c r="G954" s="6">
        <v>1.95</v>
      </c>
      <c r="H954" s="5" t="s">
        <v>2501</v>
      </c>
      <c r="I954" s="5" t="s">
        <v>20</v>
      </c>
      <c r="J954" s="5">
        <v>2016.0</v>
      </c>
      <c r="K954" s="8">
        <v>46055.0</v>
      </c>
      <c r="L954" s="5">
        <v>1.0</v>
      </c>
      <c r="M954" s="7">
        <f t="shared" si="3"/>
        <v>1.95</v>
      </c>
    </row>
    <row r="955">
      <c r="A955" s="5" t="s">
        <v>2502</v>
      </c>
      <c r="B955" s="5" t="s">
        <v>2415</v>
      </c>
      <c r="C955" s="5" t="s">
        <v>297</v>
      </c>
      <c r="D955" s="5" t="s">
        <v>2503</v>
      </c>
      <c r="E955" s="5" t="s">
        <v>782</v>
      </c>
      <c r="F955" s="5" t="s">
        <v>18</v>
      </c>
      <c r="G955" s="6">
        <v>0.09</v>
      </c>
      <c r="H955" s="5" t="s">
        <v>2504</v>
      </c>
      <c r="I955" s="5" t="s">
        <v>20</v>
      </c>
      <c r="J955" s="5">
        <v>2015.0</v>
      </c>
      <c r="K955" s="5" t="s">
        <v>1258</v>
      </c>
      <c r="L955" s="5">
        <v>4.0</v>
      </c>
      <c r="M955" s="7">
        <f t="shared" si="3"/>
        <v>0.36</v>
      </c>
    </row>
    <row r="956">
      <c r="A956" s="5" t="s">
        <v>2505</v>
      </c>
      <c r="B956" s="5" t="s">
        <v>2506</v>
      </c>
      <c r="C956" s="5" t="s">
        <v>297</v>
      </c>
      <c r="E956" s="5" t="s">
        <v>2507</v>
      </c>
      <c r="F956" s="5" t="s">
        <v>18</v>
      </c>
      <c r="G956" s="6">
        <v>0.03</v>
      </c>
      <c r="H956" s="5" t="s">
        <v>2478</v>
      </c>
      <c r="I956" s="5" t="s">
        <v>20</v>
      </c>
      <c r="J956" s="5">
        <v>2017.0</v>
      </c>
      <c r="K956" s="8">
        <v>46147.0</v>
      </c>
      <c r="L956" s="5">
        <v>3.0</v>
      </c>
      <c r="M956" s="7">
        <f t="shared" si="3"/>
        <v>0.09</v>
      </c>
    </row>
    <row r="957">
      <c r="A957" s="5" t="s">
        <v>2508</v>
      </c>
      <c r="B957" s="5" t="s">
        <v>2509</v>
      </c>
      <c r="C957" s="5" t="s">
        <v>1951</v>
      </c>
      <c r="D957" s="5" t="s">
        <v>2510</v>
      </c>
      <c r="E957" s="5" t="s">
        <v>2298</v>
      </c>
      <c r="F957" s="5" t="s">
        <v>18</v>
      </c>
      <c r="G957" s="6">
        <v>0.13</v>
      </c>
      <c r="H957" s="5" t="s">
        <v>1644</v>
      </c>
      <c r="I957" s="5" t="s">
        <v>20</v>
      </c>
      <c r="J957" s="5">
        <v>2019.0</v>
      </c>
      <c r="K957" s="8">
        <v>46055.0</v>
      </c>
      <c r="L957" s="5">
        <v>3.0</v>
      </c>
      <c r="M957" s="7">
        <f t="shared" si="3"/>
        <v>0.39</v>
      </c>
    </row>
    <row r="958">
      <c r="A958" s="5" t="s">
        <v>2511</v>
      </c>
      <c r="B958" s="5" t="s">
        <v>2512</v>
      </c>
      <c r="C958" s="5" t="s">
        <v>297</v>
      </c>
      <c r="D958" s="5" t="s">
        <v>2513</v>
      </c>
      <c r="E958" s="5" t="s">
        <v>2514</v>
      </c>
      <c r="F958" s="5" t="s">
        <v>18</v>
      </c>
      <c r="G958" s="6">
        <v>0.05</v>
      </c>
      <c r="H958" s="5" t="s">
        <v>2515</v>
      </c>
      <c r="I958" s="5" t="s">
        <v>20</v>
      </c>
      <c r="J958" s="5">
        <v>2018.0</v>
      </c>
      <c r="K958" s="8">
        <v>46179.0</v>
      </c>
      <c r="L958" s="5">
        <v>4.0</v>
      </c>
      <c r="M958" s="7">
        <f t="shared" si="3"/>
        <v>0.2</v>
      </c>
    </row>
    <row r="959">
      <c r="A959" s="5" t="s">
        <v>2516</v>
      </c>
      <c r="B959" s="5" t="s">
        <v>2310</v>
      </c>
      <c r="C959" s="5" t="s">
        <v>297</v>
      </c>
      <c r="D959" s="5" t="s">
        <v>2517</v>
      </c>
      <c r="E959" s="5" t="s">
        <v>782</v>
      </c>
      <c r="F959" s="5" t="s">
        <v>18</v>
      </c>
      <c r="G959" s="6">
        <v>0.09</v>
      </c>
      <c r="H959" s="5" t="s">
        <v>2518</v>
      </c>
      <c r="I959" s="5" t="s">
        <v>20</v>
      </c>
      <c r="J959" s="5">
        <v>2005.0</v>
      </c>
      <c r="K959" s="8">
        <v>46023.0</v>
      </c>
      <c r="L959" s="5">
        <v>1.0</v>
      </c>
      <c r="M959" s="7">
        <f t="shared" si="3"/>
        <v>0.09</v>
      </c>
    </row>
    <row r="960">
      <c r="A960" s="5" t="s">
        <v>2519</v>
      </c>
      <c r="B960" s="5" t="s">
        <v>2520</v>
      </c>
      <c r="C960" s="5" t="s">
        <v>297</v>
      </c>
      <c r="D960" s="5" t="s">
        <v>2521</v>
      </c>
      <c r="E960" s="5" t="s">
        <v>2507</v>
      </c>
      <c r="F960" s="5" t="s">
        <v>18</v>
      </c>
      <c r="G960" s="6">
        <v>0.05</v>
      </c>
      <c r="H960" s="5" t="s">
        <v>1958</v>
      </c>
      <c r="I960" s="5" t="s">
        <v>20</v>
      </c>
      <c r="J960" s="5">
        <v>2021.0</v>
      </c>
      <c r="K960" s="8">
        <v>46026.0</v>
      </c>
      <c r="L960" s="5">
        <v>1.0</v>
      </c>
      <c r="M960" s="7">
        <f t="shared" si="3"/>
        <v>0.05</v>
      </c>
    </row>
    <row r="961">
      <c r="A961" s="5" t="s">
        <v>2522</v>
      </c>
      <c r="B961" s="5" t="s">
        <v>2523</v>
      </c>
      <c r="C961" s="5" t="s">
        <v>297</v>
      </c>
      <c r="D961" s="5" t="s">
        <v>2524</v>
      </c>
      <c r="E961" s="5" t="s">
        <v>2302</v>
      </c>
      <c r="F961" s="5" t="s">
        <v>18</v>
      </c>
      <c r="G961" s="6">
        <v>0.06</v>
      </c>
      <c r="H961" s="5" t="s">
        <v>1714</v>
      </c>
      <c r="I961" s="5" t="s">
        <v>20</v>
      </c>
      <c r="J961" s="5">
        <v>2022.0</v>
      </c>
      <c r="K961" s="8">
        <v>46084.0</v>
      </c>
      <c r="L961" s="5">
        <v>1.0</v>
      </c>
      <c r="M961" s="7">
        <f t="shared" si="3"/>
        <v>0.06</v>
      </c>
    </row>
    <row r="962">
      <c r="A962" s="5" t="s">
        <v>2525</v>
      </c>
      <c r="B962" s="5" t="s">
        <v>2490</v>
      </c>
      <c r="C962" s="5" t="s">
        <v>297</v>
      </c>
      <c r="D962" s="5" t="s">
        <v>2526</v>
      </c>
      <c r="E962" s="5" t="s">
        <v>1956</v>
      </c>
      <c r="F962" s="5" t="s">
        <v>18</v>
      </c>
      <c r="G962" s="6">
        <v>0.05</v>
      </c>
      <c r="H962" s="5" t="s">
        <v>2204</v>
      </c>
      <c r="I962" s="5" t="s">
        <v>20</v>
      </c>
      <c r="J962" s="5">
        <v>2014.0</v>
      </c>
      <c r="K962" s="8">
        <v>46055.0</v>
      </c>
      <c r="L962" s="5">
        <v>1.0</v>
      </c>
      <c r="M962" s="7">
        <f t="shared" si="3"/>
        <v>0.05</v>
      </c>
    </row>
    <row r="963">
      <c r="A963" s="5" t="s">
        <v>2527</v>
      </c>
      <c r="B963" s="5" t="s">
        <v>2528</v>
      </c>
      <c r="C963" s="5" t="s">
        <v>297</v>
      </c>
      <c r="D963" s="5" t="s">
        <v>2529</v>
      </c>
      <c r="E963" s="5" t="s">
        <v>782</v>
      </c>
      <c r="F963" s="5" t="s">
        <v>18</v>
      </c>
      <c r="G963" s="6">
        <v>0.17</v>
      </c>
      <c r="H963" s="5" t="s">
        <v>1714</v>
      </c>
      <c r="I963" s="5" t="s">
        <v>20</v>
      </c>
      <c r="J963" s="5">
        <v>2022.0</v>
      </c>
      <c r="K963" s="8">
        <v>46023.0</v>
      </c>
      <c r="L963" s="5">
        <v>1.0</v>
      </c>
      <c r="M963" s="7">
        <f t="shared" si="3"/>
        <v>0.17</v>
      </c>
    </row>
    <row r="964">
      <c r="A964" s="5" t="s">
        <v>2530</v>
      </c>
      <c r="B964" s="5" t="s">
        <v>2531</v>
      </c>
      <c r="C964" s="5" t="s">
        <v>297</v>
      </c>
      <c r="D964" s="5" t="s">
        <v>2532</v>
      </c>
      <c r="E964" s="5" t="s">
        <v>2298</v>
      </c>
      <c r="F964" s="5" t="s">
        <v>18</v>
      </c>
      <c r="G964" s="6">
        <v>0.04</v>
      </c>
      <c r="H964" s="5" t="s">
        <v>2174</v>
      </c>
      <c r="I964" s="5" t="s">
        <v>20</v>
      </c>
      <c r="J964" s="5">
        <v>2021.0</v>
      </c>
      <c r="K964" s="8">
        <v>46056.0</v>
      </c>
      <c r="L964" s="5">
        <v>3.0</v>
      </c>
      <c r="M964" s="7">
        <f t="shared" si="3"/>
        <v>0.12</v>
      </c>
    </row>
    <row r="965">
      <c r="A965" s="5" t="s">
        <v>2533</v>
      </c>
      <c r="B965" s="5" t="s">
        <v>2275</v>
      </c>
      <c r="C965" s="5" t="s">
        <v>297</v>
      </c>
      <c r="D965" s="5" t="s">
        <v>2534</v>
      </c>
      <c r="E965" s="5" t="s">
        <v>2302</v>
      </c>
      <c r="F965" s="5" t="s">
        <v>18</v>
      </c>
      <c r="G965" s="6">
        <v>0.08</v>
      </c>
      <c r="H965" s="5" t="s">
        <v>1628</v>
      </c>
      <c r="I965" s="5" t="s">
        <v>20</v>
      </c>
      <c r="J965" s="5">
        <v>2021.0</v>
      </c>
      <c r="K965" s="8">
        <v>46114.0</v>
      </c>
      <c r="L965" s="5">
        <v>1.0</v>
      </c>
      <c r="M965" s="7">
        <f t="shared" si="3"/>
        <v>0.08</v>
      </c>
    </row>
    <row r="966">
      <c r="A966" s="5" t="s">
        <v>2535</v>
      </c>
      <c r="B966" s="5" t="s">
        <v>2536</v>
      </c>
      <c r="C966" s="5" t="s">
        <v>297</v>
      </c>
      <c r="E966" s="5" t="s">
        <v>2514</v>
      </c>
      <c r="F966" s="5" t="s">
        <v>18</v>
      </c>
      <c r="G966" s="6">
        <v>0.03</v>
      </c>
      <c r="H966" s="5" t="s">
        <v>1989</v>
      </c>
      <c r="I966" s="5" t="s">
        <v>20</v>
      </c>
      <c r="J966" s="5">
        <v>2019.0</v>
      </c>
      <c r="K966" s="8">
        <v>46210.0</v>
      </c>
      <c r="L966" s="5">
        <v>4.0</v>
      </c>
      <c r="M966" s="7">
        <f t="shared" si="3"/>
        <v>0.12</v>
      </c>
    </row>
    <row r="967">
      <c r="A967" s="5" t="s">
        <v>2537</v>
      </c>
      <c r="B967" s="5" t="s">
        <v>2538</v>
      </c>
      <c r="C967" s="5" t="s">
        <v>297</v>
      </c>
      <c r="D967" s="5" t="s">
        <v>2539</v>
      </c>
      <c r="E967" s="5" t="s">
        <v>1956</v>
      </c>
      <c r="F967" s="5" t="s">
        <v>18</v>
      </c>
      <c r="G967" s="6">
        <v>0.06</v>
      </c>
      <c r="H967" s="5" t="s">
        <v>2540</v>
      </c>
      <c r="I967" s="5" t="s">
        <v>20</v>
      </c>
      <c r="J967" s="5">
        <v>2010.0</v>
      </c>
      <c r="K967" s="8">
        <v>46023.0</v>
      </c>
      <c r="L967" s="5">
        <v>4.0</v>
      </c>
      <c r="M967" s="7">
        <f t="shared" si="3"/>
        <v>0.24</v>
      </c>
    </row>
    <row r="968">
      <c r="A968" s="5" t="s">
        <v>2541</v>
      </c>
      <c r="B968" s="5" t="s">
        <v>2060</v>
      </c>
      <c r="C968" s="5" t="s">
        <v>297</v>
      </c>
      <c r="D968" s="5" t="s">
        <v>2542</v>
      </c>
      <c r="E968" s="5" t="s">
        <v>1956</v>
      </c>
      <c r="F968" s="5" t="s">
        <v>18</v>
      </c>
      <c r="G968" s="6">
        <v>0.03</v>
      </c>
      <c r="H968" s="5" t="s">
        <v>2540</v>
      </c>
      <c r="I968" s="5" t="s">
        <v>20</v>
      </c>
      <c r="J968" s="5">
        <v>2010.0</v>
      </c>
      <c r="K968" s="5" t="s">
        <v>1427</v>
      </c>
      <c r="L968" s="5">
        <v>8.0</v>
      </c>
      <c r="M968" s="7">
        <f t="shared" si="3"/>
        <v>0.24</v>
      </c>
    </row>
    <row r="969">
      <c r="A969" s="5" t="s">
        <v>2543</v>
      </c>
      <c r="B969" s="5" t="s">
        <v>380</v>
      </c>
      <c r="C969" s="5" t="s">
        <v>297</v>
      </c>
      <c r="D969" s="5" t="s">
        <v>2544</v>
      </c>
      <c r="E969" s="5" t="s">
        <v>782</v>
      </c>
      <c r="F969" s="5" t="s">
        <v>18</v>
      </c>
      <c r="G969" s="6">
        <v>0.04</v>
      </c>
      <c r="H969" s="5" t="s">
        <v>2545</v>
      </c>
      <c r="I969" s="5" t="s">
        <v>20</v>
      </c>
      <c r="J969" s="5">
        <v>2017.0</v>
      </c>
      <c r="K969" s="5" t="s">
        <v>1427</v>
      </c>
      <c r="L969" s="5">
        <v>2.0</v>
      </c>
      <c r="M969" s="7">
        <f t="shared" si="3"/>
        <v>0.08</v>
      </c>
    </row>
    <row r="970">
      <c r="A970" s="5" t="s">
        <v>2546</v>
      </c>
      <c r="B970" s="5" t="s">
        <v>2319</v>
      </c>
      <c r="C970" s="5" t="s">
        <v>1899</v>
      </c>
      <c r="D970" s="5" t="s">
        <v>2547</v>
      </c>
      <c r="E970" s="5" t="s">
        <v>782</v>
      </c>
      <c r="F970" s="5" t="s">
        <v>18</v>
      </c>
      <c r="G970" s="6">
        <v>0.06</v>
      </c>
      <c r="H970" s="5" t="s">
        <v>2540</v>
      </c>
      <c r="I970" s="5" t="s">
        <v>20</v>
      </c>
      <c r="J970" s="5">
        <v>2002.0</v>
      </c>
      <c r="K970" s="8">
        <v>46023.0</v>
      </c>
      <c r="L970" s="5">
        <v>1.0</v>
      </c>
      <c r="M970" s="7">
        <f t="shared" si="3"/>
        <v>0.06</v>
      </c>
    </row>
    <row r="971">
      <c r="A971" s="5" t="s">
        <v>2548</v>
      </c>
      <c r="B971" s="5" t="s">
        <v>2549</v>
      </c>
      <c r="C971" s="5" t="s">
        <v>297</v>
      </c>
      <c r="E971" s="5" t="s">
        <v>2550</v>
      </c>
      <c r="F971" s="5" t="s">
        <v>18</v>
      </c>
      <c r="G971" s="6">
        <v>0.03</v>
      </c>
      <c r="H971" s="5" t="s">
        <v>2551</v>
      </c>
      <c r="I971" s="5" t="s">
        <v>20</v>
      </c>
      <c r="J971" s="5">
        <v>2014.0</v>
      </c>
      <c r="K971" s="8">
        <v>46056.0</v>
      </c>
      <c r="L971" s="5">
        <v>1.0</v>
      </c>
      <c r="M971" s="7">
        <f t="shared" si="3"/>
        <v>0.03</v>
      </c>
    </row>
    <row r="972">
      <c r="A972" s="5" t="s">
        <v>2552</v>
      </c>
      <c r="B972" s="5" t="s">
        <v>2553</v>
      </c>
      <c r="C972" s="5" t="s">
        <v>297</v>
      </c>
      <c r="D972" s="5" t="s">
        <v>2554</v>
      </c>
      <c r="E972" s="5" t="s">
        <v>782</v>
      </c>
      <c r="F972" s="5" t="s">
        <v>18</v>
      </c>
      <c r="G972" s="6">
        <v>0.04</v>
      </c>
      <c r="H972" s="5" t="s">
        <v>2555</v>
      </c>
      <c r="I972" s="5" t="s">
        <v>20</v>
      </c>
      <c r="J972" s="5">
        <v>2020.0</v>
      </c>
      <c r="K972" s="8">
        <v>46023.0</v>
      </c>
      <c r="L972" s="5">
        <v>1.0</v>
      </c>
      <c r="M972" s="7">
        <f t="shared" si="3"/>
        <v>0.04</v>
      </c>
    </row>
    <row r="973">
      <c r="A973" s="5" t="s">
        <v>2556</v>
      </c>
      <c r="B973" s="5" t="s">
        <v>2549</v>
      </c>
      <c r="C973" s="5" t="s">
        <v>297</v>
      </c>
      <c r="E973" s="5" t="s">
        <v>2298</v>
      </c>
      <c r="F973" s="5" t="s">
        <v>18</v>
      </c>
      <c r="G973" s="6">
        <v>0.03</v>
      </c>
      <c r="H973" s="5" t="s">
        <v>2557</v>
      </c>
      <c r="I973" s="5" t="s">
        <v>20</v>
      </c>
      <c r="J973" s="5">
        <v>2018.0</v>
      </c>
      <c r="K973" s="8">
        <v>46084.0</v>
      </c>
      <c r="L973" s="5">
        <v>3.0</v>
      </c>
      <c r="M973" s="7">
        <f t="shared" si="3"/>
        <v>0.09</v>
      </c>
    </row>
    <row r="974">
      <c r="A974" s="5" t="s">
        <v>2556</v>
      </c>
      <c r="B974" s="5" t="s">
        <v>2549</v>
      </c>
      <c r="C974" s="5" t="s">
        <v>297</v>
      </c>
      <c r="E974" s="5" t="s">
        <v>2298</v>
      </c>
      <c r="F974" s="5" t="s">
        <v>18</v>
      </c>
      <c r="G974" s="6">
        <v>0.03</v>
      </c>
      <c r="H974" s="5" t="s">
        <v>1989</v>
      </c>
      <c r="I974" s="5" t="s">
        <v>20</v>
      </c>
      <c r="J974" s="5">
        <v>2019.0</v>
      </c>
      <c r="K974" s="8">
        <v>46084.0</v>
      </c>
      <c r="L974" s="5">
        <v>1.0</v>
      </c>
      <c r="M974" s="7">
        <f t="shared" si="3"/>
        <v>0.03</v>
      </c>
    </row>
    <row r="975">
      <c r="A975" s="5" t="s">
        <v>2558</v>
      </c>
      <c r="B975" s="5" t="s">
        <v>2559</v>
      </c>
      <c r="C975" s="5" t="s">
        <v>1899</v>
      </c>
      <c r="D975" s="5" t="s">
        <v>2560</v>
      </c>
      <c r="E975" s="5" t="s">
        <v>2561</v>
      </c>
      <c r="F975" s="5" t="s">
        <v>18</v>
      </c>
      <c r="G975" s="6">
        <v>0.17</v>
      </c>
      <c r="H975" s="5" t="s">
        <v>2562</v>
      </c>
      <c r="I975" s="5" t="s">
        <v>20</v>
      </c>
      <c r="J975" s="5">
        <v>2017.0</v>
      </c>
      <c r="K975" s="8">
        <v>46084.0</v>
      </c>
      <c r="L975" s="5">
        <v>1.0</v>
      </c>
      <c r="M975" s="7">
        <f t="shared" si="3"/>
        <v>0.17</v>
      </c>
    </row>
    <row r="976">
      <c r="A976" s="5" t="s">
        <v>2563</v>
      </c>
      <c r="B976" s="5" t="s">
        <v>2538</v>
      </c>
      <c r="C976" s="5" t="s">
        <v>1951</v>
      </c>
      <c r="D976" s="5" t="s">
        <v>2564</v>
      </c>
      <c r="E976" s="5" t="s">
        <v>2298</v>
      </c>
      <c r="F976" s="5" t="s">
        <v>18</v>
      </c>
      <c r="G976" s="6">
        <v>0.08</v>
      </c>
      <c r="H976" s="5" t="s">
        <v>1647</v>
      </c>
      <c r="I976" s="5" t="s">
        <v>20</v>
      </c>
      <c r="J976" s="5">
        <v>2018.0</v>
      </c>
      <c r="K976" s="8">
        <v>46055.0</v>
      </c>
      <c r="L976" s="5">
        <v>1.0</v>
      </c>
      <c r="M976" s="7">
        <f t="shared" si="3"/>
        <v>0.08</v>
      </c>
    </row>
    <row r="977">
      <c r="A977" s="5" t="s">
        <v>2565</v>
      </c>
      <c r="B977" s="5" t="s">
        <v>2538</v>
      </c>
      <c r="C977" s="5" t="s">
        <v>297</v>
      </c>
      <c r="D977" s="5" t="s">
        <v>2566</v>
      </c>
      <c r="E977" s="5" t="s">
        <v>2298</v>
      </c>
      <c r="F977" s="5" t="s">
        <v>18</v>
      </c>
      <c r="G977" s="6">
        <v>0.04</v>
      </c>
      <c r="H977" s="5" t="s">
        <v>1747</v>
      </c>
      <c r="I977" s="5" t="s">
        <v>20</v>
      </c>
      <c r="J977" s="5">
        <v>2000.0</v>
      </c>
      <c r="K977" s="8">
        <v>46055.0</v>
      </c>
      <c r="L977" s="5">
        <v>1.0</v>
      </c>
      <c r="M977" s="7">
        <f t="shared" si="3"/>
        <v>0.04</v>
      </c>
    </row>
    <row r="978">
      <c r="A978" s="5" t="s">
        <v>2567</v>
      </c>
      <c r="B978" s="5" t="s">
        <v>2568</v>
      </c>
      <c r="C978" s="5" t="s">
        <v>297</v>
      </c>
      <c r="D978" s="5" t="s">
        <v>2569</v>
      </c>
      <c r="E978" s="5" t="s">
        <v>2302</v>
      </c>
      <c r="F978" s="5" t="s">
        <v>18</v>
      </c>
      <c r="G978" s="6">
        <v>0.05</v>
      </c>
      <c r="H978" s="5" t="s">
        <v>1958</v>
      </c>
      <c r="I978" s="5" t="s">
        <v>20</v>
      </c>
      <c r="J978" s="5">
        <v>2021.0</v>
      </c>
      <c r="K978" s="8">
        <v>46084.0</v>
      </c>
      <c r="L978" s="5">
        <v>1.0</v>
      </c>
      <c r="M978" s="7">
        <f t="shared" si="3"/>
        <v>0.05</v>
      </c>
    </row>
    <row r="979">
      <c r="A979" s="5" t="s">
        <v>2570</v>
      </c>
      <c r="B979" s="5" t="s">
        <v>2571</v>
      </c>
      <c r="C979" s="5" t="s">
        <v>1951</v>
      </c>
      <c r="D979" s="5" t="s">
        <v>2572</v>
      </c>
      <c r="E979" s="5" t="s">
        <v>2302</v>
      </c>
      <c r="F979" s="5" t="s">
        <v>18</v>
      </c>
      <c r="G979" s="6">
        <v>0.06</v>
      </c>
      <c r="H979" s="5" t="s">
        <v>2573</v>
      </c>
      <c r="I979" s="5" t="s">
        <v>20</v>
      </c>
      <c r="J979" s="5">
        <v>2012.0</v>
      </c>
      <c r="K979" s="8">
        <v>46084.0</v>
      </c>
      <c r="L979" s="5">
        <v>1.0</v>
      </c>
      <c r="M979" s="7">
        <f t="shared" si="3"/>
        <v>0.06</v>
      </c>
    </row>
    <row r="980">
      <c r="A980" s="5" t="s">
        <v>2574</v>
      </c>
      <c r="B980" s="5" t="s">
        <v>2304</v>
      </c>
      <c r="C980" s="5" t="s">
        <v>297</v>
      </c>
      <c r="D980" s="5" t="s">
        <v>2575</v>
      </c>
      <c r="E980" s="5" t="s">
        <v>1956</v>
      </c>
      <c r="F980" s="5" t="s">
        <v>18</v>
      </c>
      <c r="G980" s="6">
        <v>0.06</v>
      </c>
      <c r="H980" s="5" t="s">
        <v>1688</v>
      </c>
      <c r="I980" s="5" t="s">
        <v>20</v>
      </c>
      <c r="J980" s="5">
        <v>2021.0</v>
      </c>
      <c r="K980" s="8">
        <v>46055.0</v>
      </c>
      <c r="L980" s="5">
        <v>4.0</v>
      </c>
      <c r="M980" s="7">
        <f t="shared" si="3"/>
        <v>0.24</v>
      </c>
    </row>
    <row r="981">
      <c r="A981" s="5" t="s">
        <v>2576</v>
      </c>
      <c r="B981" s="5" t="s">
        <v>2577</v>
      </c>
      <c r="C981" s="5" t="s">
        <v>1670</v>
      </c>
      <c r="D981" s="5" t="s">
        <v>2578</v>
      </c>
      <c r="E981" s="5" t="s">
        <v>1956</v>
      </c>
      <c r="F981" s="5" t="s">
        <v>18</v>
      </c>
      <c r="G981" s="6">
        <v>0.09</v>
      </c>
      <c r="H981" s="5" t="s">
        <v>2579</v>
      </c>
      <c r="I981" s="5" t="s">
        <v>20</v>
      </c>
      <c r="J981" s="5">
        <v>2004.0</v>
      </c>
      <c r="K981" s="8">
        <v>46054.0</v>
      </c>
      <c r="L981" s="5">
        <v>2.0</v>
      </c>
      <c r="M981" s="7">
        <f t="shared" si="3"/>
        <v>0.18</v>
      </c>
    </row>
    <row r="982">
      <c r="A982" s="5" t="s">
        <v>2580</v>
      </c>
      <c r="B982" s="5" t="s">
        <v>2581</v>
      </c>
      <c r="C982" s="5" t="s">
        <v>1951</v>
      </c>
      <c r="D982" s="5" t="s">
        <v>2582</v>
      </c>
      <c r="E982" s="5" t="s">
        <v>782</v>
      </c>
      <c r="F982" s="5" t="s">
        <v>18</v>
      </c>
      <c r="G982" s="6">
        <v>0.05</v>
      </c>
      <c r="H982" s="5" t="s">
        <v>2583</v>
      </c>
      <c r="I982" s="5" t="s">
        <v>20</v>
      </c>
      <c r="J982" s="5">
        <v>2020.0</v>
      </c>
      <c r="K982" s="8">
        <v>46054.0</v>
      </c>
      <c r="L982" s="5">
        <v>4.0</v>
      </c>
      <c r="M982" s="7">
        <f t="shared" si="3"/>
        <v>0.2</v>
      </c>
    </row>
    <row r="983">
      <c r="A983" s="5" t="s">
        <v>2584</v>
      </c>
      <c r="B983" s="5" t="s">
        <v>2585</v>
      </c>
      <c r="C983" s="5" t="s">
        <v>297</v>
      </c>
      <c r="D983" s="5" t="s">
        <v>2586</v>
      </c>
      <c r="E983" s="5" t="s">
        <v>2298</v>
      </c>
      <c r="F983" s="5" t="s">
        <v>18</v>
      </c>
      <c r="G983" s="6">
        <v>0.06</v>
      </c>
      <c r="H983" s="5" t="s">
        <v>1637</v>
      </c>
      <c r="I983" s="5" t="s">
        <v>20</v>
      </c>
      <c r="J983" s="5">
        <v>2005.0</v>
      </c>
      <c r="K983" s="8">
        <v>46023.0</v>
      </c>
      <c r="L983" s="5">
        <v>1.0</v>
      </c>
      <c r="M983" s="7">
        <f t="shared" si="3"/>
        <v>0.06</v>
      </c>
    </row>
    <row r="984">
      <c r="A984" s="5" t="s">
        <v>2587</v>
      </c>
      <c r="B984" s="5" t="s">
        <v>2538</v>
      </c>
      <c r="C984" s="5" t="s">
        <v>297</v>
      </c>
      <c r="D984" s="5" t="s">
        <v>2588</v>
      </c>
      <c r="E984" s="5" t="s">
        <v>2298</v>
      </c>
      <c r="F984" s="5" t="s">
        <v>18</v>
      </c>
      <c r="G984" s="6">
        <v>2.5</v>
      </c>
      <c r="H984" s="5" t="s">
        <v>2589</v>
      </c>
      <c r="I984" s="5" t="s">
        <v>20</v>
      </c>
      <c r="J984" s="5">
        <v>2014.0</v>
      </c>
      <c r="K984" s="8">
        <v>46023.0</v>
      </c>
      <c r="L984" s="5">
        <v>1.0</v>
      </c>
      <c r="M984" s="7">
        <f t="shared" si="3"/>
        <v>2.5</v>
      </c>
    </row>
    <row r="985">
      <c r="A985" s="5" t="s">
        <v>2590</v>
      </c>
      <c r="B985" s="5" t="s">
        <v>2591</v>
      </c>
      <c r="C985" s="5" t="s">
        <v>1670</v>
      </c>
      <c r="D985" s="5" t="s">
        <v>2592</v>
      </c>
      <c r="E985" s="5" t="s">
        <v>1956</v>
      </c>
      <c r="F985" s="5" t="s">
        <v>18</v>
      </c>
      <c r="G985" s="6">
        <v>0.14</v>
      </c>
      <c r="H985" s="5" t="s">
        <v>2221</v>
      </c>
      <c r="I985" s="5" t="s">
        <v>20</v>
      </c>
      <c r="J985" s="5">
        <v>2024.0</v>
      </c>
      <c r="K985" s="8">
        <v>46055.0</v>
      </c>
      <c r="L985" s="5">
        <v>1.0</v>
      </c>
      <c r="M985" s="7">
        <f t="shared" si="3"/>
        <v>0.14</v>
      </c>
    </row>
    <row r="986">
      <c r="A986" s="5" t="s">
        <v>2593</v>
      </c>
      <c r="B986" s="5" t="s">
        <v>2594</v>
      </c>
      <c r="C986" s="5" t="s">
        <v>1951</v>
      </c>
      <c r="D986" s="5" t="s">
        <v>2595</v>
      </c>
      <c r="E986" s="5" t="s">
        <v>2302</v>
      </c>
      <c r="F986" s="5" t="s">
        <v>18</v>
      </c>
      <c r="G986" s="6">
        <v>0.04</v>
      </c>
      <c r="H986" s="5" t="s">
        <v>1958</v>
      </c>
      <c r="I986" s="5" t="s">
        <v>20</v>
      </c>
      <c r="J986" s="5">
        <v>2021.0</v>
      </c>
      <c r="K986" s="8">
        <v>46059.0</v>
      </c>
      <c r="L986" s="5">
        <v>1.0</v>
      </c>
      <c r="M986" s="7">
        <f t="shared" si="3"/>
        <v>0.04</v>
      </c>
    </row>
    <row r="987">
      <c r="A987" s="5" t="s">
        <v>2596</v>
      </c>
      <c r="B987" s="5" t="s">
        <v>2597</v>
      </c>
      <c r="C987" s="5" t="s">
        <v>1670</v>
      </c>
      <c r="D987" s="5" t="s">
        <v>2598</v>
      </c>
      <c r="E987" s="5" t="s">
        <v>2599</v>
      </c>
      <c r="F987" s="5" t="s">
        <v>2600</v>
      </c>
      <c r="G987" s="6">
        <v>0.1</v>
      </c>
      <c r="H987" s="6" t="s">
        <v>1634</v>
      </c>
      <c r="I987" s="5" t="s">
        <v>20</v>
      </c>
      <c r="J987" s="5">
        <v>2024.0</v>
      </c>
      <c r="K987" s="8">
        <v>46056.0</v>
      </c>
      <c r="L987" s="5">
        <v>1.0</v>
      </c>
      <c r="M987" s="7">
        <f t="shared" si="3"/>
        <v>0.1</v>
      </c>
    </row>
    <row r="988">
      <c r="A988" s="5" t="s">
        <v>2601</v>
      </c>
      <c r="B988" s="5" t="s">
        <v>2304</v>
      </c>
      <c r="C988" s="5" t="s">
        <v>1951</v>
      </c>
      <c r="D988" s="5" t="s">
        <v>2602</v>
      </c>
      <c r="E988" s="5" t="s">
        <v>2302</v>
      </c>
      <c r="F988" s="5" t="s">
        <v>18</v>
      </c>
      <c r="G988" s="6">
        <v>0.03</v>
      </c>
      <c r="H988" s="5" t="s">
        <v>2603</v>
      </c>
      <c r="I988" s="5" t="s">
        <v>20</v>
      </c>
      <c r="J988" s="5">
        <v>2017.0</v>
      </c>
      <c r="K988" s="8">
        <v>46056.0</v>
      </c>
      <c r="L988" s="5">
        <v>1.0</v>
      </c>
      <c r="M988" s="7">
        <f t="shared" si="3"/>
        <v>0.03</v>
      </c>
    </row>
    <row r="989">
      <c r="A989" s="5" t="s">
        <v>2604</v>
      </c>
      <c r="B989" s="5" t="s">
        <v>2605</v>
      </c>
      <c r="C989" s="5" t="s">
        <v>1670</v>
      </c>
      <c r="D989" s="5" t="s">
        <v>2606</v>
      </c>
      <c r="E989" s="5" t="s">
        <v>782</v>
      </c>
      <c r="F989" s="5" t="s">
        <v>18</v>
      </c>
      <c r="G989" s="6">
        <v>0.1</v>
      </c>
      <c r="H989" s="6" t="s">
        <v>2249</v>
      </c>
      <c r="I989" s="5" t="s">
        <v>20</v>
      </c>
      <c r="J989" s="5">
        <v>2017.0</v>
      </c>
      <c r="K989" s="5" t="s">
        <v>89</v>
      </c>
      <c r="L989" s="5">
        <v>1.0</v>
      </c>
      <c r="M989" s="7">
        <f t="shared" si="3"/>
        <v>0.1</v>
      </c>
    </row>
    <row r="990">
      <c r="A990" s="5" t="s">
        <v>2607</v>
      </c>
      <c r="B990" s="5" t="s">
        <v>1835</v>
      </c>
      <c r="C990" s="5" t="s">
        <v>1670</v>
      </c>
      <c r="D990" s="5" t="s">
        <v>2608</v>
      </c>
      <c r="E990" s="5" t="s">
        <v>782</v>
      </c>
      <c r="F990" s="5" t="s">
        <v>18</v>
      </c>
      <c r="G990" s="6">
        <v>0.23</v>
      </c>
      <c r="H990" s="6" t="s">
        <v>1986</v>
      </c>
      <c r="I990" s="5" t="s">
        <v>31</v>
      </c>
      <c r="J990" s="5">
        <v>2015.0</v>
      </c>
      <c r="K990" s="8">
        <v>46023.0</v>
      </c>
      <c r="L990" s="5">
        <v>1.0</v>
      </c>
      <c r="M990" s="7">
        <f t="shared" si="3"/>
        <v>0.23</v>
      </c>
    </row>
    <row r="991">
      <c r="A991" s="5" t="s">
        <v>2609</v>
      </c>
      <c r="B991" s="5" t="s">
        <v>2610</v>
      </c>
      <c r="C991" s="5" t="s">
        <v>297</v>
      </c>
      <c r="D991" s="5" t="s">
        <v>2611</v>
      </c>
      <c r="E991" s="5" t="s">
        <v>2298</v>
      </c>
      <c r="F991" s="5" t="s">
        <v>18</v>
      </c>
      <c r="G991" s="6">
        <v>0.04</v>
      </c>
      <c r="H991" s="5" t="s">
        <v>2188</v>
      </c>
      <c r="I991" s="5" t="s">
        <v>20</v>
      </c>
      <c r="J991" s="5">
        <v>2022.0</v>
      </c>
      <c r="K991" s="8">
        <v>46083.0</v>
      </c>
      <c r="L991" s="5">
        <v>3.0</v>
      </c>
      <c r="M991" s="7">
        <f t="shared" si="3"/>
        <v>0.12</v>
      </c>
    </row>
    <row r="992">
      <c r="A992" s="5" t="s">
        <v>2612</v>
      </c>
      <c r="B992" s="5" t="s">
        <v>2495</v>
      </c>
      <c r="C992" s="5" t="s">
        <v>1899</v>
      </c>
      <c r="D992" s="5" t="s">
        <v>2613</v>
      </c>
      <c r="E992" s="5" t="s">
        <v>2614</v>
      </c>
      <c r="F992" s="5" t="s">
        <v>18</v>
      </c>
      <c r="G992" s="6">
        <v>0.14</v>
      </c>
      <c r="H992" s="5" t="s">
        <v>2008</v>
      </c>
      <c r="I992" s="5" t="s">
        <v>20</v>
      </c>
      <c r="J992" s="5">
        <v>2013.0</v>
      </c>
      <c r="K992" s="8">
        <v>46274.0</v>
      </c>
      <c r="L992" s="5">
        <v>1.0</v>
      </c>
      <c r="M992" s="7">
        <f t="shared" si="3"/>
        <v>0.14</v>
      </c>
    </row>
    <row r="993">
      <c r="A993" s="5" t="s">
        <v>2615</v>
      </c>
      <c r="B993" s="5" t="s">
        <v>2616</v>
      </c>
      <c r="C993" s="5" t="s">
        <v>1670</v>
      </c>
      <c r="D993" s="5" t="s">
        <v>2617</v>
      </c>
      <c r="E993" s="5" t="s">
        <v>1956</v>
      </c>
      <c r="F993" s="5" t="s">
        <v>18</v>
      </c>
      <c r="G993" s="6">
        <v>0.12</v>
      </c>
      <c r="H993" s="6" t="s">
        <v>2618</v>
      </c>
      <c r="I993" s="5" t="s">
        <v>20</v>
      </c>
      <c r="J993" s="5">
        <v>2026.0</v>
      </c>
      <c r="K993" s="8">
        <v>46025.0</v>
      </c>
      <c r="L993" s="5">
        <v>4.0</v>
      </c>
      <c r="M993" s="7">
        <f t="shared" si="3"/>
        <v>0.48</v>
      </c>
    </row>
    <row r="994">
      <c r="A994" s="5" t="s">
        <v>2619</v>
      </c>
      <c r="B994" s="5" t="s">
        <v>2620</v>
      </c>
      <c r="C994" s="5" t="s">
        <v>1899</v>
      </c>
      <c r="D994" s="5" t="s">
        <v>2621</v>
      </c>
      <c r="E994" s="5" t="s">
        <v>2295</v>
      </c>
      <c r="F994" s="5" t="s">
        <v>18</v>
      </c>
      <c r="G994" s="6">
        <v>0.38</v>
      </c>
      <c r="H994" s="6" t="s">
        <v>2551</v>
      </c>
      <c r="I994" s="5" t="s">
        <v>20</v>
      </c>
      <c r="J994" s="5">
        <v>2014.0</v>
      </c>
      <c r="K994" s="5" t="s">
        <v>1258</v>
      </c>
      <c r="L994" s="5">
        <v>1.0</v>
      </c>
      <c r="M994" s="7">
        <f t="shared" si="3"/>
        <v>0.38</v>
      </c>
    </row>
    <row r="995">
      <c r="A995" s="5" t="s">
        <v>2622</v>
      </c>
      <c r="B995" s="5" t="s">
        <v>2304</v>
      </c>
      <c r="C995" s="5" t="s">
        <v>297</v>
      </c>
      <c r="D995" s="5" t="s">
        <v>2623</v>
      </c>
      <c r="E995" s="5" t="s">
        <v>1956</v>
      </c>
      <c r="F995" s="5" t="s">
        <v>18</v>
      </c>
      <c r="G995" s="6">
        <v>0.14</v>
      </c>
      <c r="H995" s="6" t="s">
        <v>2624</v>
      </c>
      <c r="I995" s="5" t="s">
        <v>20</v>
      </c>
      <c r="J995" s="5">
        <v>2019.0</v>
      </c>
      <c r="K995" s="8">
        <v>46023.0</v>
      </c>
      <c r="L995" s="5">
        <v>1.0</v>
      </c>
      <c r="M995" s="7">
        <f t="shared" si="3"/>
        <v>0.14</v>
      </c>
    </row>
    <row r="996">
      <c r="A996" s="5" t="s">
        <v>2625</v>
      </c>
      <c r="B996" s="5" t="s">
        <v>2626</v>
      </c>
      <c r="C996" s="5" t="s">
        <v>297</v>
      </c>
      <c r="D996" s="5" t="s">
        <v>2627</v>
      </c>
      <c r="E996" s="5" t="s">
        <v>2302</v>
      </c>
      <c r="F996" s="5" t="s">
        <v>18</v>
      </c>
      <c r="G996" s="6">
        <v>0.06</v>
      </c>
      <c r="H996" s="6" t="s">
        <v>1714</v>
      </c>
      <c r="I996" s="5" t="s">
        <v>20</v>
      </c>
      <c r="J996" s="5">
        <v>2022.0</v>
      </c>
      <c r="K996" s="8">
        <v>46085.0</v>
      </c>
      <c r="L996" s="5">
        <v>1.0</v>
      </c>
      <c r="M996" s="7">
        <f t="shared" si="3"/>
        <v>0.06</v>
      </c>
    </row>
    <row r="997">
      <c r="A997" s="5" t="s">
        <v>2628</v>
      </c>
      <c r="B997" s="5" t="s">
        <v>2304</v>
      </c>
      <c r="C997" s="5" t="s">
        <v>297</v>
      </c>
      <c r="D997" s="5" t="s">
        <v>2629</v>
      </c>
      <c r="E997" s="5" t="s">
        <v>2298</v>
      </c>
      <c r="F997" s="5" t="s">
        <v>18</v>
      </c>
      <c r="G997" s="6">
        <v>0.34</v>
      </c>
      <c r="H997" s="6" t="s">
        <v>2557</v>
      </c>
      <c r="I997" s="5" t="s">
        <v>31</v>
      </c>
      <c r="J997" s="5">
        <v>2018.0</v>
      </c>
      <c r="K997" s="8">
        <v>46023.0</v>
      </c>
      <c r="L997" s="5">
        <v>4.0</v>
      </c>
      <c r="M997" s="7">
        <f t="shared" si="3"/>
        <v>1.36</v>
      </c>
    </row>
    <row r="998">
      <c r="A998" s="5" t="s">
        <v>2630</v>
      </c>
      <c r="B998" s="5" t="s">
        <v>2631</v>
      </c>
      <c r="C998" s="5" t="s">
        <v>1670</v>
      </c>
      <c r="D998" s="5" t="s">
        <v>2632</v>
      </c>
      <c r="E998" s="5" t="s">
        <v>2302</v>
      </c>
      <c r="F998" s="5" t="s">
        <v>18</v>
      </c>
      <c r="G998" s="6">
        <v>0.1</v>
      </c>
      <c r="H998" s="6" t="s">
        <v>1634</v>
      </c>
      <c r="I998" s="5" t="s">
        <v>20</v>
      </c>
      <c r="J998" s="5">
        <v>2024.0</v>
      </c>
      <c r="K998" s="8">
        <v>46116.0</v>
      </c>
      <c r="L998" s="5">
        <v>1.0</v>
      </c>
      <c r="M998" s="7">
        <f t="shared" si="3"/>
        <v>0.1</v>
      </c>
    </row>
    <row r="999">
      <c r="A999" s="5" t="s">
        <v>2633</v>
      </c>
      <c r="B999" s="5" t="s">
        <v>2634</v>
      </c>
      <c r="C999" s="5" t="s">
        <v>1631</v>
      </c>
      <c r="D999" s="5" t="s">
        <v>2635</v>
      </c>
      <c r="E999" s="5" t="s">
        <v>2302</v>
      </c>
      <c r="F999" s="5" t="s">
        <v>18</v>
      </c>
      <c r="G999" s="6">
        <v>0.74</v>
      </c>
      <c r="H999" s="6" t="s">
        <v>2636</v>
      </c>
      <c r="I999" s="5" t="s">
        <v>20</v>
      </c>
      <c r="J999" s="5">
        <v>2006.0</v>
      </c>
      <c r="K999" s="8">
        <v>46055.0</v>
      </c>
      <c r="L999" s="5">
        <v>1.0</v>
      </c>
      <c r="M999" s="7">
        <f t="shared" si="3"/>
        <v>0.74</v>
      </c>
    </row>
    <row r="1000">
      <c r="A1000" s="5" t="s">
        <v>2637</v>
      </c>
      <c r="B1000" s="5" t="s">
        <v>2638</v>
      </c>
      <c r="C1000" s="5" t="s">
        <v>1631</v>
      </c>
      <c r="D1000" s="5" t="s">
        <v>2639</v>
      </c>
      <c r="E1000" s="5" t="s">
        <v>1956</v>
      </c>
      <c r="F1000" s="5" t="s">
        <v>18</v>
      </c>
      <c r="G1000" s="6">
        <v>0.03</v>
      </c>
      <c r="H1000" s="6" t="s">
        <v>2579</v>
      </c>
      <c r="I1000" s="5" t="s">
        <v>20</v>
      </c>
      <c r="J1000" s="5">
        <v>2004.0</v>
      </c>
      <c r="K1000" s="8">
        <v>46024.0</v>
      </c>
      <c r="L1000" s="5">
        <v>1.0</v>
      </c>
      <c r="M1000" s="7">
        <f t="shared" si="3"/>
        <v>0.03</v>
      </c>
    </row>
    <row r="1001">
      <c r="A1001" s="5" t="s">
        <v>2640</v>
      </c>
      <c r="B1001" s="5" t="s">
        <v>2571</v>
      </c>
      <c r="C1001" s="5" t="s">
        <v>1899</v>
      </c>
      <c r="D1001" s="5" t="s">
        <v>2641</v>
      </c>
      <c r="E1001" s="5" t="s">
        <v>782</v>
      </c>
      <c r="F1001" s="5" t="s">
        <v>18</v>
      </c>
      <c r="G1001" s="6">
        <v>0.43</v>
      </c>
      <c r="H1001" s="6" t="s">
        <v>2174</v>
      </c>
      <c r="I1001" s="5" t="s">
        <v>20</v>
      </c>
      <c r="J1001" s="5">
        <v>2021.0</v>
      </c>
      <c r="K1001" s="8">
        <v>46024.0</v>
      </c>
      <c r="L1001" s="5">
        <v>1.0</v>
      </c>
      <c r="M1001" s="7">
        <f t="shared" si="3"/>
        <v>0.43</v>
      </c>
    </row>
    <row r="1002">
      <c r="A1002" s="5" t="s">
        <v>2642</v>
      </c>
      <c r="B1002" s="5" t="s">
        <v>2473</v>
      </c>
      <c r="C1002" s="5" t="s">
        <v>297</v>
      </c>
      <c r="D1002" s="5" t="s">
        <v>2643</v>
      </c>
      <c r="E1002" s="5" t="s">
        <v>2298</v>
      </c>
      <c r="F1002" s="5" t="s">
        <v>18</v>
      </c>
      <c r="G1002" s="6">
        <v>0.08</v>
      </c>
      <c r="H1002" s="6" t="s">
        <v>1992</v>
      </c>
      <c r="I1002" s="5" t="s">
        <v>20</v>
      </c>
      <c r="J1002" s="5">
        <v>2011.0</v>
      </c>
      <c r="K1002" s="8">
        <v>46083.0</v>
      </c>
      <c r="L1002" s="5">
        <v>1.0</v>
      </c>
      <c r="M1002" s="7">
        <f t="shared" si="3"/>
        <v>0.08</v>
      </c>
    </row>
    <row r="1003">
      <c r="A1003" s="5" t="s">
        <v>2644</v>
      </c>
      <c r="B1003" s="5" t="s">
        <v>2645</v>
      </c>
      <c r="C1003" s="5" t="s">
        <v>1670</v>
      </c>
      <c r="D1003" s="5" t="s">
        <v>1886</v>
      </c>
      <c r="E1003" s="5" t="s">
        <v>2561</v>
      </c>
      <c r="F1003" s="5" t="s">
        <v>18</v>
      </c>
      <c r="G1003" s="6">
        <v>0.05</v>
      </c>
      <c r="H1003" s="6" t="s">
        <v>2646</v>
      </c>
      <c r="I1003" s="5" t="s">
        <v>20</v>
      </c>
      <c r="J1003" s="5">
        <v>2013.0</v>
      </c>
      <c r="K1003" s="8">
        <v>46116.0</v>
      </c>
      <c r="L1003" s="5">
        <v>1.0</v>
      </c>
      <c r="M1003" s="7">
        <f t="shared" si="3"/>
        <v>0.05</v>
      </c>
    </row>
    <row r="1004">
      <c r="A1004" s="5" t="s">
        <v>2647</v>
      </c>
      <c r="B1004" s="5" t="s">
        <v>2648</v>
      </c>
      <c r="C1004" s="5" t="s">
        <v>297</v>
      </c>
      <c r="D1004" s="5" t="s">
        <v>2649</v>
      </c>
      <c r="E1004" s="5" t="s">
        <v>782</v>
      </c>
      <c r="F1004" s="5" t="s">
        <v>18</v>
      </c>
      <c r="G1004" s="6">
        <v>0.25</v>
      </c>
      <c r="H1004" s="6" t="s">
        <v>1644</v>
      </c>
      <c r="I1004" s="5" t="s">
        <v>20</v>
      </c>
      <c r="J1004" s="5">
        <v>2019.0</v>
      </c>
      <c r="K1004" s="5" t="s">
        <v>89</v>
      </c>
      <c r="L1004" s="5">
        <v>1.0</v>
      </c>
      <c r="M1004" s="7">
        <f t="shared" si="3"/>
        <v>0.25</v>
      </c>
    </row>
    <row r="1005">
      <c r="A1005" s="5" t="s">
        <v>2650</v>
      </c>
      <c r="B1005" s="5" t="s">
        <v>2495</v>
      </c>
      <c r="C1005" s="5" t="s">
        <v>297</v>
      </c>
      <c r="D1005" s="5" t="s">
        <v>2651</v>
      </c>
      <c r="E1005" s="5" t="s">
        <v>2302</v>
      </c>
      <c r="F1005" s="5" t="s">
        <v>18</v>
      </c>
      <c r="G1005" s="6">
        <v>0.06</v>
      </c>
      <c r="H1005" s="5" t="s">
        <v>1958</v>
      </c>
      <c r="I1005" s="5" t="s">
        <v>20</v>
      </c>
      <c r="J1005" s="5">
        <v>2021.0</v>
      </c>
      <c r="K1005" s="8">
        <v>46084.0</v>
      </c>
      <c r="L1005" s="5">
        <v>1.0</v>
      </c>
      <c r="M1005" s="7">
        <f t="shared" si="3"/>
        <v>0.06</v>
      </c>
    </row>
    <row r="1006">
      <c r="A1006" s="5" t="s">
        <v>2652</v>
      </c>
      <c r="B1006" s="5" t="s">
        <v>2653</v>
      </c>
      <c r="C1006" s="5" t="s">
        <v>1951</v>
      </c>
      <c r="D1006" s="5" t="s">
        <v>2654</v>
      </c>
      <c r="E1006" s="5" t="s">
        <v>2302</v>
      </c>
      <c r="F1006" s="5" t="s">
        <v>18</v>
      </c>
      <c r="G1006" s="6">
        <v>0.09</v>
      </c>
      <c r="H1006" s="5" t="s">
        <v>2655</v>
      </c>
      <c r="I1006" s="5" t="s">
        <v>20</v>
      </c>
      <c r="J1006" s="5">
        <v>2021.0</v>
      </c>
      <c r="K1006" s="5" t="s">
        <v>566</v>
      </c>
      <c r="L1006" s="5">
        <v>2.0</v>
      </c>
      <c r="M1006" s="7">
        <f t="shared" si="3"/>
        <v>0.18</v>
      </c>
    </row>
    <row r="1007">
      <c r="A1007" s="5" t="s">
        <v>2656</v>
      </c>
      <c r="B1007" s="5" t="s">
        <v>2657</v>
      </c>
      <c r="C1007" s="5" t="s">
        <v>2658</v>
      </c>
      <c r="D1007" s="5" t="s">
        <v>2659</v>
      </c>
      <c r="E1007" s="5" t="s">
        <v>2492</v>
      </c>
      <c r="F1007" s="5" t="s">
        <v>18</v>
      </c>
      <c r="G1007" s="6">
        <v>4.9</v>
      </c>
      <c r="H1007" s="5" t="s">
        <v>2188</v>
      </c>
      <c r="I1007" s="5" t="s">
        <v>20</v>
      </c>
      <c r="J1007" s="5">
        <v>2022.0</v>
      </c>
      <c r="K1007" s="8">
        <v>46116.0</v>
      </c>
      <c r="L1007" s="5">
        <v>1.0</v>
      </c>
      <c r="M1007" s="7">
        <f t="shared" si="3"/>
        <v>4.9</v>
      </c>
    </row>
    <row r="1008">
      <c r="A1008" s="5" t="s">
        <v>2660</v>
      </c>
      <c r="B1008" s="5" t="s">
        <v>2661</v>
      </c>
      <c r="C1008" s="5" t="s">
        <v>297</v>
      </c>
      <c r="D1008" s="5" t="s">
        <v>2662</v>
      </c>
      <c r="E1008" s="5" t="s">
        <v>2298</v>
      </c>
      <c r="F1008" s="5" t="s">
        <v>18</v>
      </c>
      <c r="G1008" s="6">
        <v>0.06</v>
      </c>
      <c r="H1008" s="5" t="s">
        <v>2624</v>
      </c>
      <c r="I1008" s="5" t="s">
        <v>20</v>
      </c>
      <c r="J1008" s="5">
        <v>2019.0</v>
      </c>
      <c r="K1008" s="8">
        <v>46083.0</v>
      </c>
      <c r="L1008" s="5">
        <v>4.0</v>
      </c>
      <c r="M1008" s="7">
        <f t="shared" si="3"/>
        <v>0.24</v>
      </c>
    </row>
    <row r="1009">
      <c r="A1009" s="5" t="s">
        <v>2663</v>
      </c>
      <c r="B1009" s="5" t="s">
        <v>2664</v>
      </c>
      <c r="C1009" s="5" t="s">
        <v>297</v>
      </c>
      <c r="D1009" s="5" t="s">
        <v>2665</v>
      </c>
      <c r="E1009" s="5" t="s">
        <v>1956</v>
      </c>
      <c r="F1009" s="5" t="s">
        <v>18</v>
      </c>
      <c r="G1009" s="6">
        <v>0.06</v>
      </c>
      <c r="H1009" s="5" t="s">
        <v>2240</v>
      </c>
      <c r="I1009" s="5" t="s">
        <v>20</v>
      </c>
      <c r="J1009" s="5">
        <v>2024.0</v>
      </c>
      <c r="K1009" s="8">
        <v>46023.0</v>
      </c>
      <c r="L1009" s="5">
        <v>1.0</v>
      </c>
      <c r="M1009" s="7">
        <f t="shared" si="3"/>
        <v>0.06</v>
      </c>
    </row>
    <row r="1010">
      <c r="A1010" s="5" t="s">
        <v>2666</v>
      </c>
      <c r="B1010" s="5" t="s">
        <v>2667</v>
      </c>
      <c r="C1010" s="5" t="s">
        <v>1951</v>
      </c>
      <c r="D1010" s="5" t="s">
        <v>2668</v>
      </c>
      <c r="E1010" s="5" t="s">
        <v>2669</v>
      </c>
      <c r="F1010" s="5" t="s">
        <v>18</v>
      </c>
      <c r="G1010" s="6">
        <v>0.59</v>
      </c>
      <c r="H1010" s="5" t="s">
        <v>1711</v>
      </c>
      <c r="I1010" s="5" t="s">
        <v>20</v>
      </c>
      <c r="J1010" s="5">
        <v>2019.0</v>
      </c>
      <c r="K1010" s="5" t="s">
        <v>347</v>
      </c>
      <c r="L1010" s="5">
        <v>1.0</v>
      </c>
      <c r="M1010" s="7">
        <f t="shared" si="3"/>
        <v>0.59</v>
      </c>
    </row>
    <row r="1011">
      <c r="A1011" s="5" t="s">
        <v>2670</v>
      </c>
      <c r="B1011" s="5" t="s">
        <v>2671</v>
      </c>
      <c r="C1011" s="5" t="s">
        <v>297</v>
      </c>
      <c r="D1011" s="5" t="s">
        <v>2672</v>
      </c>
      <c r="E1011" s="5" t="s">
        <v>782</v>
      </c>
      <c r="F1011" s="5" t="s">
        <v>18</v>
      </c>
      <c r="G1011" s="6">
        <v>1.47</v>
      </c>
      <c r="H1011" s="5" t="s">
        <v>2579</v>
      </c>
      <c r="I1011" s="5" t="s">
        <v>20</v>
      </c>
      <c r="J1011" s="5">
        <v>2004.0</v>
      </c>
      <c r="K1011" s="8">
        <v>46023.0</v>
      </c>
      <c r="L1011" s="5">
        <v>1.0</v>
      </c>
      <c r="M1011" s="7">
        <f t="shared" si="3"/>
        <v>1.47</v>
      </c>
    </row>
    <row r="1012">
      <c r="A1012" s="5" t="s">
        <v>2673</v>
      </c>
      <c r="B1012" s="5" t="s">
        <v>2674</v>
      </c>
      <c r="C1012" s="5" t="s">
        <v>2658</v>
      </c>
      <c r="D1012" s="5" t="s">
        <v>2675</v>
      </c>
      <c r="E1012" s="5" t="s">
        <v>2298</v>
      </c>
      <c r="F1012" s="5" t="s">
        <v>18</v>
      </c>
      <c r="G1012" s="6">
        <v>0.43</v>
      </c>
      <c r="H1012" s="5" t="s">
        <v>1679</v>
      </c>
      <c r="I1012" s="5" t="s">
        <v>20</v>
      </c>
      <c r="J1012" s="5">
        <v>2008.0</v>
      </c>
      <c r="K1012" s="8">
        <v>46055.0</v>
      </c>
      <c r="L1012" s="5">
        <v>1.0</v>
      </c>
      <c r="M1012" s="7">
        <f t="shared" si="3"/>
        <v>0.43</v>
      </c>
    </row>
    <row r="1013">
      <c r="A1013" s="5" t="s">
        <v>2676</v>
      </c>
      <c r="B1013" s="5" t="s">
        <v>2677</v>
      </c>
      <c r="C1013" s="5" t="s">
        <v>297</v>
      </c>
      <c r="D1013" s="5" t="s">
        <v>2678</v>
      </c>
      <c r="E1013" s="5" t="s">
        <v>1956</v>
      </c>
      <c r="F1013" s="5" t="s">
        <v>18</v>
      </c>
      <c r="G1013" s="6">
        <v>0.03</v>
      </c>
      <c r="H1013" s="5" t="s">
        <v>2562</v>
      </c>
      <c r="I1013" s="5" t="s">
        <v>20</v>
      </c>
      <c r="J1013" s="5">
        <v>2017.0</v>
      </c>
      <c r="K1013" s="8">
        <v>46055.0</v>
      </c>
      <c r="L1013" s="5">
        <v>1.0</v>
      </c>
      <c r="M1013" s="7">
        <f t="shared" si="3"/>
        <v>0.03</v>
      </c>
    </row>
    <row r="1014">
      <c r="A1014" s="5" t="s">
        <v>2679</v>
      </c>
      <c r="B1014" s="5" t="s">
        <v>2674</v>
      </c>
      <c r="C1014" s="5" t="s">
        <v>297</v>
      </c>
      <c r="D1014" s="5" t="s">
        <v>2680</v>
      </c>
      <c r="E1014" s="5" t="s">
        <v>1956</v>
      </c>
      <c r="F1014" s="5" t="s">
        <v>18</v>
      </c>
      <c r="G1014" s="6">
        <v>1.95</v>
      </c>
      <c r="H1014" s="5" t="s">
        <v>1981</v>
      </c>
      <c r="I1014" s="5" t="s">
        <v>31</v>
      </c>
      <c r="J1014" s="5">
        <v>2022.0</v>
      </c>
      <c r="K1014" s="8">
        <v>46023.0</v>
      </c>
      <c r="L1014" s="5">
        <v>2.0</v>
      </c>
      <c r="M1014" s="7">
        <f t="shared" si="3"/>
        <v>3.9</v>
      </c>
    </row>
    <row r="1015">
      <c r="A1015" s="5" t="s">
        <v>2679</v>
      </c>
      <c r="B1015" s="5" t="s">
        <v>2674</v>
      </c>
      <c r="C1015" s="5" t="s">
        <v>297</v>
      </c>
      <c r="D1015" s="5" t="s">
        <v>2680</v>
      </c>
      <c r="E1015" s="5" t="s">
        <v>1956</v>
      </c>
      <c r="F1015" s="5" t="s">
        <v>18</v>
      </c>
      <c r="G1015" s="6">
        <v>0.2</v>
      </c>
      <c r="H1015" s="5" t="s">
        <v>1981</v>
      </c>
      <c r="I1015" s="5" t="s">
        <v>20</v>
      </c>
      <c r="J1015" s="5">
        <v>2022.0</v>
      </c>
      <c r="K1015" s="8">
        <v>46023.0</v>
      </c>
      <c r="L1015" s="5">
        <v>1.0</v>
      </c>
      <c r="M1015" s="7">
        <f t="shared" si="3"/>
        <v>0.2</v>
      </c>
    </row>
    <row r="1016">
      <c r="A1016" s="5" t="s">
        <v>2681</v>
      </c>
      <c r="B1016" s="5" t="s">
        <v>380</v>
      </c>
      <c r="C1016" s="5" t="s">
        <v>297</v>
      </c>
      <c r="D1016" s="5" t="s">
        <v>2682</v>
      </c>
      <c r="E1016" s="5" t="s">
        <v>1956</v>
      </c>
      <c r="F1016" s="5" t="s">
        <v>18</v>
      </c>
      <c r="G1016" s="6">
        <v>0.08</v>
      </c>
      <c r="H1016" s="5" t="s">
        <v>2174</v>
      </c>
      <c r="I1016" s="5" t="s">
        <v>20</v>
      </c>
      <c r="J1016" s="5">
        <v>2021.0</v>
      </c>
      <c r="L1016" s="5">
        <v>3.0</v>
      </c>
      <c r="M1016" s="7">
        <f t="shared" si="3"/>
        <v>0.24</v>
      </c>
    </row>
    <row r="1017">
      <c r="A1017" s="5" t="s">
        <v>2683</v>
      </c>
      <c r="B1017" s="5" t="s">
        <v>380</v>
      </c>
      <c r="C1017" s="5" t="s">
        <v>297</v>
      </c>
      <c r="D1017" s="5" t="s">
        <v>2684</v>
      </c>
      <c r="E1017" s="5" t="s">
        <v>1956</v>
      </c>
      <c r="F1017" s="5" t="s">
        <v>18</v>
      </c>
      <c r="G1017" s="6">
        <v>0.03</v>
      </c>
      <c r="H1017" s="5" t="s">
        <v>2471</v>
      </c>
      <c r="I1017" s="5" t="s">
        <v>20</v>
      </c>
      <c r="J1017" s="5">
        <v>2017.0</v>
      </c>
      <c r="L1017" s="5">
        <v>4.0</v>
      </c>
      <c r="M1017" s="7">
        <f t="shared" si="3"/>
        <v>0.12</v>
      </c>
    </row>
    <row r="1018">
      <c r="A1018" s="5" t="s">
        <v>2685</v>
      </c>
      <c r="B1018" s="5" t="s">
        <v>380</v>
      </c>
      <c r="C1018" s="5" t="s">
        <v>297</v>
      </c>
      <c r="D1018" s="5" t="s">
        <v>2686</v>
      </c>
      <c r="E1018" s="5" t="s">
        <v>2298</v>
      </c>
      <c r="F1018" s="5" t="s">
        <v>18</v>
      </c>
      <c r="G1018" s="6">
        <v>0.03</v>
      </c>
      <c r="H1018" s="5" t="s">
        <v>1989</v>
      </c>
      <c r="I1018" s="5" t="s">
        <v>20</v>
      </c>
      <c r="J1018" s="5">
        <v>2019.0</v>
      </c>
      <c r="L1018" s="5">
        <v>5.0</v>
      </c>
      <c r="M1018" s="7">
        <f t="shared" si="3"/>
        <v>0.15</v>
      </c>
    </row>
    <row r="1019">
      <c r="A1019" s="5" t="s">
        <v>2687</v>
      </c>
      <c r="B1019" s="5" t="s">
        <v>296</v>
      </c>
      <c r="C1019" s="5" t="s">
        <v>297</v>
      </c>
      <c r="D1019" s="5" t="s">
        <v>2688</v>
      </c>
      <c r="F1019" s="5" t="s">
        <v>80</v>
      </c>
      <c r="G1019" s="6">
        <v>0.61</v>
      </c>
      <c r="H1019" s="5" t="s">
        <v>2188</v>
      </c>
      <c r="I1019" s="5" t="s">
        <v>20</v>
      </c>
      <c r="J1019" s="5">
        <v>2022.0</v>
      </c>
      <c r="L1019" s="5">
        <v>2.0</v>
      </c>
      <c r="M1019" s="7">
        <f t="shared" si="3"/>
        <v>1.22</v>
      </c>
    </row>
    <row r="1020">
      <c r="A1020" s="5" t="s">
        <v>2689</v>
      </c>
      <c r="B1020" s="5" t="s">
        <v>1946</v>
      </c>
      <c r="C1020" s="5" t="s">
        <v>297</v>
      </c>
      <c r="D1020" s="5" t="s">
        <v>2690</v>
      </c>
      <c r="E1020" s="5" t="s">
        <v>2298</v>
      </c>
      <c r="F1020" s="5" t="s">
        <v>18</v>
      </c>
      <c r="G1020" s="6">
        <v>0.06</v>
      </c>
      <c r="H1020" s="5" t="s">
        <v>1717</v>
      </c>
      <c r="I1020" s="5" t="s">
        <v>20</v>
      </c>
      <c r="J1020" s="5">
        <v>2020.0</v>
      </c>
      <c r="L1020" s="5">
        <v>4.0</v>
      </c>
      <c r="M1020" s="7">
        <f t="shared" si="3"/>
        <v>0.24</v>
      </c>
    </row>
    <row r="1021">
      <c r="A1021" s="5" t="s">
        <v>2691</v>
      </c>
      <c r="B1021" s="5" t="s">
        <v>2016</v>
      </c>
      <c r="C1021" s="5" t="s">
        <v>297</v>
      </c>
      <c r="D1021" s="5" t="s">
        <v>2692</v>
      </c>
      <c r="E1021" s="5" t="s">
        <v>782</v>
      </c>
      <c r="F1021" s="5" t="s">
        <v>18</v>
      </c>
      <c r="G1021" s="6">
        <v>0.6</v>
      </c>
      <c r="H1021" s="5" t="s">
        <v>2693</v>
      </c>
      <c r="I1021" s="5" t="s">
        <v>20</v>
      </c>
      <c r="J1021" s="5">
        <v>2010.0</v>
      </c>
      <c r="L1021" s="5">
        <v>2.0</v>
      </c>
      <c r="M1021" s="7">
        <f t="shared" si="3"/>
        <v>1.2</v>
      </c>
    </row>
    <row r="1022">
      <c r="A1022" s="5" t="s">
        <v>2694</v>
      </c>
      <c r="B1022" s="5" t="s">
        <v>2016</v>
      </c>
      <c r="C1022" s="5" t="s">
        <v>297</v>
      </c>
      <c r="D1022" s="5" t="s">
        <v>2695</v>
      </c>
      <c r="E1022" s="5" t="s">
        <v>2302</v>
      </c>
      <c r="F1022" s="5" t="s">
        <v>18</v>
      </c>
      <c r="G1022" s="6">
        <v>0.05</v>
      </c>
      <c r="H1022" s="5" t="s">
        <v>1711</v>
      </c>
      <c r="I1022" s="5" t="s">
        <v>20</v>
      </c>
      <c r="J1022" s="5">
        <v>2019.0</v>
      </c>
      <c r="L1022" s="5">
        <v>4.0</v>
      </c>
      <c r="M1022" s="7">
        <f t="shared" si="3"/>
        <v>0.2</v>
      </c>
    </row>
    <row r="1023">
      <c r="A1023" s="5" t="s">
        <v>2696</v>
      </c>
      <c r="B1023" s="5" t="s">
        <v>1946</v>
      </c>
      <c r="C1023" s="5" t="s">
        <v>2658</v>
      </c>
      <c r="D1023" s="5" t="s">
        <v>2697</v>
      </c>
      <c r="E1023" s="5" t="s">
        <v>2295</v>
      </c>
      <c r="F1023" s="5" t="s">
        <v>18</v>
      </c>
      <c r="G1023" s="6">
        <v>1.0</v>
      </c>
      <c r="H1023" s="5" t="s">
        <v>2174</v>
      </c>
      <c r="I1023" s="5" t="s">
        <v>20</v>
      </c>
      <c r="J1023" s="5">
        <v>2021.0</v>
      </c>
      <c r="L1023" s="5">
        <v>1.0</v>
      </c>
      <c r="M1023" s="7">
        <f t="shared" si="3"/>
        <v>1</v>
      </c>
    </row>
    <row r="1024">
      <c r="A1024" s="5" t="s">
        <v>2698</v>
      </c>
      <c r="B1024" s="5" t="s">
        <v>2016</v>
      </c>
      <c r="C1024" s="5" t="s">
        <v>297</v>
      </c>
      <c r="D1024" s="5" t="s">
        <v>2699</v>
      </c>
      <c r="E1024" s="5" t="s">
        <v>2700</v>
      </c>
      <c r="F1024" s="5" t="s">
        <v>2701</v>
      </c>
      <c r="G1024" s="6">
        <v>2.16</v>
      </c>
      <c r="H1024" s="5" t="s">
        <v>1679</v>
      </c>
      <c r="I1024" s="5" t="s">
        <v>20</v>
      </c>
      <c r="J1024" s="5">
        <v>2008.0</v>
      </c>
      <c r="L1024" s="5">
        <v>1.0</v>
      </c>
      <c r="M1024" s="7">
        <f t="shared" si="3"/>
        <v>2.16</v>
      </c>
    </row>
    <row r="1025">
      <c r="A1025" s="5" t="s">
        <v>2702</v>
      </c>
      <c r="B1025" s="5" t="s">
        <v>1946</v>
      </c>
      <c r="C1025" s="5" t="s">
        <v>1951</v>
      </c>
      <c r="D1025" s="5" t="s">
        <v>2703</v>
      </c>
      <c r="E1025" s="5" t="s">
        <v>2492</v>
      </c>
      <c r="F1025" s="5" t="s">
        <v>18</v>
      </c>
      <c r="G1025" s="6">
        <v>3.8</v>
      </c>
      <c r="H1025" s="5" t="s">
        <v>2704</v>
      </c>
      <c r="I1025" s="5" t="s">
        <v>20</v>
      </c>
      <c r="J1025" s="5">
        <v>2010.0</v>
      </c>
      <c r="L1025" s="5">
        <v>1.0</v>
      </c>
      <c r="M1025" s="7">
        <f t="shared" si="3"/>
        <v>3.8</v>
      </c>
    </row>
    <row r="1026">
      <c r="A1026" s="5" t="s">
        <v>2705</v>
      </c>
      <c r="B1026" s="5" t="s">
        <v>2428</v>
      </c>
      <c r="C1026" s="5" t="s">
        <v>1951</v>
      </c>
      <c r="D1026" s="5" t="s">
        <v>2706</v>
      </c>
      <c r="E1026" s="5" t="s">
        <v>1956</v>
      </c>
      <c r="F1026" s="5" t="s">
        <v>18</v>
      </c>
      <c r="G1026" s="6">
        <v>0.59</v>
      </c>
      <c r="H1026" s="5" t="s">
        <v>1667</v>
      </c>
      <c r="I1026" s="5" t="s">
        <v>20</v>
      </c>
      <c r="J1026" s="5">
        <v>2018.0</v>
      </c>
      <c r="L1026" s="5">
        <v>1.0</v>
      </c>
      <c r="M1026" s="7">
        <f t="shared" si="3"/>
        <v>0.59</v>
      </c>
    </row>
    <row r="1027">
      <c r="A1027" s="5" t="s">
        <v>2707</v>
      </c>
      <c r="B1027" s="5" t="s">
        <v>2060</v>
      </c>
      <c r="C1027" s="5" t="s">
        <v>297</v>
      </c>
      <c r="D1027" s="5" t="s">
        <v>2708</v>
      </c>
      <c r="E1027" s="5" t="s">
        <v>1956</v>
      </c>
      <c r="F1027" s="5" t="s">
        <v>18</v>
      </c>
      <c r="G1027" s="6">
        <v>0.07</v>
      </c>
      <c r="H1027" s="5" t="s">
        <v>2709</v>
      </c>
      <c r="I1027" s="5" t="s">
        <v>20</v>
      </c>
      <c r="J1027" s="5">
        <v>2026.0</v>
      </c>
      <c r="L1027" s="5">
        <v>3.0</v>
      </c>
      <c r="M1027" s="7">
        <f t="shared" si="3"/>
        <v>0.21</v>
      </c>
    </row>
    <row r="1028">
      <c r="A1028" s="5" t="s">
        <v>2710</v>
      </c>
      <c r="B1028" s="5" t="s">
        <v>2060</v>
      </c>
      <c r="C1028" s="5" t="s">
        <v>297</v>
      </c>
      <c r="D1028" s="5" t="s">
        <v>2711</v>
      </c>
      <c r="E1028" s="5" t="s">
        <v>1956</v>
      </c>
      <c r="F1028" s="5" t="s">
        <v>18</v>
      </c>
      <c r="G1028" s="6">
        <v>0.2</v>
      </c>
      <c r="H1028" s="5" t="s">
        <v>1641</v>
      </c>
      <c r="I1028" s="5" t="s">
        <v>20</v>
      </c>
      <c r="J1028" s="5">
        <v>2024.0</v>
      </c>
      <c r="L1028" s="5">
        <v>4.0</v>
      </c>
      <c r="M1028" s="7">
        <f t="shared" si="3"/>
        <v>0.8</v>
      </c>
    </row>
    <row r="1029">
      <c r="A1029" s="5" t="s">
        <v>2712</v>
      </c>
      <c r="B1029" s="5" t="s">
        <v>2060</v>
      </c>
      <c r="C1029" s="5" t="s">
        <v>297</v>
      </c>
      <c r="D1029" s="5" t="s">
        <v>2713</v>
      </c>
      <c r="E1029" s="5" t="s">
        <v>782</v>
      </c>
      <c r="F1029" s="5" t="s">
        <v>18</v>
      </c>
      <c r="G1029" s="6">
        <v>0.03</v>
      </c>
      <c r="H1029" s="5" t="s">
        <v>1707</v>
      </c>
      <c r="I1029" s="5" t="s">
        <v>20</v>
      </c>
      <c r="J1029" s="5">
        <v>2016.0</v>
      </c>
      <c r="L1029" s="5">
        <v>4.0</v>
      </c>
      <c r="M1029" s="7">
        <f t="shared" si="3"/>
        <v>0.12</v>
      </c>
    </row>
    <row r="1030">
      <c r="A1030" s="5" t="s">
        <v>2714</v>
      </c>
      <c r="B1030" s="5" t="s">
        <v>2060</v>
      </c>
      <c r="C1030" s="5" t="s">
        <v>1951</v>
      </c>
      <c r="D1030" s="5" t="s">
        <v>2715</v>
      </c>
      <c r="E1030" s="5" t="s">
        <v>1956</v>
      </c>
      <c r="F1030" s="5" t="s">
        <v>18</v>
      </c>
      <c r="G1030" s="6">
        <v>0.37</v>
      </c>
      <c r="H1030" s="5" t="s">
        <v>1986</v>
      </c>
      <c r="I1030" s="5" t="s">
        <v>20</v>
      </c>
      <c r="J1030" s="5">
        <v>2015.0</v>
      </c>
      <c r="L1030" s="5">
        <v>1.0</v>
      </c>
      <c r="M1030" s="7">
        <f t="shared" si="3"/>
        <v>0.37</v>
      </c>
    </row>
    <row r="1031">
      <c r="A1031" s="5" t="s">
        <v>2716</v>
      </c>
      <c r="B1031" s="5" t="s">
        <v>296</v>
      </c>
      <c r="C1031" s="5" t="s">
        <v>297</v>
      </c>
      <c r="D1031" s="5" t="s">
        <v>2717</v>
      </c>
      <c r="F1031" s="5" t="s">
        <v>80</v>
      </c>
      <c r="G1031" s="6">
        <v>1.09</v>
      </c>
      <c r="H1031" s="5" t="s">
        <v>2188</v>
      </c>
      <c r="I1031" s="5" t="s">
        <v>20</v>
      </c>
      <c r="J1031" s="5">
        <v>2022.0</v>
      </c>
      <c r="L1031" s="5">
        <v>2.0</v>
      </c>
      <c r="M1031" s="7">
        <f t="shared" si="3"/>
        <v>2.18</v>
      </c>
    </row>
    <row r="1032">
      <c r="A1032" s="5" t="s">
        <v>2718</v>
      </c>
      <c r="B1032" s="5" t="s">
        <v>380</v>
      </c>
      <c r="C1032" s="5" t="s">
        <v>297</v>
      </c>
      <c r="D1032" s="5" t="s">
        <v>2719</v>
      </c>
      <c r="E1032" s="5" t="s">
        <v>1956</v>
      </c>
      <c r="F1032" s="5" t="s">
        <v>18</v>
      </c>
      <c r="G1032" s="6">
        <v>1.81</v>
      </c>
      <c r="H1032" s="5" t="s">
        <v>1981</v>
      </c>
      <c r="I1032" s="5" t="s">
        <v>20</v>
      </c>
      <c r="J1032" s="5">
        <v>2022.0</v>
      </c>
      <c r="L1032" s="5">
        <v>1.0</v>
      </c>
      <c r="M1032" s="7">
        <f t="shared" si="3"/>
        <v>1.81</v>
      </c>
    </row>
    <row r="1033">
      <c r="A1033" s="5" t="s">
        <v>2720</v>
      </c>
      <c r="B1033" s="5" t="s">
        <v>2060</v>
      </c>
      <c r="C1033" s="5" t="s">
        <v>2658</v>
      </c>
      <c r="D1033" s="5" t="s">
        <v>2721</v>
      </c>
      <c r="E1033" s="5" t="s">
        <v>2295</v>
      </c>
      <c r="F1033" s="5" t="s">
        <v>18</v>
      </c>
      <c r="G1033" s="6">
        <v>0.5</v>
      </c>
      <c r="H1033" s="5" t="s">
        <v>2540</v>
      </c>
      <c r="I1033" s="5" t="s">
        <v>20</v>
      </c>
      <c r="J1033" s="5">
        <v>2010.0</v>
      </c>
      <c r="L1033" s="5">
        <v>1.0</v>
      </c>
      <c r="M1033" s="7">
        <f t="shared" si="3"/>
        <v>0.5</v>
      </c>
    </row>
    <row r="1034">
      <c r="A1034" s="5" t="s">
        <v>2722</v>
      </c>
      <c r="B1034" s="5" t="s">
        <v>296</v>
      </c>
      <c r="C1034" s="5" t="s">
        <v>297</v>
      </c>
      <c r="D1034" s="5" t="s">
        <v>2723</v>
      </c>
      <c r="F1034" s="5" t="s">
        <v>80</v>
      </c>
      <c r="G1034" s="6">
        <v>0.49</v>
      </c>
      <c r="H1034" s="5" t="s">
        <v>1986</v>
      </c>
      <c r="I1034" s="5" t="s">
        <v>20</v>
      </c>
      <c r="J1034" s="5">
        <v>2015.0</v>
      </c>
      <c r="L1034" s="5">
        <v>1.0</v>
      </c>
      <c r="M1034" s="7">
        <f t="shared" si="3"/>
        <v>0.49</v>
      </c>
    </row>
    <row r="1035">
      <c r="A1035" s="5" t="s">
        <v>2724</v>
      </c>
      <c r="B1035" s="5" t="s">
        <v>296</v>
      </c>
      <c r="C1035" s="5" t="s">
        <v>1951</v>
      </c>
      <c r="D1035" s="5" t="s">
        <v>2725</v>
      </c>
      <c r="F1035" s="5" t="s">
        <v>80</v>
      </c>
      <c r="G1035" s="6">
        <v>1.15</v>
      </c>
      <c r="H1035" s="5" t="s">
        <v>2726</v>
      </c>
      <c r="I1035" s="5" t="s">
        <v>20</v>
      </c>
      <c r="J1035" s="5">
        <v>2022.0</v>
      </c>
      <c r="L1035" s="5">
        <v>2.0</v>
      </c>
      <c r="M1035" s="7">
        <f t="shared" si="3"/>
        <v>2.3</v>
      </c>
    </row>
    <row r="1036">
      <c r="A1036" s="5" t="s">
        <v>2727</v>
      </c>
      <c r="B1036" s="5" t="s">
        <v>296</v>
      </c>
      <c r="C1036" s="5" t="s">
        <v>297</v>
      </c>
      <c r="D1036" s="5" t="s">
        <v>2728</v>
      </c>
      <c r="F1036" s="5" t="s">
        <v>80</v>
      </c>
      <c r="G1036" s="6">
        <v>4.9</v>
      </c>
      <c r="H1036" s="5" t="s">
        <v>1958</v>
      </c>
      <c r="I1036" s="5" t="s">
        <v>31</v>
      </c>
      <c r="J1036" s="5">
        <v>2021.0</v>
      </c>
      <c r="L1036" s="5">
        <v>1.0</v>
      </c>
      <c r="M1036" s="7">
        <f t="shared" si="3"/>
        <v>4.9</v>
      </c>
    </row>
    <row r="1037">
      <c r="A1037" s="5" t="s">
        <v>2729</v>
      </c>
      <c r="B1037" s="5" t="s">
        <v>296</v>
      </c>
      <c r="C1037" s="5" t="s">
        <v>297</v>
      </c>
      <c r="D1037" s="5" t="s">
        <v>2730</v>
      </c>
      <c r="F1037" s="5" t="s">
        <v>80</v>
      </c>
      <c r="G1037" s="6">
        <v>0.12</v>
      </c>
      <c r="H1037" s="5" t="s">
        <v>1714</v>
      </c>
      <c r="I1037" s="5" t="s">
        <v>20</v>
      </c>
      <c r="J1037" s="5">
        <v>2022.0</v>
      </c>
      <c r="L1037" s="5">
        <v>3.0</v>
      </c>
      <c r="M1037" s="7">
        <f t="shared" si="3"/>
        <v>0.36</v>
      </c>
    </row>
    <row r="1038">
      <c r="A1038" s="5" t="s">
        <v>2731</v>
      </c>
      <c r="B1038" s="5" t="s">
        <v>296</v>
      </c>
      <c r="C1038" s="5" t="s">
        <v>1951</v>
      </c>
      <c r="D1038" s="5" t="s">
        <v>2732</v>
      </c>
      <c r="F1038" s="5" t="s">
        <v>80</v>
      </c>
      <c r="G1038" s="6">
        <v>0.3</v>
      </c>
      <c r="H1038" s="5" t="s">
        <v>2733</v>
      </c>
      <c r="I1038" s="5" t="s">
        <v>20</v>
      </c>
      <c r="J1038" s="5">
        <v>2011.0</v>
      </c>
      <c r="L1038" s="5">
        <v>4.0</v>
      </c>
      <c r="M1038" s="7">
        <f t="shared" si="3"/>
        <v>1.2</v>
      </c>
    </row>
    <row r="1039">
      <c r="A1039" s="5" t="s">
        <v>2734</v>
      </c>
      <c r="B1039" s="5" t="s">
        <v>296</v>
      </c>
      <c r="C1039" s="5" t="s">
        <v>1951</v>
      </c>
      <c r="D1039" s="5" t="s">
        <v>2735</v>
      </c>
      <c r="F1039" s="5" t="s">
        <v>80</v>
      </c>
      <c r="G1039" s="6">
        <v>0.25</v>
      </c>
      <c r="H1039" s="5" t="s">
        <v>2733</v>
      </c>
      <c r="I1039" s="5" t="s">
        <v>20</v>
      </c>
      <c r="J1039" s="5">
        <v>2011.0</v>
      </c>
      <c r="L1039" s="5">
        <v>4.0</v>
      </c>
      <c r="M1039" s="7">
        <f t="shared" si="3"/>
        <v>1</v>
      </c>
    </row>
    <row r="1040">
      <c r="A1040" s="5" t="s">
        <v>2727</v>
      </c>
      <c r="B1040" s="5" t="s">
        <v>296</v>
      </c>
      <c r="C1040" s="5" t="s">
        <v>297</v>
      </c>
      <c r="D1040" s="5" t="s">
        <v>2736</v>
      </c>
      <c r="F1040" s="5" t="s">
        <v>80</v>
      </c>
      <c r="G1040" s="6">
        <v>0.06</v>
      </c>
      <c r="H1040" s="5" t="s">
        <v>238</v>
      </c>
      <c r="I1040" s="5" t="s">
        <v>20</v>
      </c>
      <c r="J1040" s="5">
        <v>2019.0</v>
      </c>
      <c r="L1040" s="5">
        <v>4.0</v>
      </c>
      <c r="M1040" s="7">
        <f t="shared" si="3"/>
        <v>0.24</v>
      </c>
    </row>
    <row r="1041">
      <c r="A1041" s="5" t="s">
        <v>2737</v>
      </c>
      <c r="B1041" s="5" t="s">
        <v>296</v>
      </c>
      <c r="C1041" s="5" t="s">
        <v>297</v>
      </c>
      <c r="D1041" s="5" t="s">
        <v>2738</v>
      </c>
      <c r="F1041" s="5" t="s">
        <v>80</v>
      </c>
      <c r="G1041" s="6">
        <v>0.1</v>
      </c>
      <c r="H1041" s="5" t="s">
        <v>238</v>
      </c>
      <c r="I1041" s="5" t="s">
        <v>20</v>
      </c>
      <c r="J1041" s="5">
        <v>2019.0</v>
      </c>
      <c r="L1041" s="5">
        <v>2.0</v>
      </c>
      <c r="M1041" s="7">
        <f t="shared" si="3"/>
        <v>0.2</v>
      </c>
    </row>
    <row r="1042">
      <c r="A1042" s="5" t="s">
        <v>2737</v>
      </c>
      <c r="B1042" s="5" t="s">
        <v>296</v>
      </c>
      <c r="C1042" s="5" t="s">
        <v>297</v>
      </c>
      <c r="D1042" s="5" t="s">
        <v>2738</v>
      </c>
      <c r="F1042" s="5" t="s">
        <v>80</v>
      </c>
      <c r="G1042" s="6">
        <v>0.15</v>
      </c>
      <c r="H1042" s="5" t="s">
        <v>238</v>
      </c>
      <c r="I1042" s="5" t="s">
        <v>20</v>
      </c>
      <c r="J1042" s="5">
        <v>2019.0</v>
      </c>
      <c r="L1042" s="5">
        <v>2.0</v>
      </c>
      <c r="M1042" s="7">
        <f t="shared" si="3"/>
        <v>0.3</v>
      </c>
    </row>
    <row r="1043">
      <c r="A1043" s="5" t="s">
        <v>2739</v>
      </c>
      <c r="B1043" s="5" t="s">
        <v>296</v>
      </c>
      <c r="C1043" s="5" t="s">
        <v>297</v>
      </c>
      <c r="D1043" s="5" t="s">
        <v>2738</v>
      </c>
      <c r="F1043" s="5" t="s">
        <v>80</v>
      </c>
      <c r="G1043" s="6">
        <v>0.09</v>
      </c>
      <c r="H1043" s="5" t="s">
        <v>238</v>
      </c>
      <c r="I1043" s="5" t="s">
        <v>20</v>
      </c>
      <c r="J1043" s="5">
        <v>2019.0</v>
      </c>
      <c r="L1043" s="5">
        <v>3.0</v>
      </c>
      <c r="M1043" s="7">
        <f t="shared" si="3"/>
        <v>0.27</v>
      </c>
    </row>
    <row r="1044">
      <c r="A1044" s="5" t="s">
        <v>2740</v>
      </c>
      <c r="B1044" s="5" t="s">
        <v>2741</v>
      </c>
      <c r="C1044" s="5" t="s">
        <v>297</v>
      </c>
      <c r="D1044" s="5" t="s">
        <v>2742</v>
      </c>
      <c r="F1044" s="5" t="s">
        <v>80</v>
      </c>
      <c r="G1044" s="6">
        <v>0.1</v>
      </c>
      <c r="H1044" s="5" t="s">
        <v>1644</v>
      </c>
      <c r="I1044" s="5" t="s">
        <v>20</v>
      </c>
      <c r="J1044" s="5">
        <v>2019.0</v>
      </c>
      <c r="L1044" s="5">
        <v>3.0</v>
      </c>
      <c r="M1044" s="7">
        <f t="shared" si="3"/>
        <v>0.3</v>
      </c>
    </row>
    <row r="1045">
      <c r="A1045" s="5" t="s">
        <v>2727</v>
      </c>
      <c r="B1045" s="5" t="s">
        <v>296</v>
      </c>
      <c r="C1045" s="5" t="s">
        <v>297</v>
      </c>
      <c r="D1045" s="5" t="s">
        <v>2743</v>
      </c>
      <c r="F1045" s="5" t="s">
        <v>80</v>
      </c>
      <c r="G1045" s="6">
        <v>0.17</v>
      </c>
      <c r="H1045" s="5" t="s">
        <v>2744</v>
      </c>
      <c r="I1045" s="5" t="s">
        <v>20</v>
      </c>
      <c r="J1045" s="5">
        <v>2015.0</v>
      </c>
      <c r="L1045" s="5">
        <v>4.0</v>
      </c>
      <c r="M1045" s="7">
        <f t="shared" si="3"/>
        <v>0.68</v>
      </c>
    </row>
    <row r="1046">
      <c r="A1046" s="5" t="s">
        <v>2727</v>
      </c>
      <c r="B1046" s="5" t="s">
        <v>296</v>
      </c>
      <c r="C1046" s="5" t="s">
        <v>297</v>
      </c>
      <c r="D1046" s="5" t="s">
        <v>2745</v>
      </c>
      <c r="F1046" s="5" t="s">
        <v>80</v>
      </c>
      <c r="G1046" s="6">
        <v>0.48</v>
      </c>
      <c r="H1046" s="5" t="s">
        <v>2515</v>
      </c>
      <c r="I1046" s="5" t="s">
        <v>20</v>
      </c>
      <c r="J1046" s="5">
        <v>2018.0</v>
      </c>
      <c r="L1046" s="5">
        <v>4.0</v>
      </c>
      <c r="M1046" s="7">
        <f t="shared" si="3"/>
        <v>1.92</v>
      </c>
    </row>
    <row r="1047">
      <c r="A1047" s="5" t="s">
        <v>2746</v>
      </c>
      <c r="B1047" s="5" t="s">
        <v>296</v>
      </c>
      <c r="C1047" s="5" t="s">
        <v>1951</v>
      </c>
      <c r="D1047" s="5" t="s">
        <v>2747</v>
      </c>
      <c r="F1047" s="5" t="s">
        <v>80</v>
      </c>
      <c r="G1047" s="6">
        <v>0.5</v>
      </c>
      <c r="H1047" s="5" t="s">
        <v>2177</v>
      </c>
      <c r="I1047" s="5" t="s">
        <v>31</v>
      </c>
      <c r="J1047" s="5">
        <v>2018.0</v>
      </c>
      <c r="L1047" s="5">
        <v>1.0</v>
      </c>
      <c r="M1047" s="7">
        <f t="shared" si="3"/>
        <v>0.5</v>
      </c>
    </row>
    <row r="1048">
      <c r="A1048" s="5" t="s">
        <v>2748</v>
      </c>
      <c r="B1048" s="5" t="s">
        <v>2749</v>
      </c>
      <c r="C1048" s="5" t="s">
        <v>1899</v>
      </c>
      <c r="D1048" s="5" t="s">
        <v>2750</v>
      </c>
      <c r="E1048" s="5" t="s">
        <v>2295</v>
      </c>
      <c r="F1048" s="5" t="s">
        <v>18</v>
      </c>
      <c r="G1048" s="6">
        <v>1.99</v>
      </c>
      <c r="H1048" s="5" t="s">
        <v>2751</v>
      </c>
      <c r="I1048" s="5" t="s">
        <v>20</v>
      </c>
      <c r="J1048" s="5">
        <v>2009.0</v>
      </c>
      <c r="K1048" s="8">
        <v>46055.0</v>
      </c>
      <c r="L1048" s="5">
        <v>3.0</v>
      </c>
      <c r="M1048" s="7">
        <f t="shared" si="3"/>
        <v>5.97</v>
      </c>
    </row>
    <row r="1049">
      <c r="A1049" s="5" t="s">
        <v>2752</v>
      </c>
      <c r="B1049" s="5" t="s">
        <v>2753</v>
      </c>
      <c r="C1049" s="5" t="s">
        <v>297</v>
      </c>
      <c r="D1049" s="5" t="s">
        <v>2754</v>
      </c>
      <c r="E1049" s="5" t="s">
        <v>2346</v>
      </c>
      <c r="F1049" s="5" t="s">
        <v>80</v>
      </c>
      <c r="G1049" s="6">
        <v>0.06</v>
      </c>
      <c r="H1049" s="5" t="s">
        <v>1986</v>
      </c>
      <c r="I1049" s="5" t="s">
        <v>20</v>
      </c>
      <c r="J1049" s="5">
        <v>2015.0</v>
      </c>
      <c r="K1049" s="8">
        <v>46113.0</v>
      </c>
      <c r="L1049" s="5">
        <v>4.0</v>
      </c>
      <c r="M1049" s="7">
        <f t="shared" si="3"/>
        <v>0.24</v>
      </c>
    </row>
    <row r="1050">
      <c r="A1050" s="5" t="s">
        <v>2755</v>
      </c>
      <c r="B1050" s="5" t="s">
        <v>2386</v>
      </c>
      <c r="C1050" s="5" t="s">
        <v>1951</v>
      </c>
      <c r="D1050" s="5" t="s">
        <v>2756</v>
      </c>
      <c r="E1050" s="5" t="s">
        <v>2346</v>
      </c>
      <c r="F1050" s="5" t="s">
        <v>166</v>
      </c>
      <c r="G1050" s="6">
        <v>1.16</v>
      </c>
      <c r="H1050" s="5" t="s">
        <v>2379</v>
      </c>
      <c r="I1050" s="5" t="s">
        <v>20</v>
      </c>
      <c r="J1050" s="5">
        <v>2021.0</v>
      </c>
      <c r="K1050" s="8">
        <v>46055.0</v>
      </c>
      <c r="L1050" s="5">
        <v>4.0</v>
      </c>
      <c r="M1050" s="7">
        <f t="shared" si="3"/>
        <v>4.64</v>
      </c>
    </row>
    <row r="1051">
      <c r="A1051" s="5" t="s">
        <v>2757</v>
      </c>
      <c r="B1051" s="5" t="s">
        <v>380</v>
      </c>
      <c r="C1051" s="5" t="s">
        <v>297</v>
      </c>
      <c r="D1051" s="5" t="s">
        <v>2758</v>
      </c>
      <c r="E1051" s="5" t="s">
        <v>2759</v>
      </c>
      <c r="F1051" s="5" t="s">
        <v>166</v>
      </c>
      <c r="G1051" s="6">
        <v>0.2</v>
      </c>
      <c r="H1051" s="5" t="s">
        <v>2545</v>
      </c>
      <c r="I1051" s="5" t="s">
        <v>20</v>
      </c>
      <c r="J1051" s="5">
        <v>2017.0</v>
      </c>
      <c r="L1051" s="5">
        <v>4.0</v>
      </c>
      <c r="M1051" s="7">
        <f t="shared" si="3"/>
        <v>0.8</v>
      </c>
    </row>
    <row r="1052">
      <c r="A1052" s="5" t="s">
        <v>2760</v>
      </c>
      <c r="B1052" s="5" t="s">
        <v>1954</v>
      </c>
      <c r="C1052" s="5" t="s">
        <v>1951</v>
      </c>
      <c r="D1052" s="5" t="s">
        <v>2761</v>
      </c>
      <c r="E1052" s="5" t="s">
        <v>2762</v>
      </c>
      <c r="F1052" s="5" t="s">
        <v>166</v>
      </c>
      <c r="G1052" s="6">
        <v>0.38</v>
      </c>
      <c r="H1052" s="5" t="s">
        <v>1692</v>
      </c>
      <c r="I1052" s="5" t="s">
        <v>31</v>
      </c>
      <c r="J1052" s="5">
        <v>2020.0</v>
      </c>
      <c r="L1052" s="5">
        <v>1.0</v>
      </c>
      <c r="M1052" s="7">
        <f t="shared" si="3"/>
        <v>0.38</v>
      </c>
    </row>
    <row r="1053">
      <c r="A1053" s="5" t="s">
        <v>2763</v>
      </c>
      <c r="B1053" s="5" t="s">
        <v>2764</v>
      </c>
      <c r="C1053" s="5" t="s">
        <v>1899</v>
      </c>
      <c r="D1053" s="5" t="s">
        <v>2765</v>
      </c>
      <c r="E1053" s="5" t="s">
        <v>2766</v>
      </c>
      <c r="F1053" s="5" t="s">
        <v>166</v>
      </c>
      <c r="G1053" s="6">
        <v>0.55</v>
      </c>
      <c r="H1053" s="5" t="s">
        <v>2192</v>
      </c>
      <c r="I1053" s="5" t="s">
        <v>20</v>
      </c>
      <c r="J1053" s="5">
        <v>2016.0</v>
      </c>
      <c r="K1053" s="8">
        <v>46115.0</v>
      </c>
      <c r="L1053" s="5">
        <v>1.0</v>
      </c>
      <c r="M1053" s="7">
        <f t="shared" si="3"/>
        <v>0.55</v>
      </c>
    </row>
    <row r="1054">
      <c r="A1054" s="5" t="s">
        <v>2767</v>
      </c>
      <c r="B1054" s="5" t="s">
        <v>2060</v>
      </c>
      <c r="C1054" s="5" t="s">
        <v>1951</v>
      </c>
      <c r="D1054" s="5" t="s">
        <v>2768</v>
      </c>
      <c r="E1054" s="5" t="s">
        <v>2346</v>
      </c>
      <c r="F1054" s="5" t="s">
        <v>166</v>
      </c>
      <c r="G1054" s="6">
        <v>0.71</v>
      </c>
      <c r="H1054" s="5" t="s">
        <v>2177</v>
      </c>
      <c r="I1054" s="5" t="s">
        <v>20</v>
      </c>
      <c r="J1054" s="5">
        <v>2018.0</v>
      </c>
      <c r="L1054" s="5">
        <v>1.0</v>
      </c>
      <c r="M1054" s="7">
        <f t="shared" si="3"/>
        <v>0.71</v>
      </c>
    </row>
    <row r="1055">
      <c r="A1055" s="5" t="s">
        <v>2769</v>
      </c>
      <c r="B1055" s="5" t="s">
        <v>2770</v>
      </c>
      <c r="C1055" s="5" t="s">
        <v>1899</v>
      </c>
      <c r="D1055" s="5" t="s">
        <v>2771</v>
      </c>
      <c r="E1055" s="5" t="s">
        <v>2759</v>
      </c>
      <c r="F1055" s="5" t="s">
        <v>166</v>
      </c>
      <c r="G1055" s="6">
        <v>1.79</v>
      </c>
      <c r="H1055" s="5" t="s">
        <v>2751</v>
      </c>
      <c r="I1055" s="5" t="s">
        <v>20</v>
      </c>
      <c r="J1055" s="5">
        <v>2009.0</v>
      </c>
      <c r="K1055" s="8">
        <v>46084.0</v>
      </c>
      <c r="L1055" s="5">
        <v>3.0</v>
      </c>
      <c r="M1055" s="7">
        <f t="shared" si="3"/>
        <v>5.37</v>
      </c>
    </row>
    <row r="1056">
      <c r="A1056" s="5" t="s">
        <v>2772</v>
      </c>
      <c r="B1056" s="5" t="s">
        <v>380</v>
      </c>
      <c r="C1056" s="5" t="s">
        <v>297</v>
      </c>
      <c r="D1056" s="5" t="s">
        <v>2773</v>
      </c>
      <c r="E1056" s="5" t="s">
        <v>932</v>
      </c>
      <c r="F1056" s="5" t="s">
        <v>166</v>
      </c>
      <c r="G1056" s="6">
        <v>0.2</v>
      </c>
      <c r="H1056" s="5" t="s">
        <v>2774</v>
      </c>
      <c r="I1056" s="5" t="s">
        <v>20</v>
      </c>
      <c r="J1056" s="5">
        <v>2015.0</v>
      </c>
      <c r="L1056" s="5">
        <v>4.0</v>
      </c>
      <c r="M1056" s="7">
        <f t="shared" si="3"/>
        <v>0.8</v>
      </c>
    </row>
    <row r="1057">
      <c r="A1057" s="5" t="s">
        <v>2775</v>
      </c>
      <c r="B1057" s="5" t="s">
        <v>2060</v>
      </c>
      <c r="C1057" s="5" t="s">
        <v>297</v>
      </c>
      <c r="D1057" s="5" t="s">
        <v>2776</v>
      </c>
      <c r="E1057" s="5" t="s">
        <v>932</v>
      </c>
      <c r="F1057" s="5" t="s">
        <v>166</v>
      </c>
      <c r="G1057" s="6">
        <v>0.1</v>
      </c>
      <c r="H1057" s="5" t="s">
        <v>1667</v>
      </c>
      <c r="I1057" s="5" t="s">
        <v>20</v>
      </c>
      <c r="J1057" s="5">
        <v>2018.0</v>
      </c>
      <c r="L1057" s="5">
        <v>4.0</v>
      </c>
      <c r="M1057" s="7">
        <f t="shared" si="3"/>
        <v>0.4</v>
      </c>
    </row>
    <row r="1058">
      <c r="A1058" s="5" t="s">
        <v>2777</v>
      </c>
      <c r="B1058" s="5" t="s">
        <v>2060</v>
      </c>
      <c r="C1058" s="5" t="s">
        <v>297</v>
      </c>
      <c r="D1058" s="5" t="s">
        <v>2778</v>
      </c>
      <c r="E1058" s="5" t="s">
        <v>932</v>
      </c>
      <c r="F1058" s="5" t="s">
        <v>166</v>
      </c>
      <c r="G1058" s="6">
        <v>0.05</v>
      </c>
      <c r="H1058" s="5" t="s">
        <v>2471</v>
      </c>
      <c r="I1058" s="5" t="s">
        <v>20</v>
      </c>
      <c r="J1058" s="5">
        <v>2017.0</v>
      </c>
      <c r="L1058" s="5">
        <v>4.0</v>
      </c>
      <c r="M1058" s="7">
        <f t="shared" si="3"/>
        <v>0.2</v>
      </c>
    </row>
    <row r="1059">
      <c r="A1059" s="5" t="s">
        <v>2779</v>
      </c>
      <c r="B1059" s="5" t="s">
        <v>2060</v>
      </c>
      <c r="C1059" s="5" t="s">
        <v>297</v>
      </c>
      <c r="D1059" s="5" t="s">
        <v>2780</v>
      </c>
      <c r="E1059" s="5" t="s">
        <v>2346</v>
      </c>
      <c r="F1059" s="5" t="s">
        <v>166</v>
      </c>
      <c r="G1059" s="6">
        <v>0.03</v>
      </c>
      <c r="H1059" s="5" t="s">
        <v>2557</v>
      </c>
      <c r="I1059" s="5" t="s">
        <v>20</v>
      </c>
      <c r="J1059" s="5">
        <v>2018.0</v>
      </c>
      <c r="L1059" s="5">
        <v>3.0</v>
      </c>
      <c r="M1059" s="7">
        <f t="shared" si="3"/>
        <v>0.09</v>
      </c>
    </row>
    <row r="1060">
      <c r="A1060" s="5" t="s">
        <v>2779</v>
      </c>
      <c r="B1060" s="5" t="s">
        <v>2060</v>
      </c>
      <c r="C1060" s="5" t="s">
        <v>297</v>
      </c>
      <c r="D1060" s="5" t="s">
        <v>2780</v>
      </c>
      <c r="E1060" s="5" t="s">
        <v>2346</v>
      </c>
      <c r="F1060" s="5" t="s">
        <v>166</v>
      </c>
      <c r="G1060" s="6">
        <v>0.33</v>
      </c>
      <c r="H1060" s="5" t="s">
        <v>2557</v>
      </c>
      <c r="I1060" s="5" t="s">
        <v>31</v>
      </c>
      <c r="J1060" s="5">
        <v>2018.0</v>
      </c>
      <c r="L1060" s="5">
        <v>1.0</v>
      </c>
      <c r="M1060" s="7">
        <f t="shared" si="3"/>
        <v>0.33</v>
      </c>
    </row>
    <row r="1061">
      <c r="A1061" s="5" t="s">
        <v>2779</v>
      </c>
      <c r="B1061" s="5" t="s">
        <v>2060</v>
      </c>
      <c r="C1061" s="5" t="s">
        <v>297</v>
      </c>
      <c r="D1061" s="5" t="s">
        <v>2780</v>
      </c>
      <c r="E1061" s="5" t="s">
        <v>2346</v>
      </c>
      <c r="F1061" s="5" t="s">
        <v>166</v>
      </c>
      <c r="G1061" s="6">
        <v>0.05</v>
      </c>
      <c r="H1061" s="5" t="s">
        <v>2781</v>
      </c>
      <c r="I1061" s="5" t="s">
        <v>20</v>
      </c>
      <c r="J1061" s="5">
        <v>2020.0</v>
      </c>
      <c r="L1061" s="5">
        <v>1.0</v>
      </c>
      <c r="M1061" s="7">
        <f t="shared" si="3"/>
        <v>0.05</v>
      </c>
    </row>
    <row r="1062">
      <c r="A1062" s="5" t="s">
        <v>2782</v>
      </c>
      <c r="B1062" s="5" t="s">
        <v>2386</v>
      </c>
      <c r="C1062" s="5" t="s">
        <v>1899</v>
      </c>
      <c r="D1062" s="5" t="s">
        <v>2783</v>
      </c>
      <c r="E1062" s="5" t="s">
        <v>2784</v>
      </c>
      <c r="F1062" s="5" t="s">
        <v>166</v>
      </c>
      <c r="G1062" s="6">
        <v>0.98</v>
      </c>
      <c r="H1062" s="5" t="s">
        <v>1997</v>
      </c>
      <c r="I1062" s="5" t="s">
        <v>31</v>
      </c>
      <c r="J1062" s="5">
        <v>2016.0</v>
      </c>
      <c r="K1062" s="8">
        <v>46116.0</v>
      </c>
      <c r="L1062" s="5">
        <v>1.0</v>
      </c>
      <c r="M1062" s="7">
        <f t="shared" si="3"/>
        <v>0.98</v>
      </c>
    </row>
    <row r="1063">
      <c r="A1063" s="5" t="s">
        <v>2785</v>
      </c>
      <c r="B1063" s="5" t="s">
        <v>2571</v>
      </c>
      <c r="C1063" s="5" t="s">
        <v>1899</v>
      </c>
      <c r="D1063" s="5" t="s">
        <v>2786</v>
      </c>
      <c r="E1063" s="5" t="s">
        <v>2362</v>
      </c>
      <c r="F1063" s="5" t="s">
        <v>166</v>
      </c>
      <c r="G1063" s="6">
        <v>0.65</v>
      </c>
      <c r="H1063" s="5" t="s">
        <v>2192</v>
      </c>
      <c r="I1063" s="5" t="s">
        <v>31</v>
      </c>
      <c r="J1063" s="5">
        <v>2016.0</v>
      </c>
      <c r="K1063" s="8">
        <v>46147.0</v>
      </c>
      <c r="L1063" s="5">
        <v>1.0</v>
      </c>
      <c r="M1063" s="7">
        <f t="shared" si="3"/>
        <v>0.65</v>
      </c>
    </row>
    <row r="1064">
      <c r="A1064" s="5" t="s">
        <v>2787</v>
      </c>
      <c r="B1064" s="5" t="s">
        <v>2788</v>
      </c>
      <c r="C1064" s="5" t="s">
        <v>1899</v>
      </c>
      <c r="D1064" s="5" t="s">
        <v>2789</v>
      </c>
      <c r="E1064" s="5" t="s">
        <v>2369</v>
      </c>
      <c r="F1064" s="5" t="s">
        <v>166</v>
      </c>
      <c r="G1064" s="6">
        <v>1.66</v>
      </c>
      <c r="H1064" s="5" t="s">
        <v>2636</v>
      </c>
      <c r="I1064" s="5" t="s">
        <v>20</v>
      </c>
      <c r="J1064" s="5">
        <v>2006.0</v>
      </c>
      <c r="K1064" s="8">
        <v>46056.0</v>
      </c>
      <c r="L1064" s="5">
        <v>1.0</v>
      </c>
      <c r="M1064" s="7">
        <f t="shared" si="3"/>
        <v>1.66</v>
      </c>
    </row>
    <row r="1065">
      <c r="A1065" s="5" t="s">
        <v>2769</v>
      </c>
      <c r="B1065" s="5" t="s">
        <v>2770</v>
      </c>
      <c r="C1065" s="5" t="s">
        <v>1899</v>
      </c>
      <c r="D1065" s="5" t="s">
        <v>2771</v>
      </c>
      <c r="E1065" s="5" t="s">
        <v>2759</v>
      </c>
      <c r="F1065" s="5" t="s">
        <v>166</v>
      </c>
      <c r="G1065" s="6">
        <v>1.79</v>
      </c>
      <c r="H1065" s="5" t="s">
        <v>2751</v>
      </c>
      <c r="I1065" s="5" t="s">
        <v>20</v>
      </c>
      <c r="J1065" s="5">
        <v>2009.0</v>
      </c>
      <c r="K1065" s="8">
        <v>46084.0</v>
      </c>
      <c r="L1065" s="5">
        <v>1.0</v>
      </c>
      <c r="M1065" s="7">
        <f t="shared" si="3"/>
        <v>1.79</v>
      </c>
    </row>
    <row r="1066">
      <c r="A1066" s="5" t="s">
        <v>2790</v>
      </c>
      <c r="B1066" s="5" t="s">
        <v>2791</v>
      </c>
      <c r="C1066" s="5" t="s">
        <v>1899</v>
      </c>
      <c r="D1066" s="5" t="s">
        <v>2792</v>
      </c>
      <c r="E1066" s="5" t="s">
        <v>2784</v>
      </c>
      <c r="F1066" s="5" t="s">
        <v>166</v>
      </c>
      <c r="G1066" s="6">
        <v>1.5</v>
      </c>
      <c r="H1066" s="5" t="s">
        <v>2793</v>
      </c>
      <c r="I1066" s="5" t="s">
        <v>20</v>
      </c>
      <c r="J1066" s="5">
        <v>2009.0</v>
      </c>
      <c r="K1066" s="8">
        <v>46116.0</v>
      </c>
      <c r="L1066" s="5">
        <v>2.0</v>
      </c>
      <c r="M1066" s="7">
        <f t="shared" si="3"/>
        <v>3</v>
      </c>
    </row>
    <row r="1067">
      <c r="A1067" s="5" t="s">
        <v>2794</v>
      </c>
      <c r="B1067" s="5" t="s">
        <v>2386</v>
      </c>
      <c r="C1067" s="5" t="s">
        <v>1899</v>
      </c>
      <c r="D1067" s="5" t="s">
        <v>2795</v>
      </c>
      <c r="E1067" s="5" t="s">
        <v>2784</v>
      </c>
      <c r="F1067" s="5" t="s">
        <v>166</v>
      </c>
      <c r="G1067" s="6">
        <v>0.98</v>
      </c>
      <c r="H1067" s="5" t="s">
        <v>1667</v>
      </c>
      <c r="I1067" s="5" t="s">
        <v>20</v>
      </c>
      <c r="J1067" s="5">
        <v>2018.0</v>
      </c>
      <c r="K1067" s="8">
        <v>46055.0</v>
      </c>
      <c r="L1067" s="5">
        <v>1.0</v>
      </c>
      <c r="M1067" s="7">
        <f t="shared" si="3"/>
        <v>0.98</v>
      </c>
    </row>
    <row r="1068">
      <c r="A1068" s="5" t="s">
        <v>2796</v>
      </c>
      <c r="B1068" s="5" t="s">
        <v>2386</v>
      </c>
      <c r="C1068" s="5" t="s">
        <v>1951</v>
      </c>
      <c r="D1068" s="5" t="s">
        <v>2797</v>
      </c>
      <c r="E1068" s="5" t="s">
        <v>2369</v>
      </c>
      <c r="F1068" s="5" t="s">
        <v>166</v>
      </c>
      <c r="G1068" s="6">
        <v>0.45</v>
      </c>
      <c r="H1068" s="5" t="s">
        <v>2798</v>
      </c>
      <c r="I1068" s="5" t="s">
        <v>20</v>
      </c>
      <c r="J1068" s="5">
        <v>2019.0</v>
      </c>
      <c r="K1068" s="8">
        <v>46055.0</v>
      </c>
      <c r="L1068" s="5">
        <v>1.0</v>
      </c>
      <c r="M1068" s="7">
        <f t="shared" si="3"/>
        <v>0.45</v>
      </c>
    </row>
    <row r="1069">
      <c r="A1069" s="5" t="s">
        <v>2799</v>
      </c>
      <c r="B1069" s="5" t="s">
        <v>2800</v>
      </c>
      <c r="C1069" s="5" t="s">
        <v>1631</v>
      </c>
      <c r="D1069" s="5" t="s">
        <v>2801</v>
      </c>
      <c r="E1069" s="5" t="s">
        <v>382</v>
      </c>
      <c r="F1069" s="5" t="s">
        <v>88</v>
      </c>
      <c r="G1069" s="6">
        <v>0.07</v>
      </c>
      <c r="H1069" s="5" t="s">
        <v>2802</v>
      </c>
      <c r="I1069" s="5" t="s">
        <v>20</v>
      </c>
      <c r="J1069" s="5">
        <v>2026.0</v>
      </c>
      <c r="K1069" s="8">
        <v>46024.0</v>
      </c>
      <c r="L1069" s="5">
        <v>1.0</v>
      </c>
      <c r="M1069" s="7">
        <f t="shared" si="3"/>
        <v>0.07</v>
      </c>
    </row>
    <row r="1070">
      <c r="A1070" s="5" t="s">
        <v>2799</v>
      </c>
      <c r="B1070" s="5" t="s">
        <v>2800</v>
      </c>
      <c r="C1070" s="5" t="s">
        <v>1631</v>
      </c>
      <c r="D1070" s="5" t="s">
        <v>2801</v>
      </c>
      <c r="E1070" s="5" t="s">
        <v>382</v>
      </c>
      <c r="F1070" s="5" t="s">
        <v>88</v>
      </c>
      <c r="G1070" s="6">
        <v>0.5</v>
      </c>
      <c r="H1070" s="5" t="s">
        <v>2802</v>
      </c>
      <c r="I1070" s="5" t="s">
        <v>31</v>
      </c>
      <c r="J1070" s="5">
        <v>2026.0</v>
      </c>
      <c r="K1070" s="8">
        <v>46024.0</v>
      </c>
      <c r="L1070" s="5">
        <v>1.0</v>
      </c>
      <c r="M1070" s="7">
        <f t="shared" si="3"/>
        <v>0.5</v>
      </c>
    </row>
    <row r="1071">
      <c r="A1071" s="5" t="s">
        <v>2803</v>
      </c>
      <c r="B1071" s="5" t="s">
        <v>612</v>
      </c>
      <c r="C1071" s="5" t="s">
        <v>1631</v>
      </c>
      <c r="D1071" s="5" t="s">
        <v>2804</v>
      </c>
      <c r="E1071" s="5" t="s">
        <v>2346</v>
      </c>
      <c r="F1071" s="5" t="s">
        <v>166</v>
      </c>
      <c r="G1071" s="6">
        <v>0.34</v>
      </c>
      <c r="H1071" s="5" t="s">
        <v>2802</v>
      </c>
      <c r="I1071" s="5" t="s">
        <v>20</v>
      </c>
      <c r="J1071" s="5">
        <v>2026.0</v>
      </c>
      <c r="L1071" s="5">
        <v>2.0</v>
      </c>
      <c r="M1071" s="7">
        <f t="shared" si="3"/>
        <v>0.68</v>
      </c>
    </row>
    <row r="1072">
      <c r="A1072" s="5" t="s">
        <v>2805</v>
      </c>
      <c r="B1072" s="5" t="s">
        <v>677</v>
      </c>
      <c r="C1072" s="5" t="s">
        <v>1631</v>
      </c>
      <c r="D1072" s="5" t="s">
        <v>2806</v>
      </c>
      <c r="E1072" s="5" t="s">
        <v>1746</v>
      </c>
      <c r="F1072" s="5" t="s">
        <v>152</v>
      </c>
      <c r="G1072" s="6">
        <v>0.4</v>
      </c>
      <c r="H1072" s="5" t="s">
        <v>2802</v>
      </c>
      <c r="I1072" s="5" t="s">
        <v>31</v>
      </c>
      <c r="J1072" s="5">
        <v>2026.0</v>
      </c>
      <c r="L1072" s="5">
        <v>1.0</v>
      </c>
      <c r="M1072" s="7">
        <f t="shared" si="3"/>
        <v>0.4</v>
      </c>
    </row>
    <row r="1073">
      <c r="A1073" s="5" t="s">
        <v>2807</v>
      </c>
      <c r="B1073" s="5" t="s">
        <v>2808</v>
      </c>
      <c r="C1073" s="5" t="s">
        <v>1613</v>
      </c>
      <c r="D1073" s="5" t="s">
        <v>2809</v>
      </c>
      <c r="E1073" s="5" t="s">
        <v>2369</v>
      </c>
      <c r="F1073" s="5" t="s">
        <v>166</v>
      </c>
      <c r="G1073" s="6">
        <v>0.49</v>
      </c>
      <c r="H1073" s="5" t="s">
        <v>2802</v>
      </c>
      <c r="I1073" s="5" t="s">
        <v>20</v>
      </c>
      <c r="J1073" s="5">
        <v>2026.0</v>
      </c>
      <c r="K1073" s="8">
        <v>46088.0</v>
      </c>
      <c r="L1073" s="5">
        <v>1.0</v>
      </c>
      <c r="M1073" s="7">
        <f t="shared" si="3"/>
        <v>0.49</v>
      </c>
    </row>
    <row r="1074">
      <c r="A1074" s="5" t="s">
        <v>2810</v>
      </c>
      <c r="B1074" s="5" t="s">
        <v>612</v>
      </c>
      <c r="C1074" s="5" t="s">
        <v>1670</v>
      </c>
      <c r="D1074" s="5" t="s">
        <v>2811</v>
      </c>
      <c r="E1074" s="5" t="s">
        <v>2354</v>
      </c>
      <c r="F1074" s="5" t="s">
        <v>166</v>
      </c>
      <c r="G1074" s="6">
        <v>0.05</v>
      </c>
      <c r="H1074" s="5" t="s">
        <v>2802</v>
      </c>
      <c r="I1074" s="5" t="s">
        <v>20</v>
      </c>
      <c r="J1074" s="5">
        <v>2026.0</v>
      </c>
      <c r="L1074" s="5">
        <v>4.0</v>
      </c>
      <c r="M1074" s="7">
        <f t="shared" si="3"/>
        <v>0.2</v>
      </c>
    </row>
    <row r="1075">
      <c r="A1075" s="5" t="s">
        <v>2812</v>
      </c>
      <c r="B1075" s="5" t="s">
        <v>2800</v>
      </c>
      <c r="C1075" s="5" t="s">
        <v>1613</v>
      </c>
      <c r="D1075" s="5" t="s">
        <v>2813</v>
      </c>
      <c r="E1075" s="5" t="s">
        <v>2814</v>
      </c>
      <c r="F1075" s="5" t="s">
        <v>88</v>
      </c>
      <c r="G1075" s="6">
        <v>0.5</v>
      </c>
      <c r="H1075" s="5" t="s">
        <v>2802</v>
      </c>
      <c r="I1075" s="5" t="s">
        <v>20</v>
      </c>
      <c r="J1075" s="5">
        <v>2026.0</v>
      </c>
      <c r="K1075" s="8">
        <v>46084.0</v>
      </c>
      <c r="L1075" s="5">
        <v>1.0</v>
      </c>
      <c r="M1075" s="7">
        <f t="shared" si="3"/>
        <v>0.5</v>
      </c>
    </row>
    <row r="1076">
      <c r="A1076" s="5" t="s">
        <v>2815</v>
      </c>
      <c r="B1076" s="5" t="s">
        <v>2816</v>
      </c>
      <c r="C1076" s="5" t="s">
        <v>1631</v>
      </c>
      <c r="D1076" s="5" t="s">
        <v>2817</v>
      </c>
      <c r="E1076" s="5" t="s">
        <v>382</v>
      </c>
      <c r="F1076" s="5" t="s">
        <v>88</v>
      </c>
      <c r="G1076" s="6">
        <v>0.06</v>
      </c>
      <c r="H1076" s="5" t="s">
        <v>2802</v>
      </c>
      <c r="I1076" s="5" t="s">
        <v>20</v>
      </c>
      <c r="J1076" s="5">
        <v>2026.0</v>
      </c>
      <c r="K1076" s="8">
        <v>46054.0</v>
      </c>
      <c r="L1076" s="5">
        <v>1.0</v>
      </c>
      <c r="M1076" s="7">
        <f t="shared" si="3"/>
        <v>0.06</v>
      </c>
    </row>
    <row r="1077">
      <c r="A1077" s="5" t="s">
        <v>2815</v>
      </c>
      <c r="B1077" s="5" t="s">
        <v>2816</v>
      </c>
      <c r="C1077" s="5" t="s">
        <v>1631</v>
      </c>
      <c r="D1077" s="5" t="s">
        <v>2817</v>
      </c>
      <c r="E1077" s="5" t="s">
        <v>382</v>
      </c>
      <c r="F1077" s="5" t="s">
        <v>88</v>
      </c>
      <c r="G1077" s="6">
        <v>0.27</v>
      </c>
      <c r="H1077" s="5" t="s">
        <v>2802</v>
      </c>
      <c r="I1077" s="5" t="s">
        <v>31</v>
      </c>
      <c r="J1077" s="5">
        <v>2026.0</v>
      </c>
      <c r="K1077" s="8">
        <v>46054.0</v>
      </c>
      <c r="L1077" s="5">
        <v>1.0</v>
      </c>
      <c r="M1077" s="7">
        <f t="shared" si="3"/>
        <v>0.27</v>
      </c>
    </row>
    <row r="1078">
      <c r="A1078" s="5" t="s">
        <v>2818</v>
      </c>
      <c r="B1078" s="5" t="s">
        <v>2819</v>
      </c>
      <c r="C1078" s="5" t="s">
        <v>1631</v>
      </c>
      <c r="D1078" s="5" t="s">
        <v>2820</v>
      </c>
      <c r="E1078" s="5" t="s">
        <v>2298</v>
      </c>
      <c r="F1078" s="5" t="s">
        <v>18</v>
      </c>
      <c r="G1078" s="6">
        <v>0.48</v>
      </c>
      <c r="H1078" s="5" t="s">
        <v>2802</v>
      </c>
      <c r="I1078" s="5" t="s">
        <v>20</v>
      </c>
      <c r="J1078" s="5">
        <v>2026.0</v>
      </c>
      <c r="K1078" s="8">
        <v>46054.0</v>
      </c>
      <c r="L1078" s="5">
        <v>2.0</v>
      </c>
      <c r="M1078" s="7">
        <f t="shared" si="3"/>
        <v>0.96</v>
      </c>
    </row>
    <row r="1079">
      <c r="A1079" s="5" t="s">
        <v>2821</v>
      </c>
      <c r="B1079" s="5" t="s">
        <v>2822</v>
      </c>
      <c r="C1079" s="5" t="s">
        <v>2823</v>
      </c>
      <c r="D1079" s="5" t="s">
        <v>2824</v>
      </c>
      <c r="E1079" s="5" t="s">
        <v>782</v>
      </c>
      <c r="F1079" s="5" t="s">
        <v>18</v>
      </c>
      <c r="G1079" s="6">
        <v>0.5</v>
      </c>
      <c r="H1079" s="5" t="s">
        <v>2825</v>
      </c>
      <c r="I1079" s="5" t="s">
        <v>31</v>
      </c>
      <c r="J1079" s="5">
        <v>2026.0</v>
      </c>
      <c r="K1079" s="8">
        <v>46023.0</v>
      </c>
      <c r="L1079" s="5">
        <v>1.0</v>
      </c>
      <c r="M1079" s="7">
        <f t="shared" si="3"/>
        <v>0.5</v>
      </c>
    </row>
    <row r="1080">
      <c r="A1080" s="5" t="s">
        <v>2826</v>
      </c>
      <c r="B1080" s="5" t="s">
        <v>2827</v>
      </c>
      <c r="C1080" s="5" t="s">
        <v>1670</v>
      </c>
      <c r="D1080" s="5" t="s">
        <v>2828</v>
      </c>
      <c r="E1080" s="5" t="s">
        <v>2298</v>
      </c>
      <c r="F1080" s="5" t="s">
        <v>18</v>
      </c>
      <c r="G1080" s="6">
        <v>0.08</v>
      </c>
      <c r="H1080" s="5" t="s">
        <v>2802</v>
      </c>
      <c r="I1080" s="5" t="s">
        <v>20</v>
      </c>
      <c r="J1080" s="5">
        <v>2026.0</v>
      </c>
      <c r="L1080" s="5">
        <v>2.0</v>
      </c>
      <c r="M1080" s="7">
        <f t="shared" si="3"/>
        <v>0.16</v>
      </c>
    </row>
    <row r="1081">
      <c r="A1081" s="5" t="s">
        <v>2826</v>
      </c>
      <c r="B1081" s="5" t="s">
        <v>2827</v>
      </c>
      <c r="C1081" s="5" t="s">
        <v>1670</v>
      </c>
      <c r="D1081" s="5" t="s">
        <v>2828</v>
      </c>
      <c r="E1081" s="5" t="s">
        <v>2298</v>
      </c>
      <c r="F1081" s="5" t="s">
        <v>18</v>
      </c>
      <c r="G1081" s="6">
        <v>0.35</v>
      </c>
      <c r="H1081" s="5" t="s">
        <v>2802</v>
      </c>
      <c r="I1081" s="5" t="s">
        <v>31</v>
      </c>
      <c r="J1081" s="5">
        <v>2026.0</v>
      </c>
      <c r="L1081" s="5">
        <v>1.0</v>
      </c>
      <c r="M1081" s="7">
        <f t="shared" si="3"/>
        <v>0.35</v>
      </c>
    </row>
    <row r="1082">
      <c r="A1082" s="5" t="s">
        <v>2829</v>
      </c>
      <c r="B1082" s="5" t="s">
        <v>2830</v>
      </c>
      <c r="C1082" s="5" t="s">
        <v>1670</v>
      </c>
      <c r="D1082" s="5" t="s">
        <v>2831</v>
      </c>
      <c r="E1082" s="5" t="s">
        <v>1856</v>
      </c>
      <c r="F1082" s="5" t="s">
        <v>280</v>
      </c>
      <c r="G1082" s="6">
        <v>0.09</v>
      </c>
      <c r="H1082" s="5" t="s">
        <v>2802</v>
      </c>
      <c r="I1082" s="5" t="s">
        <v>20</v>
      </c>
      <c r="J1082" s="5">
        <v>2026.0</v>
      </c>
      <c r="K1082" s="8">
        <v>46084.0</v>
      </c>
      <c r="L1082" s="5">
        <v>1.0</v>
      </c>
      <c r="M1082" s="7">
        <f t="shared" si="3"/>
        <v>0.09</v>
      </c>
    </row>
    <row r="1083">
      <c r="A1083" s="5" t="s">
        <v>2829</v>
      </c>
      <c r="B1083" s="5" t="s">
        <v>2830</v>
      </c>
      <c r="C1083" s="5" t="s">
        <v>1670</v>
      </c>
      <c r="D1083" s="5" t="s">
        <v>2831</v>
      </c>
      <c r="E1083" s="5" t="s">
        <v>1856</v>
      </c>
      <c r="F1083" s="5" t="s">
        <v>280</v>
      </c>
      <c r="G1083" s="6">
        <v>0.14</v>
      </c>
      <c r="H1083" s="5" t="s">
        <v>2802</v>
      </c>
      <c r="I1083" s="5" t="s">
        <v>31</v>
      </c>
      <c r="J1083" s="5">
        <v>2026.0</v>
      </c>
      <c r="K1083" s="8">
        <v>46084.0</v>
      </c>
      <c r="L1083" s="5">
        <v>2.0</v>
      </c>
      <c r="M1083" s="7">
        <f t="shared" si="3"/>
        <v>0.28</v>
      </c>
    </row>
    <row r="1084">
      <c r="A1084" s="5" t="s">
        <v>2832</v>
      </c>
      <c r="B1084" s="5" t="s">
        <v>2833</v>
      </c>
      <c r="C1084" s="5" t="s">
        <v>1670</v>
      </c>
      <c r="D1084" s="5" t="s">
        <v>2834</v>
      </c>
      <c r="E1084" s="5" t="s">
        <v>2290</v>
      </c>
      <c r="F1084" s="5" t="s">
        <v>280</v>
      </c>
      <c r="G1084" s="6">
        <v>0.05</v>
      </c>
      <c r="H1084" s="5" t="s">
        <v>2802</v>
      </c>
      <c r="I1084" s="5" t="s">
        <v>20</v>
      </c>
      <c r="J1084" s="5">
        <v>2026.0</v>
      </c>
      <c r="K1084" s="8">
        <v>46206.0</v>
      </c>
      <c r="L1084" s="5">
        <v>3.0</v>
      </c>
      <c r="M1084" s="7">
        <f t="shared" si="3"/>
        <v>0.15</v>
      </c>
    </row>
    <row r="1085">
      <c r="A1085" s="5" t="s">
        <v>2835</v>
      </c>
      <c r="B1085" s="5" t="s">
        <v>2836</v>
      </c>
      <c r="C1085" s="5" t="s">
        <v>1613</v>
      </c>
      <c r="D1085" s="5" t="s">
        <v>2837</v>
      </c>
      <c r="E1085" s="5" t="s">
        <v>1856</v>
      </c>
      <c r="F1085" s="5" t="s">
        <v>280</v>
      </c>
      <c r="G1085" s="6">
        <v>0.7</v>
      </c>
      <c r="H1085" s="5" t="s">
        <v>2802</v>
      </c>
      <c r="I1085" s="5" t="s">
        <v>20</v>
      </c>
      <c r="J1085" s="5">
        <v>2026.0</v>
      </c>
      <c r="K1085" s="8">
        <v>46147.0</v>
      </c>
      <c r="L1085" s="5">
        <v>1.0</v>
      </c>
      <c r="M1085" s="7">
        <f t="shared" si="3"/>
        <v>0.7</v>
      </c>
    </row>
    <row r="1086">
      <c r="A1086" s="5" t="s">
        <v>2838</v>
      </c>
      <c r="B1086" s="5" t="s">
        <v>2839</v>
      </c>
      <c r="C1086" s="5" t="s">
        <v>297</v>
      </c>
      <c r="D1086" s="5" t="s">
        <v>2840</v>
      </c>
      <c r="E1086" s="5" t="s">
        <v>1856</v>
      </c>
      <c r="F1086" s="5" t="s">
        <v>280</v>
      </c>
      <c r="G1086" s="6">
        <v>1.0</v>
      </c>
      <c r="H1086" s="5" t="s">
        <v>1714</v>
      </c>
      <c r="I1086" s="5" t="s">
        <v>20</v>
      </c>
      <c r="J1086" s="5">
        <v>2022.0</v>
      </c>
      <c r="K1086" s="8">
        <v>46056.0</v>
      </c>
      <c r="L1086" s="5">
        <v>1.0</v>
      </c>
      <c r="M1086" s="7">
        <f t="shared" si="3"/>
        <v>1</v>
      </c>
    </row>
    <row r="1087">
      <c r="A1087" s="5" t="s">
        <v>2841</v>
      </c>
      <c r="B1087" s="5" t="s">
        <v>2842</v>
      </c>
      <c r="C1087" s="5" t="s">
        <v>2140</v>
      </c>
      <c r="D1087" s="5" t="s">
        <v>2843</v>
      </c>
      <c r="E1087" s="5" t="s">
        <v>2844</v>
      </c>
      <c r="F1087" s="5" t="s">
        <v>280</v>
      </c>
      <c r="G1087" s="6">
        <v>1.31</v>
      </c>
      <c r="H1087" s="5" t="s">
        <v>1992</v>
      </c>
      <c r="I1087" s="5" t="s">
        <v>31</v>
      </c>
      <c r="J1087" s="5">
        <v>2011.0</v>
      </c>
      <c r="K1087" s="8">
        <v>46055.0</v>
      </c>
      <c r="L1087" s="5">
        <v>1.0</v>
      </c>
      <c r="M1087" s="7">
        <f t="shared" si="3"/>
        <v>1.31</v>
      </c>
    </row>
    <row r="1088">
      <c r="A1088" s="5" t="s">
        <v>2845</v>
      </c>
      <c r="B1088" s="5" t="s">
        <v>2842</v>
      </c>
      <c r="C1088" s="5" t="s">
        <v>2846</v>
      </c>
      <c r="D1088" s="5" t="s">
        <v>2847</v>
      </c>
      <c r="E1088" s="5" t="s">
        <v>1856</v>
      </c>
      <c r="F1088" s="5" t="s">
        <v>280</v>
      </c>
      <c r="G1088" s="6">
        <v>0.03</v>
      </c>
      <c r="H1088" s="5" t="s">
        <v>1989</v>
      </c>
      <c r="I1088" s="5" t="s">
        <v>20</v>
      </c>
      <c r="J1088" s="5">
        <v>2019.0</v>
      </c>
      <c r="K1088" s="8">
        <v>46055.0</v>
      </c>
      <c r="L1088" s="5">
        <v>4.0</v>
      </c>
      <c r="M1088" s="7">
        <f t="shared" si="3"/>
        <v>0.12</v>
      </c>
    </row>
    <row r="1089">
      <c r="A1089" s="5" t="s">
        <v>2845</v>
      </c>
      <c r="B1089" s="5" t="s">
        <v>2842</v>
      </c>
      <c r="C1089" s="5" t="s">
        <v>2846</v>
      </c>
      <c r="D1089" s="5" t="s">
        <v>2847</v>
      </c>
      <c r="E1089" s="5" t="s">
        <v>1856</v>
      </c>
      <c r="F1089" s="5" t="s">
        <v>280</v>
      </c>
      <c r="G1089" s="6">
        <v>0.08</v>
      </c>
      <c r="H1089" s="5" t="s">
        <v>2848</v>
      </c>
      <c r="I1089" s="5" t="s">
        <v>20</v>
      </c>
      <c r="J1089" s="5">
        <v>2014.0</v>
      </c>
      <c r="K1089" s="8">
        <v>46055.0</v>
      </c>
      <c r="L1089" s="5">
        <v>1.0</v>
      </c>
      <c r="M1089" s="7">
        <f t="shared" si="3"/>
        <v>0.08</v>
      </c>
    </row>
    <row r="1090">
      <c r="A1090" s="5" t="s">
        <v>2849</v>
      </c>
      <c r="B1090" s="5" t="s">
        <v>2850</v>
      </c>
      <c r="C1090" s="5" t="s">
        <v>2140</v>
      </c>
      <c r="D1090" s="5" t="s">
        <v>2851</v>
      </c>
      <c r="E1090" s="5" t="s">
        <v>2283</v>
      </c>
      <c r="F1090" s="5" t="s">
        <v>280</v>
      </c>
      <c r="G1090" s="6">
        <v>0.05</v>
      </c>
      <c r="H1090" s="5" t="s">
        <v>2774</v>
      </c>
      <c r="I1090" s="5" t="s">
        <v>20</v>
      </c>
      <c r="J1090" s="5">
        <v>2015.0</v>
      </c>
      <c r="L1090" s="5">
        <v>3.0</v>
      </c>
      <c r="M1090" s="7">
        <f t="shared" si="3"/>
        <v>0.15</v>
      </c>
    </row>
    <row r="1091">
      <c r="A1091" s="5" t="s">
        <v>2852</v>
      </c>
      <c r="B1091" s="5" t="s">
        <v>2853</v>
      </c>
      <c r="C1091" s="5" t="s">
        <v>2140</v>
      </c>
      <c r="D1091" s="5" t="s">
        <v>2854</v>
      </c>
      <c r="E1091" s="5" t="s">
        <v>631</v>
      </c>
      <c r="F1091" s="5" t="s">
        <v>280</v>
      </c>
      <c r="G1091" s="6">
        <v>0.49</v>
      </c>
      <c r="H1091" s="5" t="s">
        <v>2376</v>
      </c>
      <c r="I1091" s="5" t="s">
        <v>20</v>
      </c>
      <c r="J1091" s="5">
        <v>2010.0</v>
      </c>
      <c r="K1091" s="8">
        <v>46023.0</v>
      </c>
      <c r="L1091" s="5">
        <v>1.0</v>
      </c>
      <c r="M1091" s="7">
        <f t="shared" si="3"/>
        <v>0.49</v>
      </c>
    </row>
    <row r="1092">
      <c r="A1092" s="5" t="s">
        <v>2855</v>
      </c>
      <c r="B1092" s="5" t="s">
        <v>2856</v>
      </c>
      <c r="C1092" s="5" t="s">
        <v>1613</v>
      </c>
      <c r="D1092" s="5" t="s">
        <v>2857</v>
      </c>
      <c r="E1092" s="5" t="s">
        <v>2844</v>
      </c>
      <c r="F1092" s="5" t="s">
        <v>280</v>
      </c>
      <c r="G1092" s="6">
        <v>0.71</v>
      </c>
      <c r="H1092" s="5" t="s">
        <v>2858</v>
      </c>
      <c r="I1092" s="5" t="s">
        <v>20</v>
      </c>
      <c r="J1092" s="5">
        <v>2025.0</v>
      </c>
      <c r="K1092" s="8">
        <v>46083.0</v>
      </c>
      <c r="L1092" s="5">
        <v>1.0</v>
      </c>
      <c r="M1092" s="7">
        <f t="shared" si="3"/>
        <v>0.71</v>
      </c>
    </row>
    <row r="1093">
      <c r="A1093" s="5" t="s">
        <v>2859</v>
      </c>
      <c r="B1093" s="5" t="s">
        <v>2850</v>
      </c>
      <c r="C1093" s="5" t="s">
        <v>2860</v>
      </c>
      <c r="D1093" s="5" t="s">
        <v>2861</v>
      </c>
      <c r="E1093" s="5" t="s">
        <v>1859</v>
      </c>
      <c r="F1093" s="5" t="s">
        <v>280</v>
      </c>
      <c r="G1093" s="6">
        <v>0.37</v>
      </c>
      <c r="H1093" s="5" t="s">
        <v>2562</v>
      </c>
      <c r="I1093" s="5" t="s">
        <v>20</v>
      </c>
      <c r="J1093" s="5">
        <v>2017.0</v>
      </c>
      <c r="L1093" s="5">
        <v>1.0</v>
      </c>
      <c r="M1093" s="7">
        <f t="shared" si="3"/>
        <v>0.37</v>
      </c>
    </row>
    <row r="1094">
      <c r="A1094" s="5" t="s">
        <v>2862</v>
      </c>
      <c r="B1094" s="5" t="s">
        <v>2850</v>
      </c>
      <c r="C1094" s="5" t="s">
        <v>2140</v>
      </c>
      <c r="D1094" s="5" t="s">
        <v>2863</v>
      </c>
      <c r="E1094" s="5" t="s">
        <v>2290</v>
      </c>
      <c r="F1094" s="5" t="s">
        <v>280</v>
      </c>
      <c r="G1094" s="6">
        <v>0.05</v>
      </c>
      <c r="H1094" s="5" t="s">
        <v>2008</v>
      </c>
      <c r="I1094" s="5" t="s">
        <v>20</v>
      </c>
      <c r="J1094" s="5">
        <v>2013.0</v>
      </c>
      <c r="L1094" s="5">
        <v>4.0</v>
      </c>
      <c r="M1094" s="7">
        <f t="shared" si="3"/>
        <v>0.2</v>
      </c>
    </row>
    <row r="1095">
      <c r="A1095" s="5" t="s">
        <v>2864</v>
      </c>
      <c r="B1095" s="5" t="s">
        <v>2865</v>
      </c>
      <c r="C1095" s="5" t="s">
        <v>1670</v>
      </c>
      <c r="D1095" s="5" t="s">
        <v>2866</v>
      </c>
      <c r="E1095" s="5" t="s">
        <v>2844</v>
      </c>
      <c r="F1095" s="5" t="s">
        <v>280</v>
      </c>
      <c r="G1095" s="6">
        <v>0.46</v>
      </c>
      <c r="H1095" s="5" t="s">
        <v>2158</v>
      </c>
      <c r="I1095" s="5" t="s">
        <v>1794</v>
      </c>
      <c r="J1095" s="5">
        <v>2014.0</v>
      </c>
      <c r="K1095" s="8">
        <v>46024.0</v>
      </c>
      <c r="L1095" s="5">
        <v>4.0</v>
      </c>
      <c r="M1095" s="7">
        <f t="shared" si="3"/>
        <v>1.84</v>
      </c>
    </row>
    <row r="1096">
      <c r="A1096" s="5" t="s">
        <v>2867</v>
      </c>
      <c r="B1096" s="5" t="s">
        <v>2868</v>
      </c>
      <c r="C1096" s="5" t="s">
        <v>2860</v>
      </c>
      <c r="D1096" s="5" t="s">
        <v>2869</v>
      </c>
      <c r="E1096" s="5" t="s">
        <v>1859</v>
      </c>
      <c r="F1096" s="5" t="s">
        <v>280</v>
      </c>
      <c r="G1096" s="6">
        <v>0.35</v>
      </c>
      <c r="H1096" s="5" t="s">
        <v>1644</v>
      </c>
      <c r="I1096" s="5" t="s">
        <v>20</v>
      </c>
      <c r="J1096" s="5">
        <v>2019.0</v>
      </c>
      <c r="K1096" s="8">
        <v>46056.0</v>
      </c>
      <c r="L1096" s="5">
        <v>2.0</v>
      </c>
      <c r="M1096" s="7">
        <f t="shared" si="3"/>
        <v>0.7</v>
      </c>
    </row>
    <row r="1097">
      <c r="A1097" s="5" t="s">
        <v>2870</v>
      </c>
      <c r="B1097" s="5" t="s">
        <v>612</v>
      </c>
      <c r="C1097" s="5" t="s">
        <v>1670</v>
      </c>
      <c r="D1097" s="5" t="s">
        <v>2871</v>
      </c>
      <c r="E1097" s="5" t="s">
        <v>631</v>
      </c>
      <c r="F1097" s="5" t="s">
        <v>280</v>
      </c>
      <c r="G1097" s="6">
        <v>0.1</v>
      </c>
      <c r="H1097" s="5" t="s">
        <v>2177</v>
      </c>
      <c r="I1097" s="5" t="s">
        <v>1794</v>
      </c>
      <c r="J1097" s="5">
        <v>2018.0</v>
      </c>
      <c r="L1097" s="5">
        <v>4.0</v>
      </c>
      <c r="M1097" s="7">
        <f t="shared" si="3"/>
        <v>0.4</v>
      </c>
    </row>
    <row r="1098">
      <c r="A1098" s="5" t="s">
        <v>2872</v>
      </c>
      <c r="B1098" s="5" t="s">
        <v>2868</v>
      </c>
      <c r="C1098" s="5" t="s">
        <v>2140</v>
      </c>
      <c r="D1098" s="5" t="s">
        <v>2873</v>
      </c>
      <c r="E1098" s="5" t="s">
        <v>1856</v>
      </c>
      <c r="F1098" s="5" t="s">
        <v>280</v>
      </c>
      <c r="G1098" s="6">
        <v>0.06</v>
      </c>
      <c r="H1098" s="5" t="s">
        <v>2467</v>
      </c>
      <c r="I1098" s="5" t="s">
        <v>20</v>
      </c>
      <c r="J1098" s="5">
        <v>2008.0</v>
      </c>
      <c r="K1098" s="8">
        <v>46023.0</v>
      </c>
      <c r="L1098" s="5">
        <v>2.0</v>
      </c>
      <c r="M1098" s="7">
        <f t="shared" si="3"/>
        <v>0.12</v>
      </c>
    </row>
    <row r="1099">
      <c r="A1099" s="5" t="s">
        <v>2874</v>
      </c>
      <c r="B1099" s="5" t="s">
        <v>2875</v>
      </c>
      <c r="C1099" s="5" t="s">
        <v>1631</v>
      </c>
      <c r="D1099" s="5" t="s">
        <v>2876</v>
      </c>
      <c r="E1099" s="5" t="s">
        <v>2290</v>
      </c>
      <c r="F1099" s="5" t="s">
        <v>280</v>
      </c>
      <c r="G1099" s="6">
        <v>0.04</v>
      </c>
      <c r="H1099" s="5" t="s">
        <v>2802</v>
      </c>
      <c r="I1099" s="5" t="s">
        <v>20</v>
      </c>
      <c r="J1099" s="5">
        <v>2026.0</v>
      </c>
      <c r="K1099" s="8">
        <v>46145.0</v>
      </c>
      <c r="L1099" s="5">
        <v>1.0</v>
      </c>
      <c r="M1099" s="7">
        <f t="shared" si="3"/>
        <v>0.04</v>
      </c>
    </row>
    <row r="1100">
      <c r="A1100" s="5" t="s">
        <v>2877</v>
      </c>
      <c r="B1100" s="5" t="s">
        <v>2878</v>
      </c>
      <c r="C1100" s="5" t="s">
        <v>1631</v>
      </c>
      <c r="D1100" s="5" t="s">
        <v>2879</v>
      </c>
      <c r="E1100" s="5" t="s">
        <v>1859</v>
      </c>
      <c r="F1100" s="5" t="s">
        <v>280</v>
      </c>
      <c r="G1100" s="6">
        <v>0.07</v>
      </c>
      <c r="H1100" s="5" t="s">
        <v>2802</v>
      </c>
      <c r="I1100" s="5" t="s">
        <v>20</v>
      </c>
      <c r="J1100" s="5">
        <v>2026.0</v>
      </c>
      <c r="K1100" s="8">
        <v>46057.0</v>
      </c>
      <c r="L1100" s="5">
        <v>1.0</v>
      </c>
      <c r="M1100" s="7">
        <f t="shared" si="3"/>
        <v>0.07</v>
      </c>
    </row>
    <row r="1101">
      <c r="A1101" s="5" t="s">
        <v>2880</v>
      </c>
      <c r="B1101" s="5" t="s">
        <v>387</v>
      </c>
      <c r="C1101" s="5" t="s">
        <v>1631</v>
      </c>
      <c r="D1101" s="5" t="s">
        <v>2881</v>
      </c>
      <c r="E1101" s="5" t="s">
        <v>1856</v>
      </c>
      <c r="F1101" s="5" t="s">
        <v>280</v>
      </c>
      <c r="G1101" s="6">
        <v>0.08</v>
      </c>
      <c r="H1101" s="5" t="s">
        <v>2802</v>
      </c>
      <c r="I1101" s="5" t="s">
        <v>20</v>
      </c>
      <c r="J1101" s="5">
        <v>2026.0</v>
      </c>
      <c r="L1101" s="5">
        <v>1.0</v>
      </c>
      <c r="M1101" s="7">
        <f t="shared" si="3"/>
        <v>0.08</v>
      </c>
    </row>
    <row r="1102">
      <c r="A1102" s="5" t="s">
        <v>2882</v>
      </c>
      <c r="B1102" s="5" t="s">
        <v>2883</v>
      </c>
      <c r="C1102" s="5" t="s">
        <v>1670</v>
      </c>
      <c r="D1102" s="5" t="s">
        <v>2884</v>
      </c>
      <c r="E1102" s="5" t="s">
        <v>1859</v>
      </c>
      <c r="F1102" s="5" t="s">
        <v>280</v>
      </c>
      <c r="G1102" s="6">
        <v>0.1</v>
      </c>
      <c r="H1102" s="5" t="s">
        <v>2802</v>
      </c>
      <c r="I1102" s="5" t="s">
        <v>20</v>
      </c>
      <c r="J1102" s="5">
        <v>2026.0</v>
      </c>
      <c r="K1102" s="8">
        <v>46116.0</v>
      </c>
      <c r="L1102" s="5">
        <v>1.0</v>
      </c>
      <c r="M1102" s="7">
        <f t="shared" si="3"/>
        <v>0.1</v>
      </c>
    </row>
    <row r="1103">
      <c r="A1103" s="5" t="s">
        <v>2885</v>
      </c>
      <c r="B1103" s="5" t="s">
        <v>2836</v>
      </c>
      <c r="C1103" s="5" t="s">
        <v>1631</v>
      </c>
      <c r="D1103" s="5" t="s">
        <v>2886</v>
      </c>
      <c r="E1103" s="5" t="s">
        <v>1856</v>
      </c>
      <c r="F1103" s="5" t="s">
        <v>280</v>
      </c>
      <c r="G1103" s="6">
        <v>0.15</v>
      </c>
      <c r="H1103" s="5" t="s">
        <v>2802</v>
      </c>
      <c r="I1103" s="5" t="s">
        <v>20</v>
      </c>
      <c r="J1103" s="5">
        <v>2026.0</v>
      </c>
      <c r="K1103" s="8">
        <v>46179.0</v>
      </c>
      <c r="L1103" s="5">
        <v>1.0</v>
      </c>
      <c r="M1103" s="7">
        <f t="shared" si="3"/>
        <v>0.15</v>
      </c>
    </row>
    <row r="1104">
      <c r="A1104" s="5" t="s">
        <v>2887</v>
      </c>
      <c r="B1104" s="5" t="s">
        <v>2819</v>
      </c>
      <c r="C1104" s="5" t="s">
        <v>1631</v>
      </c>
      <c r="D1104" s="5" t="s">
        <v>2888</v>
      </c>
      <c r="E1104" s="5" t="s">
        <v>1856</v>
      </c>
      <c r="F1104" s="5" t="s">
        <v>280</v>
      </c>
      <c r="G1104" s="6">
        <v>0.12</v>
      </c>
      <c r="H1104" s="5" t="s">
        <v>2802</v>
      </c>
      <c r="I1104" s="5" t="s">
        <v>20</v>
      </c>
      <c r="J1104" s="5">
        <v>2026.0</v>
      </c>
      <c r="K1104" s="8">
        <v>46055.0</v>
      </c>
      <c r="L1104" s="5">
        <v>1.0</v>
      </c>
      <c r="M1104" s="7">
        <f t="shared" si="3"/>
        <v>0.12</v>
      </c>
    </row>
    <row r="1105">
      <c r="A1105" s="5" t="s">
        <v>2889</v>
      </c>
      <c r="B1105" s="5" t="s">
        <v>2833</v>
      </c>
      <c r="C1105" s="5" t="s">
        <v>1631</v>
      </c>
      <c r="D1105" s="5" t="s">
        <v>2890</v>
      </c>
      <c r="E1105" s="5" t="s">
        <v>1859</v>
      </c>
      <c r="F1105" s="5" t="s">
        <v>280</v>
      </c>
      <c r="G1105" s="6">
        <v>0.06</v>
      </c>
      <c r="H1105" s="5" t="s">
        <v>2802</v>
      </c>
      <c r="I1105" s="5" t="s">
        <v>20</v>
      </c>
      <c r="J1105" s="5">
        <v>2026.0</v>
      </c>
      <c r="K1105" s="8">
        <v>46115.0</v>
      </c>
      <c r="L1105" s="5">
        <v>1.0</v>
      </c>
      <c r="M1105" s="7">
        <f t="shared" si="3"/>
        <v>0.06</v>
      </c>
    </row>
    <row r="1106">
      <c r="A1106" s="5" t="s">
        <v>2891</v>
      </c>
      <c r="B1106" s="5" t="s">
        <v>2616</v>
      </c>
      <c r="C1106" s="5" t="s">
        <v>1670</v>
      </c>
      <c r="D1106" s="5" t="s">
        <v>2892</v>
      </c>
      <c r="E1106" s="5" t="s">
        <v>2283</v>
      </c>
      <c r="F1106" s="5" t="s">
        <v>280</v>
      </c>
      <c r="G1106" s="6">
        <v>0.1</v>
      </c>
      <c r="H1106" s="5" t="s">
        <v>2802</v>
      </c>
      <c r="I1106" s="5" t="s">
        <v>20</v>
      </c>
      <c r="J1106" s="5">
        <v>2026.0</v>
      </c>
      <c r="K1106" s="8">
        <v>46055.0</v>
      </c>
      <c r="L1106" s="5">
        <v>1.0</v>
      </c>
      <c r="M1106" s="7">
        <f t="shared" si="3"/>
        <v>0.1</v>
      </c>
    </row>
    <row r="1107">
      <c r="A1107" s="5" t="s">
        <v>2893</v>
      </c>
      <c r="B1107" s="5" t="s">
        <v>612</v>
      </c>
      <c r="C1107" s="5" t="s">
        <v>1631</v>
      </c>
      <c r="D1107" s="5" t="s">
        <v>2894</v>
      </c>
      <c r="E1107" s="5" t="s">
        <v>2283</v>
      </c>
      <c r="F1107" s="5" t="s">
        <v>280</v>
      </c>
      <c r="G1107" s="6">
        <v>0.05</v>
      </c>
      <c r="H1107" s="5" t="s">
        <v>2802</v>
      </c>
      <c r="I1107" s="5" t="s">
        <v>20</v>
      </c>
      <c r="J1107" s="5">
        <v>2026.0</v>
      </c>
      <c r="L1107" s="5">
        <v>1.0</v>
      </c>
      <c r="M1107" s="7">
        <f t="shared" si="3"/>
        <v>0.05</v>
      </c>
    </row>
    <row r="1108">
      <c r="A1108" s="5" t="s">
        <v>2895</v>
      </c>
      <c r="B1108" s="5" t="s">
        <v>677</v>
      </c>
      <c r="C1108" s="5" t="s">
        <v>1670</v>
      </c>
      <c r="D1108" s="5" t="s">
        <v>2896</v>
      </c>
      <c r="E1108" s="5" t="s">
        <v>2283</v>
      </c>
      <c r="F1108" s="5" t="s">
        <v>280</v>
      </c>
      <c r="G1108" s="6">
        <v>0.1</v>
      </c>
      <c r="H1108" s="5" t="s">
        <v>2802</v>
      </c>
      <c r="I1108" s="5" t="s">
        <v>20</v>
      </c>
      <c r="J1108" s="5">
        <v>2026.0</v>
      </c>
      <c r="L1108" s="5">
        <v>3.0</v>
      </c>
      <c r="M1108" s="7">
        <f t="shared" si="3"/>
        <v>0.3</v>
      </c>
    </row>
    <row r="1109">
      <c r="A1109" s="5" t="s">
        <v>2897</v>
      </c>
      <c r="B1109" s="5" t="s">
        <v>387</v>
      </c>
      <c r="C1109" s="5" t="s">
        <v>1670</v>
      </c>
      <c r="D1109" s="5" t="s">
        <v>2898</v>
      </c>
      <c r="E1109" s="5" t="s">
        <v>2283</v>
      </c>
      <c r="F1109" s="5" t="s">
        <v>280</v>
      </c>
      <c r="G1109" s="6">
        <v>0.1</v>
      </c>
      <c r="H1109" s="5" t="s">
        <v>2802</v>
      </c>
      <c r="I1109" s="5" t="s">
        <v>20</v>
      </c>
      <c r="J1109" s="5">
        <v>2026.0</v>
      </c>
      <c r="L1109" s="5">
        <v>1.0</v>
      </c>
      <c r="M1109" s="7">
        <f t="shared" si="3"/>
        <v>0.1</v>
      </c>
    </row>
    <row r="1110">
      <c r="A1110" s="5" t="s">
        <v>2899</v>
      </c>
      <c r="B1110" s="5" t="s">
        <v>2900</v>
      </c>
      <c r="C1110" s="5" t="s">
        <v>1670</v>
      </c>
      <c r="D1110" s="5" t="s">
        <v>2901</v>
      </c>
      <c r="E1110" s="5" t="s">
        <v>1856</v>
      </c>
      <c r="F1110" s="5" t="s">
        <v>280</v>
      </c>
      <c r="G1110" s="6">
        <v>0.05</v>
      </c>
      <c r="H1110" s="5" t="s">
        <v>2802</v>
      </c>
      <c r="I1110" s="5" t="s">
        <v>20</v>
      </c>
      <c r="J1110" s="5">
        <v>2026.0</v>
      </c>
      <c r="K1110" s="8">
        <v>46056.0</v>
      </c>
      <c r="L1110" s="5">
        <v>1.0</v>
      </c>
      <c r="M1110" s="7">
        <f t="shared" si="3"/>
        <v>0.05</v>
      </c>
    </row>
    <row r="1111">
      <c r="A1111" s="5" t="s">
        <v>2902</v>
      </c>
      <c r="B1111" s="5" t="s">
        <v>2830</v>
      </c>
      <c r="C1111" s="5" t="s">
        <v>1670</v>
      </c>
      <c r="D1111" s="5" t="s">
        <v>2903</v>
      </c>
      <c r="E1111" s="5" t="s">
        <v>1859</v>
      </c>
      <c r="F1111" s="5" t="s">
        <v>280</v>
      </c>
      <c r="G1111" s="6">
        <v>0.11</v>
      </c>
      <c r="H1111" s="5" t="s">
        <v>2802</v>
      </c>
      <c r="I1111" s="5" t="s">
        <v>20</v>
      </c>
      <c r="J1111" s="5">
        <v>2026.0</v>
      </c>
      <c r="K1111" s="8">
        <v>46024.0</v>
      </c>
      <c r="L1111" s="5">
        <v>2.0</v>
      </c>
      <c r="M1111" s="7">
        <f t="shared" si="3"/>
        <v>0.22</v>
      </c>
    </row>
    <row r="1112">
      <c r="A1112" s="5" t="s">
        <v>2904</v>
      </c>
      <c r="B1112" s="5" t="s">
        <v>2905</v>
      </c>
      <c r="C1112" s="5" t="s">
        <v>1670</v>
      </c>
      <c r="D1112" s="5" t="s">
        <v>2906</v>
      </c>
      <c r="E1112" s="5" t="s">
        <v>2283</v>
      </c>
      <c r="F1112" s="5" t="s">
        <v>280</v>
      </c>
      <c r="G1112" s="6">
        <v>0.1</v>
      </c>
      <c r="H1112" s="5" t="s">
        <v>2802</v>
      </c>
      <c r="I1112" s="5" t="s">
        <v>20</v>
      </c>
      <c r="J1112" s="5">
        <v>2026.0</v>
      </c>
      <c r="K1112" s="8">
        <v>46082.0</v>
      </c>
      <c r="L1112" s="5">
        <v>2.0</v>
      </c>
      <c r="M1112" s="7">
        <f t="shared" si="3"/>
        <v>0.2</v>
      </c>
    </row>
    <row r="1113">
      <c r="A1113" s="5" t="s">
        <v>2907</v>
      </c>
      <c r="B1113" s="5" t="s">
        <v>612</v>
      </c>
      <c r="C1113" s="5" t="s">
        <v>1631</v>
      </c>
      <c r="D1113" s="5" t="s">
        <v>2908</v>
      </c>
      <c r="E1113" s="5" t="s">
        <v>1956</v>
      </c>
      <c r="F1113" s="5" t="s">
        <v>18</v>
      </c>
      <c r="G1113" s="6">
        <v>0.18</v>
      </c>
      <c r="H1113" s="5" t="s">
        <v>2802</v>
      </c>
      <c r="I1113" s="5" t="s">
        <v>20</v>
      </c>
      <c r="J1113" s="5">
        <v>2026.0</v>
      </c>
      <c r="L1113" s="5">
        <v>1.0</v>
      </c>
      <c r="M1113" s="7">
        <f t="shared" si="3"/>
        <v>0.18</v>
      </c>
    </row>
    <row r="1114">
      <c r="A1114" s="5" t="s">
        <v>2909</v>
      </c>
      <c r="B1114" s="5" t="s">
        <v>387</v>
      </c>
      <c r="C1114" s="5" t="s">
        <v>1670</v>
      </c>
      <c r="D1114" s="5" t="s">
        <v>2910</v>
      </c>
      <c r="E1114" s="5" t="s">
        <v>2298</v>
      </c>
      <c r="F1114" s="5" t="s">
        <v>18</v>
      </c>
      <c r="G1114" s="6">
        <v>0.1</v>
      </c>
      <c r="H1114" s="5" t="s">
        <v>2802</v>
      </c>
      <c r="I1114" s="5" t="s">
        <v>20</v>
      </c>
      <c r="J1114" s="5">
        <v>2026.0</v>
      </c>
      <c r="L1114" s="5">
        <v>2.0</v>
      </c>
      <c r="M1114" s="7">
        <f t="shared" si="3"/>
        <v>0.2</v>
      </c>
    </row>
    <row r="1115">
      <c r="A1115" s="5" t="s">
        <v>2911</v>
      </c>
      <c r="B1115" s="5" t="s">
        <v>2591</v>
      </c>
      <c r="C1115" s="5" t="s">
        <v>1670</v>
      </c>
      <c r="D1115" s="5" t="s">
        <v>2912</v>
      </c>
      <c r="E1115" s="5" t="s">
        <v>2302</v>
      </c>
      <c r="F1115" s="5" t="s">
        <v>18</v>
      </c>
      <c r="G1115" s="6">
        <v>0.1</v>
      </c>
      <c r="H1115" s="5" t="s">
        <v>2802</v>
      </c>
      <c r="I1115" s="5" t="s">
        <v>20</v>
      </c>
      <c r="J1115" s="5">
        <v>2026.0</v>
      </c>
      <c r="K1115" s="8">
        <v>46116.0</v>
      </c>
      <c r="L1115" s="5">
        <v>2.0</v>
      </c>
      <c r="M1115" s="7">
        <f t="shared" si="3"/>
        <v>0.2</v>
      </c>
    </row>
    <row r="1116">
      <c r="A1116" s="5" t="s">
        <v>2913</v>
      </c>
      <c r="B1116" s="5" t="s">
        <v>2914</v>
      </c>
      <c r="C1116" s="5" t="s">
        <v>1631</v>
      </c>
      <c r="D1116" s="5" t="s">
        <v>2915</v>
      </c>
      <c r="E1116" s="5" t="s">
        <v>2507</v>
      </c>
      <c r="F1116" s="5" t="s">
        <v>18</v>
      </c>
      <c r="G1116" s="6">
        <v>0.2</v>
      </c>
      <c r="H1116" s="5" t="s">
        <v>2802</v>
      </c>
      <c r="I1116" s="5" t="s">
        <v>20</v>
      </c>
      <c r="J1116" s="5">
        <v>2026.0</v>
      </c>
      <c r="K1116" s="8">
        <v>46116.0</v>
      </c>
      <c r="L1116" s="5">
        <v>1.0</v>
      </c>
      <c r="M1116" s="7">
        <f t="shared" si="3"/>
        <v>0.2</v>
      </c>
    </row>
    <row r="1117">
      <c r="A1117" s="5" t="s">
        <v>2916</v>
      </c>
      <c r="B1117" s="5" t="s">
        <v>2917</v>
      </c>
      <c r="C1117" s="5" t="s">
        <v>1670</v>
      </c>
      <c r="D1117" s="5" t="s">
        <v>2918</v>
      </c>
      <c r="E1117" s="5" t="s">
        <v>2507</v>
      </c>
      <c r="F1117" s="5" t="s">
        <v>18</v>
      </c>
      <c r="G1117" s="6">
        <v>0.1</v>
      </c>
      <c r="H1117" s="5" t="s">
        <v>2802</v>
      </c>
      <c r="I1117" s="5" t="s">
        <v>20</v>
      </c>
      <c r="J1117" s="5">
        <v>2026.0</v>
      </c>
      <c r="K1117" s="8">
        <v>46085.0</v>
      </c>
      <c r="L1117" s="5">
        <v>1.0</v>
      </c>
      <c r="M1117" s="7">
        <f t="shared" si="3"/>
        <v>0.1</v>
      </c>
    </row>
    <row r="1118">
      <c r="A1118" s="5" t="s">
        <v>2919</v>
      </c>
      <c r="B1118" s="5" t="s">
        <v>387</v>
      </c>
      <c r="C1118" s="5" t="s">
        <v>1670</v>
      </c>
      <c r="D1118" s="5" t="s">
        <v>2920</v>
      </c>
      <c r="E1118" s="5" t="s">
        <v>1956</v>
      </c>
      <c r="F1118" s="5" t="s">
        <v>18</v>
      </c>
      <c r="G1118" s="6">
        <v>0.1</v>
      </c>
      <c r="H1118" s="5" t="s">
        <v>2802</v>
      </c>
      <c r="I1118" s="5" t="s">
        <v>20</v>
      </c>
      <c r="J1118" s="5">
        <v>2026.0</v>
      </c>
      <c r="L1118" s="5">
        <v>1.0</v>
      </c>
      <c r="M1118" s="7">
        <f t="shared" si="3"/>
        <v>0.1</v>
      </c>
    </row>
    <row r="1119">
      <c r="A1119" s="5" t="s">
        <v>2921</v>
      </c>
      <c r="B1119" s="5" t="s">
        <v>2922</v>
      </c>
      <c r="C1119" s="5" t="s">
        <v>1670</v>
      </c>
      <c r="D1119" s="5" t="s">
        <v>2923</v>
      </c>
      <c r="E1119" s="5" t="s">
        <v>2298</v>
      </c>
      <c r="F1119" s="5" t="s">
        <v>18</v>
      </c>
      <c r="G1119" s="6">
        <v>0.1</v>
      </c>
      <c r="H1119" s="5" t="s">
        <v>2802</v>
      </c>
      <c r="I1119" s="5" t="s">
        <v>20</v>
      </c>
      <c r="J1119" s="5">
        <v>2026.0</v>
      </c>
      <c r="K1119" s="8">
        <v>46057.0</v>
      </c>
      <c r="L1119" s="5">
        <v>1.0</v>
      </c>
      <c r="M1119" s="7">
        <f t="shared" si="3"/>
        <v>0.1</v>
      </c>
    </row>
    <row r="1120">
      <c r="A1120" s="5" t="s">
        <v>2924</v>
      </c>
      <c r="B1120" s="5" t="s">
        <v>2925</v>
      </c>
      <c r="C1120" s="5" t="s">
        <v>1670</v>
      </c>
      <c r="D1120" s="5" t="s">
        <v>2926</v>
      </c>
      <c r="E1120" s="5" t="s">
        <v>2321</v>
      </c>
      <c r="F1120" s="5" t="s">
        <v>88</v>
      </c>
      <c r="G1120" s="6">
        <v>0.05</v>
      </c>
      <c r="H1120" s="5" t="s">
        <v>2802</v>
      </c>
      <c r="I1120" s="5" t="s">
        <v>20</v>
      </c>
      <c r="J1120" s="5">
        <v>2026.0</v>
      </c>
      <c r="K1120" s="8">
        <v>46083.0</v>
      </c>
      <c r="L1120" s="5">
        <v>1.0</v>
      </c>
      <c r="M1120" s="7">
        <f t="shared" si="3"/>
        <v>0.05</v>
      </c>
    </row>
    <row r="1121">
      <c r="A1121" s="5" t="s">
        <v>2927</v>
      </c>
      <c r="B1121" s="5" t="s">
        <v>2928</v>
      </c>
      <c r="C1121" s="5" t="s">
        <v>1631</v>
      </c>
      <c r="D1121" s="5" t="s">
        <v>2929</v>
      </c>
      <c r="E1121" s="5" t="s">
        <v>2321</v>
      </c>
      <c r="F1121" s="5" t="s">
        <v>88</v>
      </c>
      <c r="G1121" s="6">
        <v>0.06</v>
      </c>
      <c r="H1121" s="5" t="s">
        <v>2802</v>
      </c>
      <c r="I1121" s="5" t="s">
        <v>20</v>
      </c>
      <c r="J1121" s="5">
        <v>2026.0</v>
      </c>
      <c r="K1121" s="8">
        <v>46056.0</v>
      </c>
      <c r="L1121" s="5">
        <v>1.0</v>
      </c>
      <c r="M1121" s="7">
        <f t="shared" si="3"/>
        <v>0.06</v>
      </c>
    </row>
    <row r="1122">
      <c r="A1122" s="5" t="s">
        <v>2930</v>
      </c>
      <c r="B1122" s="5" t="s">
        <v>2819</v>
      </c>
      <c r="C1122" s="5" t="s">
        <v>1631</v>
      </c>
      <c r="D1122" s="5" t="s">
        <v>2931</v>
      </c>
      <c r="E1122" s="5" t="s">
        <v>2814</v>
      </c>
      <c r="F1122" s="5" t="s">
        <v>88</v>
      </c>
      <c r="G1122" s="6">
        <v>0.24</v>
      </c>
      <c r="H1122" s="5" t="s">
        <v>2802</v>
      </c>
      <c r="I1122" s="5" t="s">
        <v>20</v>
      </c>
      <c r="J1122" s="5">
        <v>2026.0</v>
      </c>
      <c r="K1122" s="5" t="s">
        <v>1258</v>
      </c>
      <c r="L1122" s="5">
        <v>1.0</v>
      </c>
      <c r="M1122" s="7">
        <f t="shared" si="3"/>
        <v>0.24</v>
      </c>
    </row>
    <row r="1123">
      <c r="A1123" s="5" t="s">
        <v>2932</v>
      </c>
      <c r="B1123" s="5" t="s">
        <v>2816</v>
      </c>
      <c r="C1123" s="5" t="s">
        <v>1631</v>
      </c>
      <c r="D1123" s="5" t="s">
        <v>2933</v>
      </c>
      <c r="E1123" s="5" t="s">
        <v>2324</v>
      </c>
      <c r="F1123" s="5" t="s">
        <v>88</v>
      </c>
      <c r="G1123" s="6">
        <v>0.05</v>
      </c>
      <c r="H1123" s="5" t="s">
        <v>2802</v>
      </c>
      <c r="I1123" s="5" t="s">
        <v>20</v>
      </c>
      <c r="J1123" s="5">
        <v>2026.0</v>
      </c>
      <c r="K1123" s="8">
        <v>46085.0</v>
      </c>
      <c r="L1123" s="5">
        <v>1.0</v>
      </c>
      <c r="M1123" s="7">
        <f t="shared" si="3"/>
        <v>0.05</v>
      </c>
    </row>
    <row r="1124">
      <c r="A1124" s="5" t="s">
        <v>2934</v>
      </c>
      <c r="B1124" s="5" t="s">
        <v>2900</v>
      </c>
      <c r="C1124" s="5" t="s">
        <v>1670</v>
      </c>
      <c r="D1124" s="5" t="s">
        <v>2935</v>
      </c>
      <c r="E1124" s="5" t="s">
        <v>2321</v>
      </c>
      <c r="F1124" s="5" t="s">
        <v>88</v>
      </c>
      <c r="G1124" s="6">
        <v>0.05</v>
      </c>
      <c r="H1124" s="5" t="s">
        <v>2802</v>
      </c>
      <c r="I1124" s="5" t="s">
        <v>20</v>
      </c>
      <c r="J1124" s="5">
        <v>2026.0</v>
      </c>
      <c r="K1124" s="8">
        <v>46055.0</v>
      </c>
      <c r="L1124" s="5">
        <v>1.0</v>
      </c>
      <c r="M1124" s="7">
        <f t="shared" si="3"/>
        <v>0.05</v>
      </c>
    </row>
    <row r="1125">
      <c r="A1125" s="5" t="s">
        <v>2936</v>
      </c>
      <c r="B1125" s="5" t="s">
        <v>2900</v>
      </c>
      <c r="C1125" s="5" t="s">
        <v>1631</v>
      </c>
      <c r="D1125" s="5" t="s">
        <v>2937</v>
      </c>
      <c r="E1125" s="5" t="s">
        <v>382</v>
      </c>
      <c r="F1125" s="5" t="s">
        <v>88</v>
      </c>
      <c r="G1125" s="6">
        <v>0.09</v>
      </c>
      <c r="H1125" s="5" t="s">
        <v>2802</v>
      </c>
      <c r="I1125" s="5" t="s">
        <v>20</v>
      </c>
      <c r="J1125" s="5">
        <v>2026.0</v>
      </c>
      <c r="K1125" s="8">
        <v>46024.0</v>
      </c>
      <c r="L1125" s="5">
        <v>2.0</v>
      </c>
      <c r="M1125" s="7">
        <f t="shared" si="3"/>
        <v>0.18</v>
      </c>
    </row>
    <row r="1126">
      <c r="A1126" s="5" t="s">
        <v>2938</v>
      </c>
      <c r="B1126" s="5" t="s">
        <v>2827</v>
      </c>
      <c r="C1126" s="5" t="s">
        <v>1670</v>
      </c>
      <c r="D1126" s="5" t="s">
        <v>2939</v>
      </c>
      <c r="E1126" s="5" t="s">
        <v>382</v>
      </c>
      <c r="F1126" s="5" t="s">
        <v>88</v>
      </c>
      <c r="G1126" s="6">
        <v>0.1</v>
      </c>
      <c r="H1126" s="5" t="s">
        <v>2802</v>
      </c>
      <c r="I1126" s="5" t="s">
        <v>20</v>
      </c>
      <c r="J1126" s="5">
        <v>2026.0</v>
      </c>
      <c r="L1126" s="5">
        <v>1.0</v>
      </c>
      <c r="M1126" s="7">
        <f t="shared" si="3"/>
        <v>0.1</v>
      </c>
    </row>
    <row r="1127">
      <c r="A1127" s="5" t="s">
        <v>2940</v>
      </c>
      <c r="B1127" s="5" t="s">
        <v>2875</v>
      </c>
      <c r="C1127" s="5" t="s">
        <v>1670</v>
      </c>
      <c r="D1127" s="5" t="s">
        <v>2941</v>
      </c>
      <c r="E1127" s="5" t="s">
        <v>2324</v>
      </c>
      <c r="F1127" s="5" t="s">
        <v>88</v>
      </c>
      <c r="G1127" s="6">
        <v>0.1</v>
      </c>
      <c r="H1127" s="5" t="s">
        <v>2802</v>
      </c>
      <c r="I1127" s="5" t="s">
        <v>20</v>
      </c>
      <c r="J1127" s="5">
        <v>2026.0</v>
      </c>
      <c r="K1127" s="8">
        <v>46145.0</v>
      </c>
      <c r="L1127" s="5">
        <v>1.0</v>
      </c>
      <c r="M1127" s="7">
        <f t="shared" si="3"/>
        <v>0.1</v>
      </c>
    </row>
    <row r="1128">
      <c r="A1128" s="5" t="s">
        <v>2942</v>
      </c>
      <c r="B1128" s="5" t="s">
        <v>2850</v>
      </c>
      <c r="C1128" s="5" t="s">
        <v>2846</v>
      </c>
      <c r="D1128" s="5" t="s">
        <v>2943</v>
      </c>
      <c r="E1128" s="5" t="s">
        <v>1859</v>
      </c>
      <c r="F1128" s="5" t="s">
        <v>280</v>
      </c>
      <c r="G1128" s="6">
        <v>0.08</v>
      </c>
      <c r="H1128" s="5" t="s">
        <v>1644</v>
      </c>
      <c r="I1128" s="5" t="s">
        <v>20</v>
      </c>
      <c r="J1128" s="5">
        <v>2019.0</v>
      </c>
      <c r="L1128" s="5">
        <v>4.0</v>
      </c>
      <c r="M1128" s="7">
        <f t="shared" si="3"/>
        <v>0.32</v>
      </c>
    </row>
    <row r="1129">
      <c r="A1129" s="5" t="s">
        <v>2944</v>
      </c>
      <c r="B1129" s="5" t="s">
        <v>2850</v>
      </c>
      <c r="C1129" s="5" t="s">
        <v>2846</v>
      </c>
      <c r="D1129" s="5" t="s">
        <v>2945</v>
      </c>
      <c r="E1129" s="5" t="s">
        <v>2844</v>
      </c>
      <c r="F1129" s="5" t="s">
        <v>280</v>
      </c>
      <c r="G1129" s="6">
        <v>0.09</v>
      </c>
      <c r="H1129" s="5" t="s">
        <v>1644</v>
      </c>
      <c r="I1129" s="5" t="s">
        <v>20</v>
      </c>
      <c r="J1129" s="5">
        <v>2019.0</v>
      </c>
      <c r="L1129" s="5">
        <v>3.0</v>
      </c>
      <c r="M1129" s="7">
        <f t="shared" si="3"/>
        <v>0.27</v>
      </c>
    </row>
    <row r="1130">
      <c r="A1130" s="5" t="s">
        <v>2946</v>
      </c>
      <c r="B1130" s="5" t="s">
        <v>2947</v>
      </c>
      <c r="C1130" s="5" t="s">
        <v>15</v>
      </c>
      <c r="D1130" s="5" t="s">
        <v>2948</v>
      </c>
      <c r="E1130" s="5" t="s">
        <v>631</v>
      </c>
      <c r="F1130" s="5" t="s">
        <v>280</v>
      </c>
      <c r="G1130" s="6">
        <v>0.45</v>
      </c>
      <c r="H1130" s="5" t="s">
        <v>2949</v>
      </c>
      <c r="I1130" s="5" t="s">
        <v>20</v>
      </c>
      <c r="J1130" s="5">
        <v>2010.0</v>
      </c>
      <c r="K1130" s="8">
        <v>46023.0</v>
      </c>
      <c r="L1130" s="5">
        <v>3.0</v>
      </c>
      <c r="M1130" s="7">
        <f t="shared" si="3"/>
        <v>1.35</v>
      </c>
    </row>
    <row r="1131">
      <c r="A1131" s="5" t="s">
        <v>2950</v>
      </c>
      <c r="B1131" s="5" t="s">
        <v>2951</v>
      </c>
      <c r="C1131" s="5" t="s">
        <v>2140</v>
      </c>
      <c r="D1131" s="5" t="s">
        <v>2952</v>
      </c>
      <c r="E1131" s="5" t="s">
        <v>2844</v>
      </c>
      <c r="F1131" s="5" t="s">
        <v>280</v>
      </c>
      <c r="G1131" s="6">
        <v>41.9</v>
      </c>
      <c r="H1131" s="5" t="s">
        <v>2467</v>
      </c>
      <c r="I1131" s="5" t="s">
        <v>20</v>
      </c>
      <c r="J1131" s="5">
        <v>2008.0</v>
      </c>
      <c r="K1131" s="8">
        <v>46055.0</v>
      </c>
      <c r="L1131" s="5">
        <v>1.0</v>
      </c>
      <c r="M1131" s="7">
        <f t="shared" si="3"/>
        <v>41.9</v>
      </c>
    </row>
    <row r="1132">
      <c r="A1132" s="5" t="s">
        <v>2953</v>
      </c>
      <c r="B1132" s="5" t="s">
        <v>387</v>
      </c>
      <c r="C1132" s="5" t="s">
        <v>1670</v>
      </c>
      <c r="D1132" s="5" t="s">
        <v>2954</v>
      </c>
      <c r="E1132" s="5" t="s">
        <v>1856</v>
      </c>
      <c r="F1132" s="5" t="s">
        <v>280</v>
      </c>
      <c r="G1132" s="6">
        <v>5.85</v>
      </c>
      <c r="H1132" s="6" t="s">
        <v>2955</v>
      </c>
      <c r="I1132" s="5" t="s">
        <v>31</v>
      </c>
      <c r="J1132" s="5">
        <v>2002.0</v>
      </c>
      <c r="L1132" s="5">
        <v>1.0</v>
      </c>
      <c r="M1132" s="7">
        <f t="shared" si="3"/>
        <v>5.85</v>
      </c>
    </row>
    <row r="1133">
      <c r="A1133" s="5" t="s">
        <v>2956</v>
      </c>
      <c r="B1133" s="5" t="s">
        <v>2957</v>
      </c>
      <c r="C1133" s="5" t="s">
        <v>1631</v>
      </c>
      <c r="D1133" s="5" t="s">
        <v>2958</v>
      </c>
      <c r="E1133" s="5" t="s">
        <v>1859</v>
      </c>
      <c r="F1133" s="5" t="s">
        <v>280</v>
      </c>
      <c r="G1133" s="6">
        <v>0.3</v>
      </c>
      <c r="H1133" s="5" t="s">
        <v>2959</v>
      </c>
      <c r="I1133" s="5" t="s">
        <v>20</v>
      </c>
      <c r="J1133" s="5">
        <v>2026.0</v>
      </c>
      <c r="K1133" s="8">
        <v>46055.0</v>
      </c>
      <c r="L1133" s="5">
        <v>1.0</v>
      </c>
      <c r="M1133" s="7">
        <f t="shared" si="3"/>
        <v>0.3</v>
      </c>
    </row>
    <row r="1134">
      <c r="A1134" s="5" t="s">
        <v>2960</v>
      </c>
      <c r="B1134" s="5" t="s">
        <v>2961</v>
      </c>
      <c r="C1134" s="5" t="s">
        <v>2962</v>
      </c>
      <c r="D1134" s="5" t="s">
        <v>2963</v>
      </c>
      <c r="E1134" s="5" t="s">
        <v>2384</v>
      </c>
      <c r="F1134" s="5" t="s">
        <v>280</v>
      </c>
      <c r="G1134" s="6">
        <v>0.85</v>
      </c>
      <c r="H1134" s="5" t="s">
        <v>2858</v>
      </c>
      <c r="I1134" s="5" t="s">
        <v>20</v>
      </c>
      <c r="J1134" s="5">
        <v>2025.0</v>
      </c>
      <c r="K1134" s="8">
        <v>46084.0</v>
      </c>
      <c r="L1134" s="5">
        <v>1.0</v>
      </c>
      <c r="M1134" s="7">
        <f t="shared" si="3"/>
        <v>0.85</v>
      </c>
    </row>
    <row r="1135">
      <c r="A1135" s="5" t="s">
        <v>2964</v>
      </c>
      <c r="B1135" s="5" t="s">
        <v>2965</v>
      </c>
      <c r="C1135" s="5" t="s">
        <v>2140</v>
      </c>
      <c r="D1135" s="5" t="s">
        <v>2966</v>
      </c>
      <c r="E1135" s="5" t="s">
        <v>1856</v>
      </c>
      <c r="F1135" s="5" t="s">
        <v>2967</v>
      </c>
      <c r="G1135" s="6">
        <v>0.09</v>
      </c>
      <c r="H1135" s="5" t="s">
        <v>2968</v>
      </c>
      <c r="I1135" s="5" t="s">
        <v>20</v>
      </c>
      <c r="J1135" s="5">
        <v>2006.0</v>
      </c>
      <c r="K1135" s="8">
        <v>46083.0</v>
      </c>
      <c r="L1135" s="5">
        <v>3.0</v>
      </c>
      <c r="M1135" s="7">
        <f t="shared" si="3"/>
        <v>0.27</v>
      </c>
    </row>
    <row r="1136">
      <c r="A1136" s="5" t="s">
        <v>2969</v>
      </c>
      <c r="B1136" s="5" t="s">
        <v>2970</v>
      </c>
      <c r="C1136" s="5" t="s">
        <v>2860</v>
      </c>
      <c r="D1136" s="5" t="s">
        <v>2971</v>
      </c>
      <c r="E1136" s="5" t="s">
        <v>2972</v>
      </c>
      <c r="F1136" s="5" t="s">
        <v>2967</v>
      </c>
      <c r="G1136" s="6">
        <v>0.45</v>
      </c>
      <c r="H1136" s="5" t="s">
        <v>2475</v>
      </c>
      <c r="I1136" s="5" t="s">
        <v>20</v>
      </c>
      <c r="J1136" s="5">
        <v>2012.0</v>
      </c>
      <c r="K1136" s="8">
        <v>46085.0</v>
      </c>
      <c r="L1136" s="5">
        <v>1.0</v>
      </c>
      <c r="M1136" s="7">
        <f t="shared" si="3"/>
        <v>0.45</v>
      </c>
    </row>
    <row r="1137">
      <c r="A1137" s="5" t="s">
        <v>2973</v>
      </c>
      <c r="B1137" s="5" t="s">
        <v>2974</v>
      </c>
      <c r="C1137" s="5" t="s">
        <v>2140</v>
      </c>
      <c r="D1137" s="5" t="s">
        <v>2975</v>
      </c>
      <c r="E1137" s="5" t="s">
        <v>631</v>
      </c>
      <c r="F1137" s="5" t="s">
        <v>2967</v>
      </c>
      <c r="G1137" s="6">
        <v>0.08</v>
      </c>
      <c r="H1137" s="5" t="s">
        <v>2774</v>
      </c>
      <c r="I1137" s="5" t="s">
        <v>20</v>
      </c>
      <c r="J1137" s="5">
        <v>2015.0</v>
      </c>
      <c r="L1137" s="5">
        <v>3.0</v>
      </c>
      <c r="M1137" s="7">
        <f t="shared" si="3"/>
        <v>0.24</v>
      </c>
    </row>
    <row r="1138">
      <c r="A1138" s="5" t="s">
        <v>2976</v>
      </c>
      <c r="B1138" s="5" t="s">
        <v>2974</v>
      </c>
      <c r="C1138" s="5" t="s">
        <v>2140</v>
      </c>
      <c r="D1138" s="5" t="s">
        <v>2977</v>
      </c>
      <c r="E1138" s="5" t="s">
        <v>1329</v>
      </c>
      <c r="F1138" s="5" t="s">
        <v>2967</v>
      </c>
      <c r="G1138" s="6">
        <v>0.4</v>
      </c>
      <c r="H1138" s="5" t="s">
        <v>2240</v>
      </c>
      <c r="I1138" s="5" t="s">
        <v>20</v>
      </c>
      <c r="J1138" s="5">
        <v>2024.0</v>
      </c>
      <c r="L1138" s="5">
        <v>1.0</v>
      </c>
      <c r="M1138" s="7">
        <f t="shared" si="3"/>
        <v>0.4</v>
      </c>
    </row>
    <row r="1139">
      <c r="A1139" s="5" t="s">
        <v>2978</v>
      </c>
      <c r="B1139" s="5" t="s">
        <v>2979</v>
      </c>
      <c r="C1139" s="5" t="s">
        <v>1670</v>
      </c>
      <c r="D1139" s="5" t="s">
        <v>2980</v>
      </c>
      <c r="E1139" s="5" t="s">
        <v>2283</v>
      </c>
      <c r="F1139" s="5" t="s">
        <v>2981</v>
      </c>
      <c r="G1139" s="6">
        <v>0.24</v>
      </c>
      <c r="H1139" s="5" t="s">
        <v>2177</v>
      </c>
      <c r="I1139" s="5" t="s">
        <v>1794</v>
      </c>
      <c r="J1139" s="5">
        <v>2018.0</v>
      </c>
      <c r="K1139" s="8">
        <v>46023.0</v>
      </c>
      <c r="L1139" s="5">
        <v>2.0</v>
      </c>
      <c r="M1139" s="7">
        <f t="shared" si="3"/>
        <v>0.48</v>
      </c>
    </row>
    <row r="1140">
      <c r="A1140" s="5" t="s">
        <v>2982</v>
      </c>
      <c r="B1140" s="5" t="s">
        <v>2850</v>
      </c>
      <c r="C1140" s="5" t="s">
        <v>2140</v>
      </c>
      <c r="D1140" s="5" t="s">
        <v>2983</v>
      </c>
      <c r="E1140" s="5" t="s">
        <v>1859</v>
      </c>
      <c r="F1140" s="5" t="s">
        <v>2967</v>
      </c>
      <c r="G1140" s="6">
        <v>0.32</v>
      </c>
      <c r="H1140" s="5" t="s">
        <v>2774</v>
      </c>
      <c r="I1140" s="5" t="s">
        <v>20</v>
      </c>
      <c r="J1140" s="5">
        <v>2015.0</v>
      </c>
      <c r="L1140" s="5">
        <v>3.0</v>
      </c>
      <c r="M1140" s="7">
        <f t="shared" si="3"/>
        <v>0.96</v>
      </c>
    </row>
    <row r="1141">
      <c r="A1141" s="5" t="s">
        <v>2984</v>
      </c>
      <c r="B1141" s="5" t="s">
        <v>612</v>
      </c>
      <c r="C1141" s="5" t="s">
        <v>1670</v>
      </c>
      <c r="D1141" s="5" t="s">
        <v>2985</v>
      </c>
      <c r="E1141" s="5" t="s">
        <v>2844</v>
      </c>
      <c r="F1141" s="5" t="s">
        <v>2981</v>
      </c>
      <c r="G1141" s="6">
        <v>0.1</v>
      </c>
      <c r="H1141" s="5" t="s">
        <v>2177</v>
      </c>
      <c r="I1141" s="5" t="s">
        <v>1794</v>
      </c>
      <c r="J1141" s="5">
        <v>2018.0</v>
      </c>
      <c r="L1141" s="5">
        <v>2.0</v>
      </c>
      <c r="M1141" s="7">
        <f t="shared" si="3"/>
        <v>0.2</v>
      </c>
    </row>
    <row r="1142">
      <c r="A1142" s="5" t="s">
        <v>2984</v>
      </c>
      <c r="B1142" s="5" t="s">
        <v>612</v>
      </c>
      <c r="C1142" s="5" t="s">
        <v>1670</v>
      </c>
      <c r="D1142" s="5" t="s">
        <v>2985</v>
      </c>
      <c r="E1142" s="5" t="s">
        <v>2844</v>
      </c>
      <c r="F1142" s="5" t="s">
        <v>2981</v>
      </c>
      <c r="G1142" s="6">
        <v>0.4</v>
      </c>
      <c r="H1142" s="5" t="s">
        <v>2177</v>
      </c>
      <c r="I1142" s="5" t="s">
        <v>31</v>
      </c>
      <c r="J1142" s="5">
        <v>2018.0</v>
      </c>
      <c r="L1142" s="5">
        <v>1.0</v>
      </c>
      <c r="M1142" s="7">
        <f t="shared" si="3"/>
        <v>0.4</v>
      </c>
    </row>
    <row r="1143">
      <c r="A1143" s="5" t="s">
        <v>2986</v>
      </c>
      <c r="B1143" s="5" t="s">
        <v>387</v>
      </c>
      <c r="C1143" s="5" t="s">
        <v>1670</v>
      </c>
      <c r="D1143" s="5" t="s">
        <v>2987</v>
      </c>
      <c r="E1143" s="5" t="s">
        <v>2972</v>
      </c>
      <c r="F1143" s="5" t="s">
        <v>2981</v>
      </c>
      <c r="G1143" s="6">
        <v>0.1</v>
      </c>
      <c r="H1143" s="6" t="s">
        <v>2579</v>
      </c>
      <c r="I1143" s="5" t="s">
        <v>20</v>
      </c>
      <c r="J1143" s="5">
        <v>2004.0</v>
      </c>
      <c r="L1143" s="5">
        <v>4.0</v>
      </c>
      <c r="M1143" s="7">
        <f t="shared" si="3"/>
        <v>0.4</v>
      </c>
    </row>
    <row r="1144">
      <c r="A1144" s="5" t="s">
        <v>2988</v>
      </c>
      <c r="B1144" s="5" t="s">
        <v>2989</v>
      </c>
      <c r="C1144" s="5" t="s">
        <v>2140</v>
      </c>
      <c r="D1144" s="5" t="s">
        <v>2990</v>
      </c>
      <c r="E1144" s="5" t="s">
        <v>1859</v>
      </c>
      <c r="F1144" s="5" t="s">
        <v>2967</v>
      </c>
      <c r="G1144" s="6">
        <v>0.19</v>
      </c>
      <c r="H1144" s="5" t="s">
        <v>2774</v>
      </c>
      <c r="I1144" s="5" t="s">
        <v>20</v>
      </c>
      <c r="J1144" s="5">
        <v>2015.0</v>
      </c>
      <c r="L1144" s="5">
        <v>4.0</v>
      </c>
      <c r="M1144" s="7">
        <f t="shared" si="3"/>
        <v>0.76</v>
      </c>
    </row>
    <row r="1145">
      <c r="A1145" s="5" t="s">
        <v>2991</v>
      </c>
      <c r="B1145" s="5" t="s">
        <v>2974</v>
      </c>
      <c r="C1145" s="5" t="s">
        <v>2140</v>
      </c>
      <c r="D1145" s="5" t="s">
        <v>2992</v>
      </c>
      <c r="E1145" s="5" t="s">
        <v>631</v>
      </c>
      <c r="F1145" s="5" t="s">
        <v>2967</v>
      </c>
      <c r="G1145" s="6">
        <v>0.55</v>
      </c>
      <c r="H1145" s="5" t="s">
        <v>2475</v>
      </c>
      <c r="I1145" s="5" t="s">
        <v>20</v>
      </c>
      <c r="J1145" s="5">
        <v>2012.0</v>
      </c>
      <c r="L1145" s="5">
        <v>3.0</v>
      </c>
      <c r="M1145" s="7">
        <f t="shared" si="3"/>
        <v>1.65</v>
      </c>
    </row>
    <row r="1146">
      <c r="A1146" s="5" t="s">
        <v>2993</v>
      </c>
      <c r="B1146" s="5" t="s">
        <v>2974</v>
      </c>
      <c r="C1146" s="5" t="s">
        <v>2140</v>
      </c>
      <c r="D1146" s="5" t="s">
        <v>2994</v>
      </c>
      <c r="E1146" s="5" t="s">
        <v>2972</v>
      </c>
      <c r="F1146" s="5" t="s">
        <v>2967</v>
      </c>
      <c r="G1146" s="6">
        <v>0.05</v>
      </c>
      <c r="H1146" s="5" t="s">
        <v>2995</v>
      </c>
      <c r="I1146" s="5" t="s">
        <v>20</v>
      </c>
      <c r="J1146" s="5">
        <v>2013.0</v>
      </c>
      <c r="L1146" s="5">
        <v>4.0</v>
      </c>
      <c r="M1146" s="7">
        <f t="shared" si="3"/>
        <v>0.2</v>
      </c>
    </row>
    <row r="1147">
      <c r="A1147" s="5" t="s">
        <v>2996</v>
      </c>
      <c r="B1147" s="5" t="s">
        <v>2997</v>
      </c>
      <c r="C1147" s="5" t="s">
        <v>2860</v>
      </c>
      <c r="D1147" s="5" t="s">
        <v>2998</v>
      </c>
      <c r="E1147" s="5" t="s">
        <v>1761</v>
      </c>
      <c r="F1147" s="5" t="s">
        <v>2967</v>
      </c>
      <c r="G1147" s="6">
        <v>0.8</v>
      </c>
      <c r="H1147" s="5" t="s">
        <v>2999</v>
      </c>
      <c r="I1147" s="5" t="s">
        <v>20</v>
      </c>
      <c r="J1147" s="5">
        <v>2011.0</v>
      </c>
      <c r="K1147" s="8">
        <v>46146.0</v>
      </c>
      <c r="L1147" s="5">
        <v>1.0</v>
      </c>
      <c r="M1147" s="7">
        <f t="shared" si="3"/>
        <v>0.8</v>
      </c>
    </row>
    <row r="1148">
      <c r="A1148" s="5" t="s">
        <v>3000</v>
      </c>
      <c r="B1148" s="5" t="s">
        <v>2974</v>
      </c>
      <c r="C1148" s="5" t="s">
        <v>2140</v>
      </c>
      <c r="D1148" s="5" t="s">
        <v>3001</v>
      </c>
      <c r="E1148" s="5" t="s">
        <v>2283</v>
      </c>
      <c r="F1148" s="5" t="s">
        <v>2967</v>
      </c>
      <c r="G1148" s="6">
        <v>0.06</v>
      </c>
      <c r="H1148" s="5" t="s">
        <v>2624</v>
      </c>
      <c r="I1148" s="5" t="s">
        <v>20</v>
      </c>
      <c r="J1148" s="5">
        <v>2019.0</v>
      </c>
      <c r="L1148" s="5">
        <v>4.0</v>
      </c>
      <c r="M1148" s="7">
        <f t="shared" si="3"/>
        <v>0.24</v>
      </c>
    </row>
    <row r="1149">
      <c r="A1149" s="5" t="s">
        <v>3002</v>
      </c>
      <c r="B1149" s="5" t="s">
        <v>3003</v>
      </c>
      <c r="C1149" s="5" t="s">
        <v>2140</v>
      </c>
      <c r="D1149" s="5" t="s">
        <v>3004</v>
      </c>
      <c r="E1149" s="5" t="s">
        <v>631</v>
      </c>
      <c r="F1149" s="5" t="s">
        <v>2967</v>
      </c>
      <c r="G1149" s="6">
        <v>0.15</v>
      </c>
      <c r="H1149" s="5" t="s">
        <v>1707</v>
      </c>
      <c r="I1149" s="5" t="s">
        <v>20</v>
      </c>
      <c r="J1149" s="5">
        <v>2016.0</v>
      </c>
      <c r="K1149" s="8">
        <v>46023.0</v>
      </c>
      <c r="L1149" s="5">
        <v>4.0</v>
      </c>
      <c r="M1149" s="7">
        <f t="shared" si="3"/>
        <v>0.6</v>
      </c>
    </row>
    <row r="1150">
      <c r="A1150" s="5" t="s">
        <v>3005</v>
      </c>
      <c r="B1150" s="5" t="s">
        <v>2850</v>
      </c>
      <c r="C1150" s="5" t="s">
        <v>2140</v>
      </c>
      <c r="D1150" s="5" t="s">
        <v>3006</v>
      </c>
      <c r="E1150" s="5" t="s">
        <v>2283</v>
      </c>
      <c r="F1150" s="5" t="s">
        <v>2967</v>
      </c>
      <c r="G1150" s="6">
        <v>0.09</v>
      </c>
      <c r="H1150" s="5" t="s">
        <v>2388</v>
      </c>
      <c r="I1150" s="5" t="s">
        <v>20</v>
      </c>
      <c r="J1150" s="5">
        <v>2019.0</v>
      </c>
      <c r="L1150" s="5">
        <v>4.0</v>
      </c>
      <c r="M1150" s="7">
        <f t="shared" si="3"/>
        <v>0.36</v>
      </c>
    </row>
    <row r="1151">
      <c r="A1151" s="5" t="s">
        <v>3007</v>
      </c>
      <c r="B1151" s="5" t="s">
        <v>612</v>
      </c>
      <c r="C1151" s="5" t="s">
        <v>1670</v>
      </c>
      <c r="D1151" s="5" t="s">
        <v>3008</v>
      </c>
      <c r="E1151" s="5" t="s">
        <v>2972</v>
      </c>
      <c r="F1151" s="5" t="s">
        <v>2981</v>
      </c>
      <c r="G1151" s="6">
        <v>0.47</v>
      </c>
      <c r="H1151" s="5" t="s">
        <v>3009</v>
      </c>
      <c r="I1151" s="5" t="s">
        <v>1794</v>
      </c>
      <c r="J1151" s="5">
        <v>2016.0</v>
      </c>
      <c r="L1151" s="5">
        <v>2.0</v>
      </c>
      <c r="M1151" s="7">
        <f t="shared" si="3"/>
        <v>0.94</v>
      </c>
    </row>
    <row r="1152">
      <c r="A1152" s="5" t="s">
        <v>3010</v>
      </c>
      <c r="B1152" s="5" t="s">
        <v>3011</v>
      </c>
      <c r="C1152" s="5" t="s">
        <v>2846</v>
      </c>
      <c r="D1152" s="5" t="s">
        <v>3012</v>
      </c>
      <c r="E1152" s="5" t="s">
        <v>2384</v>
      </c>
      <c r="F1152" s="5" t="s">
        <v>2967</v>
      </c>
      <c r="G1152" s="6">
        <v>0.1</v>
      </c>
      <c r="H1152" s="5" t="s">
        <v>3013</v>
      </c>
      <c r="I1152" s="5" t="s">
        <v>20</v>
      </c>
      <c r="J1152" s="5">
        <v>2011.0</v>
      </c>
      <c r="K1152" s="8">
        <v>46116.0</v>
      </c>
      <c r="L1152" s="5">
        <v>1.0</v>
      </c>
      <c r="M1152" s="7">
        <f t="shared" si="3"/>
        <v>0.1</v>
      </c>
    </row>
    <row r="1153">
      <c r="A1153" s="5" t="s">
        <v>3010</v>
      </c>
      <c r="B1153" s="5" t="s">
        <v>3011</v>
      </c>
      <c r="C1153" s="5" t="s">
        <v>2846</v>
      </c>
      <c r="D1153" s="5" t="s">
        <v>3012</v>
      </c>
      <c r="E1153" s="5" t="s">
        <v>2384</v>
      </c>
      <c r="F1153" s="5" t="s">
        <v>2967</v>
      </c>
      <c r="G1153" s="6">
        <v>0.19</v>
      </c>
      <c r="H1153" s="5" t="s">
        <v>2774</v>
      </c>
      <c r="I1153" s="5" t="s">
        <v>20</v>
      </c>
      <c r="J1153" s="5">
        <v>2015.0</v>
      </c>
      <c r="K1153" s="8">
        <v>46116.0</v>
      </c>
      <c r="L1153" s="5">
        <v>3.0</v>
      </c>
      <c r="M1153" s="7">
        <f t="shared" si="3"/>
        <v>0.57</v>
      </c>
    </row>
    <row r="1154">
      <c r="A1154" s="5" t="s">
        <v>3014</v>
      </c>
      <c r="B1154" s="5" t="s">
        <v>3015</v>
      </c>
      <c r="C1154" s="5" t="s">
        <v>1670</v>
      </c>
      <c r="D1154" s="5" t="s">
        <v>3016</v>
      </c>
      <c r="E1154" s="5" t="s">
        <v>631</v>
      </c>
      <c r="F1154" s="5" t="s">
        <v>2981</v>
      </c>
      <c r="G1154" s="6">
        <v>0.03</v>
      </c>
      <c r="H1154" s="5" t="s">
        <v>2181</v>
      </c>
      <c r="I1154" s="5" t="s">
        <v>1794</v>
      </c>
      <c r="J1154" s="5">
        <v>2018.0</v>
      </c>
      <c r="K1154" s="8">
        <v>46054.0</v>
      </c>
      <c r="L1154" s="5">
        <v>4.0</v>
      </c>
      <c r="M1154" s="7">
        <f t="shared" si="3"/>
        <v>0.12</v>
      </c>
    </row>
    <row r="1155">
      <c r="A1155" s="5" t="s">
        <v>3017</v>
      </c>
      <c r="B1155" s="5" t="s">
        <v>2850</v>
      </c>
      <c r="C1155" s="5" t="s">
        <v>2140</v>
      </c>
      <c r="D1155" s="5" t="s">
        <v>3018</v>
      </c>
      <c r="E1155" s="5" t="s">
        <v>631</v>
      </c>
      <c r="F1155" s="5" t="s">
        <v>2967</v>
      </c>
      <c r="G1155" s="6">
        <v>0.09</v>
      </c>
      <c r="H1155" s="5" t="s">
        <v>1989</v>
      </c>
      <c r="I1155" s="5" t="s">
        <v>20</v>
      </c>
      <c r="J1155" s="5">
        <v>2019.0</v>
      </c>
      <c r="L1155" s="5">
        <v>1.0</v>
      </c>
      <c r="M1155" s="7">
        <f t="shared" si="3"/>
        <v>0.09</v>
      </c>
    </row>
    <row r="1156">
      <c r="A1156" s="5" t="s">
        <v>3017</v>
      </c>
      <c r="B1156" s="5" t="s">
        <v>2850</v>
      </c>
      <c r="C1156" s="5" t="s">
        <v>2140</v>
      </c>
      <c r="D1156" s="5" t="s">
        <v>3018</v>
      </c>
      <c r="E1156" s="5" t="s">
        <v>631</v>
      </c>
      <c r="F1156" s="5" t="s">
        <v>2967</v>
      </c>
      <c r="G1156" s="6">
        <v>0.1</v>
      </c>
      <c r="H1156" s="5" t="s">
        <v>3019</v>
      </c>
      <c r="I1156" s="5" t="s">
        <v>20</v>
      </c>
      <c r="J1156" s="5">
        <v>2013.0</v>
      </c>
      <c r="L1156" s="5">
        <v>1.0</v>
      </c>
      <c r="M1156" s="7">
        <f t="shared" si="3"/>
        <v>0.1</v>
      </c>
    </row>
    <row r="1157">
      <c r="A1157" s="5" t="s">
        <v>3017</v>
      </c>
      <c r="B1157" s="5" t="s">
        <v>2850</v>
      </c>
      <c r="C1157" s="5" t="s">
        <v>2140</v>
      </c>
      <c r="D1157" s="5" t="s">
        <v>3018</v>
      </c>
      <c r="E1157" s="5" t="s">
        <v>631</v>
      </c>
      <c r="F1157" s="5" t="s">
        <v>2967</v>
      </c>
      <c r="G1157" s="6">
        <v>0.08</v>
      </c>
      <c r="H1157" s="5" t="s">
        <v>3020</v>
      </c>
      <c r="I1157" s="5" t="s">
        <v>20</v>
      </c>
      <c r="J1157" s="5">
        <v>2012.0</v>
      </c>
      <c r="L1157" s="5">
        <v>3.0</v>
      </c>
      <c r="M1157" s="7">
        <f t="shared" si="3"/>
        <v>0.24</v>
      </c>
    </row>
    <row r="1158">
      <c r="A1158" s="5" t="s">
        <v>3021</v>
      </c>
      <c r="B1158" s="5" t="s">
        <v>3022</v>
      </c>
      <c r="C1158" s="5" t="s">
        <v>2140</v>
      </c>
      <c r="D1158" s="5" t="s">
        <v>3023</v>
      </c>
      <c r="E1158" s="5" t="s">
        <v>2283</v>
      </c>
      <c r="F1158" s="5" t="s">
        <v>2967</v>
      </c>
      <c r="G1158" s="6">
        <v>0.11</v>
      </c>
      <c r="H1158" s="5" t="s">
        <v>2475</v>
      </c>
      <c r="I1158" s="5" t="s">
        <v>20</v>
      </c>
      <c r="J1158" s="5">
        <v>2012.0</v>
      </c>
      <c r="K1158" s="8">
        <v>46023.0</v>
      </c>
      <c r="L1158" s="5">
        <v>4.0</v>
      </c>
      <c r="M1158" s="7">
        <f t="shared" si="3"/>
        <v>0.44</v>
      </c>
    </row>
    <row r="1159">
      <c r="A1159" s="5" t="s">
        <v>3024</v>
      </c>
      <c r="B1159" s="5" t="s">
        <v>2842</v>
      </c>
      <c r="C1159" s="5" t="s">
        <v>2140</v>
      </c>
      <c r="D1159" s="5" t="s">
        <v>3025</v>
      </c>
      <c r="E1159" s="5" t="s">
        <v>2283</v>
      </c>
      <c r="F1159" s="5" t="s">
        <v>2967</v>
      </c>
      <c r="G1159" s="6">
        <v>1.19</v>
      </c>
      <c r="H1159" s="5" t="s">
        <v>3026</v>
      </c>
      <c r="I1159" s="5" t="s">
        <v>20</v>
      </c>
      <c r="J1159" s="5">
        <v>2023.0</v>
      </c>
      <c r="K1159" s="8">
        <v>46023.0</v>
      </c>
      <c r="L1159" s="5">
        <v>3.0</v>
      </c>
      <c r="M1159" s="7">
        <f t="shared" si="3"/>
        <v>3.57</v>
      </c>
    </row>
    <row r="1160">
      <c r="A1160" s="5" t="s">
        <v>3024</v>
      </c>
      <c r="B1160" s="5" t="s">
        <v>3027</v>
      </c>
      <c r="C1160" s="5" t="s">
        <v>1670</v>
      </c>
      <c r="D1160" s="5" t="s">
        <v>3028</v>
      </c>
      <c r="E1160" s="5" t="s">
        <v>2283</v>
      </c>
      <c r="F1160" s="5" t="s">
        <v>2981</v>
      </c>
      <c r="G1160" s="6">
        <v>1.4</v>
      </c>
      <c r="H1160" s="5" t="s">
        <v>3029</v>
      </c>
      <c r="I1160" s="5" t="s">
        <v>1794</v>
      </c>
      <c r="J1160" s="5">
        <v>2011.0</v>
      </c>
      <c r="K1160" s="8">
        <v>46023.0</v>
      </c>
      <c r="L1160" s="5">
        <v>1.0</v>
      </c>
      <c r="M1160" s="7">
        <f t="shared" si="3"/>
        <v>1.4</v>
      </c>
    </row>
    <row r="1161">
      <c r="A1161" s="5" t="s">
        <v>3030</v>
      </c>
      <c r="B1161" s="5" t="s">
        <v>3031</v>
      </c>
      <c r="C1161" s="5" t="s">
        <v>2140</v>
      </c>
      <c r="D1161" s="5" t="s">
        <v>3032</v>
      </c>
      <c r="E1161" s="5" t="s">
        <v>2283</v>
      </c>
      <c r="F1161" s="5" t="s">
        <v>2967</v>
      </c>
      <c r="G1161" s="6">
        <v>0.06</v>
      </c>
      <c r="H1161" s="5" t="s">
        <v>1992</v>
      </c>
      <c r="I1161" s="5" t="s">
        <v>20</v>
      </c>
      <c r="J1161" s="5">
        <v>2011.0</v>
      </c>
      <c r="K1161" s="8">
        <v>46023.0</v>
      </c>
      <c r="L1161" s="5">
        <v>4.0</v>
      </c>
      <c r="M1161" s="7">
        <f t="shared" si="3"/>
        <v>0.24</v>
      </c>
    </row>
    <row r="1162">
      <c r="A1162" s="5" t="s">
        <v>3033</v>
      </c>
      <c r="B1162" s="5" t="s">
        <v>3027</v>
      </c>
      <c r="C1162" s="5" t="s">
        <v>1670</v>
      </c>
      <c r="D1162" s="5" t="s">
        <v>3034</v>
      </c>
      <c r="E1162" s="5" t="s">
        <v>2283</v>
      </c>
      <c r="F1162" s="5" t="s">
        <v>2981</v>
      </c>
      <c r="G1162" s="6">
        <v>0.05</v>
      </c>
      <c r="H1162" s="5" t="s">
        <v>2646</v>
      </c>
      <c r="I1162" s="5" t="s">
        <v>1794</v>
      </c>
      <c r="J1162" s="5">
        <v>2013.0</v>
      </c>
      <c r="K1162" s="8">
        <v>46082.0</v>
      </c>
      <c r="L1162" s="5">
        <v>4.0</v>
      </c>
      <c r="M1162" s="7">
        <f t="shared" si="3"/>
        <v>0.2</v>
      </c>
    </row>
    <row r="1163">
      <c r="A1163" s="5" t="s">
        <v>3035</v>
      </c>
      <c r="B1163" s="5" t="s">
        <v>2827</v>
      </c>
      <c r="C1163" s="5" t="s">
        <v>1670</v>
      </c>
      <c r="D1163" s="5" t="s">
        <v>3036</v>
      </c>
      <c r="E1163" s="5" t="s">
        <v>1856</v>
      </c>
      <c r="F1163" s="5" t="s">
        <v>2981</v>
      </c>
      <c r="G1163" s="6">
        <v>0.03</v>
      </c>
      <c r="H1163" s="5" t="s">
        <v>2181</v>
      </c>
      <c r="I1163" s="5" t="s">
        <v>1794</v>
      </c>
      <c r="J1163" s="5">
        <v>2018.0</v>
      </c>
      <c r="L1163" s="5">
        <v>4.0</v>
      </c>
      <c r="M1163" s="7">
        <f t="shared" si="3"/>
        <v>0.12</v>
      </c>
    </row>
    <row r="1164">
      <c r="A1164" s="5" t="s">
        <v>3037</v>
      </c>
      <c r="B1164" s="5" t="s">
        <v>2850</v>
      </c>
      <c r="C1164" s="5" t="s">
        <v>2860</v>
      </c>
      <c r="D1164" s="5" t="s">
        <v>3038</v>
      </c>
      <c r="E1164" s="5" t="s">
        <v>1859</v>
      </c>
      <c r="F1164" s="5" t="s">
        <v>2967</v>
      </c>
      <c r="G1164" s="6">
        <v>0.37</v>
      </c>
      <c r="H1164" s="5" t="s">
        <v>2562</v>
      </c>
      <c r="I1164" s="5" t="s">
        <v>20</v>
      </c>
      <c r="J1164" s="5">
        <v>2017.0</v>
      </c>
      <c r="L1164" s="5">
        <v>1.0</v>
      </c>
      <c r="M1164" s="7">
        <f t="shared" si="3"/>
        <v>0.37</v>
      </c>
    </row>
    <row r="1165">
      <c r="A1165" s="5" t="s">
        <v>3039</v>
      </c>
      <c r="B1165" s="5" t="s">
        <v>2850</v>
      </c>
      <c r="C1165" s="5" t="s">
        <v>2860</v>
      </c>
      <c r="D1165" s="5" t="s">
        <v>3040</v>
      </c>
      <c r="E1165" s="5" t="s">
        <v>1856</v>
      </c>
      <c r="F1165" s="5" t="s">
        <v>2967</v>
      </c>
      <c r="G1165" s="6">
        <v>0.4</v>
      </c>
      <c r="H1165" s="5" t="s">
        <v>2704</v>
      </c>
      <c r="I1165" s="5" t="s">
        <v>20</v>
      </c>
      <c r="J1165" s="5">
        <v>2010.0</v>
      </c>
      <c r="L1165" s="5">
        <v>1.0</v>
      </c>
      <c r="M1165" s="7">
        <f t="shared" si="3"/>
        <v>0.4</v>
      </c>
    </row>
    <row r="1166">
      <c r="A1166" s="5" t="s">
        <v>3041</v>
      </c>
      <c r="B1166" s="5" t="s">
        <v>3042</v>
      </c>
      <c r="C1166" s="5" t="s">
        <v>2860</v>
      </c>
      <c r="D1166" s="5" t="s">
        <v>3043</v>
      </c>
      <c r="E1166" s="5" t="s">
        <v>1761</v>
      </c>
      <c r="F1166" s="5" t="s">
        <v>2967</v>
      </c>
      <c r="G1166" s="6">
        <v>0.38</v>
      </c>
      <c r="H1166" s="5" t="s">
        <v>3044</v>
      </c>
      <c r="I1166" s="5" t="s">
        <v>20</v>
      </c>
      <c r="J1166" s="5">
        <v>2021.0</v>
      </c>
      <c r="K1166" s="8">
        <v>46083.0</v>
      </c>
      <c r="L1166" s="5">
        <v>1.0</v>
      </c>
      <c r="M1166" s="7">
        <f t="shared" si="3"/>
        <v>0.38</v>
      </c>
    </row>
    <row r="1167">
      <c r="A1167" s="5" t="s">
        <v>3045</v>
      </c>
      <c r="B1167" s="5" t="s">
        <v>3046</v>
      </c>
      <c r="C1167" s="5" t="s">
        <v>2860</v>
      </c>
      <c r="D1167" s="5" t="s">
        <v>3047</v>
      </c>
      <c r="E1167" s="5" t="s">
        <v>1761</v>
      </c>
      <c r="F1167" s="5" t="s">
        <v>2967</v>
      </c>
      <c r="G1167" s="6">
        <v>0.45</v>
      </c>
      <c r="H1167" s="5" t="s">
        <v>2244</v>
      </c>
      <c r="I1167" s="5" t="s">
        <v>20</v>
      </c>
      <c r="J1167" s="5">
        <v>2014.0</v>
      </c>
      <c r="K1167" s="8">
        <v>46083.0</v>
      </c>
      <c r="L1167" s="5">
        <v>1.0</v>
      </c>
      <c r="M1167" s="7">
        <f t="shared" si="3"/>
        <v>0.45</v>
      </c>
    </row>
    <row r="1168">
      <c r="A1168" s="5" t="s">
        <v>3048</v>
      </c>
      <c r="B1168" s="5" t="s">
        <v>3049</v>
      </c>
      <c r="C1168" s="5" t="s">
        <v>2860</v>
      </c>
      <c r="D1168" s="5" t="s">
        <v>3050</v>
      </c>
      <c r="E1168" s="5" t="s">
        <v>3051</v>
      </c>
      <c r="F1168" s="5" t="s">
        <v>2967</v>
      </c>
      <c r="G1168" s="6">
        <v>0.39</v>
      </c>
      <c r="H1168" s="5" t="s">
        <v>1667</v>
      </c>
      <c r="I1168" s="5" t="s">
        <v>20</v>
      </c>
      <c r="J1168" s="5">
        <v>2018.0</v>
      </c>
      <c r="K1168" s="8">
        <v>46180.0</v>
      </c>
      <c r="L1168" s="5">
        <v>1.0</v>
      </c>
      <c r="M1168" s="7">
        <f t="shared" si="3"/>
        <v>0.39</v>
      </c>
    </row>
    <row r="1169">
      <c r="A1169" s="5" t="s">
        <v>3052</v>
      </c>
      <c r="B1169" s="5" t="s">
        <v>612</v>
      </c>
      <c r="C1169" s="5" t="s">
        <v>1670</v>
      </c>
      <c r="D1169" s="5" t="s">
        <v>3053</v>
      </c>
      <c r="E1169" s="5" t="s">
        <v>631</v>
      </c>
      <c r="F1169" s="5" t="s">
        <v>2981</v>
      </c>
      <c r="G1169" s="6">
        <v>4.0</v>
      </c>
      <c r="H1169" s="5" t="s">
        <v>3054</v>
      </c>
      <c r="I1169" s="5" t="s">
        <v>31</v>
      </c>
      <c r="J1169" s="5">
        <v>2025.0</v>
      </c>
      <c r="L1169" s="5">
        <v>1.0</v>
      </c>
      <c r="M1169" s="7">
        <f t="shared" si="3"/>
        <v>4</v>
      </c>
    </row>
    <row r="1170">
      <c r="A1170" s="5" t="s">
        <v>3055</v>
      </c>
      <c r="B1170" s="5" t="s">
        <v>387</v>
      </c>
      <c r="C1170" s="5" t="s">
        <v>1631</v>
      </c>
      <c r="D1170" s="5" t="s">
        <v>3056</v>
      </c>
      <c r="E1170" s="5" t="s">
        <v>3057</v>
      </c>
      <c r="F1170" s="5" t="s">
        <v>2981</v>
      </c>
      <c r="G1170" s="6">
        <v>3.41</v>
      </c>
      <c r="H1170" s="5" t="s">
        <v>2221</v>
      </c>
      <c r="I1170" s="5" t="s">
        <v>1794</v>
      </c>
      <c r="J1170" s="5">
        <v>2024.0</v>
      </c>
      <c r="L1170" s="5">
        <v>1.0</v>
      </c>
      <c r="M1170" s="7">
        <f t="shared" si="3"/>
        <v>3.41</v>
      </c>
    </row>
    <row r="1171">
      <c r="A1171" s="5" t="s">
        <v>3058</v>
      </c>
      <c r="B1171" s="5" t="s">
        <v>3059</v>
      </c>
      <c r="C1171" s="5" t="s">
        <v>1670</v>
      </c>
      <c r="D1171" s="5" t="s">
        <v>3060</v>
      </c>
      <c r="E1171" s="5" t="s">
        <v>382</v>
      </c>
      <c r="F1171" s="5" t="s">
        <v>3061</v>
      </c>
      <c r="G1171" s="6">
        <v>0.1</v>
      </c>
      <c r="H1171" s="5" t="s">
        <v>2802</v>
      </c>
      <c r="I1171" s="5" t="s">
        <v>1794</v>
      </c>
      <c r="J1171" s="5">
        <v>2026.0</v>
      </c>
      <c r="K1171" s="8">
        <v>46082.0</v>
      </c>
      <c r="L1171" s="5">
        <v>1.0</v>
      </c>
      <c r="M1171" s="7">
        <f t="shared" si="3"/>
        <v>0.1</v>
      </c>
    </row>
    <row r="1172">
      <c r="A1172" s="5" t="s">
        <v>3062</v>
      </c>
      <c r="B1172" s="5" t="s">
        <v>2850</v>
      </c>
      <c r="C1172" s="5" t="s">
        <v>2140</v>
      </c>
      <c r="D1172" s="5" t="s">
        <v>3063</v>
      </c>
      <c r="E1172" s="5" t="s">
        <v>2330</v>
      </c>
      <c r="F1172" s="5" t="s">
        <v>3064</v>
      </c>
      <c r="G1172" s="6">
        <v>0.05</v>
      </c>
      <c r="H1172" s="5" t="s">
        <v>2802</v>
      </c>
      <c r="I1172" s="5" t="s">
        <v>20</v>
      </c>
      <c r="J1172" s="5">
        <v>2026.0</v>
      </c>
      <c r="L1172" s="5">
        <v>2.0</v>
      </c>
      <c r="M1172" s="7">
        <f t="shared" si="3"/>
        <v>0.1</v>
      </c>
    </row>
    <row r="1173">
      <c r="A1173" s="5" t="s">
        <v>3065</v>
      </c>
      <c r="B1173" s="5" t="s">
        <v>2827</v>
      </c>
      <c r="C1173" s="5" t="s">
        <v>1670</v>
      </c>
      <c r="D1173" s="5" t="s">
        <v>3066</v>
      </c>
      <c r="E1173" s="5" t="s">
        <v>382</v>
      </c>
      <c r="F1173" s="5" t="s">
        <v>3061</v>
      </c>
      <c r="G1173" s="6">
        <v>0.15</v>
      </c>
      <c r="H1173" s="5" t="s">
        <v>2802</v>
      </c>
      <c r="I1173" s="5" t="s">
        <v>1794</v>
      </c>
      <c r="J1173" s="5">
        <v>2026.0</v>
      </c>
      <c r="L1173" s="5">
        <v>1.0</v>
      </c>
      <c r="M1173" s="7">
        <f t="shared" si="3"/>
        <v>0.15</v>
      </c>
    </row>
    <row r="1174">
      <c r="A1174" s="5" t="s">
        <v>3067</v>
      </c>
      <c r="B1174" s="5" t="s">
        <v>612</v>
      </c>
      <c r="C1174" s="5" t="s">
        <v>1631</v>
      </c>
      <c r="D1174" s="5" t="s">
        <v>3068</v>
      </c>
      <c r="E1174" s="5" t="s">
        <v>2321</v>
      </c>
      <c r="F1174" s="5" t="s">
        <v>3061</v>
      </c>
      <c r="G1174" s="6">
        <v>0.09</v>
      </c>
      <c r="H1174" s="5" t="s">
        <v>2802</v>
      </c>
      <c r="I1174" s="5" t="s">
        <v>1794</v>
      </c>
      <c r="J1174" s="5">
        <v>2026.0</v>
      </c>
      <c r="L1174" s="5">
        <v>1.0</v>
      </c>
      <c r="M1174" s="7">
        <f t="shared" si="3"/>
        <v>0.09</v>
      </c>
    </row>
    <row r="1175">
      <c r="A1175" s="5" t="s">
        <v>3069</v>
      </c>
      <c r="B1175" s="5" t="s">
        <v>3070</v>
      </c>
      <c r="C1175" s="5" t="s">
        <v>1670</v>
      </c>
      <c r="D1175" s="5" t="s">
        <v>3071</v>
      </c>
      <c r="E1175" s="5" t="s">
        <v>1746</v>
      </c>
      <c r="F1175" s="5" t="s">
        <v>1798</v>
      </c>
      <c r="G1175" s="6">
        <v>0.09</v>
      </c>
      <c r="H1175" s="5" t="s">
        <v>2802</v>
      </c>
      <c r="I1175" s="5" t="s">
        <v>1794</v>
      </c>
      <c r="J1175" s="5">
        <v>2026.0</v>
      </c>
      <c r="K1175" s="8">
        <v>46055.0</v>
      </c>
      <c r="L1175" s="5">
        <v>2.0</v>
      </c>
      <c r="M1175" s="7">
        <f t="shared" si="3"/>
        <v>0.18</v>
      </c>
    </row>
    <row r="1176">
      <c r="A1176" s="5" t="s">
        <v>3072</v>
      </c>
      <c r="B1176" s="5" t="s">
        <v>849</v>
      </c>
      <c r="C1176" s="5" t="s">
        <v>1670</v>
      </c>
      <c r="D1176" s="5" t="s">
        <v>3073</v>
      </c>
      <c r="E1176" s="5" t="s">
        <v>1782</v>
      </c>
      <c r="F1176" s="5" t="s">
        <v>1798</v>
      </c>
      <c r="G1176" s="6">
        <v>0.2</v>
      </c>
      <c r="H1176" s="5" t="s">
        <v>2802</v>
      </c>
      <c r="I1176" s="5" t="s">
        <v>31</v>
      </c>
      <c r="J1176" s="5">
        <v>2026.0</v>
      </c>
      <c r="K1176" s="8">
        <v>46082.0</v>
      </c>
      <c r="L1176" s="5">
        <v>1.0</v>
      </c>
      <c r="M1176" s="7">
        <f t="shared" si="3"/>
        <v>0.2</v>
      </c>
    </row>
    <row r="1177">
      <c r="A1177" s="5" t="s">
        <v>3074</v>
      </c>
      <c r="B1177" s="5" t="s">
        <v>2819</v>
      </c>
      <c r="C1177" s="5" t="s">
        <v>1670</v>
      </c>
      <c r="D1177" s="5" t="s">
        <v>3075</v>
      </c>
      <c r="E1177" s="5" t="s">
        <v>3076</v>
      </c>
      <c r="F1177" s="5" t="s">
        <v>3077</v>
      </c>
      <c r="G1177" s="6">
        <v>0.1</v>
      </c>
      <c r="H1177" s="5" t="s">
        <v>2802</v>
      </c>
      <c r="I1177" s="5" t="s">
        <v>1794</v>
      </c>
      <c r="J1177" s="5">
        <v>2026.0</v>
      </c>
      <c r="K1177" s="8">
        <v>46115.0</v>
      </c>
      <c r="L1177" s="5">
        <v>3.0</v>
      </c>
      <c r="M1177" s="7">
        <f t="shared" si="3"/>
        <v>0.3</v>
      </c>
    </row>
    <row r="1178">
      <c r="A1178" s="5" t="s">
        <v>3078</v>
      </c>
      <c r="B1178" s="5" t="s">
        <v>612</v>
      </c>
      <c r="C1178" s="5" t="s">
        <v>1670</v>
      </c>
      <c r="D1178" s="5" t="s">
        <v>3079</v>
      </c>
      <c r="E1178" s="5" t="s">
        <v>2346</v>
      </c>
      <c r="F1178" s="5" t="s">
        <v>3080</v>
      </c>
      <c r="G1178" s="6">
        <v>0.1</v>
      </c>
      <c r="H1178" s="5" t="s">
        <v>2802</v>
      </c>
      <c r="I1178" s="5" t="s">
        <v>1794</v>
      </c>
      <c r="J1178" s="5">
        <v>2026.0</v>
      </c>
      <c r="L1178" s="5">
        <v>1.0</v>
      </c>
      <c r="M1178" s="7">
        <f t="shared" si="3"/>
        <v>0.1</v>
      </c>
    </row>
    <row r="1179">
      <c r="A1179" s="5" t="s">
        <v>3081</v>
      </c>
      <c r="B1179" s="5" t="s">
        <v>1756</v>
      </c>
      <c r="C1179" s="5" t="s">
        <v>1631</v>
      </c>
      <c r="D1179" s="5" t="s">
        <v>3082</v>
      </c>
      <c r="E1179" s="5" t="s">
        <v>2346</v>
      </c>
      <c r="F1179" s="5" t="s">
        <v>3080</v>
      </c>
      <c r="G1179" s="6">
        <v>0.15</v>
      </c>
      <c r="H1179" s="5" t="s">
        <v>2802</v>
      </c>
      <c r="I1179" s="5" t="s">
        <v>1794</v>
      </c>
      <c r="J1179" s="5">
        <v>2026.0</v>
      </c>
      <c r="L1179" s="5">
        <v>1.0</v>
      </c>
      <c r="M1179" s="7">
        <f t="shared" si="3"/>
        <v>0.15</v>
      </c>
    </row>
    <row r="1180">
      <c r="A1180" s="5" t="s">
        <v>3083</v>
      </c>
      <c r="B1180" s="5" t="s">
        <v>2808</v>
      </c>
      <c r="C1180" s="5" t="s">
        <v>1951</v>
      </c>
      <c r="D1180" s="5" t="s">
        <v>3084</v>
      </c>
      <c r="E1180" s="5" t="s">
        <v>932</v>
      </c>
      <c r="F1180" s="5" t="s">
        <v>166</v>
      </c>
      <c r="G1180" s="6">
        <v>0.19</v>
      </c>
      <c r="H1180" s="5" t="s">
        <v>2802</v>
      </c>
      <c r="I1180" s="5" t="s">
        <v>20</v>
      </c>
      <c r="J1180" s="5">
        <v>2026.0</v>
      </c>
      <c r="K1180" s="8">
        <v>46024.0</v>
      </c>
      <c r="L1180" s="5">
        <v>1.0</v>
      </c>
      <c r="M1180" s="7">
        <f t="shared" si="3"/>
        <v>0.19</v>
      </c>
    </row>
    <row r="1181">
      <c r="A1181" s="5" t="s">
        <v>3085</v>
      </c>
      <c r="B1181" s="5" t="s">
        <v>3086</v>
      </c>
      <c r="C1181" s="5" t="s">
        <v>1670</v>
      </c>
      <c r="D1181" s="5" t="s">
        <v>3087</v>
      </c>
      <c r="E1181" s="5" t="s">
        <v>2362</v>
      </c>
      <c r="F1181" s="5" t="s">
        <v>3080</v>
      </c>
      <c r="G1181" s="6">
        <v>0.09</v>
      </c>
      <c r="H1181" s="5" t="s">
        <v>2802</v>
      </c>
      <c r="I1181" s="5" t="s">
        <v>1794</v>
      </c>
      <c r="J1181" s="5">
        <v>2026.0</v>
      </c>
      <c r="K1181" s="8">
        <v>46148.0</v>
      </c>
      <c r="L1181" s="5">
        <v>1.0</v>
      </c>
      <c r="M1181" s="7">
        <f t="shared" si="3"/>
        <v>0.09</v>
      </c>
    </row>
    <row r="1182">
      <c r="A1182" s="5" t="s">
        <v>3088</v>
      </c>
      <c r="B1182" s="5" t="s">
        <v>612</v>
      </c>
      <c r="C1182" s="5" t="s">
        <v>1670</v>
      </c>
      <c r="D1182" s="5" t="s">
        <v>3089</v>
      </c>
      <c r="E1182" s="5" t="s">
        <v>2369</v>
      </c>
      <c r="F1182" s="5" t="s">
        <v>3080</v>
      </c>
      <c r="G1182" s="6">
        <v>0.05</v>
      </c>
      <c r="H1182" s="5" t="s">
        <v>2802</v>
      </c>
      <c r="I1182" s="5" t="s">
        <v>1794</v>
      </c>
      <c r="J1182" s="5">
        <v>2026.0</v>
      </c>
      <c r="L1182" s="5">
        <v>1.0</v>
      </c>
      <c r="M1182" s="7">
        <f t="shared" si="3"/>
        <v>0.05</v>
      </c>
    </row>
    <row r="1183">
      <c r="A1183" s="5" t="s">
        <v>3090</v>
      </c>
      <c r="B1183" s="5" t="s">
        <v>3086</v>
      </c>
      <c r="C1183" s="5" t="s">
        <v>1670</v>
      </c>
      <c r="D1183" s="5" t="s">
        <v>3091</v>
      </c>
      <c r="E1183" s="5" t="s">
        <v>2346</v>
      </c>
      <c r="F1183" s="5" t="s">
        <v>3080</v>
      </c>
      <c r="G1183" s="6">
        <v>0.2</v>
      </c>
      <c r="H1183" s="5" t="s">
        <v>2802</v>
      </c>
      <c r="I1183" s="5" t="s">
        <v>31</v>
      </c>
      <c r="J1183" s="5">
        <v>2026.0</v>
      </c>
      <c r="K1183" s="8">
        <v>46055.0</v>
      </c>
      <c r="L1183" s="5">
        <v>1.0</v>
      </c>
      <c r="M1183" s="7">
        <f t="shared" si="3"/>
        <v>0.2</v>
      </c>
    </row>
    <row r="1184">
      <c r="A1184" s="5" t="s">
        <v>3090</v>
      </c>
      <c r="B1184" s="5" t="s">
        <v>3086</v>
      </c>
      <c r="C1184" s="5" t="s">
        <v>1670</v>
      </c>
      <c r="D1184" s="5" t="s">
        <v>3091</v>
      </c>
      <c r="E1184" s="5" t="s">
        <v>2346</v>
      </c>
      <c r="F1184" s="5" t="s">
        <v>3080</v>
      </c>
      <c r="G1184" s="6">
        <v>0.1</v>
      </c>
      <c r="H1184" s="5" t="s">
        <v>2802</v>
      </c>
      <c r="I1184" s="5" t="s">
        <v>1794</v>
      </c>
      <c r="J1184" s="5">
        <v>2026.0</v>
      </c>
      <c r="K1184" s="8">
        <v>46055.0</v>
      </c>
      <c r="L1184" s="5">
        <v>1.0</v>
      </c>
      <c r="M1184" s="7">
        <f t="shared" si="3"/>
        <v>0.1</v>
      </c>
    </row>
    <row r="1185">
      <c r="A1185" s="5" t="s">
        <v>3092</v>
      </c>
      <c r="B1185" s="5" t="s">
        <v>2836</v>
      </c>
      <c r="C1185" s="5" t="s">
        <v>297</v>
      </c>
      <c r="D1185" s="5" t="s">
        <v>3093</v>
      </c>
      <c r="E1185" s="5" t="s">
        <v>2369</v>
      </c>
      <c r="F1185" s="5" t="s">
        <v>166</v>
      </c>
      <c r="G1185" s="6">
        <v>0.1</v>
      </c>
      <c r="H1185" s="5" t="s">
        <v>2802</v>
      </c>
      <c r="I1185" s="5" t="s">
        <v>20</v>
      </c>
      <c r="J1185" s="5">
        <v>2026.0</v>
      </c>
      <c r="K1185" s="8">
        <v>46114.0</v>
      </c>
      <c r="L1185" s="5">
        <v>1.0</v>
      </c>
      <c r="M1185" s="7">
        <f t="shared" si="3"/>
        <v>0.1</v>
      </c>
    </row>
    <row r="1186">
      <c r="A1186" s="5" t="s">
        <v>3094</v>
      </c>
      <c r="B1186" s="5" t="s">
        <v>3095</v>
      </c>
      <c r="C1186" s="5" t="s">
        <v>297</v>
      </c>
      <c r="D1186" s="5" t="s">
        <v>3096</v>
      </c>
      <c r="E1186" s="5" t="s">
        <v>2369</v>
      </c>
      <c r="F1186" s="5" t="s">
        <v>166</v>
      </c>
      <c r="G1186" s="6">
        <v>0.08</v>
      </c>
      <c r="H1186" s="5" t="s">
        <v>3097</v>
      </c>
      <c r="I1186" s="5" t="s">
        <v>20</v>
      </c>
      <c r="J1186" s="5">
        <v>2015.0</v>
      </c>
      <c r="K1186" s="8">
        <v>46056.0</v>
      </c>
      <c r="L1186" s="5">
        <v>1.0</v>
      </c>
      <c r="M1186" s="7">
        <f t="shared" si="3"/>
        <v>0.08</v>
      </c>
    </row>
    <row r="1187">
      <c r="A1187" s="5" t="s">
        <v>3098</v>
      </c>
      <c r="B1187" s="5" t="s">
        <v>2883</v>
      </c>
      <c r="C1187" s="5" t="s">
        <v>297</v>
      </c>
      <c r="D1187" s="5" t="s">
        <v>3099</v>
      </c>
      <c r="E1187" s="5" t="s">
        <v>2354</v>
      </c>
      <c r="F1187" s="5" t="s">
        <v>166</v>
      </c>
      <c r="G1187" s="6">
        <v>0.1</v>
      </c>
      <c r="H1187" s="5" t="s">
        <v>2802</v>
      </c>
      <c r="I1187" s="5" t="s">
        <v>20</v>
      </c>
      <c r="J1187" s="5">
        <v>2026.0</v>
      </c>
      <c r="K1187" s="8">
        <v>46055.0</v>
      </c>
      <c r="L1187" s="5">
        <v>1.0</v>
      </c>
      <c r="M1187" s="7">
        <f t="shared" si="3"/>
        <v>0.1</v>
      </c>
    </row>
    <row r="1188">
      <c r="A1188" s="5" t="s">
        <v>3098</v>
      </c>
      <c r="B1188" s="5" t="s">
        <v>2883</v>
      </c>
      <c r="C1188" s="5" t="s">
        <v>297</v>
      </c>
      <c r="D1188" s="5" t="s">
        <v>3099</v>
      </c>
      <c r="E1188" s="5" t="s">
        <v>2354</v>
      </c>
      <c r="F1188" s="5" t="s">
        <v>166</v>
      </c>
      <c r="G1188" s="6">
        <v>0.25</v>
      </c>
      <c r="H1188" s="5" t="s">
        <v>2802</v>
      </c>
      <c r="I1188" s="5" t="s">
        <v>31</v>
      </c>
      <c r="J1188" s="5">
        <v>2026.0</v>
      </c>
      <c r="K1188" s="8">
        <v>46055.0</v>
      </c>
      <c r="L1188" s="5">
        <v>1.0</v>
      </c>
      <c r="M1188" s="7">
        <f t="shared" si="3"/>
        <v>0.25</v>
      </c>
    </row>
    <row r="1189">
      <c r="A1189" s="5" t="s">
        <v>3100</v>
      </c>
      <c r="B1189" s="5" t="s">
        <v>2808</v>
      </c>
      <c r="C1189" s="5" t="s">
        <v>297</v>
      </c>
      <c r="D1189" s="5" t="s">
        <v>3101</v>
      </c>
      <c r="E1189" s="5" t="s">
        <v>2369</v>
      </c>
      <c r="F1189" s="5" t="s">
        <v>166</v>
      </c>
      <c r="G1189" s="6">
        <v>0.11</v>
      </c>
      <c r="H1189" s="5" t="s">
        <v>2802</v>
      </c>
      <c r="I1189" s="5" t="s">
        <v>20</v>
      </c>
      <c r="J1189" s="5">
        <v>2026.0</v>
      </c>
      <c r="K1189" s="8">
        <v>46085.0</v>
      </c>
      <c r="L1189" s="5">
        <v>1.0</v>
      </c>
      <c r="M1189" s="7">
        <f t="shared" si="3"/>
        <v>0.11</v>
      </c>
    </row>
    <row r="1190">
      <c r="A1190" s="5" t="s">
        <v>3102</v>
      </c>
      <c r="B1190" s="5" t="s">
        <v>3103</v>
      </c>
      <c r="C1190" s="5" t="s">
        <v>297</v>
      </c>
      <c r="D1190" s="5" t="s">
        <v>3104</v>
      </c>
      <c r="E1190" s="5" t="s">
        <v>2346</v>
      </c>
      <c r="F1190" s="5" t="s">
        <v>166</v>
      </c>
      <c r="G1190" s="6">
        <v>0.1</v>
      </c>
      <c r="H1190" s="5" t="s">
        <v>2802</v>
      </c>
      <c r="I1190" s="5" t="s">
        <v>20</v>
      </c>
      <c r="J1190" s="5">
        <v>2026.0</v>
      </c>
      <c r="K1190" s="8">
        <v>46082.0</v>
      </c>
      <c r="L1190" s="5">
        <v>2.0</v>
      </c>
      <c r="M1190" s="7">
        <f t="shared" si="3"/>
        <v>0.2</v>
      </c>
    </row>
    <row r="1191">
      <c r="A1191" s="5" t="s">
        <v>3105</v>
      </c>
      <c r="B1191" s="5" t="s">
        <v>387</v>
      </c>
      <c r="C1191" s="5" t="s">
        <v>1631</v>
      </c>
      <c r="D1191" s="5" t="s">
        <v>3106</v>
      </c>
      <c r="E1191" s="5" t="s">
        <v>932</v>
      </c>
      <c r="F1191" s="5" t="s">
        <v>166</v>
      </c>
      <c r="G1191" s="6">
        <v>0.1</v>
      </c>
      <c r="H1191" s="5" t="s">
        <v>2802</v>
      </c>
      <c r="I1191" s="5" t="s">
        <v>1794</v>
      </c>
      <c r="J1191" s="5">
        <v>2026.0</v>
      </c>
      <c r="L1191" s="5">
        <v>2.0</v>
      </c>
      <c r="M1191" s="7">
        <f t="shared" si="3"/>
        <v>0.2</v>
      </c>
    </row>
    <row r="1192">
      <c r="A1192" s="5" t="s">
        <v>3107</v>
      </c>
      <c r="B1192" s="5" t="s">
        <v>2819</v>
      </c>
      <c r="C1192" s="5" t="s">
        <v>1631</v>
      </c>
      <c r="D1192" s="5" t="s">
        <v>3108</v>
      </c>
      <c r="E1192" s="5" t="s">
        <v>2354</v>
      </c>
      <c r="F1192" s="5" t="s">
        <v>166</v>
      </c>
      <c r="G1192" s="6">
        <v>0.08</v>
      </c>
      <c r="H1192" s="5" t="s">
        <v>2802</v>
      </c>
      <c r="I1192" s="5" t="s">
        <v>1794</v>
      </c>
      <c r="J1192" s="5">
        <v>2026.0</v>
      </c>
      <c r="K1192" s="8">
        <v>46056.0</v>
      </c>
      <c r="L1192" s="5">
        <v>1.0</v>
      </c>
      <c r="M1192" s="7">
        <f t="shared" si="3"/>
        <v>0.08</v>
      </c>
    </row>
    <row r="1193">
      <c r="A1193" s="5" t="s">
        <v>3109</v>
      </c>
      <c r="B1193" s="5" t="s">
        <v>3110</v>
      </c>
      <c r="C1193" s="5" t="s">
        <v>1899</v>
      </c>
      <c r="D1193" s="5" t="s">
        <v>3111</v>
      </c>
      <c r="E1193" s="5" t="s">
        <v>3112</v>
      </c>
      <c r="F1193" s="5" t="s">
        <v>3113</v>
      </c>
      <c r="G1193" s="6">
        <v>0.37</v>
      </c>
      <c r="H1193" s="5" t="s">
        <v>2802</v>
      </c>
      <c r="I1193" s="5" t="s">
        <v>20</v>
      </c>
      <c r="J1193" s="5">
        <v>2026.0</v>
      </c>
      <c r="L1193" s="5">
        <v>1.0</v>
      </c>
      <c r="M1193" s="7">
        <f t="shared" si="3"/>
        <v>0.37</v>
      </c>
    </row>
    <row r="1194">
      <c r="A1194" s="5" t="s">
        <v>3114</v>
      </c>
      <c r="B1194" s="5" t="s">
        <v>3115</v>
      </c>
      <c r="C1194" s="5" t="s">
        <v>297</v>
      </c>
      <c r="D1194" s="5" t="s">
        <v>3116</v>
      </c>
      <c r="E1194" s="5" t="s">
        <v>932</v>
      </c>
      <c r="F1194" s="5" t="s">
        <v>166</v>
      </c>
      <c r="G1194" s="6">
        <v>0.06</v>
      </c>
      <c r="H1194" s="5" t="s">
        <v>2515</v>
      </c>
      <c r="I1194" s="5" t="s">
        <v>20</v>
      </c>
      <c r="J1194" s="5">
        <v>2018.0</v>
      </c>
      <c r="K1194" s="8">
        <v>46023.0</v>
      </c>
      <c r="L1194" s="5">
        <v>3.0</v>
      </c>
      <c r="M1194" s="7">
        <f t="shared" si="3"/>
        <v>0.18</v>
      </c>
    </row>
    <row r="1195">
      <c r="A1195" s="5" t="s">
        <v>3117</v>
      </c>
      <c r="B1195" s="5" t="s">
        <v>2883</v>
      </c>
      <c r="C1195" s="5" t="s">
        <v>1951</v>
      </c>
      <c r="D1195" s="5" t="s">
        <v>3118</v>
      </c>
      <c r="E1195" s="5" t="s">
        <v>1492</v>
      </c>
      <c r="F1195" s="5" t="s">
        <v>3119</v>
      </c>
      <c r="G1195" s="6">
        <v>0.25</v>
      </c>
      <c r="H1195" s="5" t="s">
        <v>2802</v>
      </c>
      <c r="I1195" s="5" t="s">
        <v>20</v>
      </c>
      <c r="J1195" s="5">
        <v>2026.0</v>
      </c>
      <c r="K1195" s="8">
        <v>46083.0</v>
      </c>
      <c r="L1195" s="5">
        <v>1.0</v>
      </c>
      <c r="M1195" s="7">
        <f t="shared" si="3"/>
        <v>0.25</v>
      </c>
    </row>
    <row r="1196">
      <c r="A1196" s="5" t="s">
        <v>3120</v>
      </c>
      <c r="B1196" s="5" t="s">
        <v>2883</v>
      </c>
      <c r="C1196" s="5" t="s">
        <v>297</v>
      </c>
      <c r="D1196" s="5" t="s">
        <v>3121</v>
      </c>
      <c r="E1196" s="5" t="s">
        <v>3122</v>
      </c>
      <c r="F1196" s="5" t="s">
        <v>3119</v>
      </c>
      <c r="G1196" s="6">
        <v>0.11</v>
      </c>
      <c r="H1196" s="5" t="s">
        <v>2802</v>
      </c>
      <c r="I1196" s="5" t="s">
        <v>20</v>
      </c>
      <c r="J1196" s="5">
        <v>2026.0</v>
      </c>
      <c r="K1196" s="8">
        <v>46117.0</v>
      </c>
      <c r="L1196" s="5">
        <v>1.0</v>
      </c>
      <c r="M1196" s="7">
        <f t="shared" si="3"/>
        <v>0.11</v>
      </c>
    </row>
    <row r="1197">
      <c r="A1197" s="5" t="s">
        <v>3123</v>
      </c>
      <c r="B1197" s="5" t="s">
        <v>3124</v>
      </c>
      <c r="C1197" s="5" t="s">
        <v>297</v>
      </c>
      <c r="D1197" s="5" t="s">
        <v>3125</v>
      </c>
      <c r="E1197" s="5" t="s">
        <v>2669</v>
      </c>
      <c r="F1197" s="5" t="s">
        <v>18</v>
      </c>
      <c r="G1197" s="6">
        <v>0.1</v>
      </c>
      <c r="H1197" s="5" t="s">
        <v>2802</v>
      </c>
      <c r="I1197" s="5" t="s">
        <v>20</v>
      </c>
      <c r="J1197" s="5">
        <v>2026.0</v>
      </c>
      <c r="K1197" s="8">
        <v>46148.0</v>
      </c>
      <c r="L1197" s="5">
        <v>1.0</v>
      </c>
      <c r="M1197" s="7">
        <f t="shared" si="3"/>
        <v>0.1</v>
      </c>
    </row>
    <row r="1198">
      <c r="A1198" s="5" t="s">
        <v>3126</v>
      </c>
      <c r="B1198" s="5" t="s">
        <v>612</v>
      </c>
      <c r="C1198" s="5" t="s">
        <v>297</v>
      </c>
      <c r="D1198" s="5" t="s">
        <v>3127</v>
      </c>
      <c r="E1198" s="5" t="s">
        <v>2298</v>
      </c>
      <c r="F1198" s="5" t="s">
        <v>18</v>
      </c>
      <c r="G1198" s="6">
        <v>0.1</v>
      </c>
      <c r="H1198" s="5" t="s">
        <v>2802</v>
      </c>
      <c r="I1198" s="5" t="s">
        <v>20</v>
      </c>
      <c r="J1198" s="5">
        <v>2026.0</v>
      </c>
      <c r="L1198" s="5">
        <v>1.0</v>
      </c>
      <c r="M1198" s="7">
        <f t="shared" si="3"/>
        <v>0.1</v>
      </c>
    </row>
    <row r="1199">
      <c r="A1199" s="5" t="s">
        <v>3128</v>
      </c>
      <c r="B1199" s="5" t="s">
        <v>3129</v>
      </c>
      <c r="C1199" s="5" t="s">
        <v>297</v>
      </c>
      <c r="D1199" s="5" t="s">
        <v>3130</v>
      </c>
      <c r="E1199" s="5" t="s">
        <v>1782</v>
      </c>
      <c r="F1199" s="5" t="s">
        <v>152</v>
      </c>
      <c r="G1199" s="6">
        <v>0.09</v>
      </c>
      <c r="H1199" s="5" t="s">
        <v>2802</v>
      </c>
      <c r="I1199" s="5" t="s">
        <v>20</v>
      </c>
      <c r="J1199" s="5">
        <v>2026.0</v>
      </c>
      <c r="K1199" s="8">
        <v>46116.0</v>
      </c>
      <c r="L1199" s="5">
        <v>4.0</v>
      </c>
      <c r="M1199" s="7">
        <f t="shared" si="3"/>
        <v>0.36</v>
      </c>
    </row>
    <row r="1200">
      <c r="A1200" s="5" t="s">
        <v>3131</v>
      </c>
      <c r="B1200" s="5" t="s">
        <v>612</v>
      </c>
      <c r="C1200" s="5" t="s">
        <v>1951</v>
      </c>
      <c r="D1200" s="5" t="s">
        <v>3132</v>
      </c>
      <c r="E1200" s="5" t="s">
        <v>1782</v>
      </c>
      <c r="F1200" s="5" t="s">
        <v>152</v>
      </c>
      <c r="G1200" s="6">
        <v>0.06</v>
      </c>
      <c r="H1200" s="5" t="s">
        <v>2802</v>
      </c>
      <c r="I1200" s="5" t="s">
        <v>20</v>
      </c>
      <c r="J1200" s="5">
        <v>2026.0</v>
      </c>
      <c r="L1200" s="5">
        <v>1.0</v>
      </c>
      <c r="M1200" s="7">
        <f t="shared" si="3"/>
        <v>0.06</v>
      </c>
    </row>
    <row r="1201">
      <c r="A1201" s="5" t="s">
        <v>3133</v>
      </c>
      <c r="B1201" s="5" t="s">
        <v>612</v>
      </c>
      <c r="C1201" s="5" t="s">
        <v>1951</v>
      </c>
      <c r="D1201" s="5" t="s">
        <v>3134</v>
      </c>
      <c r="E1201" s="5" t="s">
        <v>1782</v>
      </c>
      <c r="F1201" s="5" t="s">
        <v>152</v>
      </c>
      <c r="G1201" s="6">
        <v>0.19</v>
      </c>
      <c r="H1201" s="5" t="s">
        <v>2802</v>
      </c>
      <c r="I1201" s="5" t="s">
        <v>20</v>
      </c>
      <c r="J1201" s="5">
        <v>2026.0</v>
      </c>
      <c r="L1201" s="5">
        <v>1.0</v>
      </c>
      <c r="M1201" s="7">
        <f t="shared" si="3"/>
        <v>0.19</v>
      </c>
    </row>
    <row r="1202">
      <c r="A1202" s="5" t="s">
        <v>3135</v>
      </c>
      <c r="B1202" s="5" t="s">
        <v>612</v>
      </c>
      <c r="C1202" s="5" t="s">
        <v>1951</v>
      </c>
      <c r="D1202" s="5" t="s">
        <v>3136</v>
      </c>
      <c r="E1202" s="5" t="s">
        <v>1746</v>
      </c>
      <c r="F1202" s="5" t="s">
        <v>152</v>
      </c>
      <c r="G1202" s="6">
        <v>0.07</v>
      </c>
      <c r="H1202" s="5" t="s">
        <v>2802</v>
      </c>
      <c r="I1202" s="5" t="s">
        <v>20</v>
      </c>
      <c r="J1202" s="5">
        <v>2026.0</v>
      </c>
      <c r="L1202" s="5">
        <v>1.0</v>
      </c>
      <c r="M1202" s="7">
        <f t="shared" si="3"/>
        <v>0.07</v>
      </c>
    </row>
    <row r="1203">
      <c r="A1203" s="5" t="s">
        <v>3137</v>
      </c>
      <c r="B1203" s="5" t="s">
        <v>3138</v>
      </c>
      <c r="C1203" s="5" t="s">
        <v>1951</v>
      </c>
      <c r="D1203" s="5" t="s">
        <v>3139</v>
      </c>
      <c r="E1203" s="5" t="s">
        <v>1782</v>
      </c>
      <c r="F1203" s="5" t="s">
        <v>152</v>
      </c>
      <c r="G1203" s="6">
        <v>0.05</v>
      </c>
      <c r="H1203" s="5" t="s">
        <v>2802</v>
      </c>
      <c r="I1203" s="5" t="s">
        <v>20</v>
      </c>
      <c r="J1203" s="5">
        <v>2026.0</v>
      </c>
      <c r="K1203" s="8">
        <v>46144.0</v>
      </c>
      <c r="L1203" s="5">
        <v>1.0</v>
      </c>
      <c r="M1203" s="7">
        <f t="shared" si="3"/>
        <v>0.05</v>
      </c>
    </row>
    <row r="1204">
      <c r="A1204" s="5" t="s">
        <v>3140</v>
      </c>
      <c r="B1204" s="5" t="s">
        <v>3141</v>
      </c>
      <c r="C1204" s="5" t="s">
        <v>1951</v>
      </c>
      <c r="D1204" s="5" t="s">
        <v>3142</v>
      </c>
      <c r="E1204" s="5" t="s">
        <v>715</v>
      </c>
      <c r="F1204" s="5" t="s">
        <v>152</v>
      </c>
      <c r="G1204" s="6">
        <v>0.2</v>
      </c>
      <c r="H1204" s="5" t="s">
        <v>2802</v>
      </c>
      <c r="I1204" s="5" t="s">
        <v>20</v>
      </c>
      <c r="J1204" s="5">
        <v>2026.0</v>
      </c>
      <c r="K1204" s="8">
        <v>46024.0</v>
      </c>
      <c r="L1204" s="5">
        <v>1.0</v>
      </c>
      <c r="M1204" s="7">
        <f t="shared" si="3"/>
        <v>0.2</v>
      </c>
    </row>
    <row r="1205">
      <c r="A1205" s="5" t="s">
        <v>3143</v>
      </c>
      <c r="B1205" s="5" t="s">
        <v>3144</v>
      </c>
      <c r="C1205" s="5" t="s">
        <v>297</v>
      </c>
      <c r="D1205" s="5" t="s">
        <v>3145</v>
      </c>
      <c r="E1205" s="5" t="s">
        <v>1764</v>
      </c>
      <c r="F1205" s="5" t="s">
        <v>152</v>
      </c>
      <c r="G1205" s="6">
        <v>0.1</v>
      </c>
      <c r="H1205" s="5" t="s">
        <v>2802</v>
      </c>
      <c r="I1205" s="5" t="s">
        <v>20</v>
      </c>
      <c r="J1205" s="5">
        <v>2026.0</v>
      </c>
      <c r="K1205" s="8">
        <v>46115.0</v>
      </c>
      <c r="L1205" s="5">
        <v>2.0</v>
      </c>
      <c r="M1205" s="7">
        <f t="shared" si="3"/>
        <v>0.2</v>
      </c>
    </row>
    <row r="1206">
      <c r="A1206" s="5" t="s">
        <v>3146</v>
      </c>
      <c r="B1206" s="5" t="s">
        <v>3147</v>
      </c>
      <c r="C1206" s="5" t="s">
        <v>1951</v>
      </c>
      <c r="D1206" s="5" t="s">
        <v>3148</v>
      </c>
      <c r="E1206" s="5" t="s">
        <v>1782</v>
      </c>
      <c r="F1206" s="5" t="s">
        <v>152</v>
      </c>
      <c r="G1206" s="6">
        <v>0.15</v>
      </c>
      <c r="H1206" s="5" t="s">
        <v>2802</v>
      </c>
      <c r="I1206" s="5" t="s">
        <v>20</v>
      </c>
      <c r="J1206" s="5">
        <v>2026.0</v>
      </c>
      <c r="L1206" s="5">
        <v>1.0</v>
      </c>
      <c r="M1206" s="7">
        <f t="shared" si="3"/>
        <v>0.15</v>
      </c>
    </row>
    <row r="1207">
      <c r="A1207" s="5" t="s">
        <v>3149</v>
      </c>
      <c r="B1207" s="5" t="s">
        <v>3150</v>
      </c>
      <c r="C1207" s="5" t="s">
        <v>1951</v>
      </c>
      <c r="D1207" s="5" t="s">
        <v>3151</v>
      </c>
      <c r="E1207" s="5" t="s">
        <v>1746</v>
      </c>
      <c r="F1207" s="5" t="s">
        <v>152</v>
      </c>
      <c r="G1207" s="6">
        <v>0.05</v>
      </c>
      <c r="H1207" s="5" t="s">
        <v>2802</v>
      </c>
      <c r="I1207" s="5" t="s">
        <v>20</v>
      </c>
      <c r="J1207" s="5">
        <v>2026.0</v>
      </c>
      <c r="K1207" s="8">
        <v>46117.0</v>
      </c>
      <c r="L1207" s="5">
        <v>1.0</v>
      </c>
      <c r="M1207" s="7">
        <f t="shared" si="3"/>
        <v>0.05</v>
      </c>
    </row>
    <row r="1208">
      <c r="A1208" s="5" t="s">
        <v>3152</v>
      </c>
      <c r="B1208" s="5" t="s">
        <v>612</v>
      </c>
      <c r="C1208" s="5" t="s">
        <v>297</v>
      </c>
      <c r="D1208" s="5" t="s">
        <v>3153</v>
      </c>
      <c r="E1208" s="5" t="s">
        <v>1764</v>
      </c>
      <c r="F1208" s="5" t="s">
        <v>152</v>
      </c>
      <c r="G1208" s="6">
        <v>0.05</v>
      </c>
      <c r="H1208" s="5" t="s">
        <v>2802</v>
      </c>
      <c r="I1208" s="5" t="s">
        <v>20</v>
      </c>
      <c r="J1208" s="5">
        <v>2026.0</v>
      </c>
      <c r="L1208" s="5">
        <v>1.0</v>
      </c>
      <c r="M1208" s="7">
        <f t="shared" si="3"/>
        <v>0.05</v>
      </c>
    </row>
    <row r="1209">
      <c r="A1209" s="5" t="s">
        <v>3074</v>
      </c>
      <c r="B1209" s="5" t="s">
        <v>2819</v>
      </c>
      <c r="C1209" s="5" t="s">
        <v>297</v>
      </c>
      <c r="D1209" s="5" t="s">
        <v>3154</v>
      </c>
      <c r="E1209" s="5" t="s">
        <v>3076</v>
      </c>
      <c r="F1209" s="5" t="s">
        <v>3155</v>
      </c>
      <c r="G1209" s="6">
        <v>0.1</v>
      </c>
      <c r="H1209" s="5" t="s">
        <v>2802</v>
      </c>
      <c r="I1209" s="5" t="s">
        <v>20</v>
      </c>
      <c r="J1209" s="5">
        <v>2026.0</v>
      </c>
      <c r="K1209" s="8">
        <v>46115.0</v>
      </c>
      <c r="L1209" s="5">
        <v>1.0</v>
      </c>
      <c r="M1209" s="7">
        <f t="shared" si="3"/>
        <v>0.1</v>
      </c>
    </row>
    <row r="1210">
      <c r="A1210" s="5" t="s">
        <v>3156</v>
      </c>
      <c r="B1210" s="5" t="s">
        <v>2917</v>
      </c>
      <c r="C1210" s="5" t="s">
        <v>1951</v>
      </c>
      <c r="D1210" s="5" t="s">
        <v>3157</v>
      </c>
      <c r="E1210" s="5" t="s">
        <v>1764</v>
      </c>
      <c r="F1210" s="5" t="s">
        <v>152</v>
      </c>
      <c r="G1210" s="6">
        <v>0.07</v>
      </c>
      <c r="H1210" s="5" t="s">
        <v>2802</v>
      </c>
      <c r="I1210" s="5" t="s">
        <v>20</v>
      </c>
      <c r="J1210" s="5">
        <v>2026.0</v>
      </c>
      <c r="K1210" s="5" t="s">
        <v>3158</v>
      </c>
      <c r="L1210" s="5">
        <v>1.0</v>
      </c>
      <c r="M1210" s="7">
        <f t="shared" si="3"/>
        <v>0.07</v>
      </c>
    </row>
    <row r="1211">
      <c r="A1211" s="5" t="s">
        <v>3159</v>
      </c>
      <c r="B1211" s="5" t="s">
        <v>3160</v>
      </c>
      <c r="C1211" s="5" t="s">
        <v>297</v>
      </c>
      <c r="D1211" s="5" t="s">
        <v>3161</v>
      </c>
      <c r="E1211" s="5" t="s">
        <v>1764</v>
      </c>
      <c r="F1211" s="5" t="s">
        <v>152</v>
      </c>
      <c r="G1211" s="6">
        <v>0.1</v>
      </c>
      <c r="H1211" s="5" t="s">
        <v>2802</v>
      </c>
      <c r="I1211" s="5" t="s">
        <v>20</v>
      </c>
      <c r="J1211" s="5">
        <v>2026.0</v>
      </c>
      <c r="K1211" s="8">
        <v>46084.0</v>
      </c>
      <c r="L1211" s="5">
        <v>2.0</v>
      </c>
      <c r="M1211" s="7">
        <f t="shared" si="3"/>
        <v>0.2</v>
      </c>
    </row>
    <row r="1212">
      <c r="A1212" s="5" t="s">
        <v>3162</v>
      </c>
      <c r="B1212" s="5" t="s">
        <v>556</v>
      </c>
      <c r="C1212" s="5" t="s">
        <v>1951</v>
      </c>
      <c r="D1212" s="5" t="s">
        <v>3163</v>
      </c>
      <c r="E1212" s="5" t="s">
        <v>1271</v>
      </c>
      <c r="F1212" s="5" t="s">
        <v>80</v>
      </c>
      <c r="G1212" s="6">
        <v>0.23</v>
      </c>
      <c r="H1212" s="5" t="s">
        <v>2802</v>
      </c>
      <c r="I1212" s="5" t="s">
        <v>20</v>
      </c>
      <c r="J1212" s="5">
        <v>2026.0</v>
      </c>
      <c r="L1212" s="5">
        <v>1.0</v>
      </c>
      <c r="M1212" s="7">
        <f t="shared" si="3"/>
        <v>0.23</v>
      </c>
    </row>
    <row r="1213">
      <c r="A1213" s="5" t="s">
        <v>3164</v>
      </c>
      <c r="B1213" s="5" t="s">
        <v>677</v>
      </c>
      <c r="C1213" s="5" t="s">
        <v>297</v>
      </c>
      <c r="D1213" s="5" t="s">
        <v>3165</v>
      </c>
      <c r="E1213" s="5" t="s">
        <v>1037</v>
      </c>
      <c r="F1213" s="5" t="s">
        <v>80</v>
      </c>
      <c r="G1213" s="6">
        <v>0.1</v>
      </c>
      <c r="H1213" s="5" t="s">
        <v>2802</v>
      </c>
      <c r="I1213" s="5" t="s">
        <v>20</v>
      </c>
      <c r="J1213" s="5">
        <v>2026.0</v>
      </c>
      <c r="L1213" s="5">
        <v>1.0</v>
      </c>
      <c r="M1213" s="7">
        <f t="shared" si="3"/>
        <v>0.1</v>
      </c>
    </row>
    <row r="1214">
      <c r="A1214" s="5" t="s">
        <v>3166</v>
      </c>
      <c r="B1214" s="5" t="s">
        <v>556</v>
      </c>
      <c r="C1214" s="5" t="s">
        <v>1951</v>
      </c>
      <c r="D1214" s="5" t="s">
        <v>3167</v>
      </c>
      <c r="E1214" s="5" t="s">
        <v>1037</v>
      </c>
      <c r="F1214" s="5" t="s">
        <v>80</v>
      </c>
      <c r="G1214" s="6">
        <v>0.3</v>
      </c>
      <c r="H1214" s="5" t="s">
        <v>2802</v>
      </c>
      <c r="I1214" s="5" t="s">
        <v>31</v>
      </c>
      <c r="J1214" s="5">
        <v>2026.0</v>
      </c>
      <c r="L1214" s="5">
        <v>1.0</v>
      </c>
      <c r="M1214" s="7">
        <f t="shared" si="3"/>
        <v>0.3</v>
      </c>
    </row>
    <row r="1215">
      <c r="A1215" s="5" t="s">
        <v>3166</v>
      </c>
      <c r="B1215" s="5" t="s">
        <v>556</v>
      </c>
      <c r="C1215" s="5" t="s">
        <v>1951</v>
      </c>
      <c r="D1215" s="5" t="s">
        <v>3167</v>
      </c>
      <c r="E1215" s="5" t="s">
        <v>1037</v>
      </c>
      <c r="F1215" s="5" t="s">
        <v>80</v>
      </c>
      <c r="G1215" s="6">
        <v>0.2</v>
      </c>
      <c r="H1215" s="5" t="s">
        <v>2802</v>
      </c>
      <c r="I1215" s="5" t="s">
        <v>20</v>
      </c>
      <c r="J1215" s="5">
        <v>2026.0</v>
      </c>
      <c r="L1215" s="5">
        <v>1.0</v>
      </c>
      <c r="M1215" s="7">
        <f t="shared" si="3"/>
        <v>0.2</v>
      </c>
    </row>
    <row r="1216">
      <c r="A1216" s="5" t="s">
        <v>3168</v>
      </c>
      <c r="B1216" s="5" t="s">
        <v>3141</v>
      </c>
      <c r="C1216" s="5" t="s">
        <v>297</v>
      </c>
      <c r="D1216" s="5" t="s">
        <v>3169</v>
      </c>
      <c r="E1216" s="5" t="s">
        <v>3170</v>
      </c>
      <c r="F1216" s="5" t="s">
        <v>3113</v>
      </c>
      <c r="G1216" s="6">
        <v>0.1</v>
      </c>
      <c r="H1216" s="5" t="s">
        <v>2802</v>
      </c>
      <c r="I1216" s="5" t="s">
        <v>20</v>
      </c>
      <c r="J1216" s="5">
        <v>2026.0</v>
      </c>
      <c r="K1216" s="8">
        <v>46084.0</v>
      </c>
      <c r="L1216" s="5">
        <v>1.0</v>
      </c>
      <c r="M1216" s="7">
        <f t="shared" si="3"/>
        <v>0.1</v>
      </c>
    </row>
    <row r="1217">
      <c r="A1217" s="5" t="s">
        <v>3171</v>
      </c>
      <c r="B1217" s="5" t="s">
        <v>2900</v>
      </c>
      <c r="C1217" s="5" t="s">
        <v>1951</v>
      </c>
      <c r="D1217" s="5" t="s">
        <v>3172</v>
      </c>
      <c r="E1217" s="5" t="s">
        <v>3173</v>
      </c>
      <c r="F1217" s="5" t="s">
        <v>3174</v>
      </c>
      <c r="G1217" s="6">
        <v>0.2</v>
      </c>
      <c r="H1217" s="5" t="s">
        <v>2802</v>
      </c>
      <c r="I1217" s="5" t="s">
        <v>20</v>
      </c>
      <c r="J1217" s="5">
        <v>2026.0</v>
      </c>
      <c r="K1217" s="8">
        <v>46083.0</v>
      </c>
      <c r="L1217" s="5">
        <v>1.0</v>
      </c>
      <c r="M1217" s="7">
        <f t="shared" si="3"/>
        <v>0.2</v>
      </c>
    </row>
    <row r="1218">
      <c r="A1218" s="5" t="s">
        <v>3175</v>
      </c>
      <c r="B1218" s="5" t="s">
        <v>3129</v>
      </c>
      <c r="C1218" s="5" t="s">
        <v>1951</v>
      </c>
      <c r="D1218" s="5" t="s">
        <v>3176</v>
      </c>
      <c r="E1218" s="5" t="s">
        <v>965</v>
      </c>
      <c r="F1218" s="5" t="s">
        <v>3113</v>
      </c>
      <c r="G1218" s="6">
        <v>0.2</v>
      </c>
      <c r="H1218" s="5" t="s">
        <v>2802</v>
      </c>
      <c r="I1218" s="5" t="s">
        <v>20</v>
      </c>
      <c r="J1218" s="5">
        <v>2026.0</v>
      </c>
      <c r="K1218" s="8">
        <v>46055.0</v>
      </c>
      <c r="L1218" s="5">
        <v>1.0</v>
      </c>
      <c r="M1218" s="7">
        <f t="shared" si="3"/>
        <v>0.2</v>
      </c>
    </row>
    <row r="1219">
      <c r="A1219" s="5" t="s">
        <v>3177</v>
      </c>
      <c r="B1219" s="5" t="s">
        <v>2585</v>
      </c>
      <c r="C1219" s="5" t="s">
        <v>297</v>
      </c>
      <c r="D1219" s="5" t="s">
        <v>3178</v>
      </c>
      <c r="E1219" s="5" t="s">
        <v>932</v>
      </c>
      <c r="F1219" s="5" t="s">
        <v>166</v>
      </c>
      <c r="G1219" s="6">
        <v>0.09</v>
      </c>
      <c r="H1219" s="5" t="s">
        <v>2008</v>
      </c>
      <c r="I1219" s="5" t="s">
        <v>20</v>
      </c>
      <c r="J1219" s="5">
        <v>2013.0</v>
      </c>
      <c r="K1219" s="8">
        <v>46023.0</v>
      </c>
      <c r="L1219" s="5">
        <v>1.0</v>
      </c>
      <c r="M1219" s="7">
        <f t="shared" si="3"/>
        <v>0.09</v>
      </c>
    </row>
    <row r="1220">
      <c r="A1220" s="5" t="s">
        <v>3179</v>
      </c>
      <c r="B1220" s="5" t="s">
        <v>2819</v>
      </c>
      <c r="C1220" s="5" t="s">
        <v>297</v>
      </c>
      <c r="D1220" s="5" t="s">
        <v>3180</v>
      </c>
      <c r="E1220" s="5" t="s">
        <v>3181</v>
      </c>
      <c r="F1220" s="5" t="s">
        <v>3182</v>
      </c>
      <c r="G1220" s="6">
        <v>0.1</v>
      </c>
      <c r="H1220" s="5" t="s">
        <v>2802</v>
      </c>
      <c r="I1220" s="5" t="s">
        <v>20</v>
      </c>
      <c r="J1220" s="5">
        <v>2026.0</v>
      </c>
      <c r="K1220" s="8">
        <v>46083.0</v>
      </c>
      <c r="L1220" s="5">
        <v>1.0</v>
      </c>
      <c r="M1220" s="7">
        <f t="shared" si="3"/>
        <v>0.1</v>
      </c>
    </row>
    <row r="1221">
      <c r="A1221" s="5" t="s">
        <v>3183</v>
      </c>
      <c r="B1221" s="5" t="s">
        <v>2591</v>
      </c>
      <c r="C1221" s="5" t="s">
        <v>1951</v>
      </c>
      <c r="D1221" s="5" t="s">
        <v>3184</v>
      </c>
      <c r="E1221" s="5" t="s">
        <v>3185</v>
      </c>
      <c r="F1221" s="5" t="s">
        <v>1616</v>
      </c>
      <c r="G1221" s="6">
        <v>0.25</v>
      </c>
      <c r="H1221" s="5" t="s">
        <v>2802</v>
      </c>
      <c r="I1221" s="5" t="s">
        <v>20</v>
      </c>
      <c r="J1221" s="5">
        <v>2026.0</v>
      </c>
      <c r="K1221" s="8">
        <v>46056.0</v>
      </c>
      <c r="L1221" s="5">
        <v>1.0</v>
      </c>
      <c r="M1221" s="7">
        <f t="shared" si="3"/>
        <v>0.25</v>
      </c>
    </row>
    <row r="1222">
      <c r="A1222" s="5" t="s">
        <v>3186</v>
      </c>
      <c r="B1222" s="5" t="s">
        <v>3150</v>
      </c>
      <c r="C1222" s="5" t="s">
        <v>297</v>
      </c>
      <c r="D1222" s="5" t="s">
        <v>3187</v>
      </c>
      <c r="E1222" s="5" t="s">
        <v>3188</v>
      </c>
      <c r="F1222" s="5" t="s">
        <v>3189</v>
      </c>
      <c r="G1222" s="6">
        <v>0.05</v>
      </c>
      <c r="H1222" s="5" t="s">
        <v>2802</v>
      </c>
      <c r="I1222" s="5" t="s">
        <v>20</v>
      </c>
      <c r="J1222" s="5">
        <v>2026.0</v>
      </c>
      <c r="K1222" s="8">
        <v>46055.0</v>
      </c>
      <c r="L1222" s="5">
        <v>3.0</v>
      </c>
      <c r="M1222" s="7">
        <f t="shared" si="3"/>
        <v>0.15</v>
      </c>
    </row>
    <row r="1223">
      <c r="A1223" s="5" t="s">
        <v>3190</v>
      </c>
      <c r="B1223" s="5" t="s">
        <v>3191</v>
      </c>
      <c r="C1223" s="5" t="s">
        <v>1951</v>
      </c>
      <c r="D1223" s="5" t="s">
        <v>3192</v>
      </c>
      <c r="E1223" s="5" t="s">
        <v>3193</v>
      </c>
      <c r="F1223" s="5" t="s">
        <v>3194</v>
      </c>
      <c r="G1223" s="6">
        <v>0.11</v>
      </c>
      <c r="H1223" s="5" t="s">
        <v>2802</v>
      </c>
      <c r="I1223" s="5" t="s">
        <v>20</v>
      </c>
      <c r="J1223" s="5">
        <v>2026.0</v>
      </c>
      <c r="K1223" s="8">
        <v>46209.0</v>
      </c>
      <c r="L1223" s="5">
        <v>1.0</v>
      </c>
      <c r="M1223" s="7">
        <f t="shared" si="3"/>
        <v>0.11</v>
      </c>
    </row>
    <row r="1224">
      <c r="A1224" s="5" t="s">
        <v>3195</v>
      </c>
      <c r="B1224" s="5" t="s">
        <v>2819</v>
      </c>
      <c r="C1224" s="5" t="s">
        <v>297</v>
      </c>
      <c r="D1224" s="5" t="s">
        <v>3196</v>
      </c>
      <c r="E1224" s="5" t="s">
        <v>3197</v>
      </c>
      <c r="F1224" s="5" t="s">
        <v>3198</v>
      </c>
      <c r="G1224" s="6">
        <v>0.11</v>
      </c>
      <c r="H1224" s="5" t="s">
        <v>2802</v>
      </c>
      <c r="I1224" s="5" t="s">
        <v>20</v>
      </c>
      <c r="J1224" s="5">
        <v>2026.0</v>
      </c>
      <c r="K1224" s="8">
        <v>46057.0</v>
      </c>
      <c r="L1224" s="5">
        <v>2.0</v>
      </c>
      <c r="M1224" s="7">
        <f t="shared" si="3"/>
        <v>0.22</v>
      </c>
    </row>
    <row r="1225">
      <c r="A1225" s="5" t="s">
        <v>3199</v>
      </c>
      <c r="B1225" s="5" t="s">
        <v>2808</v>
      </c>
      <c r="C1225" s="5" t="s">
        <v>297</v>
      </c>
      <c r="D1225" s="5" t="s">
        <v>3200</v>
      </c>
      <c r="E1225" s="5" t="s">
        <v>3201</v>
      </c>
      <c r="F1225" s="5" t="s">
        <v>3202</v>
      </c>
      <c r="G1225" s="6">
        <v>0.11</v>
      </c>
      <c r="H1225" s="5" t="s">
        <v>2802</v>
      </c>
      <c r="I1225" s="5" t="s">
        <v>20</v>
      </c>
      <c r="J1225" s="5">
        <v>2026.0</v>
      </c>
      <c r="K1225" s="8">
        <v>46056.0</v>
      </c>
      <c r="L1225" s="5">
        <v>1.0</v>
      </c>
      <c r="M1225" s="7">
        <f t="shared" si="3"/>
        <v>0.11</v>
      </c>
    </row>
    <row r="1226">
      <c r="A1226" s="5" t="s">
        <v>3203</v>
      </c>
      <c r="B1226" s="5" t="s">
        <v>3204</v>
      </c>
      <c r="C1226" s="5" t="s">
        <v>1951</v>
      </c>
      <c r="D1226" s="5" t="s">
        <v>3205</v>
      </c>
      <c r="E1226" s="5" t="s">
        <v>2369</v>
      </c>
      <c r="F1226" s="5" t="s">
        <v>166</v>
      </c>
      <c r="G1226" s="6">
        <v>0.13</v>
      </c>
      <c r="H1226" s="5" t="s">
        <v>1697</v>
      </c>
      <c r="I1226" s="5" t="s">
        <v>20</v>
      </c>
      <c r="J1226" s="5">
        <v>2004.0</v>
      </c>
      <c r="K1226" s="8">
        <v>46055.0</v>
      </c>
      <c r="L1226" s="5">
        <v>1.0</v>
      </c>
      <c r="M1226" s="7">
        <f t="shared" si="3"/>
        <v>0.13</v>
      </c>
    </row>
    <row r="1227">
      <c r="A1227" s="5" t="s">
        <v>3206</v>
      </c>
      <c r="B1227" s="5" t="s">
        <v>3207</v>
      </c>
      <c r="C1227" s="5" t="s">
        <v>1951</v>
      </c>
      <c r="D1227" s="5" t="s">
        <v>3208</v>
      </c>
      <c r="E1227" s="5" t="s">
        <v>2784</v>
      </c>
      <c r="F1227" s="5" t="s">
        <v>166</v>
      </c>
      <c r="G1227" s="6">
        <v>0.11</v>
      </c>
      <c r="H1227" s="5" t="s">
        <v>1634</v>
      </c>
      <c r="I1227" s="5" t="s">
        <v>20</v>
      </c>
      <c r="J1227" s="5">
        <v>2024.0</v>
      </c>
      <c r="K1227" s="8">
        <v>46147.0</v>
      </c>
      <c r="L1227" s="5">
        <v>1.0</v>
      </c>
      <c r="M1227" s="7">
        <f t="shared" si="3"/>
        <v>0.11</v>
      </c>
    </row>
    <row r="1228">
      <c r="A1228" s="5" t="s">
        <v>3209</v>
      </c>
      <c r="B1228" s="5" t="s">
        <v>2827</v>
      </c>
      <c r="C1228" s="5" t="s">
        <v>297</v>
      </c>
      <c r="D1228" s="5" t="s">
        <v>3210</v>
      </c>
      <c r="E1228" s="5" t="s">
        <v>932</v>
      </c>
      <c r="F1228" s="5" t="s">
        <v>166</v>
      </c>
      <c r="G1228" s="6">
        <v>0.07</v>
      </c>
      <c r="H1228" s="5" t="s">
        <v>1634</v>
      </c>
      <c r="I1228" s="5" t="s">
        <v>20</v>
      </c>
      <c r="J1228" s="5">
        <v>2024.0</v>
      </c>
      <c r="L1228" s="5">
        <v>1.0</v>
      </c>
      <c r="M1228" s="7">
        <f t="shared" si="3"/>
        <v>0.07</v>
      </c>
    </row>
    <row r="1229">
      <c r="A1229" s="5" t="s">
        <v>3211</v>
      </c>
      <c r="B1229" s="5" t="s">
        <v>3212</v>
      </c>
      <c r="C1229" s="5" t="s">
        <v>1899</v>
      </c>
      <c r="D1229" s="5" t="s">
        <v>3213</v>
      </c>
      <c r="E1229" s="5" t="s">
        <v>2759</v>
      </c>
      <c r="F1229" s="5" t="s">
        <v>166</v>
      </c>
      <c r="G1229" s="6">
        <v>0.3</v>
      </c>
      <c r="H1229" s="5" t="s">
        <v>2177</v>
      </c>
      <c r="I1229" s="5" t="s">
        <v>20</v>
      </c>
      <c r="J1229" s="5">
        <v>2018.0</v>
      </c>
      <c r="K1229" s="5" t="s">
        <v>752</v>
      </c>
      <c r="L1229" s="5">
        <v>1.0</v>
      </c>
      <c r="M1229" s="7">
        <f t="shared" si="3"/>
        <v>0.3</v>
      </c>
    </row>
    <row r="1230">
      <c r="A1230" s="5" t="s">
        <v>3214</v>
      </c>
      <c r="B1230" s="5" t="s">
        <v>2060</v>
      </c>
      <c r="C1230" s="5" t="s">
        <v>297</v>
      </c>
      <c r="D1230" s="5" t="s">
        <v>3215</v>
      </c>
      <c r="E1230" s="5" t="s">
        <v>2369</v>
      </c>
      <c r="F1230" s="5" t="s">
        <v>166</v>
      </c>
      <c r="G1230" s="6">
        <v>0.03</v>
      </c>
      <c r="H1230" s="5" t="s">
        <v>1717</v>
      </c>
      <c r="I1230" s="5" t="s">
        <v>20</v>
      </c>
      <c r="J1230" s="5">
        <v>2020.0</v>
      </c>
      <c r="L1230" s="5">
        <v>1.0</v>
      </c>
      <c r="M1230" s="7">
        <f t="shared" si="3"/>
        <v>0.03</v>
      </c>
    </row>
    <row r="1231">
      <c r="A1231" s="5" t="s">
        <v>3216</v>
      </c>
      <c r="B1231" s="5" t="s">
        <v>2585</v>
      </c>
      <c r="C1231" s="5" t="s">
        <v>1951</v>
      </c>
      <c r="D1231" s="5" t="s">
        <v>3217</v>
      </c>
      <c r="E1231" s="5" t="s">
        <v>2369</v>
      </c>
      <c r="F1231" s="5" t="s">
        <v>166</v>
      </c>
      <c r="G1231" s="6">
        <v>0.15</v>
      </c>
      <c r="H1231" s="5" t="s">
        <v>2557</v>
      </c>
      <c r="I1231" s="5" t="s">
        <v>20</v>
      </c>
      <c r="J1231" s="5">
        <v>2018.0</v>
      </c>
      <c r="K1231" s="8">
        <v>46057.0</v>
      </c>
      <c r="L1231" s="5">
        <v>1.0</v>
      </c>
      <c r="M1231" s="7">
        <f t="shared" si="3"/>
        <v>0.15</v>
      </c>
    </row>
    <row r="1232">
      <c r="A1232" s="5" t="s">
        <v>3218</v>
      </c>
      <c r="B1232" s="5" t="s">
        <v>3219</v>
      </c>
      <c r="C1232" s="5" t="s">
        <v>1951</v>
      </c>
      <c r="D1232" s="5" t="s">
        <v>3220</v>
      </c>
      <c r="E1232" s="5" t="s">
        <v>2369</v>
      </c>
      <c r="F1232" s="5" t="s">
        <v>166</v>
      </c>
      <c r="G1232" s="6">
        <v>0.2</v>
      </c>
      <c r="H1232" s="5" t="s">
        <v>2376</v>
      </c>
      <c r="I1232" s="5" t="s">
        <v>20</v>
      </c>
      <c r="J1232" s="5">
        <v>2010.0</v>
      </c>
      <c r="K1232" s="8">
        <v>46055.0</v>
      </c>
      <c r="L1232" s="5">
        <v>1.0</v>
      </c>
      <c r="M1232" s="7">
        <f t="shared" si="3"/>
        <v>0.2</v>
      </c>
    </row>
    <row r="1233">
      <c r="A1233" s="5" t="s">
        <v>181</v>
      </c>
      <c r="B1233" s="5" t="s">
        <v>2791</v>
      </c>
      <c r="C1233" s="5" t="s">
        <v>1899</v>
      </c>
      <c r="D1233" s="5" t="s">
        <v>3221</v>
      </c>
      <c r="E1233" s="5" t="s">
        <v>3222</v>
      </c>
      <c r="F1233" s="5" t="s">
        <v>166</v>
      </c>
      <c r="G1233" s="6">
        <v>0.33</v>
      </c>
      <c r="H1233" s="5" t="s">
        <v>3223</v>
      </c>
      <c r="I1233" s="5" t="s">
        <v>31</v>
      </c>
      <c r="J1233" s="5">
        <v>2014.0</v>
      </c>
      <c r="K1233" s="8">
        <v>46147.0</v>
      </c>
      <c r="L1233" s="5">
        <v>1.0</v>
      </c>
      <c r="M1233" s="7">
        <f t="shared" si="3"/>
        <v>0.33</v>
      </c>
    </row>
    <row r="1234">
      <c r="A1234" s="5" t="s">
        <v>3224</v>
      </c>
      <c r="B1234" s="5" t="s">
        <v>3225</v>
      </c>
      <c r="C1234" s="5" t="s">
        <v>297</v>
      </c>
      <c r="D1234" s="5" t="s">
        <v>3226</v>
      </c>
      <c r="E1234" s="5" t="s">
        <v>2346</v>
      </c>
      <c r="F1234" s="5" t="s">
        <v>166</v>
      </c>
      <c r="G1234" s="6">
        <v>0.03</v>
      </c>
      <c r="H1234" s="5" t="s">
        <v>1717</v>
      </c>
      <c r="I1234" s="5" t="s">
        <v>20</v>
      </c>
      <c r="J1234" s="5">
        <v>2020.0</v>
      </c>
      <c r="K1234" s="8">
        <v>46082.0</v>
      </c>
      <c r="L1234" s="5">
        <v>1.0</v>
      </c>
      <c r="M1234" s="7">
        <f t="shared" si="3"/>
        <v>0.03</v>
      </c>
    </row>
    <row r="1235">
      <c r="A1235" s="5" t="s">
        <v>3227</v>
      </c>
      <c r="B1235" s="5" t="s">
        <v>3228</v>
      </c>
      <c r="C1235" s="5" t="s">
        <v>297</v>
      </c>
      <c r="D1235" s="5" t="s">
        <v>3229</v>
      </c>
      <c r="E1235" s="5" t="s">
        <v>2346</v>
      </c>
      <c r="F1235" s="5" t="s">
        <v>166</v>
      </c>
      <c r="G1235" s="6">
        <v>0.1</v>
      </c>
      <c r="H1235" s="5" t="s">
        <v>1714</v>
      </c>
      <c r="I1235" s="5" t="s">
        <v>20</v>
      </c>
      <c r="J1235" s="5">
        <v>2022.0</v>
      </c>
      <c r="K1235" s="8">
        <v>46024.0</v>
      </c>
      <c r="L1235" s="5">
        <v>1.0</v>
      </c>
      <c r="M1235" s="7">
        <f t="shared" si="3"/>
        <v>0.1</v>
      </c>
    </row>
    <row r="1236">
      <c r="A1236" s="5" t="s">
        <v>3230</v>
      </c>
      <c r="B1236" s="5" t="s">
        <v>2585</v>
      </c>
      <c r="C1236" s="5" t="s">
        <v>1899</v>
      </c>
      <c r="D1236" s="5" t="s">
        <v>3231</v>
      </c>
      <c r="E1236" s="5" t="s">
        <v>2346</v>
      </c>
      <c r="F1236" s="5" t="s">
        <v>166</v>
      </c>
      <c r="G1236" s="6">
        <v>0.25</v>
      </c>
      <c r="H1236" s="5" t="s">
        <v>2158</v>
      </c>
      <c r="I1236" s="5" t="s">
        <v>20</v>
      </c>
      <c r="J1236" s="5">
        <v>2014.0</v>
      </c>
      <c r="K1236" s="8">
        <v>46054.0</v>
      </c>
      <c r="L1236" s="5">
        <v>1.0</v>
      </c>
      <c r="M1236" s="7">
        <f t="shared" si="3"/>
        <v>0.25</v>
      </c>
    </row>
    <row r="1237">
      <c r="A1237" s="5" t="s">
        <v>3232</v>
      </c>
      <c r="B1237" s="5" t="s">
        <v>380</v>
      </c>
      <c r="C1237" s="5" t="s">
        <v>1951</v>
      </c>
      <c r="D1237" s="5" t="s">
        <v>3233</v>
      </c>
      <c r="E1237" s="5" t="s">
        <v>2346</v>
      </c>
      <c r="F1237" s="5" t="s">
        <v>166</v>
      </c>
      <c r="G1237" s="6">
        <v>0.1</v>
      </c>
      <c r="H1237" s="5" t="s">
        <v>2562</v>
      </c>
      <c r="I1237" s="5" t="s">
        <v>20</v>
      </c>
      <c r="J1237" s="5">
        <v>2017.0</v>
      </c>
      <c r="L1237" s="5">
        <v>2.0</v>
      </c>
      <c r="M1237" s="7">
        <f t="shared" si="3"/>
        <v>0.2</v>
      </c>
    </row>
    <row r="1238">
      <c r="A1238" s="5" t="s">
        <v>3234</v>
      </c>
      <c r="B1238" s="5" t="s">
        <v>2060</v>
      </c>
      <c r="C1238" s="5" t="s">
        <v>297</v>
      </c>
      <c r="D1238" s="5" t="s">
        <v>3235</v>
      </c>
      <c r="E1238" s="5" t="s">
        <v>932</v>
      </c>
      <c r="F1238" s="5" t="s">
        <v>166</v>
      </c>
      <c r="G1238" s="6">
        <v>0.14</v>
      </c>
      <c r="H1238" s="5" t="s">
        <v>3236</v>
      </c>
      <c r="I1238" s="5" t="s">
        <v>20</v>
      </c>
      <c r="J1238" s="5">
        <v>2016.0</v>
      </c>
      <c r="L1238" s="5">
        <v>2.0</v>
      </c>
      <c r="M1238" s="7">
        <f t="shared" si="3"/>
        <v>0.28</v>
      </c>
    </row>
    <row r="1239">
      <c r="A1239" s="5" t="s">
        <v>3237</v>
      </c>
      <c r="B1239" s="5" t="s">
        <v>3238</v>
      </c>
      <c r="C1239" s="5" t="s">
        <v>1899</v>
      </c>
      <c r="D1239" s="5" t="s">
        <v>3239</v>
      </c>
      <c r="E1239" s="5" t="s">
        <v>2362</v>
      </c>
      <c r="F1239" s="5" t="s">
        <v>166</v>
      </c>
      <c r="G1239" s="6">
        <v>0.35</v>
      </c>
      <c r="H1239" s="5" t="s">
        <v>2475</v>
      </c>
      <c r="I1239" s="5" t="s">
        <v>20</v>
      </c>
      <c r="J1239" s="5">
        <v>2012.0</v>
      </c>
      <c r="K1239" s="8">
        <v>46057.0</v>
      </c>
      <c r="L1239" s="5">
        <v>1.0</v>
      </c>
      <c r="M1239" s="7">
        <f t="shared" si="3"/>
        <v>0.35</v>
      </c>
    </row>
    <row r="1240">
      <c r="A1240" s="5" t="s">
        <v>3240</v>
      </c>
      <c r="B1240" s="5" t="s">
        <v>2490</v>
      </c>
      <c r="C1240" s="5" t="s">
        <v>297</v>
      </c>
      <c r="D1240" s="5" t="s">
        <v>3241</v>
      </c>
      <c r="E1240" s="5" t="s">
        <v>2369</v>
      </c>
      <c r="F1240" s="5" t="s">
        <v>166</v>
      </c>
      <c r="G1240" s="6">
        <v>0.03</v>
      </c>
      <c r="H1240" s="5" t="s">
        <v>1717</v>
      </c>
      <c r="I1240" s="5" t="s">
        <v>20</v>
      </c>
      <c r="J1240" s="5">
        <v>2020.0</v>
      </c>
      <c r="K1240" s="8">
        <v>46084.0</v>
      </c>
      <c r="L1240" s="5">
        <v>1.0</v>
      </c>
      <c r="M1240" s="7">
        <f t="shared" si="3"/>
        <v>0.03</v>
      </c>
    </row>
    <row r="1241">
      <c r="A1241" s="5" t="s">
        <v>3242</v>
      </c>
      <c r="B1241" s="5" t="s">
        <v>2016</v>
      </c>
      <c r="C1241" s="5" t="s">
        <v>297</v>
      </c>
      <c r="D1241" s="5" t="s">
        <v>3243</v>
      </c>
      <c r="E1241" s="5" t="s">
        <v>631</v>
      </c>
      <c r="F1241" s="5" t="s">
        <v>280</v>
      </c>
      <c r="G1241" s="6">
        <v>0.2</v>
      </c>
      <c r="H1241" s="5" t="s">
        <v>1714</v>
      </c>
      <c r="I1241" s="5" t="s">
        <v>20</v>
      </c>
      <c r="J1241" s="5">
        <v>2022.0</v>
      </c>
      <c r="L1241" s="5">
        <v>1.0</v>
      </c>
      <c r="M1241" s="7">
        <f t="shared" si="3"/>
        <v>0.2</v>
      </c>
    </row>
    <row r="1242">
      <c r="A1242" s="5" t="s">
        <v>3244</v>
      </c>
      <c r="B1242" s="5" t="s">
        <v>2060</v>
      </c>
      <c r="C1242" s="5" t="s">
        <v>297</v>
      </c>
      <c r="D1242" s="5" t="s">
        <v>3245</v>
      </c>
      <c r="E1242" s="5" t="s">
        <v>2298</v>
      </c>
      <c r="F1242" s="5" t="s">
        <v>18</v>
      </c>
      <c r="G1242" s="6">
        <v>0.06</v>
      </c>
      <c r="H1242" s="5" t="s">
        <v>1714</v>
      </c>
      <c r="I1242" s="5" t="s">
        <v>20</v>
      </c>
      <c r="J1242" s="5">
        <v>2022.0</v>
      </c>
      <c r="L1242" s="5">
        <v>1.0</v>
      </c>
      <c r="M1242" s="7">
        <f t="shared" si="3"/>
        <v>0.06</v>
      </c>
    </row>
    <row r="1243">
      <c r="A1243" s="5" t="s">
        <v>3246</v>
      </c>
      <c r="B1243" s="5" t="s">
        <v>2060</v>
      </c>
      <c r="C1243" s="5" t="s">
        <v>297</v>
      </c>
      <c r="D1243" s="5" t="s">
        <v>3247</v>
      </c>
      <c r="E1243" s="5" t="s">
        <v>1859</v>
      </c>
      <c r="F1243" s="5" t="s">
        <v>280</v>
      </c>
      <c r="G1243" s="6">
        <v>0.05</v>
      </c>
      <c r="H1243" s="5" t="s">
        <v>1714</v>
      </c>
      <c r="I1243" s="5" t="s">
        <v>20</v>
      </c>
      <c r="J1243" s="5">
        <v>2022.0</v>
      </c>
      <c r="L1243" s="5">
        <v>1.0</v>
      </c>
      <c r="M1243" s="7">
        <f t="shared" si="3"/>
        <v>0.05</v>
      </c>
    </row>
    <row r="1244">
      <c r="A1244" s="5" t="s">
        <v>3248</v>
      </c>
      <c r="B1244" s="5" t="s">
        <v>2060</v>
      </c>
      <c r="C1244" s="5" t="s">
        <v>297</v>
      </c>
      <c r="D1244" s="5" t="s">
        <v>3249</v>
      </c>
      <c r="E1244" s="5" t="s">
        <v>1859</v>
      </c>
      <c r="F1244" s="5" t="s">
        <v>280</v>
      </c>
      <c r="G1244" s="6">
        <v>0.06</v>
      </c>
      <c r="H1244" s="5" t="s">
        <v>1714</v>
      </c>
      <c r="I1244" s="5" t="s">
        <v>20</v>
      </c>
      <c r="J1244" s="5">
        <v>2022.0</v>
      </c>
      <c r="L1244" s="5">
        <v>1.0</v>
      </c>
      <c r="M1244" s="7">
        <f t="shared" si="3"/>
        <v>0.06</v>
      </c>
    </row>
    <row r="1245">
      <c r="A1245" s="5" t="s">
        <v>3250</v>
      </c>
      <c r="B1245" s="5" t="s">
        <v>3251</v>
      </c>
      <c r="C1245" s="5" t="s">
        <v>297</v>
      </c>
      <c r="D1245" s="5" t="s">
        <v>3252</v>
      </c>
      <c r="E1245" s="5" t="s">
        <v>2283</v>
      </c>
      <c r="F1245" s="5" t="s">
        <v>280</v>
      </c>
      <c r="G1245" s="6">
        <v>0.1</v>
      </c>
      <c r="H1245" s="5" t="s">
        <v>1714</v>
      </c>
      <c r="I1245" s="5" t="s">
        <v>20</v>
      </c>
      <c r="J1245" s="5">
        <v>2022.0</v>
      </c>
      <c r="K1245" s="8">
        <v>46054.0</v>
      </c>
      <c r="L1245" s="5">
        <v>1.0</v>
      </c>
      <c r="M1245" s="7">
        <f t="shared" si="3"/>
        <v>0.1</v>
      </c>
    </row>
    <row r="1246">
      <c r="A1246" s="5" t="s">
        <v>3250</v>
      </c>
      <c r="B1246" s="5" t="s">
        <v>3251</v>
      </c>
      <c r="C1246" s="5" t="s">
        <v>297</v>
      </c>
      <c r="D1246" s="5" t="s">
        <v>3252</v>
      </c>
      <c r="E1246" s="5" t="s">
        <v>2283</v>
      </c>
      <c r="F1246" s="5" t="s">
        <v>280</v>
      </c>
      <c r="G1246" s="6">
        <v>0.08</v>
      </c>
      <c r="H1246" s="5" t="s">
        <v>3253</v>
      </c>
      <c r="I1246" s="5" t="s">
        <v>20</v>
      </c>
      <c r="J1246" s="5">
        <v>2022.0</v>
      </c>
      <c r="K1246" s="8">
        <v>46054.0</v>
      </c>
      <c r="L1246" s="5">
        <v>1.0</v>
      </c>
      <c r="M1246" s="7">
        <f t="shared" si="3"/>
        <v>0.08</v>
      </c>
    </row>
    <row r="1247">
      <c r="A1247" s="5" t="s">
        <v>3254</v>
      </c>
      <c r="B1247" s="5" t="s">
        <v>3255</v>
      </c>
      <c r="C1247" s="5" t="s">
        <v>297</v>
      </c>
      <c r="D1247" s="5" t="s">
        <v>3256</v>
      </c>
      <c r="E1247" s="5" t="s">
        <v>1859</v>
      </c>
      <c r="F1247" s="5" t="s">
        <v>280</v>
      </c>
      <c r="G1247" s="6">
        <v>0.06</v>
      </c>
      <c r="H1247" s="5" t="s">
        <v>1714</v>
      </c>
      <c r="I1247" s="5" t="s">
        <v>20</v>
      </c>
      <c r="J1247" s="5">
        <v>2022.0</v>
      </c>
      <c r="K1247" s="8">
        <v>46056.0</v>
      </c>
      <c r="L1247" s="5">
        <v>1.0</v>
      </c>
      <c r="M1247" s="7">
        <f t="shared" si="3"/>
        <v>0.06</v>
      </c>
    </row>
    <row r="1248">
      <c r="A1248" s="5" t="s">
        <v>3257</v>
      </c>
      <c r="B1248" s="5" t="s">
        <v>2626</v>
      </c>
      <c r="C1248" s="5" t="s">
        <v>297</v>
      </c>
      <c r="D1248" s="5" t="s">
        <v>3258</v>
      </c>
      <c r="E1248" s="5" t="s">
        <v>1856</v>
      </c>
      <c r="F1248" s="5" t="s">
        <v>280</v>
      </c>
      <c r="G1248" s="6">
        <v>0.06</v>
      </c>
      <c r="H1248" s="5" t="s">
        <v>1714</v>
      </c>
      <c r="I1248" s="5" t="s">
        <v>20</v>
      </c>
      <c r="J1248" s="5">
        <v>2022.0</v>
      </c>
      <c r="K1248" s="8">
        <v>46115.0</v>
      </c>
      <c r="L1248" s="5">
        <v>1.0</v>
      </c>
      <c r="M1248" s="7">
        <f t="shared" si="3"/>
        <v>0.06</v>
      </c>
    </row>
    <row r="1249">
      <c r="A1249" s="5" t="s">
        <v>3259</v>
      </c>
      <c r="B1249" s="5" t="s">
        <v>3260</v>
      </c>
      <c r="C1249" s="5" t="s">
        <v>2846</v>
      </c>
      <c r="D1249" s="5" t="s">
        <v>3261</v>
      </c>
      <c r="E1249" s="5" t="s">
        <v>3262</v>
      </c>
      <c r="F1249" s="5" t="s">
        <v>3263</v>
      </c>
      <c r="G1249" s="6">
        <v>0.18</v>
      </c>
      <c r="H1249" s="5" t="s">
        <v>2467</v>
      </c>
      <c r="I1249" s="5" t="s">
        <v>20</v>
      </c>
      <c r="J1249" s="5">
        <v>2008.0</v>
      </c>
      <c r="K1249" s="8">
        <v>46024.0</v>
      </c>
      <c r="L1249" s="5">
        <v>4.0</v>
      </c>
      <c r="M1249" s="7">
        <f t="shared" si="3"/>
        <v>0.72</v>
      </c>
    </row>
    <row r="1250">
      <c r="A1250" s="5" t="s">
        <v>3264</v>
      </c>
      <c r="B1250" s="5" t="s">
        <v>3265</v>
      </c>
      <c r="C1250" s="5" t="s">
        <v>1899</v>
      </c>
      <c r="D1250" s="5" t="s">
        <v>3266</v>
      </c>
      <c r="E1250" s="5" t="s">
        <v>3185</v>
      </c>
      <c r="F1250" s="5" t="s">
        <v>1616</v>
      </c>
      <c r="G1250" s="6">
        <v>3.28</v>
      </c>
      <c r="H1250" s="5" t="s">
        <v>2174</v>
      </c>
      <c r="I1250" s="5" t="s">
        <v>20</v>
      </c>
      <c r="J1250" s="5">
        <v>2021.0</v>
      </c>
      <c r="K1250" s="8">
        <v>46113.0</v>
      </c>
      <c r="L1250" s="5">
        <v>1.0</v>
      </c>
      <c r="M1250" s="7">
        <f t="shared" si="3"/>
        <v>3.28</v>
      </c>
    </row>
    <row r="1251">
      <c r="A1251" s="5" t="s">
        <v>3267</v>
      </c>
      <c r="B1251" s="5" t="s">
        <v>3268</v>
      </c>
      <c r="C1251" s="5" t="s">
        <v>1951</v>
      </c>
      <c r="D1251" s="5" t="s">
        <v>3269</v>
      </c>
      <c r="E1251" s="5" t="s">
        <v>2283</v>
      </c>
      <c r="F1251" s="5" t="s">
        <v>280</v>
      </c>
      <c r="G1251" s="6">
        <v>0.15</v>
      </c>
      <c r="H1251" s="5" t="s">
        <v>2204</v>
      </c>
      <c r="I1251" s="5" t="s">
        <v>20</v>
      </c>
      <c r="J1251" s="5">
        <v>2014.0</v>
      </c>
      <c r="K1251" s="8">
        <v>46054.0</v>
      </c>
      <c r="L1251" s="5">
        <v>2.0</v>
      </c>
      <c r="M1251" s="7">
        <f t="shared" si="3"/>
        <v>0.3</v>
      </c>
    </row>
    <row r="1252">
      <c r="A1252" s="5" t="s">
        <v>3270</v>
      </c>
      <c r="B1252" s="5" t="s">
        <v>612</v>
      </c>
      <c r="C1252" s="5" t="s">
        <v>297</v>
      </c>
      <c r="D1252" s="5" t="s">
        <v>3271</v>
      </c>
      <c r="E1252" s="5" t="s">
        <v>3272</v>
      </c>
      <c r="F1252" s="5" t="s">
        <v>3155</v>
      </c>
      <c r="G1252" s="6">
        <v>0.14</v>
      </c>
      <c r="H1252" s="5" t="s">
        <v>299</v>
      </c>
      <c r="I1252" s="5" t="s">
        <v>20</v>
      </c>
      <c r="J1252" s="5">
        <v>2026.0</v>
      </c>
      <c r="L1252" s="5">
        <v>4.0</v>
      </c>
      <c r="M1252" s="7">
        <f t="shared" si="3"/>
        <v>0.56</v>
      </c>
    </row>
    <row r="1253">
      <c r="A1253" s="5" t="s">
        <v>3273</v>
      </c>
      <c r="B1253" s="5" t="s">
        <v>296</v>
      </c>
      <c r="C1253" s="5" t="s">
        <v>297</v>
      </c>
      <c r="D1253" s="5" t="s">
        <v>3274</v>
      </c>
      <c r="F1253" s="5" t="s">
        <v>3189</v>
      </c>
      <c r="G1253" s="6">
        <v>0.1</v>
      </c>
      <c r="H1253" s="5" t="s">
        <v>1714</v>
      </c>
      <c r="I1253" s="5" t="s">
        <v>20</v>
      </c>
      <c r="J1253" s="5">
        <v>2022.0</v>
      </c>
      <c r="L1253" s="5">
        <v>4.0</v>
      </c>
      <c r="M1253" s="7">
        <f t="shared" si="3"/>
        <v>0.4</v>
      </c>
    </row>
    <row r="1254">
      <c r="A1254" s="5" t="s">
        <v>2729</v>
      </c>
      <c r="B1254" s="5" t="s">
        <v>296</v>
      </c>
      <c r="C1254" s="5" t="s">
        <v>297</v>
      </c>
      <c r="D1254" s="5" t="s">
        <v>3275</v>
      </c>
      <c r="F1254" s="5" t="s">
        <v>3198</v>
      </c>
      <c r="G1254" s="6">
        <v>0.14</v>
      </c>
      <c r="H1254" s="5" t="s">
        <v>1714</v>
      </c>
      <c r="I1254" s="5" t="s">
        <v>20</v>
      </c>
      <c r="J1254" s="5">
        <v>2022.0</v>
      </c>
      <c r="L1254" s="5">
        <v>1.0</v>
      </c>
      <c r="M1254" s="7">
        <f t="shared" si="3"/>
        <v>0.14</v>
      </c>
    </row>
    <row r="1255">
      <c r="A1255" s="5" t="s">
        <v>3276</v>
      </c>
      <c r="B1255" s="5" t="s">
        <v>296</v>
      </c>
      <c r="C1255" s="5" t="s">
        <v>297</v>
      </c>
      <c r="D1255" s="5" t="s">
        <v>3277</v>
      </c>
      <c r="F1255" s="5" t="s">
        <v>88</v>
      </c>
      <c r="G1255" s="6">
        <v>0.48</v>
      </c>
      <c r="H1255" s="5" t="s">
        <v>2376</v>
      </c>
      <c r="I1255" s="5" t="s">
        <v>20</v>
      </c>
      <c r="J1255" s="5">
        <v>2010.0</v>
      </c>
      <c r="L1255" s="5">
        <v>1.0</v>
      </c>
      <c r="M1255" s="7">
        <f t="shared" si="3"/>
        <v>0.48</v>
      </c>
    </row>
    <row r="1256">
      <c r="A1256" s="5" t="s">
        <v>3278</v>
      </c>
      <c r="B1256" s="5" t="s">
        <v>2741</v>
      </c>
      <c r="C1256" s="5" t="s">
        <v>297</v>
      </c>
      <c r="D1256" s="5" t="s">
        <v>3279</v>
      </c>
      <c r="F1256" s="5" t="s">
        <v>3189</v>
      </c>
      <c r="G1256" s="6">
        <v>0.06</v>
      </c>
      <c r="H1256" s="5" t="s">
        <v>1644</v>
      </c>
      <c r="I1256" s="5" t="s">
        <v>20</v>
      </c>
      <c r="J1256" s="5">
        <v>2019.0</v>
      </c>
      <c r="L1256" s="5">
        <v>1.0</v>
      </c>
      <c r="M1256" s="7">
        <f t="shared" si="3"/>
        <v>0.06</v>
      </c>
    </row>
    <row r="1257">
      <c r="A1257" s="5" t="s">
        <v>3280</v>
      </c>
      <c r="B1257" s="5" t="s">
        <v>2585</v>
      </c>
      <c r="C1257" s="5" t="s">
        <v>297</v>
      </c>
      <c r="D1257" s="5" t="s">
        <v>3281</v>
      </c>
      <c r="E1257" s="5" t="s">
        <v>2346</v>
      </c>
      <c r="F1257" s="5" t="s">
        <v>166</v>
      </c>
      <c r="G1257" s="6">
        <v>0.16</v>
      </c>
      <c r="H1257" s="5" t="s">
        <v>2005</v>
      </c>
      <c r="I1257" s="5" t="s">
        <v>20</v>
      </c>
      <c r="J1257" s="5">
        <v>2020.0</v>
      </c>
      <c r="K1257" s="8">
        <v>46082.0</v>
      </c>
      <c r="L1257" s="5">
        <v>2.0</v>
      </c>
      <c r="M1257" s="7">
        <f t="shared" si="3"/>
        <v>0.32</v>
      </c>
    </row>
    <row r="1258">
      <c r="A1258" s="5" t="s">
        <v>3282</v>
      </c>
      <c r="B1258" s="5" t="s">
        <v>296</v>
      </c>
      <c r="C1258" s="5" t="s">
        <v>1899</v>
      </c>
      <c r="D1258" s="5" t="s">
        <v>3283</v>
      </c>
      <c r="F1258" s="5" t="s">
        <v>3194</v>
      </c>
      <c r="G1258" s="6">
        <v>7.98</v>
      </c>
      <c r="H1258" s="5" t="s">
        <v>1641</v>
      </c>
      <c r="I1258" s="5" t="s">
        <v>20</v>
      </c>
      <c r="J1258" s="5">
        <v>2024.0</v>
      </c>
      <c r="L1258" s="5">
        <v>1.0</v>
      </c>
      <c r="M1258" s="7">
        <f t="shared" si="3"/>
        <v>7.98</v>
      </c>
    </row>
    <row r="1259">
      <c r="A1259" s="5" t="s">
        <v>3284</v>
      </c>
      <c r="B1259" s="5" t="s">
        <v>2016</v>
      </c>
      <c r="C1259" s="5" t="s">
        <v>297</v>
      </c>
      <c r="D1259" s="5" t="s">
        <v>3285</v>
      </c>
      <c r="E1259" s="5" t="s">
        <v>1914</v>
      </c>
      <c r="F1259" s="5" t="s">
        <v>3182</v>
      </c>
      <c r="G1259" s="6">
        <v>0.32</v>
      </c>
      <c r="H1259" s="5" t="s">
        <v>2467</v>
      </c>
      <c r="I1259" s="5" t="s">
        <v>20</v>
      </c>
      <c r="J1259" s="5">
        <v>2008.0</v>
      </c>
      <c r="L1259" s="5">
        <v>2.0</v>
      </c>
      <c r="M1259" s="7">
        <f t="shared" si="3"/>
        <v>0.64</v>
      </c>
    </row>
    <row r="1260">
      <c r="A1260" s="5" t="s">
        <v>3286</v>
      </c>
      <c r="B1260" s="5" t="s">
        <v>2060</v>
      </c>
      <c r="C1260" s="5" t="s">
        <v>1899</v>
      </c>
      <c r="D1260" s="5" t="s">
        <v>3287</v>
      </c>
      <c r="E1260" s="5" t="s">
        <v>3288</v>
      </c>
      <c r="F1260" s="5" t="s">
        <v>3182</v>
      </c>
      <c r="G1260" s="6">
        <v>0.79</v>
      </c>
      <c r="H1260" s="5" t="s">
        <v>1644</v>
      </c>
      <c r="I1260" s="5" t="s">
        <v>20</v>
      </c>
      <c r="J1260" s="5">
        <v>2019.0</v>
      </c>
      <c r="L1260" s="5">
        <v>1.0</v>
      </c>
      <c r="M1260" s="7">
        <f t="shared" si="3"/>
        <v>0.79</v>
      </c>
    </row>
    <row r="1261">
      <c r="A1261" s="5" t="s">
        <v>3289</v>
      </c>
      <c r="B1261" s="5" t="s">
        <v>380</v>
      </c>
      <c r="C1261" s="5" t="s">
        <v>297</v>
      </c>
      <c r="D1261" s="5" t="s">
        <v>3290</v>
      </c>
      <c r="E1261" s="5" t="s">
        <v>3291</v>
      </c>
      <c r="F1261" s="5" t="s">
        <v>3182</v>
      </c>
      <c r="G1261" s="6">
        <v>1.0</v>
      </c>
      <c r="H1261" s="5" t="s">
        <v>2467</v>
      </c>
      <c r="I1261" s="5" t="s">
        <v>20</v>
      </c>
      <c r="J1261" s="5">
        <v>2008.0</v>
      </c>
      <c r="L1261" s="5">
        <v>3.0</v>
      </c>
      <c r="M1261" s="7">
        <f t="shared" si="3"/>
        <v>3</v>
      </c>
    </row>
    <row r="1262">
      <c r="A1262" s="5" t="s">
        <v>3292</v>
      </c>
      <c r="B1262" s="5" t="s">
        <v>3293</v>
      </c>
      <c r="C1262" s="5" t="s">
        <v>1670</v>
      </c>
      <c r="D1262" s="5" t="s">
        <v>3294</v>
      </c>
      <c r="E1262" s="5" t="s">
        <v>3262</v>
      </c>
      <c r="F1262" s="5" t="s">
        <v>3263</v>
      </c>
      <c r="G1262" s="6">
        <v>0.09</v>
      </c>
      <c r="H1262" s="5" t="s">
        <v>2482</v>
      </c>
      <c r="I1262" s="5" t="s">
        <v>1794</v>
      </c>
      <c r="J1262" s="5">
        <v>2006.0</v>
      </c>
      <c r="K1262" s="8">
        <v>46023.0</v>
      </c>
      <c r="L1262" s="5">
        <v>4.0</v>
      </c>
      <c r="M1262" s="7">
        <f t="shared" si="3"/>
        <v>0.36</v>
      </c>
    </row>
    <row r="1263">
      <c r="A1263" s="5" t="s">
        <v>3295</v>
      </c>
      <c r="B1263" s="5" t="s">
        <v>3296</v>
      </c>
      <c r="C1263" s="5" t="s">
        <v>1951</v>
      </c>
      <c r="D1263" s="5" t="s">
        <v>3297</v>
      </c>
      <c r="E1263" s="5" t="s">
        <v>989</v>
      </c>
      <c r="F1263" s="5" t="s">
        <v>3182</v>
      </c>
      <c r="G1263" s="6">
        <v>0.13</v>
      </c>
      <c r="H1263" s="5" t="s">
        <v>1644</v>
      </c>
      <c r="I1263" s="5" t="s">
        <v>20</v>
      </c>
      <c r="J1263" s="5">
        <v>2019.0</v>
      </c>
      <c r="K1263" s="8">
        <v>46055.0</v>
      </c>
      <c r="L1263" s="5">
        <v>4.0</v>
      </c>
      <c r="M1263" s="7">
        <f t="shared" si="3"/>
        <v>0.52</v>
      </c>
    </row>
    <row r="1264">
      <c r="A1264" s="5" t="s">
        <v>3298</v>
      </c>
      <c r="B1264" s="5" t="s">
        <v>3299</v>
      </c>
      <c r="C1264" s="5" t="s">
        <v>297</v>
      </c>
      <c r="D1264" s="5" t="s">
        <v>3300</v>
      </c>
      <c r="E1264" s="5" t="s">
        <v>989</v>
      </c>
      <c r="F1264" s="5" t="s">
        <v>3182</v>
      </c>
      <c r="G1264" s="6">
        <v>1.0</v>
      </c>
      <c r="H1264" s="5" t="s">
        <v>3301</v>
      </c>
      <c r="I1264" s="5" t="s">
        <v>31</v>
      </c>
      <c r="J1264" s="5">
        <v>2013.0</v>
      </c>
      <c r="K1264" s="8">
        <v>46024.0</v>
      </c>
      <c r="L1264" s="5">
        <v>1.0</v>
      </c>
      <c r="M1264" s="7">
        <f t="shared" si="3"/>
        <v>1</v>
      </c>
    </row>
    <row r="1265">
      <c r="A1265" s="5" t="s">
        <v>3298</v>
      </c>
      <c r="B1265" s="5" t="s">
        <v>3299</v>
      </c>
      <c r="C1265" s="5" t="s">
        <v>297</v>
      </c>
      <c r="D1265" s="5" t="s">
        <v>3300</v>
      </c>
      <c r="E1265" s="5" t="s">
        <v>989</v>
      </c>
      <c r="F1265" s="5" t="s">
        <v>3182</v>
      </c>
      <c r="G1265" s="6">
        <v>0.17</v>
      </c>
      <c r="H1265" s="5" t="s">
        <v>3301</v>
      </c>
      <c r="I1265" s="5" t="s">
        <v>20</v>
      </c>
      <c r="J1265" s="5">
        <v>2013.0</v>
      </c>
      <c r="K1265" s="8">
        <v>46024.0</v>
      </c>
      <c r="L1265" s="5">
        <v>3.0</v>
      </c>
      <c r="M1265" s="7">
        <f t="shared" si="3"/>
        <v>0.51</v>
      </c>
    </row>
    <row r="1266">
      <c r="A1266" s="5" t="s">
        <v>3302</v>
      </c>
      <c r="B1266" s="5" t="s">
        <v>2060</v>
      </c>
      <c r="C1266" s="5" t="s">
        <v>1899</v>
      </c>
      <c r="D1266" s="5" t="s">
        <v>3303</v>
      </c>
      <c r="E1266" s="5" t="s">
        <v>989</v>
      </c>
      <c r="F1266" s="5" t="s">
        <v>3182</v>
      </c>
      <c r="G1266" s="6">
        <v>0.21</v>
      </c>
      <c r="H1266" s="5" t="s">
        <v>3304</v>
      </c>
      <c r="I1266" s="5" t="s">
        <v>31</v>
      </c>
      <c r="J1266" s="5">
        <v>2006.0</v>
      </c>
      <c r="L1266" s="5">
        <v>4.0</v>
      </c>
      <c r="M1266" s="7">
        <f t="shared" si="3"/>
        <v>0.84</v>
      </c>
    </row>
    <row r="1267">
      <c r="A1267" s="5" t="s">
        <v>3305</v>
      </c>
      <c r="B1267" s="5" t="s">
        <v>2060</v>
      </c>
      <c r="C1267" s="5" t="s">
        <v>297</v>
      </c>
      <c r="D1267" s="5" t="s">
        <v>3306</v>
      </c>
      <c r="E1267" s="5" t="s">
        <v>3307</v>
      </c>
      <c r="F1267" s="5" t="s">
        <v>3182</v>
      </c>
      <c r="G1267" s="6">
        <v>0.05</v>
      </c>
      <c r="H1267" s="5" t="s">
        <v>2008</v>
      </c>
      <c r="I1267" s="5" t="s">
        <v>20</v>
      </c>
      <c r="J1267" s="5">
        <v>2013.0</v>
      </c>
      <c r="L1267" s="5">
        <v>5.0</v>
      </c>
      <c r="M1267" s="7">
        <f t="shared" si="3"/>
        <v>0.25</v>
      </c>
    </row>
    <row r="1268">
      <c r="A1268" s="5" t="s">
        <v>3308</v>
      </c>
      <c r="B1268" s="5" t="s">
        <v>3309</v>
      </c>
      <c r="C1268" s="5" t="s">
        <v>297</v>
      </c>
      <c r="D1268" s="5" t="s">
        <v>3310</v>
      </c>
      <c r="E1268" s="5" t="s">
        <v>989</v>
      </c>
      <c r="F1268" s="5" t="s">
        <v>3182</v>
      </c>
      <c r="G1268" s="6">
        <v>0.06</v>
      </c>
      <c r="H1268" s="5" t="s">
        <v>1644</v>
      </c>
      <c r="I1268" s="5" t="s">
        <v>20</v>
      </c>
      <c r="J1268" s="5">
        <v>2019.0</v>
      </c>
      <c r="K1268" s="8">
        <v>46024.0</v>
      </c>
      <c r="L1268" s="5">
        <v>5.0</v>
      </c>
      <c r="M1268" s="7">
        <f t="shared" si="3"/>
        <v>0.3</v>
      </c>
    </row>
    <row r="1269">
      <c r="A1269" s="5" t="s">
        <v>3311</v>
      </c>
      <c r="B1269" s="5" t="s">
        <v>3312</v>
      </c>
      <c r="C1269" s="5" t="s">
        <v>297</v>
      </c>
      <c r="D1269" s="5" t="s">
        <v>3313</v>
      </c>
      <c r="E1269" s="5" t="s">
        <v>3314</v>
      </c>
      <c r="F1269" s="5" t="s">
        <v>3155</v>
      </c>
      <c r="G1269" s="6">
        <v>0.08</v>
      </c>
      <c r="H1269" s="5" t="s">
        <v>299</v>
      </c>
      <c r="I1269" s="5" t="s">
        <v>20</v>
      </c>
      <c r="J1269" s="5">
        <v>2026.0</v>
      </c>
      <c r="K1269" s="5" t="s">
        <v>3315</v>
      </c>
      <c r="L1269" s="5">
        <v>3.0</v>
      </c>
      <c r="M1269" s="7">
        <f t="shared" si="3"/>
        <v>0.24</v>
      </c>
    </row>
    <row r="1270">
      <c r="A1270" s="5" t="s">
        <v>3316</v>
      </c>
      <c r="B1270" s="5" t="s">
        <v>3317</v>
      </c>
      <c r="C1270" s="5" t="s">
        <v>1951</v>
      </c>
      <c r="D1270" s="5" t="s">
        <v>3318</v>
      </c>
      <c r="E1270" s="5" t="s">
        <v>3319</v>
      </c>
      <c r="F1270" s="5" t="s">
        <v>3155</v>
      </c>
      <c r="G1270" s="6">
        <v>0.06</v>
      </c>
      <c r="H1270" s="5" t="s">
        <v>1644</v>
      </c>
      <c r="I1270" s="5" t="s">
        <v>20</v>
      </c>
      <c r="J1270" s="5">
        <v>2019.0</v>
      </c>
      <c r="K1270" s="8">
        <v>46023.0</v>
      </c>
      <c r="L1270" s="5">
        <v>3.0</v>
      </c>
      <c r="M1270" s="7">
        <f t="shared" si="3"/>
        <v>0.18</v>
      </c>
    </row>
    <row r="1271">
      <c r="A1271" s="5" t="s">
        <v>3320</v>
      </c>
      <c r="B1271" s="5" t="s">
        <v>380</v>
      </c>
      <c r="C1271" s="5" t="s">
        <v>1951</v>
      </c>
      <c r="D1271" s="5" t="s">
        <v>3321</v>
      </c>
      <c r="E1271" s="5" t="s">
        <v>3322</v>
      </c>
      <c r="F1271" s="5" t="s">
        <v>3113</v>
      </c>
      <c r="G1271" s="6">
        <v>0.13</v>
      </c>
      <c r="H1271" s="5" t="s">
        <v>1679</v>
      </c>
      <c r="I1271" s="5" t="s">
        <v>20</v>
      </c>
      <c r="J1271" s="5">
        <v>2008.0</v>
      </c>
      <c r="L1271" s="5">
        <v>1.0</v>
      </c>
      <c r="M1271" s="7">
        <f t="shared" si="3"/>
        <v>0.13</v>
      </c>
    </row>
    <row r="1272">
      <c r="A1272" s="5" t="s">
        <v>3323</v>
      </c>
      <c r="B1272" s="5" t="s">
        <v>2484</v>
      </c>
      <c r="C1272" s="5" t="s">
        <v>297</v>
      </c>
      <c r="D1272" s="5" t="s">
        <v>3324</v>
      </c>
      <c r="E1272" s="5" t="s">
        <v>965</v>
      </c>
      <c r="F1272" s="5" t="s">
        <v>3113</v>
      </c>
      <c r="G1272" s="6">
        <v>0.06</v>
      </c>
      <c r="H1272" s="5" t="s">
        <v>3325</v>
      </c>
      <c r="I1272" s="5" t="s">
        <v>20</v>
      </c>
      <c r="J1272" s="5">
        <v>2009.0</v>
      </c>
      <c r="K1272" s="8">
        <v>46055.0</v>
      </c>
      <c r="L1272" s="5">
        <v>2.0</v>
      </c>
      <c r="M1272" s="7">
        <f t="shared" si="3"/>
        <v>0.12</v>
      </c>
    </row>
    <row r="1273">
      <c r="A1273" s="5" t="s">
        <v>3326</v>
      </c>
      <c r="B1273" s="5" t="s">
        <v>380</v>
      </c>
      <c r="C1273" s="5" t="s">
        <v>297</v>
      </c>
      <c r="D1273" s="5" t="s">
        <v>3327</v>
      </c>
      <c r="E1273" s="5" t="s">
        <v>3328</v>
      </c>
      <c r="F1273" s="5" t="s">
        <v>3113</v>
      </c>
      <c r="G1273" s="6">
        <v>0.1</v>
      </c>
      <c r="H1273" s="5" t="s">
        <v>1676</v>
      </c>
      <c r="I1273" s="5" t="s">
        <v>20</v>
      </c>
      <c r="J1273" s="5">
        <v>2012.0</v>
      </c>
      <c r="L1273" s="5">
        <v>4.0</v>
      </c>
      <c r="M1273" s="7">
        <f t="shared" si="3"/>
        <v>0.4</v>
      </c>
    </row>
    <row r="1274">
      <c r="A1274" s="5" t="s">
        <v>3329</v>
      </c>
      <c r="B1274" s="5" t="s">
        <v>3330</v>
      </c>
      <c r="C1274" s="5" t="s">
        <v>297</v>
      </c>
      <c r="D1274" s="5" t="s">
        <v>3331</v>
      </c>
      <c r="E1274" s="5" t="s">
        <v>3332</v>
      </c>
      <c r="F1274" s="5" t="s">
        <v>3174</v>
      </c>
      <c r="G1274" s="6">
        <v>0.45</v>
      </c>
      <c r="H1274" s="5" t="s">
        <v>3333</v>
      </c>
      <c r="I1274" s="5" t="s">
        <v>20</v>
      </c>
      <c r="J1274" s="5">
        <v>2009.0</v>
      </c>
      <c r="K1274" s="8">
        <v>46084.0</v>
      </c>
      <c r="L1274" s="5">
        <v>1.0</v>
      </c>
      <c r="M1274" s="7">
        <f t="shared" si="3"/>
        <v>0.45</v>
      </c>
    </row>
    <row r="1275">
      <c r="A1275" s="5" t="s">
        <v>3334</v>
      </c>
      <c r="B1275" s="5" t="s">
        <v>2753</v>
      </c>
      <c r="C1275" s="5" t="s">
        <v>1899</v>
      </c>
      <c r="D1275" s="5" t="s">
        <v>3335</v>
      </c>
      <c r="E1275" s="5" t="s">
        <v>3336</v>
      </c>
      <c r="F1275" s="5" t="s">
        <v>3174</v>
      </c>
      <c r="G1275" s="6">
        <v>0.1</v>
      </c>
      <c r="H1275" s="5" t="s">
        <v>1986</v>
      </c>
      <c r="I1275" s="5" t="s">
        <v>20</v>
      </c>
      <c r="J1275" s="5">
        <v>2015.0</v>
      </c>
      <c r="K1275" s="8">
        <v>46023.0</v>
      </c>
      <c r="L1275" s="5">
        <v>1.0</v>
      </c>
      <c r="M1275" s="7">
        <f t="shared" si="3"/>
        <v>0.1</v>
      </c>
    </row>
    <row r="1276">
      <c r="A1276" s="5" t="s">
        <v>3337</v>
      </c>
      <c r="B1276" s="5" t="s">
        <v>3338</v>
      </c>
      <c r="C1276" s="5" t="s">
        <v>1951</v>
      </c>
      <c r="D1276" s="5" t="s">
        <v>3339</v>
      </c>
      <c r="E1276" s="5" t="s">
        <v>3340</v>
      </c>
      <c r="F1276" s="5" t="s">
        <v>3174</v>
      </c>
      <c r="G1276" s="6">
        <v>0.75</v>
      </c>
      <c r="H1276" s="5" t="s">
        <v>1679</v>
      </c>
      <c r="I1276" s="5" t="s">
        <v>20</v>
      </c>
      <c r="J1276" s="5">
        <v>2008.0</v>
      </c>
      <c r="K1276" s="8">
        <v>46024.0</v>
      </c>
      <c r="L1276" s="5">
        <v>1.0</v>
      </c>
      <c r="M1276" s="7">
        <f t="shared" si="3"/>
        <v>0.75</v>
      </c>
    </row>
    <row r="1277">
      <c r="A1277" s="5" t="s">
        <v>3341</v>
      </c>
      <c r="B1277" s="5" t="s">
        <v>3342</v>
      </c>
      <c r="C1277" s="5" t="s">
        <v>1899</v>
      </c>
      <c r="D1277" s="5" t="s">
        <v>3343</v>
      </c>
      <c r="E1277" s="5" t="s">
        <v>3344</v>
      </c>
      <c r="F1277" s="5" t="s">
        <v>3198</v>
      </c>
      <c r="G1277" s="6">
        <v>0.36</v>
      </c>
      <c r="H1277" s="5" t="s">
        <v>1644</v>
      </c>
      <c r="I1277" s="5" t="s">
        <v>20</v>
      </c>
      <c r="J1277" s="5">
        <v>2019.0</v>
      </c>
      <c r="K1277" s="8">
        <v>46084.0</v>
      </c>
      <c r="L1277" s="5">
        <v>1.0</v>
      </c>
      <c r="M1277" s="7">
        <f t="shared" si="3"/>
        <v>0.36</v>
      </c>
    </row>
    <row r="1278">
      <c r="A1278" s="5" t="s">
        <v>3345</v>
      </c>
      <c r="B1278" s="5" t="s">
        <v>2019</v>
      </c>
      <c r="C1278" s="5" t="s">
        <v>1951</v>
      </c>
      <c r="D1278" s="5" t="s">
        <v>3346</v>
      </c>
      <c r="E1278" s="5" t="s">
        <v>3347</v>
      </c>
      <c r="F1278" s="5" t="s">
        <v>3189</v>
      </c>
      <c r="G1278" s="6">
        <v>0.41</v>
      </c>
      <c r="H1278" s="5" t="s">
        <v>1676</v>
      </c>
      <c r="I1278" s="5" t="s">
        <v>20</v>
      </c>
      <c r="J1278" s="5">
        <v>2012.0</v>
      </c>
      <c r="K1278" s="8">
        <v>46023.0</v>
      </c>
      <c r="L1278" s="5">
        <v>2.0</v>
      </c>
      <c r="M1278" s="7">
        <f t="shared" si="3"/>
        <v>0.82</v>
      </c>
    </row>
    <row r="1279">
      <c r="A1279" s="5" t="s">
        <v>3348</v>
      </c>
      <c r="B1279" s="5" t="s">
        <v>3349</v>
      </c>
      <c r="C1279" s="5" t="s">
        <v>1899</v>
      </c>
      <c r="D1279" s="5" t="s">
        <v>3350</v>
      </c>
      <c r="E1279" s="5" t="s">
        <v>3351</v>
      </c>
      <c r="F1279" s="5" t="s">
        <v>3189</v>
      </c>
      <c r="G1279" s="6">
        <v>1.78</v>
      </c>
      <c r="H1279" s="5" t="s">
        <v>1981</v>
      </c>
      <c r="I1279" s="5" t="s">
        <v>20</v>
      </c>
      <c r="J1279" s="5">
        <v>2022.0</v>
      </c>
      <c r="K1279" s="8">
        <v>46083.0</v>
      </c>
      <c r="L1279" s="5">
        <v>1.0</v>
      </c>
      <c r="M1279" s="7">
        <f t="shared" si="3"/>
        <v>1.78</v>
      </c>
    </row>
    <row r="1280">
      <c r="A1280" s="5" t="s">
        <v>3352</v>
      </c>
      <c r="B1280" s="5" t="s">
        <v>380</v>
      </c>
      <c r="C1280" s="5" t="s">
        <v>1951</v>
      </c>
      <c r="D1280" s="5" t="s">
        <v>3353</v>
      </c>
      <c r="E1280" s="5" t="s">
        <v>3354</v>
      </c>
      <c r="F1280" s="5" t="s">
        <v>3355</v>
      </c>
      <c r="G1280" s="6">
        <v>0.25</v>
      </c>
      <c r="H1280" s="5" t="s">
        <v>1704</v>
      </c>
      <c r="I1280" s="5" t="s">
        <v>20</v>
      </c>
      <c r="J1280" s="5">
        <v>2008.0</v>
      </c>
      <c r="L1280" s="5">
        <v>4.0</v>
      </c>
      <c r="M1280" s="7">
        <f t="shared" si="3"/>
        <v>1</v>
      </c>
    </row>
    <row r="1281">
      <c r="A1281" s="5" t="s">
        <v>3356</v>
      </c>
      <c r="B1281" s="5" t="s">
        <v>3357</v>
      </c>
      <c r="C1281" s="5" t="s">
        <v>1899</v>
      </c>
      <c r="D1281" s="5" t="s">
        <v>3358</v>
      </c>
      <c r="E1281" s="5" t="s">
        <v>3359</v>
      </c>
      <c r="F1281" s="5" t="s">
        <v>3360</v>
      </c>
      <c r="G1281" s="6">
        <v>0.5</v>
      </c>
      <c r="H1281" s="5" t="s">
        <v>2636</v>
      </c>
      <c r="I1281" s="5" t="s">
        <v>20</v>
      </c>
      <c r="J1281" s="5">
        <v>2006.0</v>
      </c>
      <c r="K1281" s="8">
        <v>46116.0</v>
      </c>
      <c r="L1281" s="5">
        <v>1.0</v>
      </c>
      <c r="M1281" s="7">
        <f t="shared" si="3"/>
        <v>0.5</v>
      </c>
    </row>
    <row r="1282">
      <c r="A1282" s="5" t="s">
        <v>3361</v>
      </c>
      <c r="B1282" s="5" t="s">
        <v>3362</v>
      </c>
      <c r="C1282" s="5" t="s">
        <v>1899</v>
      </c>
      <c r="D1282" s="5" t="s">
        <v>3363</v>
      </c>
      <c r="E1282" s="5" t="s">
        <v>3364</v>
      </c>
      <c r="F1282" s="5" t="s">
        <v>3365</v>
      </c>
      <c r="G1282" s="6">
        <v>1.5</v>
      </c>
      <c r="H1282" s="5" t="s">
        <v>2802</v>
      </c>
      <c r="I1282" s="5" t="s">
        <v>20</v>
      </c>
      <c r="J1282" s="5">
        <v>2026.0</v>
      </c>
      <c r="K1282" s="5" t="s">
        <v>3158</v>
      </c>
      <c r="L1282" s="5">
        <v>1.0</v>
      </c>
      <c r="M1282" s="7">
        <f t="shared" si="3"/>
        <v>1.5</v>
      </c>
    </row>
    <row r="1283">
      <c r="A1283" s="5" t="s">
        <v>3366</v>
      </c>
      <c r="B1283" s="5" t="s">
        <v>380</v>
      </c>
      <c r="C1283" s="5" t="s">
        <v>297</v>
      </c>
      <c r="D1283" s="5" t="s">
        <v>3367</v>
      </c>
      <c r="E1283" s="5" t="s">
        <v>3368</v>
      </c>
      <c r="F1283" s="5" t="s">
        <v>3194</v>
      </c>
      <c r="G1283" s="6">
        <v>0.09</v>
      </c>
      <c r="H1283" s="5" t="s">
        <v>2008</v>
      </c>
      <c r="I1283" s="5" t="s">
        <v>20</v>
      </c>
      <c r="J1283" s="5">
        <v>2013.0</v>
      </c>
      <c r="L1283" s="5">
        <v>4.0</v>
      </c>
      <c r="M1283" s="7">
        <f t="shared" si="3"/>
        <v>0.36</v>
      </c>
    </row>
    <row r="1284">
      <c r="A1284" s="5" t="s">
        <v>3369</v>
      </c>
      <c r="B1284" s="5" t="s">
        <v>387</v>
      </c>
      <c r="C1284" s="5" t="s">
        <v>297</v>
      </c>
      <c r="D1284" s="5" t="s">
        <v>3370</v>
      </c>
      <c r="E1284" s="5" t="s">
        <v>3371</v>
      </c>
      <c r="F1284" s="5" t="s">
        <v>3194</v>
      </c>
      <c r="G1284" s="6">
        <v>0.4</v>
      </c>
      <c r="H1284" s="5" t="s">
        <v>299</v>
      </c>
      <c r="I1284" s="5" t="s">
        <v>20</v>
      </c>
      <c r="J1284" s="5">
        <v>2026.0</v>
      </c>
      <c r="L1284" s="5">
        <v>3.0</v>
      </c>
      <c r="M1284" s="7">
        <f t="shared" si="3"/>
        <v>1.2</v>
      </c>
    </row>
    <row r="1285">
      <c r="A1285" s="5" t="s">
        <v>3372</v>
      </c>
      <c r="B1285" s="5" t="s">
        <v>3373</v>
      </c>
      <c r="C1285" s="5" t="s">
        <v>1951</v>
      </c>
      <c r="D1285" s="5" t="s">
        <v>3374</v>
      </c>
      <c r="E1285" s="5" t="s">
        <v>3344</v>
      </c>
      <c r="F1285" s="5" t="s">
        <v>3198</v>
      </c>
      <c r="G1285" s="6">
        <v>0.48</v>
      </c>
      <c r="H1285" s="5" t="s">
        <v>3375</v>
      </c>
      <c r="I1285" s="5" t="s">
        <v>20</v>
      </c>
      <c r="J1285" s="5">
        <v>2025.0</v>
      </c>
      <c r="K1285" s="8">
        <v>46114.0</v>
      </c>
      <c r="L1285" s="5">
        <v>1.0</v>
      </c>
      <c r="M1285" s="7">
        <f t="shared" si="3"/>
        <v>0.48</v>
      </c>
    </row>
    <row r="1286">
      <c r="A1286" s="5" t="s">
        <v>3376</v>
      </c>
      <c r="B1286" s="5" t="s">
        <v>2386</v>
      </c>
      <c r="C1286" s="5" t="s">
        <v>1951</v>
      </c>
      <c r="D1286" s="5" t="s">
        <v>3377</v>
      </c>
      <c r="E1286" s="5" t="s">
        <v>1492</v>
      </c>
      <c r="F1286" s="5" t="s">
        <v>3119</v>
      </c>
      <c r="G1286" s="6">
        <v>0.21</v>
      </c>
      <c r="H1286" s="5" t="s">
        <v>2388</v>
      </c>
      <c r="I1286" s="5" t="s">
        <v>20</v>
      </c>
      <c r="J1286" s="5">
        <v>2019.0</v>
      </c>
      <c r="K1286" s="8">
        <v>46023.0</v>
      </c>
      <c r="L1286" s="5">
        <v>4.0</v>
      </c>
      <c r="M1286" s="7">
        <f t="shared" si="3"/>
        <v>0.84</v>
      </c>
    </row>
    <row r="1287">
      <c r="A1287" s="5" t="s">
        <v>3378</v>
      </c>
      <c r="B1287" s="5" t="s">
        <v>1946</v>
      </c>
      <c r="C1287" s="5" t="s">
        <v>1899</v>
      </c>
      <c r="D1287" s="5" t="s">
        <v>3379</v>
      </c>
      <c r="E1287" s="5" t="s">
        <v>3380</v>
      </c>
      <c r="F1287" s="5" t="s">
        <v>3119</v>
      </c>
      <c r="G1287" s="6">
        <v>0.25</v>
      </c>
      <c r="H1287" s="5" t="s">
        <v>1644</v>
      </c>
      <c r="I1287" s="5" t="s">
        <v>20</v>
      </c>
      <c r="J1287" s="5">
        <v>2019.0</v>
      </c>
      <c r="L1287" s="5">
        <v>4.0</v>
      </c>
      <c r="M1287" s="7">
        <f t="shared" si="3"/>
        <v>1</v>
      </c>
    </row>
    <row r="1288">
      <c r="A1288" s="5" t="s">
        <v>3381</v>
      </c>
      <c r="B1288" s="5" t="s">
        <v>2490</v>
      </c>
      <c r="C1288" s="5" t="s">
        <v>1951</v>
      </c>
      <c r="D1288" s="5" t="s">
        <v>3382</v>
      </c>
      <c r="E1288" s="5" t="s">
        <v>1492</v>
      </c>
      <c r="F1288" s="5" t="s">
        <v>3119</v>
      </c>
      <c r="G1288" s="6">
        <v>0.1</v>
      </c>
      <c r="H1288" s="5" t="s">
        <v>1644</v>
      </c>
      <c r="I1288" s="5" t="s">
        <v>20</v>
      </c>
      <c r="J1288" s="5">
        <v>2019.0</v>
      </c>
      <c r="K1288" s="8">
        <v>46055.0</v>
      </c>
      <c r="L1288" s="5">
        <v>4.0</v>
      </c>
      <c r="M1288" s="7">
        <f t="shared" si="3"/>
        <v>0.4</v>
      </c>
    </row>
    <row r="1289">
      <c r="A1289" s="5" t="s">
        <v>3383</v>
      </c>
      <c r="B1289" s="5" t="s">
        <v>380</v>
      </c>
      <c r="C1289" s="5" t="s">
        <v>297</v>
      </c>
      <c r="D1289" s="5" t="s">
        <v>3384</v>
      </c>
      <c r="E1289" s="5" t="s">
        <v>965</v>
      </c>
      <c r="F1289" s="5" t="s">
        <v>3113</v>
      </c>
      <c r="G1289" s="6">
        <v>0.2</v>
      </c>
      <c r="H1289" s="5" t="s">
        <v>3385</v>
      </c>
      <c r="I1289" s="5" t="s">
        <v>20</v>
      </c>
      <c r="J1289" s="5">
        <v>2011.0</v>
      </c>
      <c r="L1289" s="5">
        <v>4.0</v>
      </c>
      <c r="M1289" s="7">
        <f t="shared" si="3"/>
        <v>0.8</v>
      </c>
    </row>
    <row r="1290">
      <c r="A1290" s="5" t="s">
        <v>3386</v>
      </c>
      <c r="B1290" s="5" t="s">
        <v>380</v>
      </c>
      <c r="C1290" s="5" t="s">
        <v>297</v>
      </c>
      <c r="D1290" s="5" t="s">
        <v>3387</v>
      </c>
      <c r="E1290" s="5" t="s">
        <v>3322</v>
      </c>
      <c r="F1290" s="5" t="s">
        <v>3113</v>
      </c>
      <c r="G1290" s="6">
        <v>0.05</v>
      </c>
      <c r="H1290" s="5" t="s">
        <v>2388</v>
      </c>
      <c r="I1290" s="5" t="s">
        <v>20</v>
      </c>
      <c r="J1290" s="5">
        <v>2019.0</v>
      </c>
      <c r="L1290" s="5">
        <v>4.0</v>
      </c>
      <c r="M1290" s="7">
        <f t="shared" si="3"/>
        <v>0.2</v>
      </c>
    </row>
    <row r="1291">
      <c r="A1291" s="5" t="s">
        <v>3388</v>
      </c>
      <c r="B1291" s="5" t="s">
        <v>3389</v>
      </c>
      <c r="C1291" s="5" t="s">
        <v>1899</v>
      </c>
      <c r="D1291" s="5" t="s">
        <v>3390</v>
      </c>
      <c r="E1291" s="5" t="s">
        <v>3391</v>
      </c>
      <c r="F1291" s="5" t="s">
        <v>3202</v>
      </c>
      <c r="G1291" s="6">
        <v>0.89</v>
      </c>
      <c r="H1291" s="5" t="s">
        <v>299</v>
      </c>
      <c r="I1291" s="5" t="s">
        <v>20</v>
      </c>
      <c r="J1291" s="5">
        <v>2026.0</v>
      </c>
      <c r="K1291" s="8">
        <v>46208.0</v>
      </c>
      <c r="L1291" s="5">
        <v>1.0</v>
      </c>
      <c r="M1291" s="7">
        <f t="shared" si="3"/>
        <v>0.89</v>
      </c>
    </row>
    <row r="1292">
      <c r="A1292" s="5" t="s">
        <v>3392</v>
      </c>
      <c r="B1292" s="5" t="s">
        <v>3393</v>
      </c>
      <c r="C1292" s="5" t="s">
        <v>1951</v>
      </c>
      <c r="D1292" s="5" t="s">
        <v>3394</v>
      </c>
      <c r="E1292" s="5" t="s">
        <v>3201</v>
      </c>
      <c r="F1292" s="5" t="s">
        <v>3202</v>
      </c>
      <c r="G1292" s="6">
        <v>0.43</v>
      </c>
      <c r="H1292" s="5" t="s">
        <v>2624</v>
      </c>
      <c r="I1292" s="5" t="s">
        <v>20</v>
      </c>
      <c r="J1292" s="5">
        <v>2019.0</v>
      </c>
      <c r="L1292" s="5">
        <v>4.0</v>
      </c>
      <c r="M1292" s="7">
        <f t="shared" si="3"/>
        <v>1.72</v>
      </c>
    </row>
    <row r="1293">
      <c r="A1293" s="5" t="s">
        <v>3395</v>
      </c>
      <c r="B1293" s="5" t="s">
        <v>3396</v>
      </c>
      <c r="C1293" s="5" t="s">
        <v>1951</v>
      </c>
      <c r="D1293" s="5" t="s">
        <v>3397</v>
      </c>
      <c r="E1293" s="5" t="s">
        <v>3398</v>
      </c>
      <c r="F1293" s="5" t="s">
        <v>3202</v>
      </c>
      <c r="G1293" s="6">
        <v>0.14</v>
      </c>
      <c r="H1293" s="5" t="s">
        <v>1647</v>
      </c>
      <c r="I1293" s="5" t="s">
        <v>20</v>
      </c>
      <c r="J1293" s="5">
        <v>2018.0</v>
      </c>
      <c r="K1293" s="5" t="s">
        <v>3399</v>
      </c>
      <c r="L1293" s="5">
        <v>4.0</v>
      </c>
      <c r="M1293" s="7">
        <f t="shared" si="3"/>
        <v>0.56</v>
      </c>
    </row>
    <row r="1294">
      <c r="A1294" s="5" t="s">
        <v>3400</v>
      </c>
      <c r="B1294" s="5" t="s">
        <v>2319</v>
      </c>
      <c r="C1294" s="5" t="s">
        <v>1951</v>
      </c>
      <c r="D1294" s="5" t="s">
        <v>3401</v>
      </c>
      <c r="E1294" s="5" t="s">
        <v>3402</v>
      </c>
      <c r="F1294" s="5" t="s">
        <v>3202</v>
      </c>
      <c r="G1294" s="6">
        <v>0.08</v>
      </c>
      <c r="H1294" s="5" t="s">
        <v>1997</v>
      </c>
      <c r="I1294" s="5" t="s">
        <v>20</v>
      </c>
      <c r="J1294" s="5">
        <v>2016.0</v>
      </c>
      <c r="K1294" s="8">
        <v>46082.0</v>
      </c>
      <c r="L1294" s="5">
        <v>4.0</v>
      </c>
      <c r="M1294" s="7">
        <f t="shared" si="3"/>
        <v>0.32</v>
      </c>
    </row>
    <row r="1295">
      <c r="A1295" s="5" t="s">
        <v>3403</v>
      </c>
      <c r="B1295" s="5" t="s">
        <v>3404</v>
      </c>
      <c r="C1295" s="5" t="s">
        <v>2252</v>
      </c>
      <c r="D1295" s="5" t="s">
        <v>3405</v>
      </c>
      <c r="E1295" s="5" t="s">
        <v>3406</v>
      </c>
      <c r="F1295" s="5" t="s">
        <v>3155</v>
      </c>
      <c r="G1295" s="6">
        <v>1.76</v>
      </c>
      <c r="H1295" s="5" t="s">
        <v>3407</v>
      </c>
      <c r="I1295" s="5" t="s">
        <v>20</v>
      </c>
      <c r="J1295" s="5">
        <v>2023.0</v>
      </c>
      <c r="K1295" s="8">
        <v>46146.0</v>
      </c>
      <c r="L1295" s="5">
        <v>1.0</v>
      </c>
      <c r="M1295" s="7">
        <f t="shared" si="3"/>
        <v>1.76</v>
      </c>
    </row>
    <row r="1296">
      <c r="A1296" s="5" t="s">
        <v>3408</v>
      </c>
      <c r="B1296" s="5" t="s">
        <v>2319</v>
      </c>
      <c r="C1296" s="5" t="s">
        <v>1899</v>
      </c>
      <c r="D1296" s="5" t="s">
        <v>3409</v>
      </c>
      <c r="E1296" s="5" t="s">
        <v>3319</v>
      </c>
      <c r="F1296" s="5" t="s">
        <v>3155</v>
      </c>
      <c r="G1296" s="6">
        <v>0.4</v>
      </c>
      <c r="H1296" s="5" t="s">
        <v>2008</v>
      </c>
      <c r="I1296" s="5" t="s">
        <v>20</v>
      </c>
      <c r="J1296" s="5">
        <v>2013.0</v>
      </c>
      <c r="K1296" s="8">
        <v>46083.0</v>
      </c>
      <c r="L1296" s="5">
        <v>1.0</v>
      </c>
      <c r="M1296" s="7">
        <f t="shared" si="3"/>
        <v>0.4</v>
      </c>
    </row>
    <row r="1297">
      <c r="A1297" s="5" t="s">
        <v>3410</v>
      </c>
      <c r="B1297" s="5" t="s">
        <v>3411</v>
      </c>
      <c r="C1297" s="5" t="s">
        <v>1951</v>
      </c>
      <c r="D1297" s="5" t="s">
        <v>3412</v>
      </c>
      <c r="E1297" s="5" t="s">
        <v>3406</v>
      </c>
      <c r="F1297" s="5" t="s">
        <v>3155</v>
      </c>
      <c r="G1297" s="6">
        <v>0.49</v>
      </c>
      <c r="H1297" s="5" t="s">
        <v>1644</v>
      </c>
      <c r="I1297" s="5" t="s">
        <v>31</v>
      </c>
      <c r="J1297" s="5">
        <v>2019.0</v>
      </c>
      <c r="K1297" s="8">
        <v>46116.0</v>
      </c>
      <c r="L1297" s="5">
        <v>1.0</v>
      </c>
      <c r="M1297" s="7">
        <f t="shared" si="3"/>
        <v>0.49</v>
      </c>
    </row>
    <row r="1298">
      <c r="A1298" s="5" t="s">
        <v>3413</v>
      </c>
      <c r="B1298" s="5" t="s">
        <v>2060</v>
      </c>
      <c r="C1298" s="5" t="s">
        <v>1899</v>
      </c>
      <c r="D1298" s="5" t="s">
        <v>3414</v>
      </c>
      <c r="E1298" s="5" t="s">
        <v>3415</v>
      </c>
      <c r="F1298" s="5" t="s">
        <v>3113</v>
      </c>
      <c r="G1298" s="6">
        <v>0.46</v>
      </c>
      <c r="H1298" s="5" t="s">
        <v>1647</v>
      </c>
      <c r="I1298" s="5" t="s">
        <v>20</v>
      </c>
      <c r="J1298" s="5">
        <v>2018.0</v>
      </c>
      <c r="L1298" s="5">
        <v>2.0</v>
      </c>
      <c r="M1298" s="7">
        <f t="shared" si="3"/>
        <v>0.92</v>
      </c>
    </row>
    <row r="1299">
      <c r="A1299" s="5" t="s">
        <v>3416</v>
      </c>
      <c r="B1299" s="5" t="s">
        <v>3417</v>
      </c>
      <c r="C1299" s="5" t="s">
        <v>1951</v>
      </c>
      <c r="D1299" s="5" t="s">
        <v>3418</v>
      </c>
      <c r="E1299" s="5" t="s">
        <v>3419</v>
      </c>
      <c r="F1299" s="5" t="s">
        <v>3119</v>
      </c>
      <c r="G1299" s="6">
        <v>0.13</v>
      </c>
      <c r="H1299" s="5" t="s">
        <v>1644</v>
      </c>
      <c r="I1299" s="5" t="s">
        <v>20</v>
      </c>
      <c r="J1299" s="5">
        <v>2019.0</v>
      </c>
      <c r="L1299" s="5">
        <v>4.0</v>
      </c>
      <c r="M1299" s="7">
        <f t="shared" si="3"/>
        <v>0.52</v>
      </c>
    </row>
    <row r="1300">
      <c r="A1300" s="5" t="s">
        <v>3420</v>
      </c>
      <c r="B1300" s="5" t="s">
        <v>3421</v>
      </c>
      <c r="C1300" s="5" t="s">
        <v>1899</v>
      </c>
      <c r="D1300" s="5" t="s">
        <v>3422</v>
      </c>
      <c r="E1300" s="5" t="s">
        <v>3423</v>
      </c>
      <c r="F1300" s="5" t="s">
        <v>3174</v>
      </c>
      <c r="G1300" s="6">
        <v>0.59</v>
      </c>
      <c r="H1300" s="5" t="s">
        <v>3424</v>
      </c>
      <c r="I1300" s="5" t="s">
        <v>20</v>
      </c>
      <c r="J1300" s="5">
        <v>2024.0</v>
      </c>
      <c r="L1300" s="5">
        <v>1.0</v>
      </c>
      <c r="M1300" s="7">
        <f t="shared" si="3"/>
        <v>0.59</v>
      </c>
    </row>
    <row r="1301">
      <c r="A1301" s="5" t="s">
        <v>3425</v>
      </c>
      <c r="B1301" s="5" t="s">
        <v>3204</v>
      </c>
      <c r="C1301" s="5" t="s">
        <v>1951</v>
      </c>
      <c r="D1301" s="5" t="s">
        <v>3426</v>
      </c>
      <c r="E1301" s="5" t="s">
        <v>2346</v>
      </c>
      <c r="F1301" s="5" t="s">
        <v>166</v>
      </c>
      <c r="G1301" s="6">
        <v>0.33</v>
      </c>
      <c r="H1301" s="5" t="s">
        <v>3427</v>
      </c>
      <c r="I1301" s="5" t="s">
        <v>20</v>
      </c>
      <c r="J1301" s="5">
        <v>2004.0</v>
      </c>
      <c r="K1301" s="8">
        <v>46054.0</v>
      </c>
      <c r="L1301" s="5">
        <v>1.0</v>
      </c>
      <c r="M1301" s="7">
        <f t="shared" si="3"/>
        <v>0.33</v>
      </c>
    </row>
    <row r="1302">
      <c r="A1302" s="5" t="s">
        <v>3428</v>
      </c>
      <c r="B1302" s="5" t="s">
        <v>2585</v>
      </c>
      <c r="C1302" s="5" t="s">
        <v>1899</v>
      </c>
      <c r="D1302" s="5" t="s">
        <v>3429</v>
      </c>
      <c r="E1302" s="5" t="s">
        <v>3430</v>
      </c>
      <c r="F1302" s="5" t="s">
        <v>166</v>
      </c>
      <c r="G1302" s="6">
        <v>0.25</v>
      </c>
      <c r="H1302" s="5" t="s">
        <v>3431</v>
      </c>
      <c r="I1302" s="5" t="s">
        <v>20</v>
      </c>
      <c r="J1302" s="5">
        <v>2018.0</v>
      </c>
      <c r="K1302" s="8">
        <v>46115.0</v>
      </c>
      <c r="L1302" s="5">
        <v>1.0</v>
      </c>
      <c r="M1302" s="7">
        <f t="shared" si="3"/>
        <v>0.25</v>
      </c>
    </row>
    <row r="1303">
      <c r="A1303" s="5" t="s">
        <v>3432</v>
      </c>
      <c r="B1303" s="5" t="s">
        <v>3433</v>
      </c>
      <c r="C1303" s="5" t="s">
        <v>297</v>
      </c>
      <c r="D1303" s="5" t="s">
        <v>3434</v>
      </c>
      <c r="E1303" s="5" t="s">
        <v>932</v>
      </c>
      <c r="F1303" s="5" t="s">
        <v>166</v>
      </c>
      <c r="G1303" s="6">
        <v>0.08</v>
      </c>
      <c r="H1303" s="5" t="s">
        <v>3427</v>
      </c>
      <c r="I1303" s="5" t="s">
        <v>20</v>
      </c>
      <c r="J1303" s="5">
        <v>2004.0</v>
      </c>
      <c r="K1303" s="8">
        <v>46023.0</v>
      </c>
      <c r="L1303" s="5">
        <v>1.0</v>
      </c>
      <c r="M1303" s="7">
        <f t="shared" si="3"/>
        <v>0.08</v>
      </c>
    </row>
    <row r="1304">
      <c r="A1304" s="5" t="s">
        <v>3435</v>
      </c>
      <c r="B1304" s="5" t="s">
        <v>3095</v>
      </c>
      <c r="C1304" s="5" t="s">
        <v>297</v>
      </c>
      <c r="D1304" s="5" t="s">
        <v>3436</v>
      </c>
      <c r="E1304" s="5" t="s">
        <v>2346</v>
      </c>
      <c r="F1304" s="5" t="s">
        <v>166</v>
      </c>
      <c r="G1304" s="6">
        <v>0.05</v>
      </c>
      <c r="H1304" s="5" t="s">
        <v>1700</v>
      </c>
      <c r="I1304" s="5" t="s">
        <v>20</v>
      </c>
      <c r="J1304" s="5">
        <v>2003.0</v>
      </c>
      <c r="K1304" s="8">
        <v>46023.0</v>
      </c>
      <c r="L1304" s="5">
        <v>1.0</v>
      </c>
      <c r="M1304" s="7">
        <f t="shared" si="3"/>
        <v>0.05</v>
      </c>
    </row>
    <row r="1305">
      <c r="A1305" s="5" t="s">
        <v>3437</v>
      </c>
      <c r="B1305" s="5" t="s">
        <v>3417</v>
      </c>
      <c r="C1305" s="5" t="s">
        <v>1951</v>
      </c>
      <c r="D1305" s="5" t="s">
        <v>3438</v>
      </c>
      <c r="E1305" s="5" t="s">
        <v>3439</v>
      </c>
      <c r="F1305" s="5" t="s">
        <v>3182</v>
      </c>
      <c r="G1305" s="6">
        <v>0.1</v>
      </c>
      <c r="H1305" s="5" t="s">
        <v>1644</v>
      </c>
      <c r="I1305" s="5" t="s">
        <v>20</v>
      </c>
      <c r="J1305" s="5">
        <v>2019.0</v>
      </c>
      <c r="L1305" s="5">
        <v>1.0</v>
      </c>
      <c r="M1305" s="7">
        <f t="shared" si="3"/>
        <v>0.1</v>
      </c>
    </row>
    <row r="1306">
      <c r="A1306" s="5" t="s">
        <v>3440</v>
      </c>
      <c r="B1306" s="5" t="s">
        <v>2060</v>
      </c>
      <c r="C1306" s="5" t="s">
        <v>2252</v>
      </c>
      <c r="D1306" s="5" t="s">
        <v>3441</v>
      </c>
      <c r="E1306" s="5" t="s">
        <v>2550</v>
      </c>
      <c r="F1306" s="5" t="s">
        <v>18</v>
      </c>
      <c r="G1306" s="6">
        <v>0.78</v>
      </c>
      <c r="H1306" s="5" t="s">
        <v>3442</v>
      </c>
      <c r="I1306" s="5" t="s">
        <v>31</v>
      </c>
      <c r="J1306" s="5">
        <v>2009.0</v>
      </c>
      <c r="L1306" s="5">
        <v>1.0</v>
      </c>
      <c r="M1306" s="7">
        <f t="shared" si="3"/>
        <v>0.78</v>
      </c>
    </row>
    <row r="1307">
      <c r="A1307" s="5" t="s">
        <v>3443</v>
      </c>
      <c r="B1307" s="5" t="s">
        <v>3444</v>
      </c>
      <c r="C1307" s="5" t="s">
        <v>297</v>
      </c>
      <c r="D1307" s="5" t="s">
        <v>3445</v>
      </c>
      <c r="E1307" s="5" t="s">
        <v>3446</v>
      </c>
      <c r="F1307" s="5" t="s">
        <v>3355</v>
      </c>
      <c r="G1307" s="6">
        <v>0.15</v>
      </c>
      <c r="H1307" s="5" t="s">
        <v>3333</v>
      </c>
      <c r="I1307" s="5" t="s">
        <v>20</v>
      </c>
      <c r="J1307" s="5">
        <v>2009.0</v>
      </c>
      <c r="K1307" s="8">
        <v>46024.0</v>
      </c>
      <c r="L1307" s="5">
        <v>2.0</v>
      </c>
      <c r="M1307" s="7">
        <f t="shared" si="3"/>
        <v>0.3</v>
      </c>
    </row>
    <row r="1308">
      <c r="A1308" s="5" t="s">
        <v>3447</v>
      </c>
      <c r="B1308" s="5" t="s">
        <v>380</v>
      </c>
      <c r="C1308" s="5" t="s">
        <v>297</v>
      </c>
      <c r="D1308" s="5" t="s">
        <v>3448</v>
      </c>
      <c r="E1308" s="5" t="s">
        <v>3368</v>
      </c>
      <c r="F1308" s="5" t="s">
        <v>3194</v>
      </c>
      <c r="G1308" s="6">
        <v>0.24</v>
      </c>
      <c r="H1308" s="5" t="s">
        <v>2467</v>
      </c>
      <c r="I1308" s="5" t="s">
        <v>20</v>
      </c>
      <c r="J1308" s="5">
        <v>2008.0</v>
      </c>
      <c r="L1308" s="5">
        <v>1.0</v>
      </c>
      <c r="M1308" s="7">
        <f t="shared" si="3"/>
        <v>0.24</v>
      </c>
    </row>
    <row r="1309">
      <c r="A1309" s="5" t="s">
        <v>3449</v>
      </c>
      <c r="B1309" s="5" t="s">
        <v>3095</v>
      </c>
      <c r="C1309" s="5" t="s">
        <v>297</v>
      </c>
      <c r="D1309" s="5" t="s">
        <v>3450</v>
      </c>
      <c r="E1309" s="5" t="s">
        <v>3451</v>
      </c>
      <c r="F1309" s="5" t="s">
        <v>3452</v>
      </c>
      <c r="G1309" s="6">
        <v>0.2</v>
      </c>
      <c r="H1309" s="5" t="s">
        <v>3333</v>
      </c>
      <c r="I1309" s="5" t="s">
        <v>20</v>
      </c>
      <c r="J1309" s="5">
        <v>2009.0</v>
      </c>
      <c r="K1309" s="8">
        <v>46024.0</v>
      </c>
      <c r="L1309" s="5">
        <v>1.0</v>
      </c>
      <c r="M1309" s="7">
        <f t="shared" si="3"/>
        <v>0.2</v>
      </c>
    </row>
    <row r="1310">
      <c r="A1310" s="5" t="s">
        <v>3453</v>
      </c>
      <c r="B1310" s="5" t="s">
        <v>2480</v>
      </c>
      <c r="C1310" s="5" t="s">
        <v>297</v>
      </c>
      <c r="D1310" s="5" t="s">
        <v>3454</v>
      </c>
      <c r="E1310" s="5" t="s">
        <v>3455</v>
      </c>
      <c r="F1310" s="5" t="s">
        <v>3456</v>
      </c>
      <c r="G1310" s="6">
        <v>0.05</v>
      </c>
      <c r="H1310" s="5" t="s">
        <v>2204</v>
      </c>
      <c r="I1310" s="5" t="s">
        <v>20</v>
      </c>
      <c r="J1310" s="5">
        <v>2014.0</v>
      </c>
      <c r="K1310" s="8">
        <v>46147.0</v>
      </c>
      <c r="L1310" s="5">
        <v>1.0</v>
      </c>
      <c r="M1310" s="7">
        <f t="shared" si="3"/>
        <v>0.05</v>
      </c>
    </row>
    <row r="1311">
      <c r="A1311" s="5" t="s">
        <v>3457</v>
      </c>
      <c r="B1311" s="5" t="s">
        <v>3458</v>
      </c>
      <c r="C1311" s="5" t="s">
        <v>297</v>
      </c>
      <c r="D1311" s="5" t="s">
        <v>3459</v>
      </c>
      <c r="E1311" s="5" t="s">
        <v>3460</v>
      </c>
      <c r="F1311" s="5" t="s">
        <v>3194</v>
      </c>
      <c r="G1311" s="6">
        <v>0.08</v>
      </c>
      <c r="H1311" s="5" t="s">
        <v>1637</v>
      </c>
      <c r="I1311" s="5" t="s">
        <v>20</v>
      </c>
      <c r="J1311" s="5">
        <v>2005.0</v>
      </c>
      <c r="K1311" s="8">
        <v>46023.0</v>
      </c>
      <c r="L1311" s="5">
        <v>2.0</v>
      </c>
      <c r="M1311" s="7">
        <f t="shared" si="3"/>
        <v>0.16</v>
      </c>
    </row>
    <row r="1312">
      <c r="A1312" s="5" t="s">
        <v>3461</v>
      </c>
      <c r="B1312" s="5" t="s">
        <v>2674</v>
      </c>
      <c r="C1312" s="5" t="s">
        <v>297</v>
      </c>
      <c r="D1312" s="5" t="s">
        <v>3462</v>
      </c>
      <c r="E1312" s="5" t="s">
        <v>3463</v>
      </c>
      <c r="F1312" s="5" t="s">
        <v>3198</v>
      </c>
      <c r="G1312" s="6">
        <v>0.1</v>
      </c>
      <c r="H1312" s="5" t="s">
        <v>1679</v>
      </c>
      <c r="I1312" s="5" t="s">
        <v>20</v>
      </c>
      <c r="J1312" s="5">
        <v>2008.0</v>
      </c>
      <c r="K1312" s="8">
        <v>46118.0</v>
      </c>
      <c r="L1312" s="5">
        <v>1.0</v>
      </c>
      <c r="M1312" s="7">
        <f t="shared" si="3"/>
        <v>0.1</v>
      </c>
    </row>
    <row r="1313">
      <c r="A1313" s="5" t="s">
        <v>3464</v>
      </c>
      <c r="B1313" s="5" t="s">
        <v>2060</v>
      </c>
      <c r="C1313" s="5" t="s">
        <v>297</v>
      </c>
      <c r="D1313" s="5" t="s">
        <v>3465</v>
      </c>
      <c r="E1313" s="5" t="s">
        <v>3466</v>
      </c>
      <c r="F1313" s="5" t="s">
        <v>3174</v>
      </c>
      <c r="G1313" s="6">
        <v>0.15</v>
      </c>
      <c r="H1313" s="5" t="s">
        <v>1679</v>
      </c>
      <c r="I1313" s="5" t="s">
        <v>20</v>
      </c>
      <c r="J1313" s="5">
        <v>2008.0</v>
      </c>
      <c r="L1313" s="5">
        <v>1.0</v>
      </c>
      <c r="M1313" s="7">
        <f t="shared" si="3"/>
        <v>0.15</v>
      </c>
    </row>
    <row r="1314">
      <c r="A1314" s="5" t="s">
        <v>3467</v>
      </c>
      <c r="B1314" s="5" t="s">
        <v>3417</v>
      </c>
      <c r="C1314" s="5" t="s">
        <v>1951</v>
      </c>
      <c r="D1314" s="5" t="s">
        <v>3468</v>
      </c>
      <c r="E1314" s="5" t="s">
        <v>3469</v>
      </c>
      <c r="F1314" s="5" t="s">
        <v>3182</v>
      </c>
      <c r="G1314" s="6">
        <v>0.08</v>
      </c>
      <c r="H1314" s="5" t="s">
        <v>2478</v>
      </c>
      <c r="I1314" s="5" t="s">
        <v>20</v>
      </c>
      <c r="J1314" s="5">
        <v>2017.0</v>
      </c>
      <c r="L1314" s="5">
        <v>2.0</v>
      </c>
      <c r="M1314" s="7">
        <f t="shared" si="3"/>
        <v>0.16</v>
      </c>
    </row>
    <row r="1315">
      <c r="A1315" s="5" t="s">
        <v>3470</v>
      </c>
      <c r="B1315" s="5" t="s">
        <v>3471</v>
      </c>
      <c r="C1315" s="5" t="s">
        <v>1951</v>
      </c>
      <c r="D1315" s="5" t="s">
        <v>3472</v>
      </c>
      <c r="E1315" s="5" t="s">
        <v>3473</v>
      </c>
      <c r="F1315" s="5" t="s">
        <v>3182</v>
      </c>
      <c r="G1315" s="6">
        <v>0.08</v>
      </c>
      <c r="H1315" s="5" t="s">
        <v>1711</v>
      </c>
      <c r="I1315" s="5" t="s">
        <v>20</v>
      </c>
      <c r="J1315" s="5">
        <v>2019.0</v>
      </c>
      <c r="K1315" s="8">
        <v>46057.0</v>
      </c>
      <c r="L1315" s="5">
        <v>2.0</v>
      </c>
      <c r="M1315" s="7">
        <f t="shared" si="3"/>
        <v>0.16</v>
      </c>
    </row>
    <row r="1316">
      <c r="A1316" s="5" t="s">
        <v>3474</v>
      </c>
      <c r="B1316" s="5" t="s">
        <v>380</v>
      </c>
      <c r="C1316" s="5" t="s">
        <v>297</v>
      </c>
      <c r="D1316" s="5" t="s">
        <v>3475</v>
      </c>
      <c r="E1316" s="5" t="s">
        <v>1859</v>
      </c>
      <c r="F1316" s="5" t="s">
        <v>280</v>
      </c>
      <c r="G1316" s="6">
        <v>0.03</v>
      </c>
      <c r="H1316" s="5" t="s">
        <v>1644</v>
      </c>
      <c r="I1316" s="5" t="s">
        <v>20</v>
      </c>
      <c r="J1316" s="5">
        <v>2019.0</v>
      </c>
      <c r="L1316" s="5">
        <v>1.0</v>
      </c>
      <c r="M1316" s="7">
        <f t="shared" si="3"/>
        <v>0.03</v>
      </c>
    </row>
    <row r="1317">
      <c r="A1317" s="5" t="s">
        <v>3476</v>
      </c>
      <c r="B1317" s="5" t="s">
        <v>3477</v>
      </c>
      <c r="C1317" s="5" t="s">
        <v>297</v>
      </c>
      <c r="D1317" s="5" t="s">
        <v>3478</v>
      </c>
      <c r="E1317" s="5" t="s">
        <v>3479</v>
      </c>
      <c r="F1317" s="5" t="s">
        <v>3198</v>
      </c>
      <c r="G1317" s="6">
        <v>0.1</v>
      </c>
      <c r="H1317" s="5" t="s">
        <v>1634</v>
      </c>
      <c r="I1317" s="5" t="s">
        <v>20</v>
      </c>
      <c r="J1317" s="5">
        <v>2024.0</v>
      </c>
      <c r="K1317" s="8">
        <v>46146.0</v>
      </c>
      <c r="L1317" s="5">
        <v>1.0</v>
      </c>
      <c r="M1317" s="7">
        <f t="shared" si="3"/>
        <v>0.1</v>
      </c>
    </row>
    <row r="1318">
      <c r="A1318" s="5" t="s">
        <v>3480</v>
      </c>
      <c r="B1318" s="5" t="s">
        <v>380</v>
      </c>
      <c r="C1318" s="5" t="s">
        <v>297</v>
      </c>
      <c r="D1318" s="5" t="s">
        <v>3481</v>
      </c>
      <c r="E1318" s="5" t="s">
        <v>1859</v>
      </c>
      <c r="F1318" s="5" t="s">
        <v>280</v>
      </c>
      <c r="G1318" s="6">
        <v>0.05</v>
      </c>
      <c r="H1318" s="5" t="s">
        <v>3482</v>
      </c>
      <c r="I1318" s="5" t="s">
        <v>20</v>
      </c>
      <c r="J1318" s="5">
        <v>2023.0</v>
      </c>
      <c r="L1318" s="5">
        <v>1.0</v>
      </c>
      <c r="M1318" s="7">
        <f t="shared" si="3"/>
        <v>0.05</v>
      </c>
    </row>
    <row r="1319">
      <c r="A1319" s="5" t="s">
        <v>3483</v>
      </c>
      <c r="B1319" s="5" t="s">
        <v>380</v>
      </c>
      <c r="C1319" s="5" t="s">
        <v>297</v>
      </c>
      <c r="D1319" s="5" t="s">
        <v>3484</v>
      </c>
      <c r="E1319" s="5" t="s">
        <v>715</v>
      </c>
      <c r="F1319" s="5" t="s">
        <v>152</v>
      </c>
      <c r="G1319" s="6">
        <v>0.05</v>
      </c>
      <c r="H1319" s="5" t="s">
        <v>2573</v>
      </c>
      <c r="I1319" s="5" t="s">
        <v>20</v>
      </c>
      <c r="J1319" s="5">
        <v>2012.0</v>
      </c>
      <c r="L1319" s="5">
        <v>1.0</v>
      </c>
      <c r="M1319" s="7">
        <f t="shared" si="3"/>
        <v>0.05</v>
      </c>
    </row>
    <row r="1320">
      <c r="A1320" s="5" t="s">
        <v>3485</v>
      </c>
      <c r="B1320" s="5" t="s">
        <v>3486</v>
      </c>
      <c r="C1320" s="5" t="s">
        <v>297</v>
      </c>
      <c r="D1320" s="5" t="s">
        <v>3487</v>
      </c>
      <c r="E1320" s="5" t="s">
        <v>2844</v>
      </c>
      <c r="F1320" s="5" t="s">
        <v>280</v>
      </c>
      <c r="G1320" s="6">
        <v>0.06</v>
      </c>
      <c r="H1320" s="5" t="s">
        <v>3488</v>
      </c>
      <c r="I1320" s="5" t="s">
        <v>20</v>
      </c>
      <c r="J1320" s="5">
        <v>2011.0</v>
      </c>
      <c r="K1320" s="8">
        <v>46055.0</v>
      </c>
      <c r="L1320" s="5">
        <v>1.0</v>
      </c>
      <c r="M1320" s="7">
        <f t="shared" si="3"/>
        <v>0.06</v>
      </c>
    </row>
    <row r="1321">
      <c r="A1321" s="5" t="s">
        <v>3489</v>
      </c>
      <c r="B1321" s="5" t="s">
        <v>1946</v>
      </c>
      <c r="C1321" s="5" t="s">
        <v>1951</v>
      </c>
      <c r="D1321" s="5" t="s">
        <v>3490</v>
      </c>
      <c r="E1321" s="5" t="s">
        <v>1856</v>
      </c>
      <c r="F1321" s="5" t="s">
        <v>280</v>
      </c>
      <c r="G1321" s="6">
        <v>0.13</v>
      </c>
      <c r="H1321" s="5" t="s">
        <v>3491</v>
      </c>
      <c r="I1321" s="5" t="s">
        <v>20</v>
      </c>
      <c r="J1321" s="5">
        <v>2012.0</v>
      </c>
      <c r="L1321" s="5">
        <v>1.0</v>
      </c>
      <c r="M1321" s="7">
        <f t="shared" si="3"/>
        <v>0.13</v>
      </c>
    </row>
    <row r="1322">
      <c r="A1322" s="5" t="s">
        <v>3492</v>
      </c>
      <c r="B1322" s="5" t="s">
        <v>3493</v>
      </c>
      <c r="C1322" s="5" t="s">
        <v>297</v>
      </c>
      <c r="D1322" s="5" t="s">
        <v>3494</v>
      </c>
      <c r="E1322" s="5" t="s">
        <v>2283</v>
      </c>
      <c r="F1322" s="5" t="s">
        <v>280</v>
      </c>
      <c r="G1322" s="6">
        <v>0.03</v>
      </c>
      <c r="H1322" s="5" t="s">
        <v>1717</v>
      </c>
      <c r="I1322" s="5" t="s">
        <v>20</v>
      </c>
      <c r="J1322" s="5">
        <v>2020.0</v>
      </c>
      <c r="K1322" s="8">
        <v>46055.0</v>
      </c>
      <c r="L1322" s="5">
        <v>1.0</v>
      </c>
      <c r="M1322" s="7">
        <f t="shared" si="3"/>
        <v>0.03</v>
      </c>
    </row>
    <row r="1323">
      <c r="A1323" s="5" t="s">
        <v>3495</v>
      </c>
      <c r="B1323" s="5" t="s">
        <v>3496</v>
      </c>
      <c r="C1323" s="5" t="s">
        <v>297</v>
      </c>
      <c r="D1323" s="5" t="s">
        <v>3497</v>
      </c>
      <c r="E1323" s="5" t="s">
        <v>2283</v>
      </c>
      <c r="F1323" s="5" t="s">
        <v>280</v>
      </c>
      <c r="G1323" s="6">
        <v>0.03</v>
      </c>
      <c r="H1323" s="5" t="s">
        <v>2478</v>
      </c>
      <c r="I1323" s="5" t="s">
        <v>20</v>
      </c>
      <c r="J1323" s="5">
        <v>2017.0</v>
      </c>
      <c r="K1323" s="8">
        <v>46055.0</v>
      </c>
      <c r="L1323" s="5">
        <v>1.0</v>
      </c>
      <c r="M1323" s="7">
        <f t="shared" si="3"/>
        <v>0.03</v>
      </c>
    </row>
    <row r="1324">
      <c r="A1324" s="5" t="s">
        <v>3498</v>
      </c>
      <c r="B1324" s="5" t="s">
        <v>2060</v>
      </c>
      <c r="C1324" s="5" t="s">
        <v>1951</v>
      </c>
      <c r="D1324" s="5" t="s">
        <v>3499</v>
      </c>
      <c r="E1324" s="5" t="s">
        <v>3500</v>
      </c>
      <c r="F1324" s="5" t="s">
        <v>3174</v>
      </c>
      <c r="G1324" s="6">
        <v>0.06</v>
      </c>
      <c r="H1324" s="5" t="s">
        <v>1679</v>
      </c>
      <c r="I1324" s="5" t="s">
        <v>20</v>
      </c>
      <c r="J1324" s="5">
        <v>2008.0</v>
      </c>
      <c r="L1324" s="5">
        <v>2.0</v>
      </c>
      <c r="M1324" s="7">
        <f t="shared" si="3"/>
        <v>0.12</v>
      </c>
    </row>
    <row r="1325">
      <c r="A1325" s="5" t="s">
        <v>3501</v>
      </c>
      <c r="B1325" s="5" t="s">
        <v>3502</v>
      </c>
      <c r="C1325" s="5" t="s">
        <v>297</v>
      </c>
      <c r="D1325" s="5" t="s">
        <v>3503</v>
      </c>
      <c r="E1325" s="5" t="s">
        <v>3504</v>
      </c>
      <c r="F1325" s="5" t="s">
        <v>3174</v>
      </c>
      <c r="G1325" s="6">
        <v>0.05</v>
      </c>
      <c r="H1325" s="5" t="s">
        <v>1679</v>
      </c>
      <c r="I1325" s="5" t="s">
        <v>20</v>
      </c>
      <c r="J1325" s="5">
        <v>2008.0</v>
      </c>
      <c r="K1325" s="8">
        <v>46084.0</v>
      </c>
      <c r="L1325" s="5">
        <v>2.0</v>
      </c>
      <c r="M1325" s="7">
        <f t="shared" si="3"/>
        <v>0.1</v>
      </c>
    </row>
    <row r="1326">
      <c r="A1326" s="5" t="s">
        <v>3505</v>
      </c>
      <c r="B1326" s="5" t="s">
        <v>380</v>
      </c>
      <c r="C1326" s="5" t="s">
        <v>297</v>
      </c>
      <c r="D1326" s="5" t="s">
        <v>3506</v>
      </c>
      <c r="E1326" s="5" t="s">
        <v>3466</v>
      </c>
      <c r="F1326" s="5" t="s">
        <v>3174</v>
      </c>
      <c r="G1326" s="6">
        <v>0.2</v>
      </c>
      <c r="H1326" s="5" t="s">
        <v>1679</v>
      </c>
      <c r="I1326" s="5" t="s">
        <v>20</v>
      </c>
      <c r="J1326" s="5">
        <v>2008.0</v>
      </c>
      <c r="L1326" s="5">
        <v>1.0</v>
      </c>
      <c r="M1326" s="7">
        <f t="shared" si="3"/>
        <v>0.2</v>
      </c>
    </row>
    <row r="1327">
      <c r="A1327" s="5" t="s">
        <v>3507</v>
      </c>
      <c r="B1327" s="5" t="s">
        <v>3338</v>
      </c>
      <c r="C1327" s="5" t="s">
        <v>297</v>
      </c>
      <c r="D1327" s="5" t="s">
        <v>3508</v>
      </c>
      <c r="E1327" s="5" t="s">
        <v>3509</v>
      </c>
      <c r="F1327" s="5" t="s">
        <v>3174</v>
      </c>
      <c r="G1327" s="6">
        <v>0.05</v>
      </c>
      <c r="H1327" s="5" t="s">
        <v>1679</v>
      </c>
      <c r="I1327" s="5" t="s">
        <v>20</v>
      </c>
      <c r="J1327" s="5">
        <v>2008.0</v>
      </c>
      <c r="K1327" s="8">
        <v>46084.0</v>
      </c>
      <c r="L1327" s="5">
        <v>1.0</v>
      </c>
      <c r="M1327" s="7">
        <f t="shared" si="3"/>
        <v>0.05</v>
      </c>
    </row>
    <row r="1328">
      <c r="A1328" s="5" t="s">
        <v>3510</v>
      </c>
      <c r="B1328" s="5" t="s">
        <v>3511</v>
      </c>
      <c r="C1328" s="5" t="s">
        <v>297</v>
      </c>
      <c r="D1328" s="5" t="s">
        <v>3512</v>
      </c>
      <c r="E1328" s="5" t="s">
        <v>3513</v>
      </c>
      <c r="F1328" s="5" t="s">
        <v>3174</v>
      </c>
      <c r="G1328" s="6">
        <v>0.14</v>
      </c>
      <c r="H1328" s="5" t="s">
        <v>1679</v>
      </c>
      <c r="I1328" s="5" t="s">
        <v>20</v>
      </c>
      <c r="J1328" s="5">
        <v>2008.0</v>
      </c>
      <c r="K1328" s="8">
        <v>46024.0</v>
      </c>
      <c r="L1328" s="5">
        <v>1.0</v>
      </c>
      <c r="M1328" s="7">
        <f t="shared" si="3"/>
        <v>0.14</v>
      </c>
    </row>
    <row r="1329">
      <c r="A1329" s="5" t="s">
        <v>3514</v>
      </c>
      <c r="B1329" s="5" t="s">
        <v>3515</v>
      </c>
      <c r="C1329" s="5" t="s">
        <v>297</v>
      </c>
      <c r="D1329" s="5" t="s">
        <v>3516</v>
      </c>
      <c r="E1329" s="5" t="s">
        <v>3517</v>
      </c>
      <c r="F1329" s="5" t="s">
        <v>3119</v>
      </c>
      <c r="G1329" s="6">
        <v>0.06</v>
      </c>
      <c r="H1329" s="5" t="s">
        <v>1679</v>
      </c>
      <c r="I1329" s="5" t="s">
        <v>20</v>
      </c>
      <c r="J1329" s="5">
        <v>2008.0</v>
      </c>
      <c r="K1329" s="8">
        <v>46084.0</v>
      </c>
      <c r="L1329" s="5">
        <v>1.0</v>
      </c>
      <c r="M1329" s="7">
        <f t="shared" si="3"/>
        <v>0.06</v>
      </c>
    </row>
    <row r="1330">
      <c r="A1330" s="5" t="s">
        <v>3518</v>
      </c>
      <c r="B1330" s="5" t="s">
        <v>3515</v>
      </c>
      <c r="C1330" s="5" t="s">
        <v>1951</v>
      </c>
      <c r="D1330" s="5" t="s">
        <v>3519</v>
      </c>
      <c r="E1330" s="5" t="s">
        <v>3520</v>
      </c>
      <c r="F1330" s="5" t="s">
        <v>3119</v>
      </c>
      <c r="G1330" s="6">
        <v>0.09</v>
      </c>
      <c r="H1330" s="5" t="s">
        <v>1679</v>
      </c>
      <c r="I1330" s="5" t="s">
        <v>20</v>
      </c>
      <c r="J1330" s="5">
        <v>2008.0</v>
      </c>
      <c r="K1330" s="8">
        <v>46024.0</v>
      </c>
      <c r="L1330" s="5">
        <v>1.0</v>
      </c>
      <c r="M1330" s="7">
        <f t="shared" si="3"/>
        <v>0.09</v>
      </c>
    </row>
    <row r="1331">
      <c r="A1331" s="5" t="s">
        <v>3521</v>
      </c>
      <c r="B1331" s="5" t="s">
        <v>3309</v>
      </c>
      <c r="C1331" s="5" t="s">
        <v>1951</v>
      </c>
      <c r="D1331" s="5" t="s">
        <v>3522</v>
      </c>
      <c r="E1331" s="5" t="s">
        <v>989</v>
      </c>
      <c r="F1331" s="5" t="s">
        <v>3182</v>
      </c>
      <c r="G1331" s="6">
        <v>0.03</v>
      </c>
      <c r="H1331" s="5" t="s">
        <v>1644</v>
      </c>
      <c r="I1331" s="5" t="s">
        <v>20</v>
      </c>
      <c r="J1331" s="5">
        <v>2019.0</v>
      </c>
      <c r="K1331" s="8">
        <v>46055.0</v>
      </c>
      <c r="L1331" s="5">
        <v>2.0</v>
      </c>
      <c r="M1331" s="7">
        <f t="shared" si="3"/>
        <v>0.06</v>
      </c>
    </row>
    <row r="1332">
      <c r="A1332" s="5" t="s">
        <v>3523</v>
      </c>
      <c r="B1332" s="5" t="s">
        <v>2063</v>
      </c>
      <c r="C1332" s="5" t="s">
        <v>297</v>
      </c>
      <c r="D1332" s="5" t="s">
        <v>3524</v>
      </c>
      <c r="E1332" s="5" t="s">
        <v>1856</v>
      </c>
      <c r="F1332" s="5" t="s">
        <v>280</v>
      </c>
      <c r="G1332" s="6">
        <v>0.03</v>
      </c>
      <c r="H1332" s="5" t="s">
        <v>2244</v>
      </c>
      <c r="I1332" s="5" t="s">
        <v>20</v>
      </c>
      <c r="J1332" s="5">
        <v>2014.0</v>
      </c>
      <c r="K1332" s="8">
        <v>46057.0</v>
      </c>
      <c r="L1332" s="5">
        <v>1.0</v>
      </c>
      <c r="M1332" s="7">
        <f t="shared" si="3"/>
        <v>0.03</v>
      </c>
    </row>
    <row r="1333">
      <c r="A1333" s="5" t="s">
        <v>3525</v>
      </c>
      <c r="B1333" s="5" t="s">
        <v>3526</v>
      </c>
      <c r="C1333" s="5" t="s">
        <v>297</v>
      </c>
      <c r="D1333" s="5" t="s">
        <v>3527</v>
      </c>
      <c r="E1333" s="5" t="s">
        <v>1859</v>
      </c>
      <c r="F1333" s="5" t="s">
        <v>280</v>
      </c>
      <c r="G1333" s="6">
        <v>0.05</v>
      </c>
      <c r="H1333" s="5" t="s">
        <v>1692</v>
      </c>
      <c r="I1333" s="5" t="s">
        <v>20</v>
      </c>
      <c r="J1333" s="5">
        <v>2020.0</v>
      </c>
      <c r="K1333" s="8">
        <v>46024.0</v>
      </c>
      <c r="L1333" s="5">
        <v>1.0</v>
      </c>
      <c r="M1333" s="7">
        <f t="shared" si="3"/>
        <v>0.05</v>
      </c>
    </row>
    <row r="1334">
      <c r="A1334" s="5" t="s">
        <v>3528</v>
      </c>
      <c r="B1334" s="5" t="s">
        <v>3526</v>
      </c>
      <c r="C1334" s="5" t="s">
        <v>297</v>
      </c>
      <c r="D1334" s="5" t="s">
        <v>3529</v>
      </c>
      <c r="E1334" s="5" t="s">
        <v>1859</v>
      </c>
      <c r="F1334" s="5" t="s">
        <v>280</v>
      </c>
      <c r="G1334" s="6">
        <v>0.06</v>
      </c>
      <c r="H1334" s="5" t="s">
        <v>2158</v>
      </c>
      <c r="I1334" s="5" t="s">
        <v>20</v>
      </c>
      <c r="J1334" s="5">
        <v>2014.0</v>
      </c>
      <c r="K1334" s="8">
        <v>46055.0</v>
      </c>
      <c r="L1334" s="5">
        <v>1.0</v>
      </c>
      <c r="M1334" s="7">
        <f t="shared" si="3"/>
        <v>0.06</v>
      </c>
    </row>
    <row r="1335">
      <c r="A1335" s="5" t="s">
        <v>3530</v>
      </c>
      <c r="B1335" s="5" t="s">
        <v>3531</v>
      </c>
      <c r="C1335" s="5" t="s">
        <v>297</v>
      </c>
      <c r="D1335" s="5" t="s">
        <v>3532</v>
      </c>
      <c r="E1335" s="5" t="s">
        <v>631</v>
      </c>
      <c r="F1335" s="5" t="s">
        <v>280</v>
      </c>
      <c r="G1335" s="6">
        <v>0.17</v>
      </c>
      <c r="H1335" s="5" t="s">
        <v>2555</v>
      </c>
      <c r="I1335" s="5" t="s">
        <v>20</v>
      </c>
      <c r="J1335" s="5">
        <v>2020.0</v>
      </c>
      <c r="K1335" s="8">
        <v>46054.0</v>
      </c>
      <c r="L1335" s="5">
        <v>1.0</v>
      </c>
      <c r="M1335" s="7">
        <f t="shared" si="3"/>
        <v>0.17</v>
      </c>
    </row>
    <row r="1336">
      <c r="A1336" s="5" t="s">
        <v>3533</v>
      </c>
      <c r="B1336" s="5" t="s">
        <v>2060</v>
      </c>
      <c r="C1336" s="5" t="s">
        <v>297</v>
      </c>
      <c r="D1336" s="5" t="s">
        <v>3534</v>
      </c>
      <c r="E1336" s="5" t="s">
        <v>631</v>
      </c>
      <c r="F1336" s="5" t="s">
        <v>280</v>
      </c>
      <c r="G1336" s="6">
        <v>0.09</v>
      </c>
      <c r="H1336" s="5" t="s">
        <v>2968</v>
      </c>
      <c r="I1336" s="5" t="s">
        <v>20</v>
      </c>
      <c r="J1336" s="5">
        <v>2006.0</v>
      </c>
      <c r="L1336" s="5">
        <v>2.0</v>
      </c>
      <c r="M1336" s="7">
        <f t="shared" si="3"/>
        <v>0.18</v>
      </c>
    </row>
    <row r="1337">
      <c r="A1337" s="5" t="s">
        <v>3535</v>
      </c>
      <c r="B1337" s="5" t="s">
        <v>380</v>
      </c>
      <c r="C1337" s="5" t="s">
        <v>297</v>
      </c>
      <c r="D1337" s="5" t="s">
        <v>3536</v>
      </c>
      <c r="E1337" s="5" t="s">
        <v>2283</v>
      </c>
      <c r="F1337" s="5" t="s">
        <v>280</v>
      </c>
      <c r="G1337" s="6">
        <v>0.06</v>
      </c>
      <c r="H1337" s="5" t="s">
        <v>2655</v>
      </c>
      <c r="I1337" s="5" t="s">
        <v>20</v>
      </c>
      <c r="J1337" s="5">
        <v>2021.0</v>
      </c>
      <c r="L1337" s="5">
        <v>1.0</v>
      </c>
      <c r="M1337" s="7">
        <f t="shared" si="3"/>
        <v>0.06</v>
      </c>
    </row>
    <row r="1338">
      <c r="A1338" s="5" t="s">
        <v>3537</v>
      </c>
      <c r="B1338" s="5" t="s">
        <v>3538</v>
      </c>
      <c r="C1338" s="5" t="s">
        <v>1951</v>
      </c>
      <c r="D1338" s="5" t="s">
        <v>3539</v>
      </c>
      <c r="E1338" s="5" t="s">
        <v>1859</v>
      </c>
      <c r="F1338" s="5" t="s">
        <v>280</v>
      </c>
      <c r="G1338" s="6">
        <v>0.09</v>
      </c>
      <c r="H1338" s="5" t="s">
        <v>1967</v>
      </c>
      <c r="I1338" s="5" t="s">
        <v>20</v>
      </c>
      <c r="J1338" s="5">
        <v>2022.0</v>
      </c>
      <c r="K1338" s="8">
        <v>46113.0</v>
      </c>
      <c r="L1338" s="5">
        <v>1.0</v>
      </c>
      <c r="M1338" s="7">
        <f t="shared" si="3"/>
        <v>0.09</v>
      </c>
    </row>
    <row r="1339">
      <c r="A1339" s="5" t="s">
        <v>3540</v>
      </c>
      <c r="B1339" s="5" t="s">
        <v>2063</v>
      </c>
      <c r="C1339" s="5" t="s">
        <v>297</v>
      </c>
      <c r="D1339" s="5" t="s">
        <v>3541</v>
      </c>
      <c r="E1339" s="5" t="s">
        <v>2283</v>
      </c>
      <c r="F1339" s="5" t="s">
        <v>280</v>
      </c>
      <c r="G1339" s="6">
        <v>0.25</v>
      </c>
      <c r="H1339" s="5" t="s">
        <v>2192</v>
      </c>
      <c r="I1339" s="5" t="s">
        <v>31</v>
      </c>
      <c r="J1339" s="5">
        <v>2016.0</v>
      </c>
      <c r="K1339" s="8">
        <v>46082.0</v>
      </c>
      <c r="L1339" s="5">
        <v>1.0</v>
      </c>
      <c r="M1339" s="7">
        <f t="shared" si="3"/>
        <v>0.25</v>
      </c>
    </row>
    <row r="1340">
      <c r="A1340" s="5" t="s">
        <v>3542</v>
      </c>
      <c r="B1340" s="5" t="s">
        <v>3543</v>
      </c>
      <c r="C1340" s="5" t="s">
        <v>297</v>
      </c>
      <c r="D1340" s="5" t="s">
        <v>3544</v>
      </c>
      <c r="E1340" s="5" t="s">
        <v>1859</v>
      </c>
      <c r="F1340" s="5" t="s">
        <v>280</v>
      </c>
      <c r="G1340" s="6">
        <v>0.05</v>
      </c>
      <c r="H1340" s="5" t="s">
        <v>2624</v>
      </c>
      <c r="I1340" s="5" t="s">
        <v>20</v>
      </c>
      <c r="J1340" s="5">
        <v>2019.0</v>
      </c>
      <c r="K1340" s="8">
        <v>46056.0</v>
      </c>
      <c r="L1340" s="5">
        <v>1.0</v>
      </c>
      <c r="M1340" s="7">
        <f t="shared" si="3"/>
        <v>0.05</v>
      </c>
    </row>
    <row r="1341">
      <c r="A1341" s="5" t="s">
        <v>3545</v>
      </c>
      <c r="B1341" s="5" t="s">
        <v>3546</v>
      </c>
      <c r="C1341" s="5" t="s">
        <v>1899</v>
      </c>
      <c r="D1341" s="5" t="s">
        <v>3547</v>
      </c>
      <c r="E1341" s="5" t="s">
        <v>3548</v>
      </c>
      <c r="F1341" s="5" t="s">
        <v>280</v>
      </c>
      <c r="G1341" s="6">
        <v>0.32</v>
      </c>
      <c r="H1341" s="5" t="s">
        <v>1667</v>
      </c>
      <c r="I1341" s="5" t="s">
        <v>20</v>
      </c>
      <c r="J1341" s="5">
        <v>2018.0</v>
      </c>
      <c r="K1341" s="8">
        <v>46084.0</v>
      </c>
      <c r="L1341" s="5">
        <v>1.0</v>
      </c>
      <c r="M1341" s="7">
        <f t="shared" si="3"/>
        <v>0.32</v>
      </c>
    </row>
    <row r="1342">
      <c r="A1342" s="5" t="s">
        <v>3549</v>
      </c>
      <c r="B1342" s="5" t="s">
        <v>3299</v>
      </c>
      <c r="C1342" s="5" t="s">
        <v>297</v>
      </c>
      <c r="D1342" s="5" t="s">
        <v>3550</v>
      </c>
      <c r="E1342" s="5" t="s">
        <v>2283</v>
      </c>
      <c r="F1342" s="5" t="s">
        <v>280</v>
      </c>
      <c r="G1342" s="6">
        <v>0.03</v>
      </c>
      <c r="H1342" s="5" t="s">
        <v>2624</v>
      </c>
      <c r="I1342" s="5" t="s">
        <v>20</v>
      </c>
      <c r="J1342" s="5">
        <v>2019.0</v>
      </c>
      <c r="K1342" s="8">
        <v>46024.0</v>
      </c>
      <c r="L1342" s="5">
        <v>1.0</v>
      </c>
      <c r="M1342" s="7">
        <f t="shared" si="3"/>
        <v>0.03</v>
      </c>
    </row>
    <row r="1343">
      <c r="A1343" s="5" t="s">
        <v>3551</v>
      </c>
      <c r="B1343" s="5" t="s">
        <v>3552</v>
      </c>
      <c r="C1343" s="5" t="s">
        <v>297</v>
      </c>
      <c r="D1343" s="5" t="s">
        <v>3553</v>
      </c>
      <c r="E1343" s="5" t="s">
        <v>3554</v>
      </c>
      <c r="F1343" s="5" t="s">
        <v>280</v>
      </c>
      <c r="G1343" s="6">
        <v>0.05</v>
      </c>
      <c r="H1343" s="5" t="s">
        <v>2005</v>
      </c>
      <c r="I1343" s="5" t="s">
        <v>20</v>
      </c>
      <c r="J1343" s="5">
        <v>2020.0</v>
      </c>
      <c r="K1343" s="8">
        <v>46056.0</v>
      </c>
      <c r="L1343" s="5">
        <v>1.0</v>
      </c>
      <c r="M1343" s="7">
        <f t="shared" si="3"/>
        <v>0.05</v>
      </c>
    </row>
    <row r="1344">
      <c r="A1344" s="5" t="s">
        <v>3555</v>
      </c>
      <c r="B1344" s="5" t="s">
        <v>2060</v>
      </c>
      <c r="C1344" s="5" t="s">
        <v>1899</v>
      </c>
      <c r="D1344" s="5" t="s">
        <v>3556</v>
      </c>
      <c r="E1344" s="5" t="s">
        <v>2844</v>
      </c>
      <c r="F1344" s="5" t="s">
        <v>280</v>
      </c>
      <c r="G1344" s="6">
        <v>0.35</v>
      </c>
      <c r="H1344" s="5" t="s">
        <v>1714</v>
      </c>
      <c r="I1344" s="5" t="s">
        <v>20</v>
      </c>
      <c r="J1344" s="5">
        <v>2022.0</v>
      </c>
      <c r="L1344" s="5">
        <v>1.0</v>
      </c>
      <c r="M1344" s="7">
        <f t="shared" si="3"/>
        <v>0.35</v>
      </c>
    </row>
    <row r="1345">
      <c r="A1345" s="5" t="s">
        <v>3557</v>
      </c>
      <c r="B1345" s="5" t="s">
        <v>3558</v>
      </c>
      <c r="C1345" s="5" t="s">
        <v>297</v>
      </c>
      <c r="D1345" s="5" t="s">
        <v>3559</v>
      </c>
      <c r="E1345" s="5" t="s">
        <v>1856</v>
      </c>
      <c r="F1345" s="5" t="s">
        <v>280</v>
      </c>
      <c r="G1345" s="6">
        <v>0.03</v>
      </c>
      <c r="H1345" s="5" t="s">
        <v>2562</v>
      </c>
      <c r="I1345" s="5" t="s">
        <v>20</v>
      </c>
      <c r="J1345" s="5">
        <v>2017.0</v>
      </c>
      <c r="K1345" s="8">
        <v>46084.0</v>
      </c>
      <c r="L1345" s="5">
        <v>1.0</v>
      </c>
      <c r="M1345" s="7">
        <f t="shared" si="3"/>
        <v>0.03</v>
      </c>
    </row>
    <row r="1346">
      <c r="A1346" s="5" t="s">
        <v>3560</v>
      </c>
      <c r="B1346" s="5" t="s">
        <v>3299</v>
      </c>
      <c r="C1346" s="5" t="s">
        <v>297</v>
      </c>
      <c r="D1346" s="5" t="s">
        <v>3561</v>
      </c>
      <c r="E1346" s="5" t="s">
        <v>1859</v>
      </c>
      <c r="F1346" s="5" t="s">
        <v>280</v>
      </c>
      <c r="G1346" s="6">
        <v>0.08</v>
      </c>
      <c r="H1346" s="5" t="s">
        <v>2475</v>
      </c>
      <c r="I1346" s="5" t="s">
        <v>20</v>
      </c>
      <c r="J1346" s="5">
        <v>2012.0</v>
      </c>
      <c r="K1346" s="8">
        <v>46024.0</v>
      </c>
      <c r="L1346" s="5">
        <v>1.0</v>
      </c>
      <c r="M1346" s="7">
        <f t="shared" si="3"/>
        <v>0.08</v>
      </c>
    </row>
    <row r="1347">
      <c r="A1347" s="5" t="s">
        <v>3562</v>
      </c>
      <c r="B1347" s="5" t="s">
        <v>2060</v>
      </c>
      <c r="C1347" s="5" t="s">
        <v>297</v>
      </c>
      <c r="D1347" s="5" t="s">
        <v>3563</v>
      </c>
      <c r="E1347" s="5" t="s">
        <v>631</v>
      </c>
      <c r="F1347" s="5" t="s">
        <v>280</v>
      </c>
      <c r="G1347" s="6">
        <v>0.05</v>
      </c>
      <c r="H1347" s="5" t="s">
        <v>2624</v>
      </c>
      <c r="I1347" s="5" t="s">
        <v>20</v>
      </c>
      <c r="J1347" s="5">
        <v>2019.0</v>
      </c>
      <c r="L1347" s="5">
        <v>1.0</v>
      </c>
      <c r="M1347" s="7">
        <f t="shared" si="3"/>
        <v>0.05</v>
      </c>
    </row>
    <row r="1348">
      <c r="A1348" s="5" t="s">
        <v>3564</v>
      </c>
      <c r="B1348" s="5" t="s">
        <v>3565</v>
      </c>
      <c r="C1348" s="5" t="s">
        <v>297</v>
      </c>
      <c r="D1348" s="5" t="s">
        <v>3566</v>
      </c>
      <c r="E1348" s="5" t="s">
        <v>3554</v>
      </c>
      <c r="F1348" s="5" t="s">
        <v>280</v>
      </c>
      <c r="G1348" s="6">
        <v>0.03</v>
      </c>
      <c r="H1348" s="5" t="s">
        <v>2562</v>
      </c>
      <c r="I1348" s="5" t="s">
        <v>20</v>
      </c>
      <c r="J1348" s="5">
        <v>2017.0</v>
      </c>
      <c r="K1348" s="8">
        <v>46084.0</v>
      </c>
      <c r="L1348" s="5">
        <v>1.0</v>
      </c>
      <c r="M1348" s="7">
        <f t="shared" si="3"/>
        <v>0.03</v>
      </c>
    </row>
    <row r="1349">
      <c r="A1349" s="5" t="s">
        <v>3567</v>
      </c>
      <c r="B1349" s="5" t="s">
        <v>2063</v>
      </c>
      <c r="C1349" s="5" t="s">
        <v>297</v>
      </c>
      <c r="D1349" s="5" t="s">
        <v>3568</v>
      </c>
      <c r="E1349" s="5" t="s">
        <v>2972</v>
      </c>
      <c r="F1349" s="5" t="s">
        <v>280</v>
      </c>
      <c r="G1349" s="6">
        <v>0.07</v>
      </c>
      <c r="H1349" s="5" t="s">
        <v>2475</v>
      </c>
      <c r="I1349" s="5" t="s">
        <v>20</v>
      </c>
      <c r="J1349" s="5">
        <v>2012.0</v>
      </c>
      <c r="K1349" s="8">
        <v>46024.0</v>
      </c>
      <c r="L1349" s="5">
        <v>1.0</v>
      </c>
      <c r="M1349" s="7">
        <f t="shared" si="3"/>
        <v>0.07</v>
      </c>
    </row>
    <row r="1350">
      <c r="A1350" s="5" t="s">
        <v>3569</v>
      </c>
      <c r="B1350" s="5" t="s">
        <v>2060</v>
      </c>
      <c r="C1350" s="5" t="s">
        <v>297</v>
      </c>
      <c r="D1350" s="5" t="s">
        <v>3570</v>
      </c>
      <c r="E1350" s="5" t="s">
        <v>1859</v>
      </c>
      <c r="F1350" s="5" t="s">
        <v>280</v>
      </c>
      <c r="G1350" s="6">
        <v>0.03</v>
      </c>
      <c r="H1350" s="5" t="s">
        <v>1707</v>
      </c>
      <c r="I1350" s="5" t="s">
        <v>20</v>
      </c>
      <c r="J1350" s="5">
        <v>2016.0</v>
      </c>
      <c r="L1350" s="5">
        <v>1.0</v>
      </c>
      <c r="M1350" s="7">
        <f t="shared" si="3"/>
        <v>0.03</v>
      </c>
    </row>
    <row r="1351">
      <c r="A1351" s="5" t="s">
        <v>3571</v>
      </c>
      <c r="B1351" s="5" t="s">
        <v>2480</v>
      </c>
      <c r="C1351" s="5" t="s">
        <v>297</v>
      </c>
      <c r="D1351" s="5" t="s">
        <v>3572</v>
      </c>
      <c r="E1351" s="5" t="s">
        <v>2283</v>
      </c>
      <c r="F1351" s="5" t="s">
        <v>280</v>
      </c>
      <c r="G1351" s="6">
        <v>0.05</v>
      </c>
      <c r="H1351" s="5" t="s">
        <v>2204</v>
      </c>
      <c r="I1351" s="5" t="s">
        <v>20</v>
      </c>
      <c r="J1351" s="5">
        <v>2014.0</v>
      </c>
      <c r="K1351" s="8">
        <v>46024.0</v>
      </c>
      <c r="L1351" s="5">
        <v>1.0</v>
      </c>
      <c r="M1351" s="7">
        <f t="shared" si="3"/>
        <v>0.05</v>
      </c>
    </row>
    <row r="1352">
      <c r="A1352" s="5" t="s">
        <v>3573</v>
      </c>
      <c r="B1352" s="5" t="s">
        <v>2060</v>
      </c>
      <c r="C1352" s="5" t="s">
        <v>297</v>
      </c>
      <c r="D1352" s="5" t="s">
        <v>3574</v>
      </c>
      <c r="E1352" s="5" t="s">
        <v>1859</v>
      </c>
      <c r="F1352" s="5" t="s">
        <v>280</v>
      </c>
      <c r="G1352" s="6">
        <v>0.04</v>
      </c>
      <c r="H1352" s="5" t="s">
        <v>2475</v>
      </c>
      <c r="I1352" s="5" t="s">
        <v>20</v>
      </c>
      <c r="J1352" s="5">
        <v>2012.0</v>
      </c>
      <c r="L1352" s="5">
        <v>1.0</v>
      </c>
      <c r="M1352" s="7">
        <f t="shared" si="3"/>
        <v>0.04</v>
      </c>
    </row>
    <row r="1353">
      <c r="A1353" s="5" t="s">
        <v>3575</v>
      </c>
      <c r="B1353" s="5" t="s">
        <v>380</v>
      </c>
      <c r="C1353" s="5" t="s">
        <v>297</v>
      </c>
      <c r="D1353" s="5" t="s">
        <v>3576</v>
      </c>
      <c r="E1353" s="5" t="s">
        <v>2283</v>
      </c>
      <c r="F1353" s="5" t="s">
        <v>280</v>
      </c>
      <c r="G1353" s="6">
        <v>0.2</v>
      </c>
      <c r="H1353" s="5" t="s">
        <v>1714</v>
      </c>
      <c r="I1353" s="5" t="s">
        <v>20</v>
      </c>
      <c r="J1353" s="5">
        <v>2022.0</v>
      </c>
      <c r="L1353" s="5">
        <v>2.0</v>
      </c>
      <c r="M1353" s="7">
        <f t="shared" si="3"/>
        <v>0.4</v>
      </c>
    </row>
    <row r="1354">
      <c r="A1354" s="5" t="s">
        <v>3577</v>
      </c>
      <c r="B1354" s="5" t="s">
        <v>3095</v>
      </c>
      <c r="C1354" s="5" t="s">
        <v>1951</v>
      </c>
      <c r="D1354" s="5" t="s">
        <v>3578</v>
      </c>
      <c r="E1354" s="5" t="s">
        <v>2405</v>
      </c>
      <c r="F1354" s="5" t="s">
        <v>3198</v>
      </c>
      <c r="G1354" s="6">
        <v>0.7</v>
      </c>
      <c r="H1354" s="5" t="s">
        <v>1644</v>
      </c>
      <c r="I1354" s="5" t="s">
        <v>31</v>
      </c>
      <c r="J1354" s="5">
        <v>2019.0</v>
      </c>
      <c r="K1354" s="8">
        <v>46055.0</v>
      </c>
      <c r="L1354" s="5">
        <v>1.0</v>
      </c>
      <c r="M1354" s="7">
        <f t="shared" si="3"/>
        <v>0.7</v>
      </c>
    </row>
    <row r="1355">
      <c r="A1355" s="5" t="s">
        <v>3579</v>
      </c>
      <c r="B1355" s="5" t="s">
        <v>380</v>
      </c>
      <c r="C1355" s="5" t="s">
        <v>1951</v>
      </c>
      <c r="D1355" s="5" t="s">
        <v>3580</v>
      </c>
      <c r="E1355" s="5" t="s">
        <v>2400</v>
      </c>
      <c r="F1355" s="5" t="s">
        <v>3202</v>
      </c>
      <c r="G1355" s="6">
        <v>0.25</v>
      </c>
      <c r="H1355" s="5" t="s">
        <v>2249</v>
      </c>
      <c r="I1355" s="5" t="s">
        <v>20</v>
      </c>
      <c r="J1355" s="5">
        <v>2017.0</v>
      </c>
      <c r="L1355" s="5">
        <v>4.0</v>
      </c>
      <c r="M1355" s="7">
        <f t="shared" si="3"/>
        <v>1</v>
      </c>
    </row>
    <row r="1356">
      <c r="A1356" s="5" t="s">
        <v>3581</v>
      </c>
      <c r="B1356" s="5" t="s">
        <v>3582</v>
      </c>
      <c r="C1356" s="5" t="s">
        <v>1951</v>
      </c>
      <c r="D1356" s="5" t="s">
        <v>3583</v>
      </c>
      <c r="E1356" s="5" t="s">
        <v>2290</v>
      </c>
      <c r="F1356" s="5" t="s">
        <v>280</v>
      </c>
      <c r="G1356" s="6">
        <v>0.25</v>
      </c>
      <c r="H1356" s="5" t="s">
        <v>2181</v>
      </c>
      <c r="I1356" s="5" t="s">
        <v>20</v>
      </c>
      <c r="J1356" s="5">
        <v>2018.0</v>
      </c>
      <c r="K1356" s="8">
        <v>46055.0</v>
      </c>
      <c r="L1356" s="5">
        <v>1.0</v>
      </c>
      <c r="M1356" s="7">
        <f t="shared" si="3"/>
        <v>0.25</v>
      </c>
    </row>
    <row r="1357">
      <c r="A1357" s="5" t="s">
        <v>3584</v>
      </c>
      <c r="B1357" s="5" t="s">
        <v>2506</v>
      </c>
      <c r="C1357" s="5" t="s">
        <v>1951</v>
      </c>
      <c r="D1357" s="5" t="s">
        <v>3585</v>
      </c>
      <c r="E1357" s="5" t="s">
        <v>1856</v>
      </c>
      <c r="F1357" s="5" t="s">
        <v>280</v>
      </c>
      <c r="G1357" s="6">
        <v>0.05</v>
      </c>
      <c r="H1357" s="5" t="s">
        <v>2583</v>
      </c>
      <c r="I1357" s="5" t="s">
        <v>20</v>
      </c>
      <c r="J1357" s="5">
        <v>2020.0</v>
      </c>
      <c r="K1357" s="5" t="s">
        <v>3158</v>
      </c>
      <c r="L1357" s="5">
        <v>1.0</v>
      </c>
      <c r="M1357" s="7">
        <f t="shared" si="3"/>
        <v>0.05</v>
      </c>
    </row>
    <row r="1358">
      <c r="A1358" s="5" t="s">
        <v>3586</v>
      </c>
      <c r="B1358" s="5" t="s">
        <v>1946</v>
      </c>
      <c r="C1358" s="5" t="s">
        <v>1899</v>
      </c>
      <c r="D1358" s="5" t="s">
        <v>3587</v>
      </c>
      <c r="E1358" s="5" t="s">
        <v>1856</v>
      </c>
      <c r="F1358" s="5" t="s">
        <v>280</v>
      </c>
      <c r="G1358" s="6">
        <v>0.15</v>
      </c>
      <c r="H1358" s="5" t="s">
        <v>2177</v>
      </c>
      <c r="I1358" s="5" t="s">
        <v>20</v>
      </c>
      <c r="J1358" s="5">
        <v>2018.0</v>
      </c>
      <c r="L1358" s="5">
        <v>1.0</v>
      </c>
      <c r="M1358" s="7">
        <f t="shared" si="3"/>
        <v>0.15</v>
      </c>
    </row>
    <row r="1359">
      <c r="A1359" s="5" t="s">
        <v>3588</v>
      </c>
      <c r="B1359" s="5" t="s">
        <v>2319</v>
      </c>
      <c r="C1359" s="5" t="s">
        <v>1899</v>
      </c>
      <c r="D1359" s="5" t="s">
        <v>3589</v>
      </c>
      <c r="E1359" s="5" t="s">
        <v>1856</v>
      </c>
      <c r="F1359" s="5" t="s">
        <v>280</v>
      </c>
      <c r="G1359" s="6">
        <v>0.15</v>
      </c>
      <c r="H1359" s="5" t="s">
        <v>2646</v>
      </c>
      <c r="I1359" s="5" t="s">
        <v>20</v>
      </c>
      <c r="J1359" s="5">
        <v>2013.0</v>
      </c>
      <c r="K1359" s="8">
        <v>46082.0</v>
      </c>
      <c r="L1359" s="5">
        <v>1.0</v>
      </c>
      <c r="M1359" s="7">
        <f t="shared" si="3"/>
        <v>0.15</v>
      </c>
    </row>
    <row r="1360">
      <c r="A1360" s="5" t="s">
        <v>3590</v>
      </c>
      <c r="B1360" s="5" t="s">
        <v>3591</v>
      </c>
      <c r="C1360" s="5" t="s">
        <v>1951</v>
      </c>
      <c r="D1360" s="5" t="s">
        <v>3592</v>
      </c>
      <c r="E1360" s="5" t="s">
        <v>1856</v>
      </c>
      <c r="F1360" s="5" t="s">
        <v>280</v>
      </c>
      <c r="G1360" s="6">
        <v>0.25</v>
      </c>
      <c r="H1360" s="5" t="s">
        <v>3593</v>
      </c>
      <c r="I1360" s="5" t="s">
        <v>20</v>
      </c>
      <c r="J1360" s="5">
        <v>2021.0</v>
      </c>
      <c r="K1360" s="8">
        <v>46057.0</v>
      </c>
      <c r="L1360" s="5">
        <v>1.0</v>
      </c>
      <c r="M1360" s="7">
        <f t="shared" si="3"/>
        <v>0.25</v>
      </c>
    </row>
    <row r="1361">
      <c r="A1361" s="5" t="s">
        <v>3594</v>
      </c>
      <c r="B1361" s="5" t="s">
        <v>3595</v>
      </c>
      <c r="C1361" s="5" t="s">
        <v>1951</v>
      </c>
      <c r="D1361" s="5" t="s">
        <v>3596</v>
      </c>
      <c r="E1361" s="5" t="s">
        <v>1856</v>
      </c>
      <c r="F1361" s="5" t="s">
        <v>280</v>
      </c>
      <c r="G1361" s="6">
        <v>0.06</v>
      </c>
      <c r="H1361" s="5" t="s">
        <v>3597</v>
      </c>
      <c r="I1361" s="5" t="s">
        <v>20</v>
      </c>
      <c r="J1361" s="5">
        <v>1993.0</v>
      </c>
      <c r="K1361" s="8">
        <v>46084.0</v>
      </c>
      <c r="L1361" s="5">
        <v>1.0</v>
      </c>
      <c r="M1361" s="7">
        <f t="shared" si="3"/>
        <v>0.06</v>
      </c>
    </row>
    <row r="1362">
      <c r="A1362" s="5" t="s">
        <v>3598</v>
      </c>
      <c r="B1362" s="5" t="s">
        <v>3599</v>
      </c>
      <c r="C1362" s="5" t="s">
        <v>1951</v>
      </c>
      <c r="D1362" s="5" t="s">
        <v>3600</v>
      </c>
      <c r="E1362" s="5" t="s">
        <v>1761</v>
      </c>
      <c r="F1362" s="5" t="s">
        <v>280</v>
      </c>
      <c r="G1362" s="6">
        <v>0.1</v>
      </c>
      <c r="H1362" s="5" t="s">
        <v>3601</v>
      </c>
      <c r="I1362" s="5" t="s">
        <v>20</v>
      </c>
      <c r="J1362" s="5">
        <v>2020.0</v>
      </c>
      <c r="K1362" s="8">
        <v>46055.0</v>
      </c>
      <c r="L1362" s="5">
        <v>1.0</v>
      </c>
      <c r="M1362" s="7">
        <f t="shared" si="3"/>
        <v>0.1</v>
      </c>
    </row>
    <row r="1363">
      <c r="A1363" s="5" t="s">
        <v>3602</v>
      </c>
      <c r="B1363" s="5" t="s">
        <v>2016</v>
      </c>
      <c r="C1363" s="5" t="s">
        <v>1951</v>
      </c>
      <c r="D1363" s="5" t="s">
        <v>3603</v>
      </c>
      <c r="E1363" s="5" t="s">
        <v>631</v>
      </c>
      <c r="F1363" s="5" t="s">
        <v>280</v>
      </c>
      <c r="G1363" s="6">
        <v>0.13</v>
      </c>
      <c r="H1363" s="5" t="s">
        <v>3604</v>
      </c>
      <c r="I1363" s="5" t="s">
        <v>20</v>
      </c>
      <c r="J1363" s="5">
        <v>2011.0</v>
      </c>
      <c r="L1363" s="5">
        <v>1.0</v>
      </c>
      <c r="M1363" s="7">
        <f t="shared" si="3"/>
        <v>0.13</v>
      </c>
    </row>
    <row r="1364">
      <c r="A1364" s="5" t="s">
        <v>3605</v>
      </c>
      <c r="B1364" s="5" t="s">
        <v>3606</v>
      </c>
      <c r="C1364" s="5" t="s">
        <v>1951</v>
      </c>
      <c r="D1364" s="5" t="s">
        <v>3607</v>
      </c>
      <c r="E1364" s="5" t="s">
        <v>1856</v>
      </c>
      <c r="F1364" s="5" t="s">
        <v>280</v>
      </c>
      <c r="G1364" s="6">
        <v>0.2</v>
      </c>
      <c r="H1364" s="5" t="s">
        <v>1714</v>
      </c>
      <c r="I1364" s="5" t="s">
        <v>20</v>
      </c>
      <c r="J1364" s="5">
        <v>2022.0</v>
      </c>
      <c r="K1364" s="8">
        <v>46055.0</v>
      </c>
      <c r="L1364" s="5">
        <v>1.0</v>
      </c>
      <c r="M1364" s="7">
        <f t="shared" si="3"/>
        <v>0.2</v>
      </c>
    </row>
    <row r="1365">
      <c r="A1365" s="5" t="s">
        <v>3608</v>
      </c>
      <c r="B1365" s="5" t="s">
        <v>3609</v>
      </c>
      <c r="C1365" s="5" t="s">
        <v>297</v>
      </c>
      <c r="D1365" s="5" t="s">
        <v>3610</v>
      </c>
      <c r="E1365" s="5" t="s">
        <v>2283</v>
      </c>
      <c r="F1365" s="5" t="s">
        <v>280</v>
      </c>
      <c r="G1365" s="6">
        <v>0.04</v>
      </c>
      <c r="H1365" s="5" t="s">
        <v>2995</v>
      </c>
      <c r="I1365" s="5" t="s">
        <v>20</v>
      </c>
      <c r="J1365" s="5">
        <v>2013.0</v>
      </c>
      <c r="K1365" s="8">
        <v>46055.0</v>
      </c>
      <c r="L1365" s="5">
        <v>1.0</v>
      </c>
      <c r="M1365" s="7">
        <f t="shared" si="3"/>
        <v>0.04</v>
      </c>
    </row>
    <row r="1366">
      <c r="A1366" s="5" t="s">
        <v>3611</v>
      </c>
      <c r="B1366" s="5" t="s">
        <v>3612</v>
      </c>
      <c r="C1366" s="5" t="s">
        <v>1951</v>
      </c>
      <c r="D1366" s="5" t="s">
        <v>3613</v>
      </c>
      <c r="E1366" s="5" t="s">
        <v>2283</v>
      </c>
      <c r="F1366" s="5" t="s">
        <v>280</v>
      </c>
      <c r="G1366" s="6">
        <v>0.15</v>
      </c>
      <c r="H1366" s="5" t="s">
        <v>1634</v>
      </c>
      <c r="I1366" s="5" t="s">
        <v>20</v>
      </c>
      <c r="J1366" s="5">
        <v>2024.0</v>
      </c>
      <c r="K1366" s="8">
        <v>46025.0</v>
      </c>
      <c r="L1366" s="5">
        <v>1.0</v>
      </c>
      <c r="M1366" s="7">
        <f t="shared" si="3"/>
        <v>0.15</v>
      </c>
    </row>
    <row r="1367">
      <c r="A1367" s="5" t="s">
        <v>3614</v>
      </c>
      <c r="B1367" s="5" t="s">
        <v>3615</v>
      </c>
      <c r="C1367" s="5" t="s">
        <v>1899</v>
      </c>
      <c r="D1367" s="5" t="s">
        <v>3616</v>
      </c>
      <c r="E1367" s="5" t="s">
        <v>2492</v>
      </c>
      <c r="F1367" s="5" t="s">
        <v>18</v>
      </c>
      <c r="G1367" s="6">
        <v>0.2</v>
      </c>
      <c r="H1367" s="5" t="s">
        <v>2192</v>
      </c>
      <c r="I1367" s="5" t="s">
        <v>20</v>
      </c>
      <c r="J1367" s="5">
        <v>2016.0</v>
      </c>
      <c r="K1367" s="8">
        <v>46084.0</v>
      </c>
      <c r="L1367" s="5">
        <v>1.0</v>
      </c>
      <c r="M1367" s="7">
        <f t="shared" si="3"/>
        <v>0.2</v>
      </c>
    </row>
    <row r="1368">
      <c r="A1368" s="5" t="s">
        <v>3617</v>
      </c>
      <c r="B1368" s="5" t="s">
        <v>3618</v>
      </c>
      <c r="C1368" s="5" t="s">
        <v>297</v>
      </c>
      <c r="D1368" s="5" t="s">
        <v>2529</v>
      </c>
      <c r="E1368" s="5" t="s">
        <v>2298</v>
      </c>
      <c r="F1368" s="5" t="s">
        <v>18</v>
      </c>
      <c r="G1368" s="6">
        <v>0.05</v>
      </c>
      <c r="H1368" s="5" t="s">
        <v>2624</v>
      </c>
      <c r="I1368" s="5" t="s">
        <v>20</v>
      </c>
      <c r="J1368" s="5">
        <v>2019.0</v>
      </c>
      <c r="K1368" s="8">
        <v>46055.0</v>
      </c>
      <c r="L1368" s="5">
        <v>1.0</v>
      </c>
      <c r="M1368" s="7">
        <f t="shared" si="3"/>
        <v>0.05</v>
      </c>
    </row>
    <row r="1369">
      <c r="A1369" s="5" t="s">
        <v>3619</v>
      </c>
      <c r="B1369" s="5" t="s">
        <v>3620</v>
      </c>
      <c r="C1369" s="5" t="s">
        <v>297</v>
      </c>
      <c r="D1369" s="5" t="s">
        <v>3621</v>
      </c>
      <c r="E1369" s="5" t="s">
        <v>782</v>
      </c>
      <c r="F1369" s="5" t="s">
        <v>18</v>
      </c>
      <c r="G1369" s="6">
        <v>0.03</v>
      </c>
      <c r="H1369" s="5" t="s">
        <v>2244</v>
      </c>
      <c r="I1369" s="5" t="s">
        <v>20</v>
      </c>
      <c r="J1369" s="5">
        <v>2014.0</v>
      </c>
      <c r="K1369" s="8">
        <v>46023.0</v>
      </c>
      <c r="L1369" s="5">
        <v>1.0</v>
      </c>
      <c r="M1369" s="7">
        <f t="shared" si="3"/>
        <v>0.03</v>
      </c>
    </row>
    <row r="1370">
      <c r="A1370" s="5" t="s">
        <v>3622</v>
      </c>
      <c r="B1370" s="5" t="s">
        <v>3623</v>
      </c>
      <c r="C1370" s="5" t="s">
        <v>297</v>
      </c>
      <c r="D1370" s="5" t="s">
        <v>3624</v>
      </c>
      <c r="E1370" s="5" t="s">
        <v>1956</v>
      </c>
      <c r="F1370" s="5" t="s">
        <v>18</v>
      </c>
      <c r="G1370" s="6">
        <v>0.04</v>
      </c>
      <c r="H1370" s="5" t="s">
        <v>1958</v>
      </c>
      <c r="I1370" s="5" t="s">
        <v>20</v>
      </c>
      <c r="J1370" s="5">
        <v>2021.0</v>
      </c>
      <c r="K1370" s="8">
        <v>46055.0</v>
      </c>
      <c r="L1370" s="5">
        <v>1.0</v>
      </c>
      <c r="M1370" s="7">
        <f t="shared" si="3"/>
        <v>0.04</v>
      </c>
    </row>
    <row r="1371">
      <c r="A1371" s="5" t="s">
        <v>3625</v>
      </c>
      <c r="B1371" s="5" t="s">
        <v>3626</v>
      </c>
      <c r="C1371" s="5" t="s">
        <v>297</v>
      </c>
      <c r="D1371" s="5" t="s">
        <v>3627</v>
      </c>
      <c r="E1371" s="5" t="s">
        <v>2492</v>
      </c>
      <c r="F1371" s="5" t="s">
        <v>18</v>
      </c>
      <c r="G1371" s="6">
        <v>0.03</v>
      </c>
      <c r="H1371" s="5" t="s">
        <v>2244</v>
      </c>
      <c r="I1371" s="5" t="s">
        <v>20</v>
      </c>
      <c r="J1371" s="5">
        <v>2014.0</v>
      </c>
      <c r="K1371" s="8">
        <v>46023.0</v>
      </c>
      <c r="L1371" s="5">
        <v>1.0</v>
      </c>
      <c r="M1371" s="7">
        <f t="shared" si="3"/>
        <v>0.03</v>
      </c>
    </row>
    <row r="1372">
      <c r="A1372" s="5" t="s">
        <v>3628</v>
      </c>
      <c r="B1372" s="5" t="s">
        <v>3629</v>
      </c>
      <c r="C1372" s="5" t="s">
        <v>297</v>
      </c>
      <c r="D1372" s="5" t="s">
        <v>3630</v>
      </c>
      <c r="E1372" s="5" t="s">
        <v>2507</v>
      </c>
      <c r="F1372" s="5" t="s">
        <v>18</v>
      </c>
      <c r="G1372" s="6">
        <v>0.06</v>
      </c>
      <c r="H1372" s="5" t="s">
        <v>2204</v>
      </c>
      <c r="I1372" s="5" t="s">
        <v>20</v>
      </c>
      <c r="J1372" s="5">
        <v>2014.0</v>
      </c>
      <c r="K1372" s="8">
        <v>46144.0</v>
      </c>
      <c r="L1372" s="5">
        <v>1.0</v>
      </c>
      <c r="M1372" s="7">
        <f t="shared" si="3"/>
        <v>0.06</v>
      </c>
    </row>
    <row r="1373">
      <c r="A1373" s="5" t="s">
        <v>3631</v>
      </c>
      <c r="B1373" s="5" t="s">
        <v>3615</v>
      </c>
      <c r="C1373" s="5" t="s">
        <v>297</v>
      </c>
      <c r="D1373" s="5" t="s">
        <v>3632</v>
      </c>
      <c r="E1373" s="5" t="s">
        <v>2514</v>
      </c>
      <c r="F1373" s="5" t="s">
        <v>18</v>
      </c>
      <c r="G1373" s="6">
        <v>0.09</v>
      </c>
      <c r="H1373" s="5" t="s">
        <v>2174</v>
      </c>
      <c r="I1373" s="5" t="s">
        <v>20</v>
      </c>
      <c r="J1373" s="5">
        <v>2021.0</v>
      </c>
      <c r="K1373" s="8">
        <v>46179.0</v>
      </c>
      <c r="L1373" s="5">
        <v>2.0</v>
      </c>
      <c r="M1373" s="7">
        <f t="shared" si="3"/>
        <v>0.18</v>
      </c>
    </row>
    <row r="1374">
      <c r="A1374" s="5" t="s">
        <v>3633</v>
      </c>
      <c r="B1374" s="5" t="s">
        <v>3634</v>
      </c>
      <c r="C1374" s="5" t="s">
        <v>297</v>
      </c>
      <c r="D1374" s="5" t="s">
        <v>3635</v>
      </c>
      <c r="E1374" s="5" t="s">
        <v>2295</v>
      </c>
      <c r="F1374" s="5" t="s">
        <v>18</v>
      </c>
      <c r="G1374" s="6">
        <v>0.05</v>
      </c>
      <c r="H1374" s="5" t="s">
        <v>1692</v>
      </c>
      <c r="I1374" s="5" t="s">
        <v>20</v>
      </c>
      <c r="J1374" s="5">
        <v>2020.0</v>
      </c>
      <c r="K1374" s="8">
        <v>46116.0</v>
      </c>
      <c r="L1374" s="5">
        <v>2.0</v>
      </c>
      <c r="M1374" s="7">
        <f t="shared" si="3"/>
        <v>0.1</v>
      </c>
    </row>
    <row r="1375">
      <c r="A1375" s="5" t="s">
        <v>3636</v>
      </c>
      <c r="B1375" s="5" t="s">
        <v>3634</v>
      </c>
      <c r="C1375" s="5" t="s">
        <v>297</v>
      </c>
      <c r="D1375" s="5" t="s">
        <v>3637</v>
      </c>
      <c r="E1375" s="5" t="s">
        <v>2298</v>
      </c>
      <c r="F1375" s="5" t="s">
        <v>18</v>
      </c>
      <c r="G1375" s="6">
        <v>0.05</v>
      </c>
      <c r="H1375" s="5" t="s">
        <v>2751</v>
      </c>
      <c r="I1375" s="5" t="s">
        <v>20</v>
      </c>
      <c r="J1375" s="5">
        <v>2009.0</v>
      </c>
      <c r="K1375" s="8">
        <v>46082.0</v>
      </c>
      <c r="L1375" s="5">
        <v>1.0</v>
      </c>
      <c r="M1375" s="7">
        <f t="shared" si="3"/>
        <v>0.05</v>
      </c>
    </row>
    <row r="1376">
      <c r="A1376" s="5" t="s">
        <v>3638</v>
      </c>
      <c r="B1376" s="5" t="s">
        <v>2129</v>
      </c>
      <c r="C1376" s="5" t="s">
        <v>297</v>
      </c>
      <c r="E1376" s="5" t="s">
        <v>2492</v>
      </c>
      <c r="F1376" s="5" t="s">
        <v>18</v>
      </c>
      <c r="G1376" s="6">
        <v>0.05</v>
      </c>
      <c r="H1376" s="5" t="s">
        <v>3639</v>
      </c>
      <c r="I1376" s="5" t="s">
        <v>20</v>
      </c>
      <c r="J1376" s="5">
        <v>2010.0</v>
      </c>
      <c r="K1376" s="8">
        <v>46084.0</v>
      </c>
      <c r="L1376" s="5">
        <v>1.0</v>
      </c>
      <c r="M1376" s="7">
        <f t="shared" si="3"/>
        <v>0.05</v>
      </c>
    </row>
    <row r="1377">
      <c r="A1377" s="5" t="s">
        <v>3640</v>
      </c>
      <c r="B1377" s="5" t="s">
        <v>3641</v>
      </c>
      <c r="C1377" s="5" t="s">
        <v>297</v>
      </c>
      <c r="E1377" s="5" t="s">
        <v>2290</v>
      </c>
      <c r="F1377" s="5" t="s">
        <v>280</v>
      </c>
      <c r="G1377" s="6">
        <v>0.05</v>
      </c>
      <c r="H1377" s="5" t="s">
        <v>383</v>
      </c>
      <c r="I1377" s="5" t="s">
        <v>20</v>
      </c>
      <c r="J1377" s="5">
        <v>2011.0</v>
      </c>
      <c r="K1377" s="8">
        <v>46085.0</v>
      </c>
      <c r="L1377" s="5">
        <v>1.0</v>
      </c>
      <c r="M1377" s="7">
        <f t="shared" si="3"/>
        <v>0.05</v>
      </c>
    </row>
    <row r="1378">
      <c r="A1378" s="5" t="s">
        <v>3642</v>
      </c>
      <c r="B1378" s="5" t="s">
        <v>387</v>
      </c>
      <c r="C1378" s="5" t="s">
        <v>1670</v>
      </c>
      <c r="D1378" s="5" t="s">
        <v>3643</v>
      </c>
      <c r="E1378" s="5" t="s">
        <v>2283</v>
      </c>
      <c r="F1378" s="5" t="s">
        <v>2981</v>
      </c>
      <c r="G1378" s="6">
        <v>0.3</v>
      </c>
      <c r="H1378" s="5" t="s">
        <v>1684</v>
      </c>
      <c r="I1378" s="5" t="s">
        <v>31</v>
      </c>
      <c r="J1378" s="5">
        <v>2015.0</v>
      </c>
      <c r="L1378" s="5">
        <v>1.0</v>
      </c>
      <c r="M1378" s="7">
        <f t="shared" si="3"/>
        <v>0.3</v>
      </c>
    </row>
    <row r="1379">
      <c r="A1379" s="5" t="s">
        <v>3642</v>
      </c>
      <c r="B1379" s="5" t="s">
        <v>387</v>
      </c>
      <c r="C1379" s="5" t="s">
        <v>1670</v>
      </c>
      <c r="D1379" s="5" t="s">
        <v>3643</v>
      </c>
      <c r="E1379" s="5" t="s">
        <v>2283</v>
      </c>
      <c r="F1379" s="5" t="s">
        <v>2981</v>
      </c>
      <c r="G1379" s="6">
        <v>0.08</v>
      </c>
      <c r="H1379" s="5" t="s">
        <v>1684</v>
      </c>
      <c r="I1379" s="5" t="s">
        <v>20</v>
      </c>
      <c r="J1379" s="5">
        <v>2015.0</v>
      </c>
      <c r="L1379" s="5">
        <v>1.0</v>
      </c>
      <c r="M1379" s="7">
        <f t="shared" si="3"/>
        <v>0.08</v>
      </c>
    </row>
    <row r="1380">
      <c r="A1380" s="5" t="s">
        <v>3644</v>
      </c>
      <c r="B1380" s="5" t="s">
        <v>3645</v>
      </c>
      <c r="C1380" s="5" t="s">
        <v>2846</v>
      </c>
      <c r="D1380" s="5" t="s">
        <v>3646</v>
      </c>
      <c r="E1380" s="5" t="s">
        <v>2290</v>
      </c>
      <c r="F1380" s="5" t="s">
        <v>2967</v>
      </c>
      <c r="G1380" s="6">
        <v>0.1</v>
      </c>
      <c r="H1380" s="5" t="s">
        <v>2475</v>
      </c>
      <c r="I1380" s="5" t="s">
        <v>20</v>
      </c>
      <c r="J1380" s="5">
        <v>2012.0</v>
      </c>
      <c r="L1380" s="5">
        <v>1.0</v>
      </c>
      <c r="M1380" s="7">
        <f t="shared" si="3"/>
        <v>0.1</v>
      </c>
    </row>
    <row r="1381">
      <c r="A1381" s="5" t="s">
        <v>3647</v>
      </c>
      <c r="B1381" s="5" t="s">
        <v>2997</v>
      </c>
      <c r="C1381" s="5" t="s">
        <v>2860</v>
      </c>
      <c r="D1381" s="5" t="s">
        <v>3648</v>
      </c>
      <c r="E1381" s="5" t="s">
        <v>3649</v>
      </c>
      <c r="F1381" s="5" t="s">
        <v>3650</v>
      </c>
      <c r="G1381" s="6">
        <v>0.3</v>
      </c>
      <c r="H1381" s="5" t="s">
        <v>2008</v>
      </c>
      <c r="I1381" s="5" t="s">
        <v>20</v>
      </c>
      <c r="J1381" s="5">
        <v>2013.0</v>
      </c>
      <c r="K1381" s="5" t="s">
        <v>347</v>
      </c>
      <c r="L1381" s="5">
        <v>1.0</v>
      </c>
      <c r="M1381" s="7">
        <f t="shared" si="3"/>
        <v>0.3</v>
      </c>
    </row>
    <row r="1382">
      <c r="A1382" s="5" t="s">
        <v>3651</v>
      </c>
      <c r="B1382" s="5" t="s">
        <v>2974</v>
      </c>
      <c r="C1382" s="5" t="s">
        <v>2846</v>
      </c>
      <c r="D1382" s="5" t="s">
        <v>3652</v>
      </c>
      <c r="E1382" s="5" t="s">
        <v>3653</v>
      </c>
      <c r="F1382" s="5" t="s">
        <v>3654</v>
      </c>
      <c r="G1382" s="6">
        <v>0.09</v>
      </c>
      <c r="H1382" s="5" t="s">
        <v>1644</v>
      </c>
      <c r="I1382" s="5" t="s">
        <v>20</v>
      </c>
      <c r="J1382" s="5">
        <v>2019.0</v>
      </c>
      <c r="L1382" s="5">
        <v>1.0</v>
      </c>
      <c r="M1382" s="7">
        <f t="shared" si="3"/>
        <v>0.09</v>
      </c>
    </row>
    <row r="1383">
      <c r="A1383" s="5" t="s">
        <v>3655</v>
      </c>
      <c r="B1383" s="5" t="s">
        <v>3511</v>
      </c>
      <c r="C1383" s="5" t="s">
        <v>1951</v>
      </c>
      <c r="D1383" s="5" t="s">
        <v>3656</v>
      </c>
      <c r="E1383" s="5" t="s">
        <v>3173</v>
      </c>
      <c r="F1383" s="5" t="s">
        <v>3174</v>
      </c>
      <c r="G1383" s="6">
        <v>0.15</v>
      </c>
      <c r="H1383" s="5" t="s">
        <v>1679</v>
      </c>
      <c r="I1383" s="5" t="s">
        <v>20</v>
      </c>
      <c r="J1383" s="5">
        <v>2008.0</v>
      </c>
      <c r="K1383" s="8">
        <v>46056.0</v>
      </c>
      <c r="L1383" s="5">
        <v>1.0</v>
      </c>
      <c r="M1383" s="7">
        <f t="shared" si="3"/>
        <v>0.15</v>
      </c>
    </row>
    <row r="1384">
      <c r="A1384" s="5" t="s">
        <v>3657</v>
      </c>
      <c r="B1384" s="5" t="s">
        <v>380</v>
      </c>
      <c r="C1384" s="5" t="s">
        <v>1951</v>
      </c>
      <c r="D1384" s="5" t="s">
        <v>3658</v>
      </c>
      <c r="E1384" s="5" t="s">
        <v>3659</v>
      </c>
      <c r="F1384" s="5" t="s">
        <v>3202</v>
      </c>
      <c r="G1384" s="6">
        <v>0.1</v>
      </c>
      <c r="H1384" s="5" t="s">
        <v>3660</v>
      </c>
      <c r="I1384" s="5" t="s">
        <v>20</v>
      </c>
      <c r="J1384" s="5">
        <v>2024.0</v>
      </c>
      <c r="L1384" s="5">
        <v>1.0</v>
      </c>
      <c r="M1384" s="7">
        <f t="shared" si="3"/>
        <v>0.1</v>
      </c>
    </row>
    <row r="1385">
      <c r="A1385" s="5" t="s">
        <v>3661</v>
      </c>
      <c r="B1385" s="5" t="s">
        <v>3662</v>
      </c>
      <c r="C1385" s="5" t="s">
        <v>297</v>
      </c>
      <c r="D1385" s="5" t="s">
        <v>3663</v>
      </c>
      <c r="E1385" s="5" t="s">
        <v>1859</v>
      </c>
      <c r="F1385" s="5" t="s">
        <v>280</v>
      </c>
      <c r="G1385" s="6">
        <v>0.09</v>
      </c>
      <c r="H1385" s="5" t="s">
        <v>2475</v>
      </c>
      <c r="I1385" s="5" t="s">
        <v>20</v>
      </c>
      <c r="J1385" s="5">
        <v>2012.0</v>
      </c>
      <c r="K1385" s="8">
        <v>46055.0</v>
      </c>
      <c r="L1385" s="5">
        <v>2.0</v>
      </c>
      <c r="M1385" s="7">
        <f t="shared" si="3"/>
        <v>0.18</v>
      </c>
    </row>
    <row r="1386">
      <c r="A1386" s="5" t="s">
        <v>3664</v>
      </c>
      <c r="B1386" s="5" t="s">
        <v>3396</v>
      </c>
      <c r="C1386" s="5" t="s">
        <v>1951</v>
      </c>
      <c r="D1386" s="5" t="s">
        <v>3665</v>
      </c>
      <c r="E1386" s="5" t="s">
        <v>2400</v>
      </c>
      <c r="F1386" s="5" t="s">
        <v>3202</v>
      </c>
      <c r="G1386" s="6">
        <v>0.1</v>
      </c>
      <c r="H1386" s="5" t="s">
        <v>2557</v>
      </c>
      <c r="I1386" s="5" t="s">
        <v>20</v>
      </c>
      <c r="J1386" s="5">
        <v>2018.0</v>
      </c>
      <c r="K1386" s="5" t="s">
        <v>3399</v>
      </c>
      <c r="L1386" s="5">
        <v>1.0</v>
      </c>
      <c r="M1386" s="7">
        <f t="shared" si="3"/>
        <v>0.1</v>
      </c>
    </row>
    <row r="1387">
      <c r="A1387" s="5" t="s">
        <v>3666</v>
      </c>
      <c r="B1387" s="5" t="s">
        <v>387</v>
      </c>
      <c r="C1387" s="5" t="s">
        <v>297</v>
      </c>
      <c r="D1387" s="5" t="s">
        <v>3667</v>
      </c>
      <c r="E1387" s="5" t="s">
        <v>3391</v>
      </c>
      <c r="F1387" s="5" t="s">
        <v>3202</v>
      </c>
      <c r="G1387" s="6">
        <v>0.1</v>
      </c>
      <c r="H1387" s="5" t="s">
        <v>299</v>
      </c>
      <c r="I1387" s="5" t="s">
        <v>20</v>
      </c>
      <c r="J1387" s="5">
        <v>2026.0</v>
      </c>
      <c r="L1387" s="5">
        <v>1.0</v>
      </c>
      <c r="M1387" s="7">
        <f t="shared" si="3"/>
        <v>0.1</v>
      </c>
    </row>
    <row r="1388">
      <c r="A1388" s="5" t="s">
        <v>3668</v>
      </c>
      <c r="B1388" s="5" t="s">
        <v>3669</v>
      </c>
      <c r="C1388" s="5" t="s">
        <v>1899</v>
      </c>
      <c r="D1388" s="5" t="s">
        <v>3670</v>
      </c>
      <c r="E1388" s="5" t="s">
        <v>3671</v>
      </c>
      <c r="F1388" s="5" t="s">
        <v>3202</v>
      </c>
      <c r="G1388" s="6">
        <v>0.27</v>
      </c>
      <c r="H1388" s="5" t="s">
        <v>2802</v>
      </c>
      <c r="I1388" s="5" t="s">
        <v>20</v>
      </c>
      <c r="J1388" s="5">
        <v>2026.0</v>
      </c>
      <c r="K1388" s="8">
        <v>46114.0</v>
      </c>
      <c r="L1388" s="5">
        <v>1.0</v>
      </c>
      <c r="M1388" s="7">
        <f t="shared" si="3"/>
        <v>0.27</v>
      </c>
    </row>
    <row r="1389">
      <c r="A1389" s="5" t="s">
        <v>3672</v>
      </c>
      <c r="B1389" s="5" t="s">
        <v>3673</v>
      </c>
      <c r="C1389" s="5" t="s">
        <v>1951</v>
      </c>
      <c r="D1389" s="5" t="s">
        <v>3674</v>
      </c>
      <c r="E1389" s="5" t="s">
        <v>3675</v>
      </c>
      <c r="F1389" s="5" t="s">
        <v>3202</v>
      </c>
      <c r="G1389" s="6">
        <v>0.09</v>
      </c>
      <c r="H1389" s="5" t="s">
        <v>1676</v>
      </c>
      <c r="I1389" s="5" t="s">
        <v>20</v>
      </c>
      <c r="J1389" s="5">
        <v>2012.0</v>
      </c>
      <c r="K1389" s="8">
        <v>46023.0</v>
      </c>
      <c r="L1389" s="5">
        <v>2.0</v>
      </c>
      <c r="M1389" s="7">
        <f t="shared" si="3"/>
        <v>0.18</v>
      </c>
    </row>
    <row r="1390">
      <c r="A1390" s="5" t="s">
        <v>3676</v>
      </c>
      <c r="B1390" s="5" t="s">
        <v>380</v>
      </c>
      <c r="C1390" s="5" t="s">
        <v>1899</v>
      </c>
      <c r="D1390" s="5" t="s">
        <v>3677</v>
      </c>
      <c r="E1390" s="5" t="s">
        <v>3272</v>
      </c>
      <c r="F1390" s="5" t="s">
        <v>3155</v>
      </c>
      <c r="G1390" s="6">
        <v>0.25</v>
      </c>
      <c r="H1390" s="5" t="s">
        <v>1711</v>
      </c>
      <c r="I1390" s="5" t="s">
        <v>20</v>
      </c>
      <c r="J1390" s="5">
        <v>2019.0</v>
      </c>
      <c r="L1390" s="5">
        <v>1.0</v>
      </c>
      <c r="M1390" s="7">
        <f t="shared" si="3"/>
        <v>0.25</v>
      </c>
    </row>
    <row r="1391">
      <c r="A1391" s="5" t="s">
        <v>3678</v>
      </c>
      <c r="B1391" s="5" t="s">
        <v>380</v>
      </c>
      <c r="C1391" s="5" t="s">
        <v>1899</v>
      </c>
      <c r="D1391" s="5" t="s">
        <v>3679</v>
      </c>
      <c r="E1391" s="5" t="s">
        <v>3680</v>
      </c>
      <c r="F1391" s="5" t="s">
        <v>3155</v>
      </c>
      <c r="G1391" s="6">
        <v>0.2</v>
      </c>
      <c r="H1391" s="5" t="s">
        <v>2008</v>
      </c>
      <c r="I1391" s="5" t="s">
        <v>20</v>
      </c>
      <c r="J1391" s="5">
        <v>2013.0</v>
      </c>
      <c r="L1391" s="5">
        <v>2.0</v>
      </c>
      <c r="M1391" s="7">
        <f t="shared" si="3"/>
        <v>0.4</v>
      </c>
    </row>
    <row r="1392">
      <c r="A1392" s="5" t="s">
        <v>3681</v>
      </c>
      <c r="B1392" s="5" t="s">
        <v>380</v>
      </c>
      <c r="C1392" s="5" t="s">
        <v>297</v>
      </c>
      <c r="D1392" s="5" t="s">
        <v>3682</v>
      </c>
      <c r="E1392" s="5" t="s">
        <v>1373</v>
      </c>
      <c r="F1392" s="5" t="s">
        <v>3155</v>
      </c>
      <c r="G1392" s="6">
        <v>0.06</v>
      </c>
      <c r="H1392" s="5" t="s">
        <v>2008</v>
      </c>
      <c r="I1392" s="5" t="s">
        <v>20</v>
      </c>
      <c r="J1392" s="5">
        <v>2013.0</v>
      </c>
      <c r="L1392" s="5">
        <v>1.0</v>
      </c>
      <c r="M1392" s="7">
        <f t="shared" si="3"/>
        <v>0.06</v>
      </c>
    </row>
    <row r="1393">
      <c r="A1393" s="5" t="s">
        <v>3683</v>
      </c>
      <c r="B1393" s="5" t="s">
        <v>2060</v>
      </c>
      <c r="C1393" s="5" t="s">
        <v>297</v>
      </c>
      <c r="D1393" s="5" t="s">
        <v>3684</v>
      </c>
      <c r="E1393" s="5" t="s">
        <v>3307</v>
      </c>
      <c r="F1393" s="5" t="s">
        <v>3182</v>
      </c>
      <c r="G1393" s="6">
        <v>0.25</v>
      </c>
      <c r="H1393" s="5" t="s">
        <v>3685</v>
      </c>
      <c r="I1393" s="5" t="s">
        <v>31</v>
      </c>
      <c r="J1393" s="5">
        <v>2022.0</v>
      </c>
      <c r="L1393" s="5">
        <v>2.0</v>
      </c>
      <c r="M1393" s="7">
        <f t="shared" si="3"/>
        <v>0.5</v>
      </c>
    </row>
    <row r="1394">
      <c r="A1394" s="5" t="s">
        <v>3686</v>
      </c>
      <c r="B1394" s="5" t="s">
        <v>3687</v>
      </c>
      <c r="C1394" s="5" t="s">
        <v>2846</v>
      </c>
      <c r="D1394" s="5" t="s">
        <v>3688</v>
      </c>
      <c r="E1394" s="5" t="s">
        <v>3689</v>
      </c>
      <c r="F1394" s="5" t="s">
        <v>3690</v>
      </c>
      <c r="G1394" s="6">
        <v>0.04</v>
      </c>
      <c r="H1394" s="5" t="s">
        <v>1644</v>
      </c>
      <c r="I1394" s="5" t="s">
        <v>20</v>
      </c>
      <c r="J1394" s="5">
        <v>2019.0</v>
      </c>
      <c r="L1394" s="5">
        <v>2.0</v>
      </c>
      <c r="M1394" s="7">
        <f t="shared" si="3"/>
        <v>0.08</v>
      </c>
    </row>
    <row r="1395">
      <c r="A1395" s="5" t="s">
        <v>3691</v>
      </c>
      <c r="B1395" s="5" t="s">
        <v>3692</v>
      </c>
      <c r="C1395" s="5" t="s">
        <v>297</v>
      </c>
      <c r="D1395" s="5" t="s">
        <v>3693</v>
      </c>
      <c r="E1395" s="5" t="s">
        <v>3694</v>
      </c>
      <c r="F1395" s="5" t="s">
        <v>3182</v>
      </c>
      <c r="G1395" s="6">
        <v>0.05</v>
      </c>
      <c r="H1395" s="5" t="s">
        <v>1688</v>
      </c>
      <c r="I1395" s="5" t="s">
        <v>20</v>
      </c>
      <c r="J1395" s="5">
        <v>2021.0</v>
      </c>
      <c r="K1395" s="8">
        <v>46084.0</v>
      </c>
      <c r="L1395" s="5">
        <v>2.0</v>
      </c>
      <c r="M1395" s="7">
        <f t="shared" si="3"/>
        <v>0.1</v>
      </c>
    </row>
    <row r="1396">
      <c r="A1396" s="5" t="s">
        <v>3695</v>
      </c>
      <c r="B1396" s="5" t="s">
        <v>380</v>
      </c>
      <c r="C1396" s="5" t="s">
        <v>297</v>
      </c>
      <c r="D1396" s="5" t="s">
        <v>3696</v>
      </c>
      <c r="E1396" s="5" t="s">
        <v>3697</v>
      </c>
      <c r="F1396" s="5" t="s">
        <v>3182</v>
      </c>
      <c r="G1396" s="6">
        <v>0.09</v>
      </c>
      <c r="H1396" s="5" t="s">
        <v>3097</v>
      </c>
      <c r="I1396" s="5" t="s">
        <v>20</v>
      </c>
      <c r="J1396" s="5">
        <v>2015.0</v>
      </c>
      <c r="L1396" s="5">
        <v>2.0</v>
      </c>
      <c r="M1396" s="7">
        <f t="shared" si="3"/>
        <v>0.18</v>
      </c>
    </row>
    <row r="1397">
      <c r="A1397" s="5" t="s">
        <v>3698</v>
      </c>
      <c r="B1397" s="5" t="s">
        <v>2275</v>
      </c>
      <c r="C1397" s="5" t="s">
        <v>297</v>
      </c>
      <c r="D1397" s="5" t="s">
        <v>3699</v>
      </c>
      <c r="E1397" s="5" t="s">
        <v>3307</v>
      </c>
      <c r="F1397" s="5" t="s">
        <v>3182</v>
      </c>
      <c r="G1397" s="6">
        <v>0.05</v>
      </c>
      <c r="H1397" s="5" t="s">
        <v>1688</v>
      </c>
      <c r="I1397" s="5" t="s">
        <v>20</v>
      </c>
      <c r="J1397" s="5">
        <v>2021.0</v>
      </c>
      <c r="K1397" s="5" t="s">
        <v>1258</v>
      </c>
      <c r="L1397" s="5">
        <v>2.0</v>
      </c>
      <c r="M1397" s="7">
        <f t="shared" si="3"/>
        <v>0.1</v>
      </c>
    </row>
    <row r="1398">
      <c r="A1398" s="5" t="s">
        <v>3700</v>
      </c>
      <c r="B1398" s="5" t="s">
        <v>380</v>
      </c>
      <c r="C1398" s="5" t="s">
        <v>1951</v>
      </c>
      <c r="D1398" s="5" t="s">
        <v>3701</v>
      </c>
      <c r="E1398" s="5" t="s">
        <v>989</v>
      </c>
      <c r="F1398" s="5" t="s">
        <v>3182</v>
      </c>
      <c r="G1398" s="6">
        <v>0.09</v>
      </c>
      <c r="H1398" s="5" t="s">
        <v>3236</v>
      </c>
      <c r="I1398" s="5" t="s">
        <v>20</v>
      </c>
      <c r="J1398" s="5">
        <v>2016.0</v>
      </c>
      <c r="L1398" s="5">
        <v>2.0</v>
      </c>
      <c r="M1398" s="7">
        <f t="shared" si="3"/>
        <v>0.18</v>
      </c>
    </row>
    <row r="1399">
      <c r="A1399" s="5" t="s">
        <v>3702</v>
      </c>
      <c r="B1399" s="5" t="s">
        <v>3299</v>
      </c>
      <c r="C1399" s="5" t="s">
        <v>297</v>
      </c>
      <c r="D1399" s="5" t="s">
        <v>3703</v>
      </c>
      <c r="E1399" s="5" t="s">
        <v>3181</v>
      </c>
      <c r="F1399" s="5" t="s">
        <v>3182</v>
      </c>
      <c r="G1399" s="6">
        <v>0.05</v>
      </c>
      <c r="H1399" s="5" t="s">
        <v>1644</v>
      </c>
      <c r="I1399" s="5" t="s">
        <v>20</v>
      </c>
      <c r="J1399" s="5">
        <v>2019.0</v>
      </c>
      <c r="K1399" s="8">
        <v>46025.0</v>
      </c>
      <c r="L1399" s="5">
        <v>2.0</v>
      </c>
      <c r="M1399" s="7">
        <f t="shared" si="3"/>
        <v>0.1</v>
      </c>
    </row>
    <row r="1400">
      <c r="A1400" s="5" t="s">
        <v>3704</v>
      </c>
      <c r="B1400" s="5" t="s">
        <v>380</v>
      </c>
      <c r="C1400" s="5" t="s">
        <v>297</v>
      </c>
      <c r="D1400" s="5" t="s">
        <v>3705</v>
      </c>
      <c r="E1400" s="5" t="s">
        <v>1914</v>
      </c>
      <c r="F1400" s="5" t="s">
        <v>3182</v>
      </c>
      <c r="G1400" s="6">
        <v>0.05</v>
      </c>
      <c r="H1400" s="5" t="s">
        <v>2181</v>
      </c>
      <c r="I1400" s="5" t="s">
        <v>20</v>
      </c>
      <c r="J1400" s="5">
        <v>2018.0</v>
      </c>
      <c r="L1400" s="5">
        <v>2.0</v>
      </c>
      <c r="M1400" s="7">
        <f t="shared" si="3"/>
        <v>0.1</v>
      </c>
    </row>
    <row r="1401">
      <c r="A1401" s="5" t="s">
        <v>3706</v>
      </c>
      <c r="B1401" s="5" t="s">
        <v>3707</v>
      </c>
      <c r="C1401" s="5" t="s">
        <v>1951</v>
      </c>
      <c r="D1401" s="5" t="s">
        <v>3708</v>
      </c>
      <c r="E1401" s="5" t="s">
        <v>3709</v>
      </c>
      <c r="F1401" s="5" t="s">
        <v>3182</v>
      </c>
      <c r="G1401" s="6">
        <v>0.29</v>
      </c>
      <c r="H1401" s="5" t="s">
        <v>299</v>
      </c>
      <c r="I1401" s="5" t="s">
        <v>20</v>
      </c>
      <c r="J1401" s="5">
        <v>2026.0</v>
      </c>
      <c r="K1401" s="8">
        <v>46083.0</v>
      </c>
      <c r="L1401" s="5">
        <v>1.0</v>
      </c>
      <c r="M1401" s="7">
        <f t="shared" si="3"/>
        <v>0.29</v>
      </c>
    </row>
    <row r="1402">
      <c r="A1402" s="5" t="s">
        <v>3710</v>
      </c>
      <c r="B1402" s="5" t="s">
        <v>3309</v>
      </c>
      <c r="C1402" s="5" t="s">
        <v>1899</v>
      </c>
      <c r="D1402" s="5" t="s">
        <v>3711</v>
      </c>
      <c r="E1402" s="5" t="s">
        <v>989</v>
      </c>
      <c r="F1402" s="5" t="s">
        <v>3182</v>
      </c>
      <c r="G1402" s="6">
        <v>0.25</v>
      </c>
      <c r="H1402" s="5" t="s">
        <v>2008</v>
      </c>
      <c r="I1402" s="5" t="s">
        <v>20</v>
      </c>
      <c r="J1402" s="5">
        <v>2013.0</v>
      </c>
      <c r="K1402" s="8">
        <v>46023.0</v>
      </c>
      <c r="L1402" s="5">
        <v>1.0</v>
      </c>
      <c r="M1402" s="7">
        <f t="shared" si="3"/>
        <v>0.25</v>
      </c>
    </row>
    <row r="1403">
      <c r="A1403" s="5" t="s">
        <v>3712</v>
      </c>
      <c r="B1403" s="5" t="s">
        <v>3713</v>
      </c>
      <c r="C1403" s="5" t="s">
        <v>1951</v>
      </c>
      <c r="D1403" s="5" t="s">
        <v>3714</v>
      </c>
      <c r="E1403" s="5" t="s">
        <v>3715</v>
      </c>
      <c r="F1403" s="5" t="s">
        <v>3182</v>
      </c>
      <c r="G1403" s="6">
        <v>0.1</v>
      </c>
      <c r="H1403" s="5" t="s">
        <v>1622</v>
      </c>
      <c r="I1403" s="5" t="s">
        <v>20</v>
      </c>
      <c r="J1403" s="5">
        <v>2022.0</v>
      </c>
      <c r="K1403" s="8">
        <v>46084.0</v>
      </c>
      <c r="L1403" s="5">
        <v>1.0</v>
      </c>
      <c r="M1403" s="7">
        <f t="shared" si="3"/>
        <v>0.1</v>
      </c>
    </row>
    <row r="1404">
      <c r="A1404" s="5" t="s">
        <v>3716</v>
      </c>
      <c r="B1404" s="5" t="s">
        <v>3717</v>
      </c>
      <c r="C1404" s="5" t="s">
        <v>297</v>
      </c>
      <c r="D1404" s="5" t="s">
        <v>3718</v>
      </c>
      <c r="E1404" s="5" t="s">
        <v>1914</v>
      </c>
      <c r="F1404" s="5" t="s">
        <v>3182</v>
      </c>
      <c r="G1404" s="6">
        <v>0.24</v>
      </c>
      <c r="H1404" s="5" t="s">
        <v>2467</v>
      </c>
      <c r="I1404" s="5" t="s">
        <v>20</v>
      </c>
      <c r="J1404" s="5">
        <v>2008.0</v>
      </c>
      <c r="K1404" s="8">
        <v>46023.0</v>
      </c>
      <c r="L1404" s="5">
        <v>1.0</v>
      </c>
      <c r="M1404" s="7">
        <f t="shared" si="3"/>
        <v>0.24</v>
      </c>
    </row>
    <row r="1405">
      <c r="A1405" s="5" t="s">
        <v>3719</v>
      </c>
      <c r="B1405" s="5" t="s">
        <v>2626</v>
      </c>
      <c r="C1405" s="5" t="s">
        <v>1951</v>
      </c>
      <c r="D1405" s="5" t="s">
        <v>3720</v>
      </c>
      <c r="E1405" s="5" t="s">
        <v>3291</v>
      </c>
      <c r="F1405" s="5" t="s">
        <v>3182</v>
      </c>
      <c r="G1405" s="6">
        <v>0.12</v>
      </c>
      <c r="H1405" s="5" t="s">
        <v>1684</v>
      </c>
      <c r="I1405" s="5" t="s">
        <v>20</v>
      </c>
      <c r="J1405" s="5">
        <v>2015.0</v>
      </c>
      <c r="K1405" s="8">
        <v>46055.0</v>
      </c>
      <c r="L1405" s="5">
        <v>1.0</v>
      </c>
      <c r="M1405" s="7">
        <f t="shared" si="3"/>
        <v>0.12</v>
      </c>
    </row>
    <row r="1406">
      <c r="A1406" s="5" t="s">
        <v>3721</v>
      </c>
      <c r="B1406" s="5" t="s">
        <v>3722</v>
      </c>
      <c r="C1406" s="5" t="s">
        <v>1951</v>
      </c>
      <c r="D1406" s="5" t="s">
        <v>3723</v>
      </c>
      <c r="E1406" s="5" t="s">
        <v>3694</v>
      </c>
      <c r="F1406" s="5" t="s">
        <v>3182</v>
      </c>
      <c r="G1406" s="6">
        <v>0.06</v>
      </c>
      <c r="H1406" s="5" t="s">
        <v>2557</v>
      </c>
      <c r="I1406" s="5" t="s">
        <v>20</v>
      </c>
      <c r="J1406" s="5">
        <v>2018.0</v>
      </c>
      <c r="K1406" s="8">
        <v>46114.0</v>
      </c>
      <c r="L1406" s="5">
        <v>1.0</v>
      </c>
      <c r="M1406" s="7">
        <f t="shared" si="3"/>
        <v>0.06</v>
      </c>
    </row>
    <row r="1407">
      <c r="A1407" s="5" t="s">
        <v>3724</v>
      </c>
      <c r="B1407" s="5" t="s">
        <v>2974</v>
      </c>
      <c r="C1407" s="5" t="s">
        <v>2846</v>
      </c>
      <c r="D1407" s="5" t="s">
        <v>3725</v>
      </c>
      <c r="E1407" s="5" t="s">
        <v>3726</v>
      </c>
      <c r="F1407" s="5" t="s">
        <v>3727</v>
      </c>
      <c r="G1407" s="6">
        <v>0.08</v>
      </c>
      <c r="H1407" s="5" t="s">
        <v>3301</v>
      </c>
      <c r="I1407" s="5" t="s">
        <v>20</v>
      </c>
      <c r="J1407" s="5">
        <v>2013.0</v>
      </c>
      <c r="L1407" s="5">
        <v>2.0</v>
      </c>
      <c r="M1407" s="7">
        <f t="shared" si="3"/>
        <v>0.16</v>
      </c>
    </row>
    <row r="1408">
      <c r="A1408" s="5" t="s">
        <v>3728</v>
      </c>
      <c r="B1408" s="5" t="s">
        <v>380</v>
      </c>
      <c r="C1408" s="5" t="s">
        <v>297</v>
      </c>
      <c r="D1408" s="5" t="s">
        <v>3729</v>
      </c>
      <c r="E1408" s="5" t="s">
        <v>1859</v>
      </c>
      <c r="F1408" s="5" t="s">
        <v>280</v>
      </c>
      <c r="G1408" s="6">
        <v>0.05</v>
      </c>
      <c r="H1408" s="5" t="s">
        <v>2475</v>
      </c>
      <c r="I1408" s="5" t="s">
        <v>20</v>
      </c>
      <c r="J1408" s="5">
        <v>2012.0</v>
      </c>
      <c r="L1408" s="5">
        <v>1.0</v>
      </c>
      <c r="M1408" s="7">
        <f t="shared" si="3"/>
        <v>0.05</v>
      </c>
    </row>
    <row r="1409">
      <c r="A1409" s="5" t="s">
        <v>3730</v>
      </c>
      <c r="B1409" s="5" t="s">
        <v>3731</v>
      </c>
      <c r="C1409" s="5" t="s">
        <v>297</v>
      </c>
      <c r="D1409" s="5" t="s">
        <v>3732</v>
      </c>
      <c r="E1409" s="5" t="s">
        <v>2283</v>
      </c>
      <c r="F1409" s="5" t="s">
        <v>280</v>
      </c>
      <c r="G1409" s="6">
        <v>0.05</v>
      </c>
      <c r="H1409" s="5" t="s">
        <v>1676</v>
      </c>
      <c r="I1409" s="5" t="s">
        <v>20</v>
      </c>
      <c r="J1409" s="5">
        <v>2012.0</v>
      </c>
      <c r="K1409" s="8">
        <v>46023.0</v>
      </c>
      <c r="L1409" s="5">
        <v>1.0</v>
      </c>
      <c r="M1409" s="7">
        <f t="shared" si="3"/>
        <v>0.05</v>
      </c>
    </row>
    <row r="1410">
      <c r="A1410" s="5" t="s">
        <v>3733</v>
      </c>
      <c r="B1410" s="5" t="s">
        <v>3734</v>
      </c>
      <c r="C1410" s="5" t="s">
        <v>297</v>
      </c>
      <c r="D1410" s="5" t="s">
        <v>3735</v>
      </c>
      <c r="E1410" s="5" t="s">
        <v>1859</v>
      </c>
      <c r="F1410" s="5" t="s">
        <v>280</v>
      </c>
      <c r="G1410" s="6">
        <v>0.13</v>
      </c>
      <c r="H1410" s="5" t="s">
        <v>3601</v>
      </c>
      <c r="I1410" s="5" t="s">
        <v>20</v>
      </c>
      <c r="J1410" s="5">
        <v>2020.0</v>
      </c>
      <c r="K1410" s="8">
        <v>46024.0</v>
      </c>
      <c r="L1410" s="5">
        <v>1.0</v>
      </c>
      <c r="M1410" s="7">
        <f t="shared" si="3"/>
        <v>0.13</v>
      </c>
    </row>
    <row r="1411">
      <c r="A1411" s="5" t="s">
        <v>3736</v>
      </c>
      <c r="B1411" s="5" t="s">
        <v>2063</v>
      </c>
      <c r="C1411" s="5" t="s">
        <v>1951</v>
      </c>
      <c r="D1411" s="5" t="s">
        <v>3737</v>
      </c>
      <c r="E1411" s="5" t="s">
        <v>631</v>
      </c>
      <c r="F1411" s="5" t="s">
        <v>280</v>
      </c>
      <c r="G1411" s="6">
        <v>0.1</v>
      </c>
      <c r="H1411" s="5" t="s">
        <v>1992</v>
      </c>
      <c r="I1411" s="5" t="s">
        <v>20</v>
      </c>
      <c r="J1411" s="5">
        <v>2011.0</v>
      </c>
      <c r="K1411" s="8">
        <v>46055.0</v>
      </c>
      <c r="L1411" s="5">
        <v>1.0</v>
      </c>
      <c r="M1411" s="7">
        <f t="shared" si="3"/>
        <v>0.1</v>
      </c>
    </row>
    <row r="1412">
      <c r="A1412" s="5" t="s">
        <v>3738</v>
      </c>
      <c r="B1412" s="5" t="s">
        <v>3634</v>
      </c>
      <c r="C1412" s="5" t="s">
        <v>297</v>
      </c>
      <c r="D1412" s="5" t="s">
        <v>3739</v>
      </c>
      <c r="E1412" s="5" t="s">
        <v>2298</v>
      </c>
      <c r="F1412" s="5" t="s">
        <v>18</v>
      </c>
      <c r="G1412" s="6">
        <v>0.03</v>
      </c>
      <c r="H1412" s="5" t="s">
        <v>1989</v>
      </c>
      <c r="I1412" s="5" t="s">
        <v>20</v>
      </c>
      <c r="J1412" s="5">
        <v>2019.0</v>
      </c>
      <c r="K1412" s="8">
        <v>46083.0</v>
      </c>
      <c r="L1412" s="5">
        <v>1.0</v>
      </c>
      <c r="M1412" s="7">
        <f t="shared" si="3"/>
        <v>0.03</v>
      </c>
    </row>
    <row r="1413">
      <c r="A1413" s="5" t="s">
        <v>3740</v>
      </c>
      <c r="B1413" s="5" t="s">
        <v>3634</v>
      </c>
      <c r="C1413" s="5" t="s">
        <v>297</v>
      </c>
      <c r="D1413" s="5" t="s">
        <v>3741</v>
      </c>
      <c r="E1413" s="5" t="s">
        <v>2507</v>
      </c>
      <c r="F1413" s="5" t="s">
        <v>18</v>
      </c>
      <c r="G1413" s="6">
        <v>0.03</v>
      </c>
      <c r="H1413" s="5" t="s">
        <v>1989</v>
      </c>
      <c r="I1413" s="5" t="s">
        <v>20</v>
      </c>
      <c r="J1413" s="5">
        <v>2019.0</v>
      </c>
      <c r="K1413" s="8">
        <v>46145.0</v>
      </c>
      <c r="L1413" s="5">
        <v>1.0</v>
      </c>
      <c r="M1413" s="7">
        <f t="shared" si="3"/>
        <v>0.03</v>
      </c>
    </row>
    <row r="1414">
      <c r="A1414" s="5" t="s">
        <v>3742</v>
      </c>
      <c r="B1414" s="5" t="s">
        <v>296</v>
      </c>
      <c r="C1414" s="5" t="s">
        <v>297</v>
      </c>
      <c r="D1414" s="5" t="s">
        <v>3743</v>
      </c>
      <c r="F1414" s="5" t="s">
        <v>152</v>
      </c>
      <c r="G1414" s="6">
        <v>0.3</v>
      </c>
      <c r="H1414" s="5" t="s">
        <v>2376</v>
      </c>
      <c r="I1414" s="5" t="s">
        <v>20</v>
      </c>
      <c r="J1414" s="5">
        <v>2010.0</v>
      </c>
      <c r="L1414" s="5">
        <v>2.0</v>
      </c>
      <c r="M1414" s="7">
        <f t="shared" si="3"/>
        <v>0.6</v>
      </c>
    </row>
    <row r="1415">
      <c r="A1415" s="5" t="s">
        <v>3744</v>
      </c>
      <c r="B1415" s="5" t="s">
        <v>296</v>
      </c>
      <c r="C1415" s="5" t="s">
        <v>297</v>
      </c>
      <c r="D1415" s="5" t="s">
        <v>3745</v>
      </c>
      <c r="F1415" s="5" t="s">
        <v>80</v>
      </c>
      <c r="G1415" s="6">
        <v>0.14</v>
      </c>
      <c r="H1415" s="5" t="s">
        <v>1981</v>
      </c>
      <c r="I1415" s="5" t="s">
        <v>20</v>
      </c>
      <c r="J1415" s="5">
        <v>2022.0</v>
      </c>
      <c r="L1415" s="5">
        <v>1.0</v>
      </c>
      <c r="M1415" s="7">
        <f t="shared" si="3"/>
        <v>0.14</v>
      </c>
    </row>
    <row r="1416">
      <c r="A1416" s="5" t="s">
        <v>3746</v>
      </c>
      <c r="B1416" s="5" t="s">
        <v>380</v>
      </c>
      <c r="C1416" s="5" t="s">
        <v>297</v>
      </c>
      <c r="D1416" s="5" t="s">
        <v>3747</v>
      </c>
      <c r="E1416" s="5" t="s">
        <v>782</v>
      </c>
      <c r="F1416" s="5" t="s">
        <v>18</v>
      </c>
      <c r="G1416" s="6">
        <v>0.03</v>
      </c>
      <c r="H1416" s="5" t="s">
        <v>2478</v>
      </c>
      <c r="I1416" s="5" t="s">
        <v>20</v>
      </c>
      <c r="J1416" s="5">
        <v>2017.0</v>
      </c>
      <c r="L1416" s="5">
        <v>1.0</v>
      </c>
      <c r="M1416" s="7">
        <f t="shared" si="3"/>
        <v>0.03</v>
      </c>
    </row>
    <row r="1417">
      <c r="A1417" s="5" t="s">
        <v>3748</v>
      </c>
      <c r="B1417" s="5" t="s">
        <v>3749</v>
      </c>
      <c r="C1417" s="5" t="s">
        <v>297</v>
      </c>
      <c r="D1417" s="5" t="s">
        <v>3750</v>
      </c>
      <c r="E1417" s="5" t="s">
        <v>2514</v>
      </c>
      <c r="F1417" s="5" t="s">
        <v>18</v>
      </c>
      <c r="G1417" s="6">
        <v>0.1</v>
      </c>
      <c r="H1417" s="5" t="s">
        <v>1714</v>
      </c>
      <c r="I1417" s="5" t="s">
        <v>20</v>
      </c>
      <c r="J1417" s="5">
        <v>2022.0</v>
      </c>
      <c r="K1417" s="8">
        <v>46148.0</v>
      </c>
      <c r="L1417" s="5">
        <v>1.0</v>
      </c>
      <c r="M1417" s="7">
        <f t="shared" si="3"/>
        <v>0.1</v>
      </c>
    </row>
    <row r="1418">
      <c r="A1418" s="5" t="s">
        <v>3751</v>
      </c>
      <c r="B1418" s="5" t="s">
        <v>3752</v>
      </c>
      <c r="C1418" s="5" t="s">
        <v>297</v>
      </c>
      <c r="D1418" s="5" t="s">
        <v>3753</v>
      </c>
      <c r="E1418" s="5" t="s">
        <v>2298</v>
      </c>
      <c r="F1418" s="5" t="s">
        <v>18</v>
      </c>
      <c r="G1418" s="6">
        <v>0.05</v>
      </c>
      <c r="H1418" s="5" t="s">
        <v>1714</v>
      </c>
      <c r="I1418" s="5" t="s">
        <v>20</v>
      </c>
      <c r="J1418" s="5">
        <v>2022.0</v>
      </c>
      <c r="K1418" s="8">
        <v>46056.0</v>
      </c>
      <c r="L1418" s="5">
        <v>1.0</v>
      </c>
      <c r="M1418" s="7">
        <f t="shared" si="3"/>
        <v>0.05</v>
      </c>
    </row>
    <row r="1419">
      <c r="A1419" s="5" t="s">
        <v>3754</v>
      </c>
      <c r="B1419" s="5" t="s">
        <v>2974</v>
      </c>
      <c r="C1419" s="5" t="s">
        <v>2860</v>
      </c>
      <c r="D1419" s="5" t="s">
        <v>3755</v>
      </c>
      <c r="E1419" s="5" t="s">
        <v>2400</v>
      </c>
      <c r="F1419" s="5" t="s">
        <v>3756</v>
      </c>
      <c r="G1419" s="6">
        <v>0.55</v>
      </c>
      <c r="H1419" s="5" t="s">
        <v>1647</v>
      </c>
      <c r="I1419" s="5" t="s">
        <v>20</v>
      </c>
      <c r="J1419" s="5">
        <v>2018.0</v>
      </c>
      <c r="L1419" s="5">
        <v>1.0</v>
      </c>
      <c r="M1419" s="7">
        <f t="shared" si="3"/>
        <v>0.55</v>
      </c>
    </row>
    <row r="1420">
      <c r="A1420" s="5" t="s">
        <v>3757</v>
      </c>
      <c r="B1420" s="5" t="s">
        <v>2974</v>
      </c>
      <c r="C1420" s="5" t="s">
        <v>2860</v>
      </c>
      <c r="D1420" s="5" t="s">
        <v>3758</v>
      </c>
      <c r="E1420" s="5" t="s">
        <v>3759</v>
      </c>
      <c r="F1420" s="5" t="s">
        <v>3760</v>
      </c>
      <c r="G1420" s="6">
        <v>0.05</v>
      </c>
      <c r="H1420" s="5" t="s">
        <v>1644</v>
      </c>
      <c r="I1420" s="5" t="s">
        <v>20</v>
      </c>
      <c r="J1420" s="5">
        <v>2019.0</v>
      </c>
      <c r="L1420" s="5">
        <v>1.0</v>
      </c>
      <c r="M1420" s="7">
        <f t="shared" si="3"/>
        <v>0.05</v>
      </c>
    </row>
    <row r="1421">
      <c r="A1421" s="5" t="s">
        <v>3761</v>
      </c>
      <c r="B1421" s="5" t="s">
        <v>3687</v>
      </c>
      <c r="C1421" s="5" t="s">
        <v>2846</v>
      </c>
      <c r="D1421" s="5" t="s">
        <v>3762</v>
      </c>
      <c r="E1421" s="5" t="s">
        <v>3763</v>
      </c>
      <c r="F1421" s="5" t="s">
        <v>3650</v>
      </c>
      <c r="G1421" s="6">
        <v>0.04</v>
      </c>
      <c r="H1421" s="5" t="s">
        <v>1647</v>
      </c>
      <c r="I1421" s="5" t="s">
        <v>20</v>
      </c>
      <c r="J1421" s="5">
        <v>2018.0</v>
      </c>
      <c r="L1421" s="5">
        <v>4.0</v>
      </c>
      <c r="M1421" s="7">
        <f t="shared" si="3"/>
        <v>0.16</v>
      </c>
    </row>
    <row r="1422">
      <c r="A1422" s="5" t="s">
        <v>3764</v>
      </c>
      <c r="B1422" s="5" t="s">
        <v>3765</v>
      </c>
      <c r="C1422" s="5" t="s">
        <v>297</v>
      </c>
      <c r="D1422" s="5" t="s">
        <v>3766</v>
      </c>
      <c r="E1422" s="5" t="s">
        <v>932</v>
      </c>
      <c r="F1422" s="5" t="s">
        <v>166</v>
      </c>
      <c r="G1422" s="6">
        <v>0.13</v>
      </c>
      <c r="H1422" s="5" t="s">
        <v>2005</v>
      </c>
      <c r="I1422" s="5" t="s">
        <v>20</v>
      </c>
      <c r="J1422" s="5">
        <v>2020.0</v>
      </c>
      <c r="K1422" s="5" t="s">
        <v>752</v>
      </c>
      <c r="L1422" s="5">
        <v>1.0</v>
      </c>
      <c r="M1422" s="7">
        <f t="shared" si="3"/>
        <v>0.13</v>
      </c>
    </row>
    <row r="1423">
      <c r="A1423" s="5" t="s">
        <v>3767</v>
      </c>
      <c r="B1423" s="5" t="s">
        <v>2506</v>
      </c>
      <c r="C1423" s="5" t="s">
        <v>1951</v>
      </c>
      <c r="D1423" s="5" t="s">
        <v>3768</v>
      </c>
      <c r="E1423" s="5" t="s">
        <v>2354</v>
      </c>
      <c r="F1423" s="5" t="s">
        <v>166</v>
      </c>
      <c r="G1423" s="6">
        <v>0.08</v>
      </c>
      <c r="H1423" s="5" t="s">
        <v>2005</v>
      </c>
      <c r="I1423" s="5" t="s">
        <v>20</v>
      </c>
      <c r="J1423" s="5">
        <v>2020.0</v>
      </c>
      <c r="K1423" s="8">
        <v>46025.0</v>
      </c>
      <c r="L1423" s="5">
        <v>1.0</v>
      </c>
      <c r="M1423" s="7">
        <f t="shared" si="3"/>
        <v>0.08</v>
      </c>
    </row>
    <row r="1424">
      <c r="A1424" s="5" t="s">
        <v>3769</v>
      </c>
      <c r="B1424" s="5" t="s">
        <v>2753</v>
      </c>
      <c r="C1424" s="5" t="s">
        <v>297</v>
      </c>
      <c r="D1424" s="5" t="s">
        <v>3770</v>
      </c>
      <c r="E1424" s="5" t="s">
        <v>2369</v>
      </c>
      <c r="F1424" s="5" t="s">
        <v>166</v>
      </c>
      <c r="G1424" s="6">
        <v>0.06</v>
      </c>
      <c r="H1424" s="5" t="s">
        <v>1997</v>
      </c>
      <c r="I1424" s="5" t="s">
        <v>20</v>
      </c>
      <c r="J1424" s="5">
        <v>2016.0</v>
      </c>
      <c r="K1424" s="8">
        <v>46144.0</v>
      </c>
      <c r="L1424" s="5">
        <v>12.0</v>
      </c>
      <c r="M1424" s="7">
        <f t="shared" si="3"/>
        <v>0.72</v>
      </c>
    </row>
    <row r="1425">
      <c r="A1425" s="5" t="s">
        <v>3771</v>
      </c>
      <c r="B1425" s="5" t="s">
        <v>2753</v>
      </c>
      <c r="C1425" s="5" t="s">
        <v>297</v>
      </c>
      <c r="D1425" s="5" t="s">
        <v>3772</v>
      </c>
      <c r="E1425" s="5" t="s">
        <v>2354</v>
      </c>
      <c r="F1425" s="5" t="s">
        <v>166</v>
      </c>
      <c r="G1425" s="6">
        <v>0.04</v>
      </c>
      <c r="H1425" s="5" t="s">
        <v>1997</v>
      </c>
      <c r="I1425" s="5" t="s">
        <v>20</v>
      </c>
      <c r="J1425" s="5">
        <v>2016.0</v>
      </c>
      <c r="K1425" s="8">
        <v>46083.0</v>
      </c>
      <c r="L1425" s="5">
        <v>1.0</v>
      </c>
      <c r="M1425" s="7">
        <f t="shared" si="3"/>
        <v>0.04</v>
      </c>
    </row>
    <row r="1426">
      <c r="A1426" s="5" t="s">
        <v>3773</v>
      </c>
      <c r="B1426" s="5" t="s">
        <v>2674</v>
      </c>
      <c r="C1426" s="5" t="s">
        <v>297</v>
      </c>
      <c r="E1426" s="5" t="s">
        <v>2784</v>
      </c>
      <c r="F1426" s="5" t="s">
        <v>166</v>
      </c>
      <c r="G1426" s="6">
        <v>0.03</v>
      </c>
      <c r="H1426" s="5" t="s">
        <v>1667</v>
      </c>
      <c r="I1426" s="5" t="s">
        <v>20</v>
      </c>
      <c r="J1426" s="5">
        <v>2018.0</v>
      </c>
      <c r="K1426" s="8">
        <v>46117.0</v>
      </c>
      <c r="L1426" s="5">
        <v>2.0</v>
      </c>
      <c r="M1426" s="7">
        <f t="shared" si="3"/>
        <v>0.06</v>
      </c>
    </row>
    <row r="1427">
      <c r="A1427" s="5" t="s">
        <v>3774</v>
      </c>
      <c r="B1427" s="5" t="s">
        <v>380</v>
      </c>
      <c r="C1427" s="5" t="s">
        <v>297</v>
      </c>
      <c r="D1427" s="5" t="s">
        <v>3775</v>
      </c>
      <c r="E1427" s="5" t="s">
        <v>2346</v>
      </c>
      <c r="F1427" s="5" t="s">
        <v>166</v>
      </c>
      <c r="G1427" s="6">
        <v>0.5</v>
      </c>
      <c r="H1427" s="5" t="s">
        <v>1711</v>
      </c>
      <c r="I1427" s="5" t="s">
        <v>31</v>
      </c>
      <c r="J1427" s="5">
        <v>2019.0</v>
      </c>
      <c r="L1427" s="5">
        <v>2.0</v>
      </c>
      <c r="M1427" s="7">
        <f t="shared" si="3"/>
        <v>1</v>
      </c>
    </row>
    <row r="1428">
      <c r="A1428" s="5" t="s">
        <v>3776</v>
      </c>
      <c r="B1428" s="5" t="s">
        <v>380</v>
      </c>
      <c r="C1428" s="5" t="s">
        <v>297</v>
      </c>
      <c r="D1428" s="5" t="s">
        <v>3777</v>
      </c>
      <c r="E1428" s="5" t="s">
        <v>2354</v>
      </c>
      <c r="F1428" s="5" t="s">
        <v>166</v>
      </c>
      <c r="G1428" s="6">
        <v>0.03</v>
      </c>
      <c r="H1428" s="5" t="s">
        <v>2624</v>
      </c>
      <c r="I1428" s="5" t="s">
        <v>20</v>
      </c>
      <c r="J1428" s="5">
        <v>2019.0</v>
      </c>
      <c r="L1428" s="5">
        <v>2.0</v>
      </c>
      <c r="M1428" s="7">
        <f t="shared" si="3"/>
        <v>0.06</v>
      </c>
    </row>
    <row r="1429">
      <c r="A1429" s="5" t="s">
        <v>3778</v>
      </c>
      <c r="B1429" s="5" t="s">
        <v>380</v>
      </c>
      <c r="C1429" s="5" t="s">
        <v>297</v>
      </c>
      <c r="D1429" s="5" t="s">
        <v>3779</v>
      </c>
      <c r="E1429" s="5" t="s">
        <v>2766</v>
      </c>
      <c r="F1429" s="5" t="s">
        <v>166</v>
      </c>
      <c r="G1429" s="6">
        <v>0.05</v>
      </c>
      <c r="H1429" s="5" t="s">
        <v>2995</v>
      </c>
      <c r="I1429" s="5" t="s">
        <v>20</v>
      </c>
      <c r="J1429" s="5">
        <v>2013.0</v>
      </c>
      <c r="L1429" s="5">
        <v>1.0</v>
      </c>
      <c r="M1429" s="7">
        <f t="shared" si="3"/>
        <v>0.05</v>
      </c>
    </row>
    <row r="1430">
      <c r="A1430" s="5" t="s">
        <v>3780</v>
      </c>
      <c r="B1430" s="5" t="s">
        <v>612</v>
      </c>
      <c r="C1430" s="5" t="s">
        <v>1670</v>
      </c>
      <c r="D1430" s="5" t="s">
        <v>3781</v>
      </c>
      <c r="E1430" s="5" t="s">
        <v>2346</v>
      </c>
      <c r="F1430" s="5" t="s">
        <v>3080</v>
      </c>
      <c r="G1430" s="6">
        <v>0.15</v>
      </c>
      <c r="H1430" s="5" t="s">
        <v>3782</v>
      </c>
      <c r="I1430" s="5" t="s">
        <v>1794</v>
      </c>
      <c r="J1430" s="5">
        <v>2014.0</v>
      </c>
      <c r="L1430" s="5">
        <v>4.0</v>
      </c>
      <c r="M1430" s="7">
        <f t="shared" si="3"/>
        <v>0.6</v>
      </c>
    </row>
    <row r="1431">
      <c r="A1431" s="5" t="s">
        <v>3783</v>
      </c>
      <c r="B1431" s="5" t="s">
        <v>380</v>
      </c>
      <c r="C1431" s="5" t="s">
        <v>297</v>
      </c>
      <c r="D1431" s="5" t="s">
        <v>3784</v>
      </c>
      <c r="E1431" s="5" t="s">
        <v>2346</v>
      </c>
      <c r="F1431" s="5" t="s">
        <v>166</v>
      </c>
      <c r="G1431" s="6">
        <v>0.3</v>
      </c>
      <c r="H1431" s="5" t="s">
        <v>3785</v>
      </c>
      <c r="I1431" s="5" t="s">
        <v>20</v>
      </c>
      <c r="J1431" s="5">
        <v>2020.0</v>
      </c>
      <c r="L1431" s="5">
        <v>2.0</v>
      </c>
      <c r="M1431" s="7">
        <f t="shared" si="3"/>
        <v>0.6</v>
      </c>
    </row>
    <row r="1432">
      <c r="A1432" s="5" t="s">
        <v>3786</v>
      </c>
      <c r="B1432" s="5" t="s">
        <v>380</v>
      </c>
      <c r="C1432" s="5" t="s">
        <v>297</v>
      </c>
      <c r="D1432" s="5" t="s">
        <v>3787</v>
      </c>
      <c r="E1432" s="5" t="s">
        <v>2346</v>
      </c>
      <c r="F1432" s="5" t="s">
        <v>166</v>
      </c>
      <c r="G1432" s="6">
        <v>0.06</v>
      </c>
      <c r="H1432" s="5" t="s">
        <v>1711</v>
      </c>
      <c r="I1432" s="5" t="s">
        <v>20</v>
      </c>
      <c r="J1432" s="5">
        <v>2019.0</v>
      </c>
      <c r="L1432" s="5">
        <v>1.0</v>
      </c>
      <c r="M1432" s="7">
        <f t="shared" si="3"/>
        <v>0.06</v>
      </c>
    </row>
    <row r="1433">
      <c r="A1433" s="5" t="s">
        <v>3788</v>
      </c>
      <c r="B1433" s="5" t="s">
        <v>380</v>
      </c>
      <c r="C1433" s="5" t="s">
        <v>297</v>
      </c>
      <c r="D1433" s="5" t="s">
        <v>3789</v>
      </c>
      <c r="E1433" s="5" t="s">
        <v>932</v>
      </c>
      <c r="F1433" s="5" t="s">
        <v>166</v>
      </c>
      <c r="G1433" s="6">
        <v>0.38</v>
      </c>
      <c r="H1433" s="5" t="s">
        <v>1676</v>
      </c>
      <c r="I1433" s="5" t="s">
        <v>20</v>
      </c>
      <c r="J1433" s="5">
        <v>2012.0</v>
      </c>
      <c r="L1433" s="5">
        <v>4.0</v>
      </c>
      <c r="M1433" s="7">
        <f t="shared" si="3"/>
        <v>1.52</v>
      </c>
    </row>
    <row r="1434">
      <c r="A1434" s="5" t="s">
        <v>3790</v>
      </c>
      <c r="B1434" s="5" t="s">
        <v>380</v>
      </c>
      <c r="C1434" s="5" t="s">
        <v>297</v>
      </c>
      <c r="D1434" s="5" t="s">
        <v>3791</v>
      </c>
      <c r="E1434" s="5" t="s">
        <v>932</v>
      </c>
      <c r="F1434" s="5" t="s">
        <v>166</v>
      </c>
      <c r="G1434" s="6">
        <v>12.26</v>
      </c>
      <c r="H1434" s="5" t="s">
        <v>2704</v>
      </c>
      <c r="I1434" s="5" t="s">
        <v>20</v>
      </c>
      <c r="J1434" s="5">
        <v>2010.0</v>
      </c>
      <c r="L1434" s="5">
        <v>4.0</v>
      </c>
      <c r="M1434" s="7">
        <f t="shared" si="3"/>
        <v>49.04</v>
      </c>
    </row>
    <row r="1435">
      <c r="A1435" s="5" t="s">
        <v>3792</v>
      </c>
      <c r="B1435" s="5" t="s">
        <v>380</v>
      </c>
      <c r="C1435" s="5" t="s">
        <v>297</v>
      </c>
      <c r="D1435" s="5" t="s">
        <v>3793</v>
      </c>
      <c r="E1435" s="5" t="s">
        <v>2346</v>
      </c>
      <c r="F1435" s="5" t="s">
        <v>166</v>
      </c>
      <c r="G1435" s="6">
        <v>0.3</v>
      </c>
      <c r="H1435" s="5" t="s">
        <v>2174</v>
      </c>
      <c r="I1435" s="5" t="s">
        <v>20</v>
      </c>
      <c r="J1435" s="5">
        <v>2021.0</v>
      </c>
      <c r="L1435" s="5">
        <v>3.0</v>
      </c>
      <c r="M1435" s="7">
        <f t="shared" si="3"/>
        <v>0.9</v>
      </c>
    </row>
    <row r="1436">
      <c r="A1436" s="5" t="s">
        <v>3794</v>
      </c>
      <c r="B1436" s="5" t="s">
        <v>3795</v>
      </c>
      <c r="C1436" s="5" t="s">
        <v>297</v>
      </c>
      <c r="D1436" s="5" t="s">
        <v>3796</v>
      </c>
      <c r="E1436" s="5" t="s">
        <v>2369</v>
      </c>
      <c r="F1436" s="5" t="s">
        <v>166</v>
      </c>
      <c r="G1436" s="6">
        <v>0.03</v>
      </c>
      <c r="H1436" s="5" t="s">
        <v>2204</v>
      </c>
      <c r="I1436" s="5" t="s">
        <v>20</v>
      </c>
      <c r="J1436" s="5">
        <v>2014.0</v>
      </c>
      <c r="K1436" s="8">
        <v>46084.0</v>
      </c>
      <c r="L1436" s="5">
        <v>3.0</v>
      </c>
      <c r="M1436" s="7">
        <f t="shared" si="3"/>
        <v>0.09</v>
      </c>
    </row>
    <row r="1437">
      <c r="A1437" s="5" t="s">
        <v>3797</v>
      </c>
      <c r="B1437" s="5" t="s">
        <v>3798</v>
      </c>
      <c r="C1437" s="5" t="s">
        <v>297</v>
      </c>
      <c r="D1437" s="5" t="s">
        <v>3799</v>
      </c>
      <c r="E1437" s="5" t="s">
        <v>2354</v>
      </c>
      <c r="F1437" s="5" t="s">
        <v>166</v>
      </c>
      <c r="G1437" s="6">
        <v>0.25</v>
      </c>
      <c r="H1437" s="5" t="s">
        <v>2005</v>
      </c>
      <c r="I1437" s="5" t="s">
        <v>20</v>
      </c>
      <c r="J1437" s="5">
        <v>2020.0</v>
      </c>
      <c r="K1437" s="5" t="s">
        <v>89</v>
      </c>
      <c r="L1437" s="5">
        <v>2.0</v>
      </c>
      <c r="M1437" s="7">
        <f t="shared" si="3"/>
        <v>0.5</v>
      </c>
    </row>
    <row r="1438">
      <c r="A1438" s="5" t="s">
        <v>3800</v>
      </c>
      <c r="B1438" s="5" t="s">
        <v>2495</v>
      </c>
      <c r="C1438" s="5" t="s">
        <v>297</v>
      </c>
      <c r="D1438" s="5" t="s">
        <v>3801</v>
      </c>
      <c r="E1438" s="5" t="s">
        <v>2354</v>
      </c>
      <c r="F1438" s="5" t="s">
        <v>166</v>
      </c>
      <c r="G1438" s="6">
        <v>0.03</v>
      </c>
      <c r="H1438" s="5" t="s">
        <v>2624</v>
      </c>
      <c r="I1438" s="5" t="s">
        <v>20</v>
      </c>
      <c r="J1438" s="5">
        <v>2019.0</v>
      </c>
      <c r="K1438" s="8">
        <v>46085.0</v>
      </c>
      <c r="L1438" s="5">
        <v>3.0</v>
      </c>
      <c r="M1438" s="7">
        <f t="shared" si="3"/>
        <v>0.09</v>
      </c>
    </row>
    <row r="1439">
      <c r="A1439" s="5" t="s">
        <v>3802</v>
      </c>
      <c r="B1439" s="5" t="s">
        <v>3803</v>
      </c>
      <c r="C1439" s="5" t="s">
        <v>297</v>
      </c>
      <c r="E1439" s="5" t="s">
        <v>3430</v>
      </c>
      <c r="F1439" s="5" t="s">
        <v>166</v>
      </c>
      <c r="G1439" s="6">
        <v>0.03</v>
      </c>
      <c r="H1439" s="5" t="s">
        <v>2478</v>
      </c>
      <c r="I1439" s="5" t="s">
        <v>20</v>
      </c>
      <c r="J1439" s="5">
        <v>2017.0</v>
      </c>
      <c r="K1439" s="8">
        <v>46115.0</v>
      </c>
      <c r="L1439" s="5">
        <v>4.0</v>
      </c>
      <c r="M1439" s="7">
        <f t="shared" si="3"/>
        <v>0.12</v>
      </c>
    </row>
    <row r="1440">
      <c r="A1440" s="5" t="s">
        <v>3804</v>
      </c>
      <c r="B1440" s="5" t="s">
        <v>3805</v>
      </c>
      <c r="C1440" s="5" t="s">
        <v>297</v>
      </c>
      <c r="D1440" s="5" t="s">
        <v>3806</v>
      </c>
      <c r="E1440" s="5" t="s">
        <v>2369</v>
      </c>
      <c r="F1440" s="5" t="s">
        <v>166</v>
      </c>
      <c r="G1440" s="6">
        <v>0.49</v>
      </c>
      <c r="H1440" s="5" t="s">
        <v>1692</v>
      </c>
      <c r="I1440" s="5" t="s">
        <v>20</v>
      </c>
      <c r="J1440" s="5">
        <v>2020.0</v>
      </c>
      <c r="K1440" s="8">
        <v>46058.0</v>
      </c>
      <c r="L1440" s="5">
        <v>4.0</v>
      </c>
      <c r="M1440" s="7">
        <f t="shared" si="3"/>
        <v>1.96</v>
      </c>
    </row>
    <row r="1441">
      <c r="A1441" s="5" t="s">
        <v>3807</v>
      </c>
      <c r="B1441" s="5" t="s">
        <v>2060</v>
      </c>
      <c r="C1441" s="5" t="s">
        <v>297</v>
      </c>
      <c r="D1441" s="5" t="s">
        <v>3808</v>
      </c>
      <c r="E1441" s="5" t="s">
        <v>782</v>
      </c>
      <c r="F1441" s="5" t="s">
        <v>18</v>
      </c>
      <c r="G1441" s="6">
        <v>0.08</v>
      </c>
      <c r="H1441" s="5" t="s">
        <v>2646</v>
      </c>
      <c r="I1441" s="5" t="s">
        <v>20</v>
      </c>
      <c r="J1441" s="5">
        <v>2013.0</v>
      </c>
      <c r="L1441" s="5">
        <v>2.0</v>
      </c>
      <c r="M1441" s="7">
        <f t="shared" si="3"/>
        <v>0.16</v>
      </c>
    </row>
    <row r="1442">
      <c r="A1442" s="5" t="s">
        <v>3809</v>
      </c>
      <c r="B1442" s="5" t="s">
        <v>3810</v>
      </c>
      <c r="C1442" s="5" t="s">
        <v>297</v>
      </c>
      <c r="E1442" s="5" t="s">
        <v>2346</v>
      </c>
      <c r="F1442" s="5" t="s">
        <v>166</v>
      </c>
      <c r="G1442" s="6">
        <v>0.03</v>
      </c>
      <c r="H1442" s="5" t="s">
        <v>2471</v>
      </c>
      <c r="I1442" s="5" t="s">
        <v>20</v>
      </c>
      <c r="J1442" s="5">
        <v>2017.0</v>
      </c>
      <c r="K1442" s="8">
        <v>46055.0</v>
      </c>
      <c r="L1442" s="5">
        <v>3.0</v>
      </c>
      <c r="M1442" s="7">
        <f t="shared" si="3"/>
        <v>0.09</v>
      </c>
    </row>
    <row r="1443">
      <c r="A1443" s="5" t="s">
        <v>3811</v>
      </c>
      <c r="B1443" s="5" t="s">
        <v>2512</v>
      </c>
      <c r="C1443" s="5" t="s">
        <v>297</v>
      </c>
      <c r="D1443" s="5" t="s">
        <v>3812</v>
      </c>
      <c r="E1443" s="5" t="s">
        <v>2759</v>
      </c>
      <c r="F1443" s="5" t="s">
        <v>166</v>
      </c>
      <c r="G1443" s="6">
        <v>0.03</v>
      </c>
      <c r="H1443" s="5" t="s">
        <v>2515</v>
      </c>
      <c r="I1443" s="5" t="s">
        <v>20</v>
      </c>
      <c r="J1443" s="5">
        <v>2018.0</v>
      </c>
      <c r="K1443" s="8">
        <v>46116.0</v>
      </c>
      <c r="L1443" s="5">
        <v>4.0</v>
      </c>
      <c r="M1443" s="7">
        <f t="shared" si="3"/>
        <v>0.12</v>
      </c>
    </row>
    <row r="1444">
      <c r="A1444" s="5" t="s">
        <v>3813</v>
      </c>
      <c r="B1444" s="5" t="s">
        <v>3814</v>
      </c>
      <c r="C1444" s="5" t="s">
        <v>297</v>
      </c>
      <c r="E1444" s="5" t="s">
        <v>2759</v>
      </c>
      <c r="F1444" s="5" t="s">
        <v>166</v>
      </c>
      <c r="G1444" s="6">
        <v>0.03</v>
      </c>
      <c r="H1444" s="5" t="s">
        <v>2603</v>
      </c>
      <c r="I1444" s="5" t="s">
        <v>20</v>
      </c>
      <c r="J1444" s="5">
        <v>2017.0</v>
      </c>
      <c r="K1444" s="8">
        <v>46117.0</v>
      </c>
      <c r="L1444" s="5">
        <v>5.0</v>
      </c>
      <c r="M1444" s="7">
        <f t="shared" si="3"/>
        <v>0.15</v>
      </c>
    </row>
    <row r="1445">
      <c r="A1445" s="5" t="s">
        <v>3815</v>
      </c>
      <c r="B1445" s="5" t="s">
        <v>380</v>
      </c>
      <c r="C1445" s="5" t="s">
        <v>297</v>
      </c>
      <c r="D1445" s="5" t="s">
        <v>3816</v>
      </c>
      <c r="E1445" s="5" t="s">
        <v>2759</v>
      </c>
      <c r="F1445" s="5" t="s">
        <v>166</v>
      </c>
      <c r="G1445" s="6">
        <v>0.05</v>
      </c>
      <c r="H1445" s="5" t="s">
        <v>1628</v>
      </c>
      <c r="I1445" s="5" t="s">
        <v>20</v>
      </c>
      <c r="J1445" s="5">
        <v>2021.0</v>
      </c>
      <c r="L1445" s="5">
        <v>2.0</v>
      </c>
      <c r="M1445" s="7">
        <f t="shared" si="3"/>
        <v>0.1</v>
      </c>
    </row>
    <row r="1446">
      <c r="A1446" s="5" t="s">
        <v>3817</v>
      </c>
      <c r="B1446" s="5" t="s">
        <v>380</v>
      </c>
      <c r="C1446" s="5" t="s">
        <v>297</v>
      </c>
      <c r="D1446" s="5" t="s">
        <v>3818</v>
      </c>
      <c r="E1446" s="5" t="s">
        <v>2346</v>
      </c>
      <c r="F1446" s="5" t="s">
        <v>166</v>
      </c>
      <c r="G1446" s="6">
        <v>0.06</v>
      </c>
      <c r="H1446" s="5" t="s">
        <v>2624</v>
      </c>
      <c r="I1446" s="5" t="s">
        <v>20</v>
      </c>
      <c r="J1446" s="5">
        <v>2019.0</v>
      </c>
      <c r="L1446" s="5">
        <v>1.0</v>
      </c>
      <c r="M1446" s="7">
        <f t="shared" si="3"/>
        <v>0.06</v>
      </c>
    </row>
    <row r="1447">
      <c r="A1447" s="5" t="s">
        <v>3819</v>
      </c>
      <c r="B1447" s="5" t="s">
        <v>380</v>
      </c>
      <c r="C1447" s="5" t="s">
        <v>297</v>
      </c>
      <c r="D1447" s="5" t="s">
        <v>3820</v>
      </c>
      <c r="E1447" s="5" t="s">
        <v>2346</v>
      </c>
      <c r="F1447" s="5" t="s">
        <v>166</v>
      </c>
      <c r="G1447" s="6">
        <v>0.03</v>
      </c>
      <c r="H1447" s="5" t="s">
        <v>2557</v>
      </c>
      <c r="I1447" s="5" t="s">
        <v>20</v>
      </c>
      <c r="J1447" s="5">
        <v>2018.0</v>
      </c>
      <c r="L1447" s="5">
        <v>1.0</v>
      </c>
      <c r="M1447" s="7">
        <f t="shared" si="3"/>
        <v>0.03</v>
      </c>
    </row>
    <row r="1448">
      <c r="A1448" s="5" t="s">
        <v>3821</v>
      </c>
      <c r="B1448" s="5" t="s">
        <v>380</v>
      </c>
      <c r="C1448" s="5" t="s">
        <v>297</v>
      </c>
      <c r="D1448" s="5" t="s">
        <v>3822</v>
      </c>
      <c r="E1448" s="5" t="s">
        <v>2354</v>
      </c>
      <c r="F1448" s="5" t="s">
        <v>166</v>
      </c>
      <c r="G1448" s="6">
        <v>0.03</v>
      </c>
      <c r="H1448" s="5" t="s">
        <v>1717</v>
      </c>
      <c r="I1448" s="5" t="s">
        <v>20</v>
      </c>
      <c r="J1448" s="5">
        <v>2020.0</v>
      </c>
      <c r="L1448" s="5">
        <v>1.0</v>
      </c>
      <c r="M1448" s="7">
        <f t="shared" si="3"/>
        <v>0.03</v>
      </c>
    </row>
    <row r="1449">
      <c r="A1449" s="5" t="s">
        <v>3823</v>
      </c>
      <c r="B1449" s="5" t="s">
        <v>380</v>
      </c>
      <c r="C1449" s="5" t="s">
        <v>297</v>
      </c>
      <c r="D1449" s="5" t="s">
        <v>3824</v>
      </c>
      <c r="E1449" s="5" t="s">
        <v>2346</v>
      </c>
      <c r="F1449" s="5" t="s">
        <v>166</v>
      </c>
      <c r="G1449" s="6">
        <v>0.05</v>
      </c>
      <c r="H1449" s="5" t="s">
        <v>2005</v>
      </c>
      <c r="I1449" s="5" t="s">
        <v>20</v>
      </c>
      <c r="J1449" s="5">
        <v>2020.0</v>
      </c>
      <c r="L1449" s="5">
        <v>1.0</v>
      </c>
      <c r="M1449" s="7">
        <f t="shared" si="3"/>
        <v>0.05</v>
      </c>
    </row>
    <row r="1450">
      <c r="A1450" s="5" t="s">
        <v>3825</v>
      </c>
      <c r="B1450" s="5" t="s">
        <v>380</v>
      </c>
      <c r="C1450" s="5" t="s">
        <v>1899</v>
      </c>
      <c r="D1450" s="5" t="s">
        <v>3826</v>
      </c>
      <c r="E1450" s="5" t="s">
        <v>2346</v>
      </c>
      <c r="F1450" s="5" t="s">
        <v>166</v>
      </c>
      <c r="G1450" s="6">
        <v>1.6</v>
      </c>
      <c r="H1450" s="5" t="s">
        <v>3827</v>
      </c>
      <c r="I1450" s="5" t="s">
        <v>31</v>
      </c>
      <c r="J1450" s="5">
        <v>2016.0</v>
      </c>
      <c r="L1450" s="5">
        <v>1.0</v>
      </c>
      <c r="M1450" s="7">
        <f t="shared" si="3"/>
        <v>1.6</v>
      </c>
    </row>
    <row r="1451">
      <c r="A1451" s="5" t="s">
        <v>3825</v>
      </c>
      <c r="B1451" s="5" t="s">
        <v>380</v>
      </c>
      <c r="C1451" s="5" t="s">
        <v>1899</v>
      </c>
      <c r="D1451" s="5" t="s">
        <v>3826</v>
      </c>
      <c r="E1451" s="5" t="s">
        <v>2346</v>
      </c>
      <c r="F1451" s="5" t="s">
        <v>166</v>
      </c>
      <c r="G1451" s="6">
        <v>0.39</v>
      </c>
      <c r="H1451" s="5" t="s">
        <v>3828</v>
      </c>
      <c r="I1451" s="5" t="s">
        <v>20</v>
      </c>
      <c r="J1451" s="5">
        <v>2008.0</v>
      </c>
      <c r="L1451" s="5">
        <v>1.0</v>
      </c>
      <c r="M1451" s="7">
        <f t="shared" si="3"/>
        <v>0.39</v>
      </c>
    </row>
    <row r="1452">
      <c r="A1452" s="5" t="s">
        <v>3829</v>
      </c>
      <c r="B1452" s="5" t="s">
        <v>3830</v>
      </c>
      <c r="C1452" s="5" t="s">
        <v>297</v>
      </c>
      <c r="D1452" s="5" t="s">
        <v>3831</v>
      </c>
      <c r="E1452" s="5" t="s">
        <v>2759</v>
      </c>
      <c r="F1452" s="5" t="s">
        <v>166</v>
      </c>
      <c r="G1452" s="6">
        <v>0.09</v>
      </c>
      <c r="H1452" s="5" t="s">
        <v>1967</v>
      </c>
      <c r="I1452" s="5" t="s">
        <v>20</v>
      </c>
      <c r="J1452" s="5">
        <v>2022.0</v>
      </c>
      <c r="K1452" s="8">
        <v>46085.0</v>
      </c>
      <c r="L1452" s="5">
        <v>1.0</v>
      </c>
      <c r="M1452" s="7">
        <f t="shared" si="3"/>
        <v>0.09</v>
      </c>
    </row>
    <row r="1453">
      <c r="A1453" s="5" t="s">
        <v>3832</v>
      </c>
      <c r="B1453" s="5" t="s">
        <v>3238</v>
      </c>
      <c r="C1453" s="5" t="s">
        <v>297</v>
      </c>
      <c r="E1453" s="5" t="s">
        <v>2369</v>
      </c>
      <c r="F1453" s="5" t="s">
        <v>166</v>
      </c>
      <c r="G1453" s="6">
        <v>0.05</v>
      </c>
      <c r="H1453" s="5" t="s">
        <v>3833</v>
      </c>
      <c r="I1453" s="5" t="s">
        <v>20</v>
      </c>
      <c r="J1453" s="5">
        <v>2016.0</v>
      </c>
      <c r="K1453" s="8">
        <v>46058.0</v>
      </c>
      <c r="L1453" s="5">
        <v>1.0</v>
      </c>
      <c r="M1453" s="7">
        <f t="shared" si="3"/>
        <v>0.05</v>
      </c>
    </row>
    <row r="1454">
      <c r="A1454" s="5" t="s">
        <v>3834</v>
      </c>
      <c r="B1454" s="5" t="s">
        <v>3835</v>
      </c>
      <c r="C1454" s="5" t="s">
        <v>297</v>
      </c>
      <c r="D1454" s="5" t="s">
        <v>3836</v>
      </c>
      <c r="E1454" s="5" t="s">
        <v>2369</v>
      </c>
      <c r="F1454" s="5" t="s">
        <v>166</v>
      </c>
      <c r="G1454" s="6">
        <v>0.06</v>
      </c>
      <c r="H1454" s="5" t="s">
        <v>1967</v>
      </c>
      <c r="I1454" s="5" t="s">
        <v>20</v>
      </c>
      <c r="J1454" s="5">
        <v>2022.0</v>
      </c>
      <c r="K1454" s="8">
        <v>46084.0</v>
      </c>
      <c r="L1454" s="5">
        <v>1.0</v>
      </c>
      <c r="M1454" s="7">
        <f t="shared" si="3"/>
        <v>0.06</v>
      </c>
    </row>
    <row r="1455">
      <c r="A1455" s="5" t="s">
        <v>3837</v>
      </c>
      <c r="B1455" s="5" t="s">
        <v>3838</v>
      </c>
      <c r="C1455" s="5" t="s">
        <v>297</v>
      </c>
      <c r="D1455" s="5" t="s">
        <v>3839</v>
      </c>
      <c r="E1455" s="5" t="s">
        <v>2354</v>
      </c>
      <c r="F1455" s="5" t="s">
        <v>166</v>
      </c>
      <c r="G1455" s="6">
        <v>0.05</v>
      </c>
      <c r="H1455" s="5" t="s">
        <v>2204</v>
      </c>
      <c r="I1455" s="5" t="s">
        <v>20</v>
      </c>
      <c r="J1455" s="5">
        <v>2014.0</v>
      </c>
      <c r="K1455" s="8">
        <v>46025.0</v>
      </c>
      <c r="L1455" s="5">
        <v>1.0</v>
      </c>
      <c r="M1455" s="7">
        <f t="shared" si="3"/>
        <v>0.05</v>
      </c>
    </row>
    <row r="1456">
      <c r="A1456" s="5" t="s">
        <v>3840</v>
      </c>
      <c r="B1456" s="5" t="s">
        <v>3841</v>
      </c>
      <c r="C1456" s="5" t="s">
        <v>297</v>
      </c>
      <c r="E1456" s="5" t="s">
        <v>2784</v>
      </c>
      <c r="F1456" s="5" t="s">
        <v>166</v>
      </c>
      <c r="G1456" s="6">
        <v>0.03</v>
      </c>
      <c r="H1456" s="5" t="s">
        <v>1717</v>
      </c>
      <c r="I1456" s="5" t="s">
        <v>20</v>
      </c>
      <c r="J1456" s="5">
        <v>2020.0</v>
      </c>
      <c r="K1456" s="8">
        <v>46088.0</v>
      </c>
      <c r="L1456" s="5">
        <v>1.0</v>
      </c>
      <c r="M1456" s="7">
        <f t="shared" si="3"/>
        <v>0.03</v>
      </c>
    </row>
    <row r="1457">
      <c r="A1457" s="5" t="s">
        <v>3842</v>
      </c>
      <c r="B1457" s="5" t="s">
        <v>3843</v>
      </c>
      <c r="C1457" s="5" t="s">
        <v>297</v>
      </c>
      <c r="E1457" s="5" t="s">
        <v>3430</v>
      </c>
      <c r="F1457" s="5" t="s">
        <v>166</v>
      </c>
      <c r="G1457" s="6">
        <v>0.03</v>
      </c>
      <c r="H1457" s="5" t="s">
        <v>2244</v>
      </c>
      <c r="I1457" s="5" t="s">
        <v>20</v>
      </c>
      <c r="J1457" s="5">
        <v>2014.0</v>
      </c>
      <c r="K1457" s="8">
        <v>46058.0</v>
      </c>
      <c r="L1457" s="5">
        <v>1.0</v>
      </c>
      <c r="M1457" s="7">
        <f t="shared" si="3"/>
        <v>0.03</v>
      </c>
    </row>
    <row r="1458">
      <c r="A1458" s="5" t="s">
        <v>3844</v>
      </c>
      <c r="B1458" s="5" t="s">
        <v>380</v>
      </c>
      <c r="C1458" s="5" t="s">
        <v>297</v>
      </c>
      <c r="D1458" s="5" t="s">
        <v>3845</v>
      </c>
      <c r="E1458" s="5" t="s">
        <v>2346</v>
      </c>
      <c r="F1458" s="5" t="s">
        <v>166</v>
      </c>
      <c r="G1458" s="6">
        <v>0.03</v>
      </c>
      <c r="H1458" s="5" t="s">
        <v>2624</v>
      </c>
      <c r="I1458" s="5" t="s">
        <v>20</v>
      </c>
      <c r="J1458" s="5">
        <v>2019.0</v>
      </c>
      <c r="L1458" s="5">
        <v>1.0</v>
      </c>
      <c r="M1458" s="7">
        <f t="shared" si="3"/>
        <v>0.03</v>
      </c>
    </row>
    <row r="1459">
      <c r="A1459" s="5" t="s">
        <v>3846</v>
      </c>
      <c r="B1459" s="5" t="s">
        <v>380</v>
      </c>
      <c r="C1459" s="5" t="s">
        <v>297</v>
      </c>
      <c r="D1459" s="5" t="s">
        <v>3847</v>
      </c>
      <c r="E1459" s="5" t="s">
        <v>2346</v>
      </c>
      <c r="F1459" s="5" t="s">
        <v>166</v>
      </c>
      <c r="G1459" s="6">
        <v>0.01</v>
      </c>
      <c r="H1459" s="5" t="s">
        <v>2204</v>
      </c>
      <c r="I1459" s="5" t="s">
        <v>20</v>
      </c>
      <c r="J1459" s="5">
        <v>2014.0</v>
      </c>
      <c r="L1459" s="5">
        <v>1.0</v>
      </c>
      <c r="M1459" s="7">
        <f t="shared" si="3"/>
        <v>0.01</v>
      </c>
    </row>
    <row r="1460">
      <c r="A1460" s="5" t="s">
        <v>3848</v>
      </c>
      <c r="B1460" s="5" t="s">
        <v>380</v>
      </c>
      <c r="C1460" s="5" t="s">
        <v>1951</v>
      </c>
      <c r="D1460" s="5" t="s">
        <v>3849</v>
      </c>
      <c r="E1460" s="5" t="s">
        <v>2784</v>
      </c>
      <c r="F1460" s="5" t="s">
        <v>166</v>
      </c>
      <c r="G1460" s="6">
        <v>0.08</v>
      </c>
      <c r="H1460" s="5" t="s">
        <v>2555</v>
      </c>
      <c r="I1460" s="5" t="s">
        <v>20</v>
      </c>
      <c r="J1460" s="5">
        <v>2020.0</v>
      </c>
      <c r="L1460" s="5">
        <v>1.0</v>
      </c>
      <c r="M1460" s="7">
        <f t="shared" si="3"/>
        <v>0.08</v>
      </c>
    </row>
    <row r="1461">
      <c r="A1461" s="5" t="s">
        <v>3850</v>
      </c>
      <c r="B1461" s="5" t="s">
        <v>380</v>
      </c>
      <c r="C1461" s="5" t="s">
        <v>297</v>
      </c>
      <c r="D1461" s="5" t="s">
        <v>3851</v>
      </c>
      <c r="E1461" s="5" t="s">
        <v>2369</v>
      </c>
      <c r="F1461" s="5" t="s">
        <v>166</v>
      </c>
      <c r="G1461" s="6">
        <v>0.04</v>
      </c>
      <c r="H1461" s="5" t="s">
        <v>2204</v>
      </c>
      <c r="I1461" s="5" t="s">
        <v>20</v>
      </c>
      <c r="J1461" s="5">
        <v>2014.0</v>
      </c>
      <c r="L1461" s="5">
        <v>1.0</v>
      </c>
      <c r="M1461" s="7">
        <f t="shared" si="3"/>
        <v>0.04</v>
      </c>
    </row>
    <row r="1462">
      <c r="A1462" s="5" t="s">
        <v>3852</v>
      </c>
      <c r="B1462" s="5" t="s">
        <v>380</v>
      </c>
      <c r="C1462" s="5" t="s">
        <v>297</v>
      </c>
      <c r="D1462" s="5" t="s">
        <v>3853</v>
      </c>
      <c r="E1462" s="5" t="s">
        <v>2354</v>
      </c>
      <c r="F1462" s="5" t="s">
        <v>166</v>
      </c>
      <c r="G1462" s="6">
        <v>0.03</v>
      </c>
      <c r="H1462" s="5" t="s">
        <v>2793</v>
      </c>
      <c r="I1462" s="5" t="s">
        <v>20</v>
      </c>
      <c r="J1462" s="5">
        <v>2009.0</v>
      </c>
      <c r="L1462" s="5">
        <v>1.0</v>
      </c>
      <c r="M1462" s="7">
        <f t="shared" si="3"/>
        <v>0.03</v>
      </c>
    </row>
    <row r="1463">
      <c r="A1463" s="5" t="s">
        <v>3854</v>
      </c>
      <c r="B1463" s="5" t="s">
        <v>380</v>
      </c>
      <c r="C1463" s="5" t="s">
        <v>297</v>
      </c>
      <c r="D1463" s="5" t="s">
        <v>3855</v>
      </c>
      <c r="E1463" s="5" t="s">
        <v>2346</v>
      </c>
      <c r="F1463" s="5" t="s">
        <v>166</v>
      </c>
      <c r="G1463" s="6">
        <v>0.05</v>
      </c>
      <c r="H1463" s="5" t="s">
        <v>2573</v>
      </c>
      <c r="I1463" s="5" t="s">
        <v>20</v>
      </c>
      <c r="J1463" s="5">
        <v>2012.0</v>
      </c>
      <c r="L1463" s="5">
        <v>1.0</v>
      </c>
      <c r="M1463" s="7">
        <f t="shared" si="3"/>
        <v>0.05</v>
      </c>
    </row>
    <row r="1464">
      <c r="A1464" s="5" t="s">
        <v>3856</v>
      </c>
      <c r="B1464" s="5" t="s">
        <v>2674</v>
      </c>
      <c r="C1464" s="5" t="s">
        <v>1951</v>
      </c>
      <c r="E1464" s="5" t="s">
        <v>2784</v>
      </c>
      <c r="F1464" s="5" t="s">
        <v>166</v>
      </c>
      <c r="G1464" s="6">
        <v>0.05</v>
      </c>
      <c r="H1464" s="5" t="s">
        <v>3857</v>
      </c>
      <c r="I1464" s="5" t="s">
        <v>20</v>
      </c>
      <c r="J1464" s="5">
        <v>2007.0</v>
      </c>
      <c r="K1464" s="8">
        <v>46146.0</v>
      </c>
      <c r="L1464" s="5">
        <v>1.0</v>
      </c>
      <c r="M1464" s="7">
        <f t="shared" si="3"/>
        <v>0.05</v>
      </c>
    </row>
    <row r="1465">
      <c r="A1465" s="5" t="s">
        <v>3858</v>
      </c>
      <c r="B1465" s="5" t="s">
        <v>3859</v>
      </c>
      <c r="C1465" s="5" t="s">
        <v>297</v>
      </c>
      <c r="D1465" s="5" t="s">
        <v>3860</v>
      </c>
      <c r="E1465" s="5" t="s">
        <v>2369</v>
      </c>
      <c r="F1465" s="5" t="s">
        <v>166</v>
      </c>
      <c r="G1465" s="6">
        <v>0.09</v>
      </c>
      <c r="H1465" s="5" t="s">
        <v>2968</v>
      </c>
      <c r="I1465" s="5" t="s">
        <v>20</v>
      </c>
      <c r="J1465" s="5">
        <v>2006.0</v>
      </c>
      <c r="K1465" s="8">
        <v>46084.0</v>
      </c>
      <c r="L1465" s="5">
        <v>1.0</v>
      </c>
      <c r="M1465" s="7">
        <f t="shared" si="3"/>
        <v>0.09</v>
      </c>
    </row>
    <row r="1466">
      <c r="A1466" s="5" t="s">
        <v>3861</v>
      </c>
      <c r="B1466" s="5" t="s">
        <v>2667</v>
      </c>
      <c r="C1466" s="5" t="s">
        <v>297</v>
      </c>
      <c r="D1466" s="5" t="s">
        <v>3862</v>
      </c>
      <c r="E1466" s="5" t="s">
        <v>3430</v>
      </c>
      <c r="F1466" s="5" t="s">
        <v>166</v>
      </c>
      <c r="G1466" s="6">
        <v>0.05</v>
      </c>
      <c r="H1466" s="5" t="s">
        <v>1692</v>
      </c>
      <c r="I1466" s="5" t="s">
        <v>20</v>
      </c>
      <c r="J1466" s="5">
        <v>2020.0</v>
      </c>
      <c r="K1466" s="8">
        <v>46085.0</v>
      </c>
      <c r="L1466" s="5">
        <v>1.0</v>
      </c>
      <c r="M1466" s="7">
        <f t="shared" si="3"/>
        <v>0.05</v>
      </c>
    </row>
    <row r="1467">
      <c r="A1467" s="5" t="s">
        <v>3863</v>
      </c>
      <c r="B1467" s="5" t="s">
        <v>2667</v>
      </c>
      <c r="C1467" s="5" t="s">
        <v>297</v>
      </c>
      <c r="D1467" s="5" t="s">
        <v>3864</v>
      </c>
      <c r="E1467" s="5" t="s">
        <v>2759</v>
      </c>
      <c r="F1467" s="5" t="s">
        <v>166</v>
      </c>
      <c r="G1467" s="6">
        <v>0.03</v>
      </c>
      <c r="H1467" s="5" t="s">
        <v>2244</v>
      </c>
      <c r="I1467" s="5" t="s">
        <v>20</v>
      </c>
      <c r="J1467" s="5">
        <v>2014.0</v>
      </c>
      <c r="K1467" s="8">
        <v>46084.0</v>
      </c>
      <c r="L1467" s="5">
        <v>1.0</v>
      </c>
      <c r="M1467" s="7">
        <f t="shared" si="3"/>
        <v>0.03</v>
      </c>
    </row>
    <row r="1468">
      <c r="A1468" s="5" t="s">
        <v>3865</v>
      </c>
      <c r="B1468" s="5" t="s">
        <v>3866</v>
      </c>
      <c r="C1468" s="5" t="s">
        <v>297</v>
      </c>
      <c r="D1468" s="5" t="s">
        <v>3867</v>
      </c>
      <c r="E1468" s="5" t="s">
        <v>2759</v>
      </c>
      <c r="F1468" s="5" t="s">
        <v>166</v>
      </c>
      <c r="G1468" s="6">
        <v>0.06</v>
      </c>
      <c r="H1468" s="5" t="s">
        <v>2655</v>
      </c>
      <c r="I1468" s="5" t="s">
        <v>20</v>
      </c>
      <c r="J1468" s="5">
        <v>2021.0</v>
      </c>
      <c r="K1468" s="8">
        <v>46117.0</v>
      </c>
      <c r="L1468" s="5">
        <v>1.0</v>
      </c>
      <c r="M1468" s="7">
        <f t="shared" si="3"/>
        <v>0.06</v>
      </c>
    </row>
    <row r="1469">
      <c r="A1469" s="5" t="s">
        <v>3868</v>
      </c>
      <c r="B1469" s="5" t="s">
        <v>3869</v>
      </c>
      <c r="C1469" s="5" t="s">
        <v>297</v>
      </c>
      <c r="E1469" s="5" t="s">
        <v>3430</v>
      </c>
      <c r="F1469" s="5" t="s">
        <v>166</v>
      </c>
      <c r="G1469" s="6">
        <v>0.05</v>
      </c>
      <c r="H1469" s="5" t="s">
        <v>2204</v>
      </c>
      <c r="I1469" s="5" t="s">
        <v>20</v>
      </c>
      <c r="J1469" s="5">
        <v>2014.0</v>
      </c>
      <c r="K1469" s="8">
        <v>46085.0</v>
      </c>
      <c r="L1469" s="5">
        <v>1.0</v>
      </c>
      <c r="M1469" s="7">
        <f t="shared" si="3"/>
        <v>0.05</v>
      </c>
    </row>
    <row r="1470">
      <c r="A1470" s="5" t="s">
        <v>3870</v>
      </c>
      <c r="B1470" s="5" t="s">
        <v>3582</v>
      </c>
      <c r="C1470" s="5" t="s">
        <v>1899</v>
      </c>
      <c r="D1470" s="5" t="s">
        <v>3871</v>
      </c>
      <c r="E1470" s="5" t="s">
        <v>2784</v>
      </c>
      <c r="F1470" s="5" t="s">
        <v>166</v>
      </c>
      <c r="G1470" s="6">
        <v>0.25</v>
      </c>
      <c r="H1470" s="5" t="s">
        <v>3872</v>
      </c>
      <c r="I1470" s="5" t="s">
        <v>20</v>
      </c>
      <c r="J1470" s="5">
        <v>2005.0</v>
      </c>
      <c r="K1470" s="8">
        <v>46084.0</v>
      </c>
      <c r="L1470" s="5">
        <v>1.0</v>
      </c>
      <c r="M1470" s="7">
        <f t="shared" si="3"/>
        <v>0.25</v>
      </c>
    </row>
    <row r="1471">
      <c r="A1471" s="5" t="s">
        <v>3873</v>
      </c>
      <c r="B1471" s="5" t="s">
        <v>3874</v>
      </c>
      <c r="C1471" s="5" t="s">
        <v>297</v>
      </c>
      <c r="E1471" s="5" t="s">
        <v>2354</v>
      </c>
      <c r="F1471" s="5" t="s">
        <v>166</v>
      </c>
      <c r="G1471" s="6">
        <v>0.05</v>
      </c>
      <c r="H1471" s="5" t="s">
        <v>2376</v>
      </c>
      <c r="I1471" s="5" t="s">
        <v>20</v>
      </c>
      <c r="J1471" s="5">
        <v>2010.0</v>
      </c>
      <c r="K1471" s="8">
        <v>46056.0</v>
      </c>
      <c r="L1471" s="5">
        <v>1.0</v>
      </c>
      <c r="M1471" s="7">
        <f t="shared" si="3"/>
        <v>0.05</v>
      </c>
    </row>
    <row r="1472">
      <c r="A1472" s="5" t="s">
        <v>3875</v>
      </c>
      <c r="B1472" s="5" t="s">
        <v>2585</v>
      </c>
      <c r="C1472" s="5" t="s">
        <v>297</v>
      </c>
      <c r="D1472" s="5" t="s">
        <v>3876</v>
      </c>
      <c r="E1472" s="5" t="s">
        <v>2346</v>
      </c>
      <c r="F1472" s="5" t="s">
        <v>166</v>
      </c>
      <c r="G1472" s="6">
        <v>0.05</v>
      </c>
      <c r="H1472" s="5" t="s">
        <v>2005</v>
      </c>
      <c r="I1472" s="5" t="s">
        <v>20</v>
      </c>
      <c r="J1472" s="5">
        <v>2020.0</v>
      </c>
      <c r="K1472" s="8">
        <v>46054.0</v>
      </c>
      <c r="L1472" s="5">
        <v>1.0</v>
      </c>
      <c r="M1472" s="7">
        <f t="shared" si="3"/>
        <v>0.05</v>
      </c>
    </row>
    <row r="1473">
      <c r="A1473" s="5" t="s">
        <v>3877</v>
      </c>
      <c r="B1473" s="5" t="s">
        <v>2571</v>
      </c>
      <c r="C1473" s="5" t="s">
        <v>297</v>
      </c>
      <c r="E1473" s="5" t="s">
        <v>2369</v>
      </c>
      <c r="F1473" s="5" t="s">
        <v>166</v>
      </c>
      <c r="G1473" s="6">
        <v>0.06</v>
      </c>
      <c r="H1473" s="5" t="s">
        <v>2475</v>
      </c>
      <c r="I1473" s="5" t="s">
        <v>20</v>
      </c>
      <c r="J1473" s="5">
        <v>2012.0</v>
      </c>
      <c r="K1473" s="8">
        <v>46084.0</v>
      </c>
      <c r="L1473" s="5">
        <v>1.0</v>
      </c>
      <c r="M1473" s="7">
        <f t="shared" si="3"/>
        <v>0.06</v>
      </c>
    </row>
    <row r="1474">
      <c r="A1474" s="5" t="s">
        <v>3878</v>
      </c>
      <c r="B1474" s="5" t="s">
        <v>2386</v>
      </c>
      <c r="C1474" s="5" t="s">
        <v>297</v>
      </c>
      <c r="D1474" s="5" t="s">
        <v>3879</v>
      </c>
      <c r="E1474" s="5" t="s">
        <v>2759</v>
      </c>
      <c r="F1474" s="5" t="s">
        <v>166</v>
      </c>
      <c r="G1474" s="6">
        <v>0.1</v>
      </c>
      <c r="H1474" s="5" t="s">
        <v>1958</v>
      </c>
      <c r="I1474" s="5" t="s">
        <v>20</v>
      </c>
      <c r="J1474" s="5">
        <v>2021.0</v>
      </c>
      <c r="K1474" s="8">
        <v>46085.0</v>
      </c>
      <c r="L1474" s="5">
        <v>1.0</v>
      </c>
      <c r="M1474" s="7">
        <f t="shared" si="3"/>
        <v>0.1</v>
      </c>
    </row>
    <row r="1475">
      <c r="A1475" s="5" t="s">
        <v>3880</v>
      </c>
      <c r="B1475" s="5" t="s">
        <v>3881</v>
      </c>
      <c r="C1475" s="5" t="s">
        <v>297</v>
      </c>
      <c r="D1475" s="5" t="s">
        <v>3882</v>
      </c>
      <c r="E1475" s="5" t="s">
        <v>2354</v>
      </c>
      <c r="F1475" s="5" t="s">
        <v>166</v>
      </c>
      <c r="G1475" s="6">
        <v>0.03</v>
      </c>
      <c r="H1475" s="5" t="s">
        <v>1717</v>
      </c>
      <c r="I1475" s="5" t="s">
        <v>20</v>
      </c>
      <c r="J1475" s="5">
        <v>2020.0</v>
      </c>
      <c r="K1475" s="8">
        <v>46083.0</v>
      </c>
      <c r="L1475" s="5">
        <v>1.0</v>
      </c>
      <c r="M1475" s="7">
        <f t="shared" si="3"/>
        <v>0.03</v>
      </c>
    </row>
    <row r="1476">
      <c r="A1476" s="5" t="s">
        <v>3883</v>
      </c>
      <c r="B1476" s="5" t="s">
        <v>380</v>
      </c>
      <c r="C1476" s="5" t="s">
        <v>297</v>
      </c>
      <c r="D1476" s="5" t="s">
        <v>3884</v>
      </c>
      <c r="E1476" s="5" t="s">
        <v>932</v>
      </c>
      <c r="F1476" s="5" t="s">
        <v>166</v>
      </c>
      <c r="G1476" s="6">
        <v>0.03</v>
      </c>
      <c r="H1476" s="5" t="s">
        <v>2603</v>
      </c>
      <c r="I1476" s="5" t="s">
        <v>20</v>
      </c>
      <c r="J1476" s="5">
        <v>2017.0</v>
      </c>
      <c r="L1476" s="5">
        <v>1.0</v>
      </c>
      <c r="M1476" s="7">
        <f t="shared" si="3"/>
        <v>0.03</v>
      </c>
    </row>
    <row r="1477">
      <c r="A1477" s="5" t="s">
        <v>3885</v>
      </c>
      <c r="B1477" s="5" t="s">
        <v>380</v>
      </c>
      <c r="C1477" s="5" t="s">
        <v>297</v>
      </c>
      <c r="D1477" s="5" t="s">
        <v>3886</v>
      </c>
      <c r="E1477" s="5" t="s">
        <v>2784</v>
      </c>
      <c r="F1477" s="5" t="s">
        <v>166</v>
      </c>
      <c r="G1477" s="6">
        <v>0.05</v>
      </c>
      <c r="H1477" s="5" t="s">
        <v>1692</v>
      </c>
      <c r="I1477" s="5" t="s">
        <v>20</v>
      </c>
      <c r="J1477" s="5">
        <v>2020.0</v>
      </c>
      <c r="L1477" s="5">
        <v>1.0</v>
      </c>
      <c r="M1477" s="7">
        <f t="shared" si="3"/>
        <v>0.05</v>
      </c>
    </row>
    <row r="1478">
      <c r="A1478" s="5" t="s">
        <v>3887</v>
      </c>
      <c r="B1478" s="5" t="s">
        <v>380</v>
      </c>
      <c r="C1478" s="5" t="s">
        <v>1951</v>
      </c>
      <c r="D1478" s="5" t="s">
        <v>3888</v>
      </c>
      <c r="E1478" s="5" t="s">
        <v>3889</v>
      </c>
      <c r="F1478" s="5" t="s">
        <v>166</v>
      </c>
      <c r="G1478" s="6">
        <v>0.15</v>
      </c>
      <c r="H1478" s="5" t="s">
        <v>1628</v>
      </c>
      <c r="I1478" s="5" t="s">
        <v>20</v>
      </c>
      <c r="J1478" s="5">
        <v>2021.0</v>
      </c>
      <c r="L1478" s="5">
        <v>1.0</v>
      </c>
      <c r="M1478" s="7">
        <f t="shared" si="3"/>
        <v>0.15</v>
      </c>
    </row>
    <row r="1479">
      <c r="A1479" s="5" t="s">
        <v>3890</v>
      </c>
      <c r="B1479" s="5" t="s">
        <v>380</v>
      </c>
      <c r="C1479" s="5" t="s">
        <v>297</v>
      </c>
      <c r="D1479" s="5" t="s">
        <v>3891</v>
      </c>
      <c r="E1479" s="5" t="s">
        <v>2369</v>
      </c>
      <c r="F1479" s="5" t="s">
        <v>166</v>
      </c>
      <c r="G1479" s="6">
        <v>0.03</v>
      </c>
      <c r="H1479" s="5" t="s">
        <v>2478</v>
      </c>
      <c r="I1479" s="5" t="s">
        <v>20</v>
      </c>
      <c r="J1479" s="5">
        <v>2017.0</v>
      </c>
      <c r="L1479" s="5">
        <v>1.0</v>
      </c>
      <c r="M1479" s="7">
        <f t="shared" si="3"/>
        <v>0.03</v>
      </c>
    </row>
    <row r="1480">
      <c r="A1480" s="5" t="s">
        <v>3892</v>
      </c>
      <c r="B1480" s="5" t="s">
        <v>380</v>
      </c>
      <c r="C1480" s="5" t="s">
        <v>1899</v>
      </c>
      <c r="D1480" s="5" t="s">
        <v>3893</v>
      </c>
      <c r="E1480" s="5" t="s">
        <v>932</v>
      </c>
      <c r="F1480" s="5" t="s">
        <v>166</v>
      </c>
      <c r="G1480" s="6">
        <v>1.24</v>
      </c>
      <c r="H1480" s="5" t="s">
        <v>3894</v>
      </c>
      <c r="I1480" s="5" t="s">
        <v>20</v>
      </c>
      <c r="J1480" s="5">
        <v>2023.0</v>
      </c>
      <c r="L1480" s="5">
        <v>4.0</v>
      </c>
      <c r="M1480" s="7">
        <f t="shared" si="3"/>
        <v>4.96</v>
      </c>
    </row>
    <row r="1481">
      <c r="A1481" s="5" t="s">
        <v>3895</v>
      </c>
      <c r="B1481" s="5" t="s">
        <v>2060</v>
      </c>
      <c r="C1481" s="5" t="s">
        <v>1951</v>
      </c>
      <c r="D1481" s="5" t="s">
        <v>3896</v>
      </c>
      <c r="E1481" s="5" t="s">
        <v>2354</v>
      </c>
      <c r="F1481" s="5" t="s">
        <v>166</v>
      </c>
      <c r="G1481" s="6">
        <v>0.04</v>
      </c>
      <c r="H1481" s="5" t="s">
        <v>1667</v>
      </c>
      <c r="I1481" s="5" t="s">
        <v>20</v>
      </c>
      <c r="J1481" s="5">
        <v>2018.0</v>
      </c>
      <c r="L1481" s="5">
        <v>2.0</v>
      </c>
      <c r="M1481" s="7">
        <f t="shared" si="3"/>
        <v>0.08</v>
      </c>
    </row>
    <row r="1482">
      <c r="A1482" s="5" t="s">
        <v>3897</v>
      </c>
      <c r="B1482" s="5" t="s">
        <v>2060</v>
      </c>
      <c r="C1482" s="5" t="s">
        <v>297</v>
      </c>
      <c r="D1482" s="5" t="s">
        <v>3898</v>
      </c>
      <c r="E1482" s="5" t="s">
        <v>2369</v>
      </c>
      <c r="F1482" s="5" t="s">
        <v>166</v>
      </c>
      <c r="G1482" s="6">
        <v>0.05</v>
      </c>
      <c r="H1482" s="5" t="s">
        <v>3491</v>
      </c>
      <c r="I1482" s="5" t="s">
        <v>20</v>
      </c>
      <c r="J1482" s="5">
        <v>2012.0</v>
      </c>
      <c r="L1482" s="5">
        <v>1.0</v>
      </c>
      <c r="M1482" s="7">
        <f t="shared" si="3"/>
        <v>0.05</v>
      </c>
    </row>
    <row r="1483">
      <c r="A1483" s="5" t="s">
        <v>3899</v>
      </c>
      <c r="B1483" s="5" t="s">
        <v>2060</v>
      </c>
      <c r="C1483" s="5" t="s">
        <v>297</v>
      </c>
      <c r="D1483" s="5" t="s">
        <v>3900</v>
      </c>
      <c r="E1483" s="5" t="s">
        <v>932</v>
      </c>
      <c r="F1483" s="5" t="s">
        <v>166</v>
      </c>
      <c r="G1483" s="6">
        <v>3.15</v>
      </c>
      <c r="H1483" s="5" t="s">
        <v>3026</v>
      </c>
      <c r="I1483" s="5" t="s">
        <v>20</v>
      </c>
      <c r="J1483" s="5">
        <v>2023.0</v>
      </c>
      <c r="L1483" s="5">
        <v>3.0</v>
      </c>
      <c r="M1483" s="7">
        <f t="shared" si="3"/>
        <v>9.45</v>
      </c>
    </row>
    <row r="1484">
      <c r="A1484" s="5" t="s">
        <v>3899</v>
      </c>
      <c r="B1484" s="5" t="s">
        <v>2060</v>
      </c>
      <c r="C1484" s="5" t="s">
        <v>297</v>
      </c>
      <c r="D1484" s="5" t="s">
        <v>3900</v>
      </c>
      <c r="E1484" s="5" t="s">
        <v>932</v>
      </c>
      <c r="F1484" s="5" t="s">
        <v>166</v>
      </c>
      <c r="G1484" s="6">
        <v>4.75</v>
      </c>
      <c r="H1484" s="5" t="s">
        <v>3601</v>
      </c>
      <c r="I1484" s="5" t="s">
        <v>20</v>
      </c>
      <c r="J1484" s="5">
        <v>2020.0</v>
      </c>
      <c r="L1484" s="5">
        <v>1.0</v>
      </c>
      <c r="M1484" s="7">
        <f t="shared" si="3"/>
        <v>4.75</v>
      </c>
    </row>
    <row r="1485">
      <c r="A1485" s="5" t="s">
        <v>3901</v>
      </c>
      <c r="B1485" s="5" t="s">
        <v>2060</v>
      </c>
      <c r="C1485" s="5" t="s">
        <v>297</v>
      </c>
      <c r="D1485" s="5" t="s">
        <v>3902</v>
      </c>
      <c r="E1485" s="5" t="s">
        <v>2346</v>
      </c>
      <c r="F1485" s="5" t="s">
        <v>166</v>
      </c>
      <c r="G1485" s="6">
        <v>0.28</v>
      </c>
      <c r="H1485" s="5" t="s">
        <v>2460</v>
      </c>
      <c r="I1485" s="5" t="s">
        <v>20</v>
      </c>
      <c r="J1485" s="5">
        <v>2024.0</v>
      </c>
      <c r="L1485" s="5">
        <v>2.0</v>
      </c>
      <c r="M1485" s="7">
        <f t="shared" si="3"/>
        <v>0.56</v>
      </c>
    </row>
    <row r="1486">
      <c r="A1486" s="5" t="s">
        <v>3903</v>
      </c>
      <c r="B1486" s="5" t="s">
        <v>2060</v>
      </c>
      <c r="C1486" s="5" t="s">
        <v>297</v>
      </c>
      <c r="D1486" s="5" t="s">
        <v>3904</v>
      </c>
      <c r="E1486" s="5" t="s">
        <v>2354</v>
      </c>
      <c r="F1486" s="5" t="s">
        <v>166</v>
      </c>
      <c r="G1486" s="6">
        <v>0.21</v>
      </c>
      <c r="H1486" s="5" t="s">
        <v>1644</v>
      </c>
      <c r="I1486" s="5" t="s">
        <v>20</v>
      </c>
      <c r="J1486" s="5">
        <v>2019.0</v>
      </c>
      <c r="L1486" s="5">
        <v>4.0</v>
      </c>
      <c r="M1486" s="7">
        <f t="shared" si="3"/>
        <v>0.84</v>
      </c>
    </row>
    <row r="1487">
      <c r="A1487" s="5" t="s">
        <v>3905</v>
      </c>
      <c r="B1487" s="5" t="s">
        <v>2060</v>
      </c>
      <c r="C1487" s="5" t="s">
        <v>297</v>
      </c>
      <c r="D1487" s="5" t="s">
        <v>3906</v>
      </c>
      <c r="E1487" s="5" t="s">
        <v>932</v>
      </c>
      <c r="F1487" s="5" t="s">
        <v>166</v>
      </c>
      <c r="G1487" s="6">
        <v>3.07</v>
      </c>
      <c r="H1487" s="5" t="s">
        <v>2475</v>
      </c>
      <c r="I1487" s="5" t="s">
        <v>20</v>
      </c>
      <c r="J1487" s="5">
        <v>2012.0</v>
      </c>
      <c r="L1487" s="5">
        <v>1.0</v>
      </c>
      <c r="M1487" s="7">
        <f t="shared" si="3"/>
        <v>3.07</v>
      </c>
    </row>
    <row r="1488">
      <c r="A1488" s="5" t="s">
        <v>3907</v>
      </c>
      <c r="B1488" s="5" t="s">
        <v>2060</v>
      </c>
      <c r="C1488" s="5" t="s">
        <v>297</v>
      </c>
      <c r="D1488" s="5" t="s">
        <v>3908</v>
      </c>
      <c r="E1488" s="5" t="s">
        <v>2354</v>
      </c>
      <c r="F1488" s="5" t="s">
        <v>166</v>
      </c>
      <c r="G1488" s="6">
        <v>0.03</v>
      </c>
      <c r="H1488" s="5" t="s">
        <v>2603</v>
      </c>
      <c r="I1488" s="5" t="s">
        <v>20</v>
      </c>
      <c r="J1488" s="5">
        <v>2017.0</v>
      </c>
      <c r="L1488" s="5">
        <v>1.0</v>
      </c>
      <c r="M1488" s="7">
        <f t="shared" si="3"/>
        <v>0.03</v>
      </c>
    </row>
    <row r="1489">
      <c r="A1489" s="5" t="s">
        <v>3909</v>
      </c>
      <c r="B1489" s="5" t="s">
        <v>2060</v>
      </c>
      <c r="C1489" s="5" t="s">
        <v>297</v>
      </c>
      <c r="D1489" s="5" t="s">
        <v>3910</v>
      </c>
      <c r="E1489" s="5" t="s">
        <v>932</v>
      </c>
      <c r="F1489" s="5" t="s">
        <v>166</v>
      </c>
      <c r="G1489" s="6">
        <v>0.05</v>
      </c>
      <c r="H1489" s="5" t="s">
        <v>2008</v>
      </c>
      <c r="I1489" s="5" t="s">
        <v>20</v>
      </c>
      <c r="J1489" s="5">
        <v>2013.0</v>
      </c>
      <c r="L1489" s="5">
        <v>1.0</v>
      </c>
      <c r="M1489" s="7">
        <f t="shared" si="3"/>
        <v>0.05</v>
      </c>
    </row>
    <row r="1490">
      <c r="A1490" s="5" t="s">
        <v>3911</v>
      </c>
      <c r="B1490" s="5" t="s">
        <v>2060</v>
      </c>
      <c r="C1490" s="5" t="s">
        <v>1951</v>
      </c>
      <c r="D1490" s="5" t="s">
        <v>3912</v>
      </c>
      <c r="E1490" s="5" t="s">
        <v>2346</v>
      </c>
      <c r="F1490" s="5" t="s">
        <v>166</v>
      </c>
      <c r="G1490" s="6">
        <v>0.1</v>
      </c>
      <c r="H1490" s="5" t="s">
        <v>2005</v>
      </c>
      <c r="I1490" s="5" t="s">
        <v>20</v>
      </c>
      <c r="J1490" s="5">
        <v>2020.0</v>
      </c>
      <c r="L1490" s="5">
        <v>1.0</v>
      </c>
      <c r="M1490" s="7">
        <f t="shared" si="3"/>
        <v>0.1</v>
      </c>
    </row>
    <row r="1491">
      <c r="A1491" s="5" t="s">
        <v>3913</v>
      </c>
      <c r="B1491" s="5" t="s">
        <v>2060</v>
      </c>
      <c r="C1491" s="5" t="s">
        <v>297</v>
      </c>
      <c r="D1491" s="5" t="s">
        <v>3914</v>
      </c>
      <c r="E1491" s="5" t="s">
        <v>2759</v>
      </c>
      <c r="F1491" s="5" t="s">
        <v>166</v>
      </c>
      <c r="G1491" s="6">
        <v>0.06</v>
      </c>
      <c r="H1491" s="5" t="s">
        <v>3833</v>
      </c>
      <c r="I1491" s="5" t="s">
        <v>20</v>
      </c>
      <c r="J1491" s="5">
        <v>2016.0</v>
      </c>
      <c r="L1491" s="5">
        <v>1.0</v>
      </c>
      <c r="M1491" s="7">
        <f t="shared" si="3"/>
        <v>0.06</v>
      </c>
    </row>
    <row r="1492">
      <c r="A1492" s="5" t="s">
        <v>3915</v>
      </c>
      <c r="B1492" s="5" t="s">
        <v>2060</v>
      </c>
      <c r="C1492" s="5" t="s">
        <v>297</v>
      </c>
      <c r="D1492" s="5" t="s">
        <v>3916</v>
      </c>
      <c r="E1492" s="5" t="s">
        <v>2354</v>
      </c>
      <c r="F1492" s="5" t="s">
        <v>166</v>
      </c>
      <c r="G1492" s="6">
        <v>0.06</v>
      </c>
      <c r="H1492" s="5" t="s">
        <v>1644</v>
      </c>
      <c r="I1492" s="5" t="s">
        <v>20</v>
      </c>
      <c r="J1492" s="5">
        <v>2019.0</v>
      </c>
      <c r="L1492" s="5">
        <v>1.0</v>
      </c>
      <c r="M1492" s="7">
        <f t="shared" si="3"/>
        <v>0.06</v>
      </c>
    </row>
    <row r="1493">
      <c r="A1493" s="5" t="s">
        <v>3917</v>
      </c>
      <c r="B1493" s="5" t="s">
        <v>2060</v>
      </c>
      <c r="C1493" s="5" t="s">
        <v>297</v>
      </c>
      <c r="D1493" s="5" t="s">
        <v>3918</v>
      </c>
      <c r="E1493" s="5" t="s">
        <v>3919</v>
      </c>
      <c r="F1493" s="5" t="s">
        <v>166</v>
      </c>
      <c r="G1493" s="6">
        <v>1.31</v>
      </c>
      <c r="H1493" s="5" t="s">
        <v>2177</v>
      </c>
      <c r="I1493" s="5" t="s">
        <v>20</v>
      </c>
      <c r="J1493" s="5">
        <v>2018.0</v>
      </c>
      <c r="L1493" s="5">
        <v>1.0</v>
      </c>
      <c r="M1493" s="7">
        <f t="shared" si="3"/>
        <v>1.31</v>
      </c>
    </row>
    <row r="1494">
      <c r="A1494" s="5" t="s">
        <v>3920</v>
      </c>
      <c r="B1494" s="5" t="s">
        <v>1946</v>
      </c>
      <c r="C1494" s="5" t="s">
        <v>1951</v>
      </c>
      <c r="D1494" s="5" t="s">
        <v>3921</v>
      </c>
      <c r="E1494" s="5" t="s">
        <v>2346</v>
      </c>
      <c r="F1494" s="5" t="s">
        <v>166</v>
      </c>
      <c r="G1494" s="6">
        <v>0.13</v>
      </c>
      <c r="H1494" s="5" t="s">
        <v>1644</v>
      </c>
      <c r="I1494" s="5" t="s">
        <v>20</v>
      </c>
      <c r="J1494" s="5">
        <v>2019.0</v>
      </c>
      <c r="L1494" s="5">
        <v>1.0</v>
      </c>
      <c r="M1494" s="7">
        <f t="shared" si="3"/>
        <v>0.13</v>
      </c>
    </row>
    <row r="1495">
      <c r="A1495" s="5" t="s">
        <v>3922</v>
      </c>
      <c r="B1495" s="5" t="s">
        <v>1946</v>
      </c>
      <c r="C1495" s="5" t="s">
        <v>1951</v>
      </c>
      <c r="D1495" s="5" t="s">
        <v>3923</v>
      </c>
      <c r="E1495" s="5" t="s">
        <v>2354</v>
      </c>
      <c r="F1495" s="5" t="s">
        <v>166</v>
      </c>
      <c r="G1495" s="6">
        <v>0.06</v>
      </c>
      <c r="H1495" s="5" t="s">
        <v>2478</v>
      </c>
      <c r="I1495" s="5" t="s">
        <v>20</v>
      </c>
      <c r="J1495" s="5">
        <v>2017.0</v>
      </c>
      <c r="L1495" s="5">
        <v>1.0</v>
      </c>
      <c r="M1495" s="7">
        <f t="shared" si="3"/>
        <v>0.06</v>
      </c>
    </row>
    <row r="1496">
      <c r="A1496" s="5" t="s">
        <v>3924</v>
      </c>
      <c r="B1496" s="5" t="s">
        <v>2016</v>
      </c>
      <c r="C1496" s="5" t="s">
        <v>297</v>
      </c>
      <c r="D1496" s="5" t="s">
        <v>3925</v>
      </c>
      <c r="E1496" s="5" t="s">
        <v>2354</v>
      </c>
      <c r="F1496" s="5" t="s">
        <v>166</v>
      </c>
      <c r="G1496" s="6">
        <v>0.03</v>
      </c>
      <c r="H1496" s="5" t="s">
        <v>2244</v>
      </c>
      <c r="I1496" s="5" t="s">
        <v>20</v>
      </c>
      <c r="J1496" s="5">
        <v>2014.0</v>
      </c>
      <c r="L1496" s="5">
        <v>1.0</v>
      </c>
      <c r="M1496" s="7">
        <f t="shared" si="3"/>
        <v>0.03</v>
      </c>
    </row>
    <row r="1497">
      <c r="A1497" s="5" t="s">
        <v>3926</v>
      </c>
      <c r="B1497" s="5" t="s">
        <v>1946</v>
      </c>
      <c r="C1497" s="5" t="s">
        <v>297</v>
      </c>
      <c r="D1497" s="5" t="s">
        <v>3927</v>
      </c>
      <c r="E1497" s="5" t="s">
        <v>2369</v>
      </c>
      <c r="F1497" s="5" t="s">
        <v>166</v>
      </c>
      <c r="G1497" s="6">
        <v>0.04</v>
      </c>
      <c r="H1497" s="5" t="s">
        <v>2164</v>
      </c>
      <c r="I1497" s="5" t="s">
        <v>20</v>
      </c>
      <c r="J1497" s="5">
        <v>2021.0</v>
      </c>
      <c r="L1497" s="5">
        <v>1.0</v>
      </c>
      <c r="M1497" s="7">
        <f t="shared" si="3"/>
        <v>0.04</v>
      </c>
    </row>
    <row r="1498">
      <c r="A1498" s="5" t="s">
        <v>3928</v>
      </c>
      <c r="B1498" s="5" t="s">
        <v>2016</v>
      </c>
      <c r="C1498" s="5" t="s">
        <v>1951</v>
      </c>
      <c r="D1498" s="5" t="s">
        <v>3929</v>
      </c>
      <c r="E1498" s="5" t="s">
        <v>2354</v>
      </c>
      <c r="F1498" s="5" t="s">
        <v>166</v>
      </c>
      <c r="G1498" s="6">
        <v>0.06</v>
      </c>
      <c r="H1498" s="5" t="s">
        <v>2204</v>
      </c>
      <c r="I1498" s="5" t="s">
        <v>20</v>
      </c>
      <c r="J1498" s="5">
        <v>2014.0</v>
      </c>
      <c r="L1498" s="5">
        <v>1.0</v>
      </c>
      <c r="M1498" s="7">
        <f t="shared" si="3"/>
        <v>0.06</v>
      </c>
    </row>
    <row r="1499">
      <c r="A1499" s="5" t="s">
        <v>3930</v>
      </c>
      <c r="B1499" s="5" t="s">
        <v>1946</v>
      </c>
      <c r="C1499" s="5" t="s">
        <v>1951</v>
      </c>
      <c r="D1499" s="5" t="s">
        <v>3931</v>
      </c>
      <c r="E1499" s="5" t="s">
        <v>2346</v>
      </c>
      <c r="F1499" s="5" t="s">
        <v>166</v>
      </c>
      <c r="G1499" s="6">
        <v>0.15</v>
      </c>
      <c r="H1499" s="5" t="s">
        <v>2008</v>
      </c>
      <c r="I1499" s="5" t="s">
        <v>20</v>
      </c>
      <c r="J1499" s="5">
        <v>2013.0</v>
      </c>
      <c r="L1499" s="5">
        <v>1.0</v>
      </c>
      <c r="M1499" s="7">
        <f t="shared" si="3"/>
        <v>0.15</v>
      </c>
    </row>
    <row r="1500">
      <c r="A1500" s="5" t="s">
        <v>3932</v>
      </c>
      <c r="B1500" s="5" t="s">
        <v>2016</v>
      </c>
      <c r="C1500" s="5" t="s">
        <v>297</v>
      </c>
      <c r="D1500" s="5" t="s">
        <v>3933</v>
      </c>
      <c r="E1500" s="5" t="s">
        <v>2354</v>
      </c>
      <c r="F1500" s="5" t="s">
        <v>166</v>
      </c>
      <c r="G1500" s="6">
        <v>0.03</v>
      </c>
      <c r="H1500" s="5" t="s">
        <v>1717</v>
      </c>
      <c r="I1500" s="5" t="s">
        <v>20</v>
      </c>
      <c r="J1500" s="5">
        <v>2020.0</v>
      </c>
      <c r="L1500" s="5">
        <v>1.0</v>
      </c>
      <c r="M1500" s="7">
        <f t="shared" si="3"/>
        <v>0.03</v>
      </c>
    </row>
    <row r="1501">
      <c r="A1501" s="5" t="s">
        <v>3934</v>
      </c>
      <c r="B1501" s="5" t="s">
        <v>1946</v>
      </c>
      <c r="C1501" s="5" t="s">
        <v>1899</v>
      </c>
      <c r="D1501" s="5" t="s">
        <v>3935</v>
      </c>
      <c r="E1501" s="5" t="s">
        <v>2354</v>
      </c>
      <c r="F1501" s="5" t="s">
        <v>166</v>
      </c>
      <c r="G1501" s="6">
        <v>0.75</v>
      </c>
      <c r="H1501" s="5" t="s">
        <v>2515</v>
      </c>
      <c r="I1501" s="5" t="s">
        <v>20</v>
      </c>
      <c r="J1501" s="5">
        <v>2018.0</v>
      </c>
      <c r="L1501" s="5">
        <v>1.0</v>
      </c>
      <c r="M1501" s="7">
        <f t="shared" si="3"/>
        <v>0.75</v>
      </c>
    </row>
    <row r="1502">
      <c r="A1502" s="5" t="s">
        <v>3936</v>
      </c>
      <c r="B1502" s="5" t="s">
        <v>2428</v>
      </c>
      <c r="C1502" s="5" t="s">
        <v>1951</v>
      </c>
      <c r="D1502" s="5" t="s">
        <v>3937</v>
      </c>
      <c r="E1502" s="5" t="s">
        <v>2346</v>
      </c>
      <c r="F1502" s="5" t="s">
        <v>166</v>
      </c>
      <c r="G1502" s="6">
        <v>0.2</v>
      </c>
      <c r="H1502" s="5" t="s">
        <v>1667</v>
      </c>
      <c r="I1502" s="5" t="s">
        <v>20</v>
      </c>
      <c r="J1502" s="5">
        <v>2018.0</v>
      </c>
      <c r="L1502" s="5">
        <v>1.0</v>
      </c>
      <c r="M1502" s="7">
        <f t="shared" si="3"/>
        <v>0.2</v>
      </c>
    </row>
    <row r="1503">
      <c r="A1503" s="5" t="s">
        <v>3938</v>
      </c>
      <c r="B1503" s="5" t="s">
        <v>1954</v>
      </c>
      <c r="C1503" s="5" t="s">
        <v>297</v>
      </c>
      <c r="D1503" s="5" t="s">
        <v>3939</v>
      </c>
      <c r="E1503" s="5" t="s">
        <v>2346</v>
      </c>
      <c r="F1503" s="5" t="s">
        <v>166</v>
      </c>
      <c r="G1503" s="6">
        <v>0.49</v>
      </c>
      <c r="H1503" s="5" t="s">
        <v>3940</v>
      </c>
      <c r="I1503" s="5" t="s">
        <v>31</v>
      </c>
      <c r="J1503" s="5">
        <v>2023.0</v>
      </c>
      <c r="L1503" s="5">
        <v>1.0</v>
      </c>
      <c r="M1503" s="7">
        <f t="shared" si="3"/>
        <v>0.49</v>
      </c>
    </row>
    <row r="1504">
      <c r="A1504" s="5" t="s">
        <v>3938</v>
      </c>
      <c r="B1504" s="5" t="s">
        <v>1954</v>
      </c>
      <c r="C1504" s="5" t="s">
        <v>297</v>
      </c>
      <c r="D1504" s="5" t="s">
        <v>3939</v>
      </c>
      <c r="E1504" s="5" t="s">
        <v>2346</v>
      </c>
      <c r="F1504" s="5" t="s">
        <v>166</v>
      </c>
      <c r="G1504" s="6">
        <v>0.09</v>
      </c>
      <c r="H1504" s="5" t="s">
        <v>3940</v>
      </c>
      <c r="I1504" s="5" t="s">
        <v>20</v>
      </c>
      <c r="J1504" s="5">
        <v>2023.0</v>
      </c>
      <c r="L1504" s="5">
        <v>3.0</v>
      </c>
      <c r="M1504" s="7">
        <f t="shared" si="3"/>
        <v>0.27</v>
      </c>
    </row>
    <row r="1505">
      <c r="A1505" s="5" t="s">
        <v>3941</v>
      </c>
      <c r="B1505" s="5" t="s">
        <v>1954</v>
      </c>
      <c r="C1505" s="5" t="s">
        <v>297</v>
      </c>
      <c r="D1505" s="5" t="s">
        <v>3942</v>
      </c>
      <c r="E1505" s="5" t="s">
        <v>2346</v>
      </c>
      <c r="F1505" s="5" t="s">
        <v>166</v>
      </c>
      <c r="G1505" s="6">
        <v>0.05</v>
      </c>
      <c r="H1505" s="5" t="s">
        <v>2005</v>
      </c>
      <c r="I1505" s="5" t="s">
        <v>20</v>
      </c>
      <c r="J1505" s="5">
        <v>2020.0</v>
      </c>
      <c r="L1505" s="5">
        <v>1.0</v>
      </c>
      <c r="M1505" s="7">
        <f t="shared" si="3"/>
        <v>0.05</v>
      </c>
    </row>
    <row r="1506">
      <c r="A1506" s="5" t="s">
        <v>3943</v>
      </c>
      <c r="B1506" s="5" t="s">
        <v>3944</v>
      </c>
      <c r="C1506" s="5" t="s">
        <v>1899</v>
      </c>
      <c r="D1506" s="5" t="s">
        <v>3945</v>
      </c>
      <c r="E1506" s="5" t="s">
        <v>2369</v>
      </c>
      <c r="F1506" s="5" t="s">
        <v>166</v>
      </c>
      <c r="G1506" s="6">
        <v>0.45</v>
      </c>
      <c r="H1506" s="5" t="s">
        <v>3946</v>
      </c>
      <c r="I1506" s="5" t="s">
        <v>20</v>
      </c>
      <c r="J1506" s="5">
        <v>2007.0</v>
      </c>
      <c r="K1506" s="8">
        <v>46179.0</v>
      </c>
      <c r="L1506" s="5">
        <v>1.0</v>
      </c>
      <c r="M1506" s="7">
        <f t="shared" si="3"/>
        <v>0.45</v>
      </c>
    </row>
    <row r="1507">
      <c r="A1507" s="5" t="s">
        <v>3947</v>
      </c>
      <c r="B1507" s="5" t="s">
        <v>3948</v>
      </c>
      <c r="C1507" s="5" t="s">
        <v>1951</v>
      </c>
      <c r="D1507" s="5" t="s">
        <v>3949</v>
      </c>
      <c r="E1507" s="5" t="s">
        <v>2354</v>
      </c>
      <c r="F1507" s="5" t="s">
        <v>166</v>
      </c>
      <c r="G1507" s="6">
        <v>0.04</v>
      </c>
      <c r="H1507" s="5" t="s">
        <v>1644</v>
      </c>
      <c r="I1507" s="5" t="s">
        <v>20</v>
      </c>
      <c r="J1507" s="5">
        <v>2019.0</v>
      </c>
      <c r="K1507" s="8">
        <v>46023.0</v>
      </c>
      <c r="L1507" s="5">
        <v>1.0</v>
      </c>
      <c r="M1507" s="7">
        <f t="shared" si="3"/>
        <v>0.04</v>
      </c>
    </row>
    <row r="1508">
      <c r="A1508" s="5" t="s">
        <v>3950</v>
      </c>
      <c r="B1508" s="5" t="s">
        <v>2585</v>
      </c>
      <c r="C1508" s="5" t="s">
        <v>297</v>
      </c>
      <c r="D1508" s="5" t="s">
        <v>3951</v>
      </c>
      <c r="E1508" s="5" t="s">
        <v>2354</v>
      </c>
      <c r="F1508" s="5" t="s">
        <v>166</v>
      </c>
      <c r="G1508" s="6">
        <v>0.06</v>
      </c>
      <c r="H1508" s="5" t="s">
        <v>1697</v>
      </c>
      <c r="I1508" s="5" t="s">
        <v>20</v>
      </c>
      <c r="J1508" s="5">
        <v>2004.0</v>
      </c>
      <c r="K1508" s="8">
        <v>46055.0</v>
      </c>
      <c r="L1508" s="5">
        <v>1.0</v>
      </c>
      <c r="M1508" s="7">
        <f t="shared" si="3"/>
        <v>0.06</v>
      </c>
    </row>
    <row r="1509">
      <c r="A1509" s="5" t="s">
        <v>3952</v>
      </c>
      <c r="B1509" s="5" t="s">
        <v>3953</v>
      </c>
      <c r="C1509" s="5" t="s">
        <v>297</v>
      </c>
      <c r="D1509" s="5" t="s">
        <v>3954</v>
      </c>
      <c r="E1509" s="5" t="s">
        <v>2354</v>
      </c>
      <c r="F1509" s="5" t="s">
        <v>166</v>
      </c>
      <c r="G1509" s="6">
        <v>0.05</v>
      </c>
      <c r="H1509" s="5" t="s">
        <v>3427</v>
      </c>
      <c r="I1509" s="5" t="s">
        <v>20</v>
      </c>
      <c r="J1509" s="5">
        <v>2004.0</v>
      </c>
      <c r="K1509" s="8">
        <v>46055.0</v>
      </c>
      <c r="L1509" s="5">
        <v>1.0</v>
      </c>
      <c r="M1509" s="7">
        <f t="shared" si="3"/>
        <v>0.05</v>
      </c>
    </row>
    <row r="1510">
      <c r="A1510" s="5" t="s">
        <v>3955</v>
      </c>
      <c r="B1510" s="5" t="s">
        <v>3956</v>
      </c>
      <c r="C1510" s="5" t="s">
        <v>297</v>
      </c>
      <c r="D1510" s="5" t="s">
        <v>3957</v>
      </c>
      <c r="E1510" s="5" t="s">
        <v>932</v>
      </c>
      <c r="F1510" s="5" t="s">
        <v>166</v>
      </c>
      <c r="G1510" s="6">
        <v>0.05</v>
      </c>
      <c r="H1510" s="5" t="s">
        <v>1637</v>
      </c>
      <c r="I1510" s="5" t="s">
        <v>20</v>
      </c>
      <c r="J1510" s="5">
        <v>2005.0</v>
      </c>
      <c r="K1510" s="8">
        <v>46056.0</v>
      </c>
      <c r="L1510" s="5">
        <v>1.0</v>
      </c>
      <c r="M1510" s="7">
        <f t="shared" si="3"/>
        <v>0.05</v>
      </c>
    </row>
    <row r="1511">
      <c r="A1511" s="5" t="s">
        <v>3958</v>
      </c>
      <c r="B1511" s="5" t="s">
        <v>3342</v>
      </c>
      <c r="C1511" s="5" t="s">
        <v>1951</v>
      </c>
      <c r="D1511" s="5" t="s">
        <v>3959</v>
      </c>
      <c r="E1511" s="5" t="s">
        <v>2354</v>
      </c>
      <c r="F1511" s="5" t="s">
        <v>166</v>
      </c>
      <c r="G1511" s="6">
        <v>0.06</v>
      </c>
      <c r="H1511" s="5" t="s">
        <v>2204</v>
      </c>
      <c r="I1511" s="5" t="s">
        <v>20</v>
      </c>
      <c r="J1511" s="5">
        <v>2023.0</v>
      </c>
      <c r="K1511" s="8">
        <v>46116.0</v>
      </c>
      <c r="L1511" s="5">
        <v>1.0</v>
      </c>
      <c r="M1511" s="7">
        <f t="shared" si="3"/>
        <v>0.06</v>
      </c>
    </row>
    <row r="1512">
      <c r="A1512" s="5" t="s">
        <v>3960</v>
      </c>
      <c r="B1512" s="5" t="s">
        <v>3961</v>
      </c>
      <c r="C1512" s="5" t="s">
        <v>1951</v>
      </c>
      <c r="D1512" s="5" t="s">
        <v>3962</v>
      </c>
      <c r="E1512" s="5" t="s">
        <v>2354</v>
      </c>
      <c r="F1512" s="5" t="s">
        <v>166</v>
      </c>
      <c r="G1512" s="6">
        <v>0.19</v>
      </c>
      <c r="H1512" s="5" t="s">
        <v>2579</v>
      </c>
      <c r="I1512" s="5" t="s">
        <v>20</v>
      </c>
      <c r="J1512" s="5">
        <v>2004.0</v>
      </c>
      <c r="K1512" s="8">
        <v>46024.0</v>
      </c>
      <c r="L1512" s="5">
        <v>1.0</v>
      </c>
      <c r="M1512" s="7">
        <f t="shared" si="3"/>
        <v>0.19</v>
      </c>
    </row>
    <row r="1513">
      <c r="A1513" s="5" t="s">
        <v>3963</v>
      </c>
      <c r="B1513" s="5" t="s">
        <v>3964</v>
      </c>
      <c r="C1513" s="5" t="s">
        <v>297</v>
      </c>
      <c r="D1513" s="5" t="s">
        <v>3965</v>
      </c>
      <c r="E1513" s="5" t="s">
        <v>2369</v>
      </c>
      <c r="F1513" s="5" t="s">
        <v>166</v>
      </c>
      <c r="G1513" s="6">
        <v>0.06</v>
      </c>
      <c r="H1513" s="5" t="s">
        <v>1967</v>
      </c>
      <c r="I1513" s="5" t="s">
        <v>20</v>
      </c>
      <c r="J1513" s="5">
        <v>2022.0</v>
      </c>
      <c r="K1513" s="8">
        <v>46057.0</v>
      </c>
      <c r="L1513" s="5">
        <v>1.0</v>
      </c>
      <c r="M1513" s="7">
        <f t="shared" si="3"/>
        <v>0.06</v>
      </c>
    </row>
    <row r="1514">
      <c r="A1514" s="5" t="s">
        <v>3960</v>
      </c>
      <c r="B1514" s="5" t="s">
        <v>3961</v>
      </c>
      <c r="C1514" s="5" t="s">
        <v>1951</v>
      </c>
      <c r="D1514" s="5" t="s">
        <v>3962</v>
      </c>
      <c r="E1514" s="5" t="s">
        <v>2354</v>
      </c>
      <c r="F1514" s="5" t="s">
        <v>166</v>
      </c>
      <c r="G1514" s="6">
        <v>0.14</v>
      </c>
      <c r="H1514" s="5" t="s">
        <v>2579</v>
      </c>
      <c r="I1514" s="5" t="s">
        <v>20</v>
      </c>
      <c r="J1514" s="5">
        <v>2004.0</v>
      </c>
      <c r="K1514" s="8">
        <v>46024.0</v>
      </c>
      <c r="L1514" s="5">
        <v>1.0</v>
      </c>
      <c r="M1514" s="7">
        <f t="shared" si="3"/>
        <v>0.14</v>
      </c>
      <c r="N1514" s="5" t="s">
        <v>3966</v>
      </c>
    </row>
    <row r="1515">
      <c r="A1515" s="5" t="s">
        <v>3967</v>
      </c>
      <c r="B1515" s="5" t="s">
        <v>3968</v>
      </c>
      <c r="C1515" s="5" t="s">
        <v>1951</v>
      </c>
      <c r="D1515" s="5" t="s">
        <v>3969</v>
      </c>
      <c r="E1515" s="5" t="s">
        <v>2354</v>
      </c>
      <c r="F1515" s="5" t="s">
        <v>166</v>
      </c>
      <c r="G1515" s="6">
        <v>0.09</v>
      </c>
      <c r="H1515" s="5" t="s">
        <v>2005</v>
      </c>
      <c r="I1515" s="5" t="s">
        <v>20</v>
      </c>
      <c r="J1515" s="5">
        <v>2020.0</v>
      </c>
      <c r="K1515" s="8">
        <v>46083.0</v>
      </c>
      <c r="L1515" s="5">
        <v>1.0</v>
      </c>
      <c r="M1515" s="7">
        <f t="shared" si="3"/>
        <v>0.09</v>
      </c>
    </row>
    <row r="1516">
      <c r="A1516" s="5" t="s">
        <v>3970</v>
      </c>
      <c r="B1516" s="5" t="s">
        <v>3971</v>
      </c>
      <c r="C1516" s="5" t="s">
        <v>297</v>
      </c>
      <c r="D1516" s="5" t="s">
        <v>3972</v>
      </c>
      <c r="E1516" s="5" t="s">
        <v>2346</v>
      </c>
      <c r="F1516" s="5" t="s">
        <v>166</v>
      </c>
      <c r="G1516" s="6">
        <v>0.49</v>
      </c>
      <c r="H1516" s="5" t="s">
        <v>1707</v>
      </c>
      <c r="I1516" s="5" t="s">
        <v>20</v>
      </c>
      <c r="J1516" s="5">
        <v>2016.0</v>
      </c>
      <c r="K1516" s="8">
        <v>46082.0</v>
      </c>
      <c r="L1516" s="5">
        <v>1.0</v>
      </c>
      <c r="M1516" s="7">
        <f t="shared" si="3"/>
        <v>0.49</v>
      </c>
    </row>
    <row r="1517">
      <c r="A1517" s="5" t="s">
        <v>3973</v>
      </c>
      <c r="B1517" s="5" t="s">
        <v>3558</v>
      </c>
      <c r="C1517" s="5" t="s">
        <v>297</v>
      </c>
      <c r="D1517" s="5" t="s">
        <v>3974</v>
      </c>
      <c r="E1517" s="5" t="s">
        <v>2369</v>
      </c>
      <c r="F1517" s="5" t="s">
        <v>166</v>
      </c>
      <c r="G1517" s="6">
        <v>0.03</v>
      </c>
      <c r="H1517" s="5" t="s">
        <v>2515</v>
      </c>
      <c r="I1517" s="5" t="s">
        <v>20</v>
      </c>
      <c r="J1517" s="5">
        <v>2018.0</v>
      </c>
      <c r="K1517" s="8">
        <v>46084.0</v>
      </c>
      <c r="L1517" s="5">
        <v>1.0</v>
      </c>
      <c r="M1517" s="7">
        <f t="shared" si="3"/>
        <v>0.03</v>
      </c>
    </row>
    <row r="1518">
      <c r="A1518" s="5" t="s">
        <v>3975</v>
      </c>
      <c r="B1518" s="5" t="s">
        <v>3493</v>
      </c>
      <c r="C1518" s="5" t="s">
        <v>1899</v>
      </c>
      <c r="D1518" s="5" t="s">
        <v>3976</v>
      </c>
      <c r="E1518" s="5" t="s">
        <v>2369</v>
      </c>
      <c r="F1518" s="5" t="s">
        <v>166</v>
      </c>
      <c r="G1518" s="6">
        <v>0.21</v>
      </c>
      <c r="H1518" s="5" t="s">
        <v>2174</v>
      </c>
      <c r="I1518" s="5" t="s">
        <v>20</v>
      </c>
      <c r="J1518" s="5">
        <v>2021.0</v>
      </c>
      <c r="K1518" s="8">
        <v>46085.0</v>
      </c>
      <c r="L1518" s="5">
        <v>1.0</v>
      </c>
      <c r="M1518" s="7">
        <f t="shared" si="3"/>
        <v>0.21</v>
      </c>
    </row>
    <row r="1519">
      <c r="A1519" s="5" t="s">
        <v>3977</v>
      </c>
      <c r="B1519" s="5" t="s">
        <v>3471</v>
      </c>
      <c r="C1519" s="5" t="s">
        <v>297</v>
      </c>
      <c r="D1519" s="5" t="s">
        <v>3978</v>
      </c>
      <c r="E1519" s="5" t="s">
        <v>2346</v>
      </c>
      <c r="F1519" s="5" t="s">
        <v>166</v>
      </c>
      <c r="G1519" s="6">
        <v>0.03</v>
      </c>
      <c r="H1519" s="5" t="s">
        <v>2562</v>
      </c>
      <c r="I1519" s="5" t="s">
        <v>20</v>
      </c>
      <c r="J1519" s="5">
        <v>2017.0</v>
      </c>
      <c r="K1519" s="8">
        <v>46055.0</v>
      </c>
      <c r="L1519" s="5">
        <v>1.0</v>
      </c>
      <c r="M1519" s="7">
        <f t="shared" si="3"/>
        <v>0.03</v>
      </c>
    </row>
    <row r="1520">
      <c r="A1520" s="5" t="s">
        <v>3979</v>
      </c>
      <c r="B1520" s="5" t="s">
        <v>3980</v>
      </c>
      <c r="C1520" s="5" t="s">
        <v>1951</v>
      </c>
      <c r="D1520" s="5" t="s">
        <v>3981</v>
      </c>
      <c r="E1520" s="5" t="s">
        <v>2784</v>
      </c>
      <c r="F1520" s="5" t="s">
        <v>166</v>
      </c>
      <c r="G1520" s="6">
        <v>0.04</v>
      </c>
      <c r="H1520" s="5" t="s">
        <v>1958</v>
      </c>
      <c r="I1520" s="5" t="s">
        <v>20</v>
      </c>
      <c r="J1520" s="5">
        <v>2021.0</v>
      </c>
      <c r="K1520" s="8">
        <v>46116.0</v>
      </c>
      <c r="L1520" s="5">
        <v>1.0</v>
      </c>
      <c r="M1520" s="7">
        <f t="shared" si="3"/>
        <v>0.04</v>
      </c>
    </row>
    <row r="1521">
      <c r="A1521" s="5" t="s">
        <v>3982</v>
      </c>
      <c r="B1521" s="5" t="s">
        <v>3983</v>
      </c>
      <c r="C1521" s="5" t="s">
        <v>1899</v>
      </c>
      <c r="D1521" s="5" t="s">
        <v>3984</v>
      </c>
      <c r="E1521" s="5" t="s">
        <v>3919</v>
      </c>
      <c r="F1521" s="5" t="s">
        <v>166</v>
      </c>
      <c r="G1521" s="6">
        <v>0.19</v>
      </c>
      <c r="H1521" s="5" t="s">
        <v>3097</v>
      </c>
      <c r="I1521" s="5" t="s">
        <v>20</v>
      </c>
      <c r="J1521" s="5">
        <v>2015.0</v>
      </c>
      <c r="K1521" s="8">
        <v>46055.0</v>
      </c>
      <c r="L1521" s="5">
        <v>1.0</v>
      </c>
      <c r="M1521" s="7">
        <f t="shared" si="3"/>
        <v>0.19</v>
      </c>
    </row>
    <row r="1522">
      <c r="A1522" s="5" t="s">
        <v>3985</v>
      </c>
      <c r="B1522" s="5" t="s">
        <v>3433</v>
      </c>
      <c r="C1522" s="5" t="s">
        <v>297</v>
      </c>
      <c r="D1522" s="5" t="s">
        <v>3986</v>
      </c>
      <c r="E1522" s="5" t="s">
        <v>2354</v>
      </c>
      <c r="F1522" s="5" t="s">
        <v>166</v>
      </c>
      <c r="G1522" s="6">
        <v>1.75</v>
      </c>
      <c r="H1522" s="5" t="s">
        <v>1700</v>
      </c>
      <c r="I1522" s="5" t="s">
        <v>31</v>
      </c>
      <c r="J1522" s="5">
        <v>2003.0</v>
      </c>
      <c r="K1522" s="8">
        <v>46055.0</v>
      </c>
      <c r="L1522" s="5">
        <v>1.0</v>
      </c>
      <c r="M1522" s="7">
        <f t="shared" si="3"/>
        <v>1.75</v>
      </c>
    </row>
    <row r="1523">
      <c r="A1523" s="5" t="s">
        <v>3987</v>
      </c>
      <c r="B1523" s="5" t="s">
        <v>3988</v>
      </c>
      <c r="C1523" s="5" t="s">
        <v>1899</v>
      </c>
      <c r="D1523" s="5" t="s">
        <v>3989</v>
      </c>
      <c r="E1523" s="5" t="s">
        <v>2354</v>
      </c>
      <c r="F1523" s="5" t="s">
        <v>166</v>
      </c>
      <c r="G1523" s="6">
        <v>0.32</v>
      </c>
      <c r="H1523" s="5" t="s">
        <v>2177</v>
      </c>
      <c r="I1523" s="5" t="s">
        <v>20</v>
      </c>
      <c r="J1523" s="5">
        <v>2018.0</v>
      </c>
      <c r="K1523" s="8">
        <v>46082.0</v>
      </c>
      <c r="L1523" s="5">
        <v>1.0</v>
      </c>
      <c r="M1523" s="7">
        <f t="shared" si="3"/>
        <v>0.32</v>
      </c>
    </row>
    <row r="1524">
      <c r="A1524" s="5" t="s">
        <v>3990</v>
      </c>
      <c r="B1524" s="5" t="s">
        <v>3991</v>
      </c>
      <c r="C1524" s="5" t="s">
        <v>1899</v>
      </c>
      <c r="D1524" s="5" t="s">
        <v>3992</v>
      </c>
      <c r="E1524" s="5" t="s">
        <v>2354</v>
      </c>
      <c r="F1524" s="5" t="s">
        <v>166</v>
      </c>
      <c r="G1524" s="6">
        <v>0.59</v>
      </c>
      <c r="H1524" s="5" t="s">
        <v>2240</v>
      </c>
      <c r="I1524" s="5" t="s">
        <v>20</v>
      </c>
      <c r="J1524" s="5">
        <v>2024.0</v>
      </c>
      <c r="K1524" s="8">
        <v>46084.0</v>
      </c>
      <c r="L1524" s="5">
        <v>1.0</v>
      </c>
      <c r="M1524" s="7">
        <f t="shared" si="3"/>
        <v>0.59</v>
      </c>
    </row>
    <row r="1525">
      <c r="A1525" s="5" t="s">
        <v>3993</v>
      </c>
      <c r="B1525" s="5" t="s">
        <v>3991</v>
      </c>
      <c r="C1525" s="5" t="s">
        <v>1899</v>
      </c>
      <c r="D1525" s="5" t="s">
        <v>3994</v>
      </c>
      <c r="E1525" s="5" t="s">
        <v>3919</v>
      </c>
      <c r="F1525" s="5" t="s">
        <v>166</v>
      </c>
      <c r="G1525" s="6">
        <v>0.94</v>
      </c>
      <c r="H1525" s="5" t="s">
        <v>1667</v>
      </c>
      <c r="I1525" s="5" t="s">
        <v>20</v>
      </c>
      <c r="J1525" s="5">
        <v>2018.0</v>
      </c>
      <c r="K1525" s="8">
        <v>46024.0</v>
      </c>
      <c r="L1525" s="5">
        <v>1.0</v>
      </c>
      <c r="M1525" s="7">
        <f t="shared" si="3"/>
        <v>0.94</v>
      </c>
    </row>
    <row r="1526">
      <c r="A1526" s="5" t="s">
        <v>3995</v>
      </c>
      <c r="B1526" s="5" t="s">
        <v>2480</v>
      </c>
      <c r="C1526" s="5" t="s">
        <v>297</v>
      </c>
      <c r="D1526" s="5" t="s">
        <v>3996</v>
      </c>
      <c r="E1526" s="5" t="s">
        <v>3430</v>
      </c>
      <c r="F1526" s="5" t="s">
        <v>166</v>
      </c>
      <c r="G1526" s="6">
        <v>0.03</v>
      </c>
      <c r="H1526" s="5" t="s">
        <v>1989</v>
      </c>
      <c r="I1526" s="5" t="s">
        <v>20</v>
      </c>
      <c r="J1526" s="5">
        <v>2019.0</v>
      </c>
      <c r="K1526" s="8">
        <v>46085.0</v>
      </c>
      <c r="L1526" s="5">
        <v>1.0</v>
      </c>
      <c r="M1526" s="7">
        <f t="shared" si="3"/>
        <v>0.03</v>
      </c>
    </row>
    <row r="1527">
      <c r="A1527" s="5" t="s">
        <v>3997</v>
      </c>
      <c r="B1527" s="5" t="s">
        <v>3843</v>
      </c>
      <c r="C1527" s="5" t="s">
        <v>297</v>
      </c>
      <c r="D1527" s="5" t="s">
        <v>3998</v>
      </c>
      <c r="E1527" s="5" t="s">
        <v>2369</v>
      </c>
      <c r="F1527" s="5" t="s">
        <v>166</v>
      </c>
      <c r="G1527" s="6">
        <v>0.03</v>
      </c>
      <c r="H1527" s="5" t="s">
        <v>1667</v>
      </c>
      <c r="I1527" s="5" t="s">
        <v>20</v>
      </c>
      <c r="J1527" s="5">
        <v>2018.0</v>
      </c>
      <c r="K1527" s="8">
        <v>46116.0</v>
      </c>
      <c r="L1527" s="5">
        <v>1.0</v>
      </c>
      <c r="M1527" s="7">
        <f t="shared" si="3"/>
        <v>0.03</v>
      </c>
    </row>
    <row r="1528">
      <c r="A1528" s="5" t="s">
        <v>3999</v>
      </c>
      <c r="B1528" s="5" t="s">
        <v>2480</v>
      </c>
      <c r="C1528" s="5" t="s">
        <v>1951</v>
      </c>
      <c r="D1528" s="5" t="s">
        <v>4000</v>
      </c>
      <c r="E1528" s="5" t="s">
        <v>2346</v>
      </c>
      <c r="F1528" s="5" t="s">
        <v>166</v>
      </c>
      <c r="G1528" s="6">
        <v>0.08</v>
      </c>
      <c r="H1528" s="5" t="s">
        <v>2204</v>
      </c>
      <c r="I1528" s="5" t="s">
        <v>20</v>
      </c>
      <c r="J1528" s="5">
        <v>2014.0</v>
      </c>
      <c r="K1528" s="8">
        <v>46024.0</v>
      </c>
      <c r="L1528" s="5">
        <v>1.0</v>
      </c>
      <c r="M1528" s="7">
        <f t="shared" si="3"/>
        <v>0.08</v>
      </c>
    </row>
    <row r="1529">
      <c r="A1529" s="5" t="s">
        <v>4001</v>
      </c>
      <c r="B1529" s="5" t="s">
        <v>4002</v>
      </c>
      <c r="C1529" s="5" t="s">
        <v>297</v>
      </c>
      <c r="D1529" s="5" t="s">
        <v>4003</v>
      </c>
      <c r="E1529" s="5" t="s">
        <v>2369</v>
      </c>
      <c r="F1529" s="5" t="s">
        <v>166</v>
      </c>
      <c r="G1529" s="6">
        <v>0.06</v>
      </c>
      <c r="H1529" s="5" t="s">
        <v>1679</v>
      </c>
      <c r="I1529" s="5" t="s">
        <v>20</v>
      </c>
      <c r="J1529" s="5">
        <v>2008.0</v>
      </c>
      <c r="K1529" s="5" t="s">
        <v>752</v>
      </c>
      <c r="L1529" s="5">
        <v>1.0</v>
      </c>
      <c r="M1529" s="7">
        <f t="shared" si="3"/>
        <v>0.06</v>
      </c>
    </row>
    <row r="1530">
      <c r="A1530" s="5" t="s">
        <v>4004</v>
      </c>
      <c r="B1530" s="5" t="s">
        <v>4005</v>
      </c>
      <c r="C1530" s="5" t="s">
        <v>297</v>
      </c>
      <c r="E1530" s="5" t="s">
        <v>2354</v>
      </c>
      <c r="F1530" s="5" t="s">
        <v>166</v>
      </c>
      <c r="G1530" s="6">
        <v>0.06</v>
      </c>
      <c r="H1530" s="5" t="s">
        <v>2646</v>
      </c>
      <c r="I1530" s="5" t="s">
        <v>20</v>
      </c>
      <c r="J1530" s="5">
        <v>2013.0</v>
      </c>
      <c r="K1530" s="8">
        <v>46026.0</v>
      </c>
      <c r="L1530" s="5">
        <v>1.0</v>
      </c>
      <c r="M1530" s="7">
        <f t="shared" si="3"/>
        <v>0.06</v>
      </c>
    </row>
    <row r="1531">
      <c r="A1531" s="5" t="s">
        <v>4006</v>
      </c>
      <c r="B1531" s="5" t="s">
        <v>2415</v>
      </c>
      <c r="C1531" s="5" t="s">
        <v>297</v>
      </c>
      <c r="D1531" s="5" t="s">
        <v>4007</v>
      </c>
      <c r="E1531" s="5" t="s">
        <v>2354</v>
      </c>
      <c r="F1531" s="5" t="s">
        <v>166</v>
      </c>
      <c r="G1531" s="6">
        <v>0.06</v>
      </c>
      <c r="H1531" s="5" t="s">
        <v>3685</v>
      </c>
      <c r="I1531" s="5" t="s">
        <v>20</v>
      </c>
      <c r="J1531" s="5">
        <v>2022.0</v>
      </c>
      <c r="K1531" s="8">
        <v>46056.0</v>
      </c>
      <c r="L1531" s="5">
        <v>1.0</v>
      </c>
      <c r="M1531" s="7">
        <f t="shared" si="3"/>
        <v>0.06</v>
      </c>
    </row>
    <row r="1532">
      <c r="A1532" s="5" t="s">
        <v>4008</v>
      </c>
      <c r="B1532" s="5" t="s">
        <v>4009</v>
      </c>
      <c r="C1532" s="5" t="s">
        <v>1951</v>
      </c>
      <c r="D1532" s="5" t="s">
        <v>4010</v>
      </c>
      <c r="E1532" s="5" t="s">
        <v>2354</v>
      </c>
      <c r="F1532" s="5" t="s">
        <v>166</v>
      </c>
      <c r="G1532" s="6">
        <v>0.09</v>
      </c>
      <c r="H1532" s="5" t="s">
        <v>3431</v>
      </c>
      <c r="I1532" s="5" t="s">
        <v>20</v>
      </c>
      <c r="J1532" s="5">
        <v>2018.0</v>
      </c>
      <c r="K1532" s="8">
        <v>46055.0</v>
      </c>
      <c r="L1532" s="5">
        <v>1.0</v>
      </c>
      <c r="M1532" s="7">
        <f t="shared" si="3"/>
        <v>0.09</v>
      </c>
    </row>
    <row r="1533">
      <c r="A1533" s="5" t="s">
        <v>4011</v>
      </c>
      <c r="B1533" s="5" t="s">
        <v>2512</v>
      </c>
      <c r="C1533" s="5" t="s">
        <v>297</v>
      </c>
      <c r="E1533" s="5" t="s">
        <v>2354</v>
      </c>
      <c r="F1533" s="5" t="s">
        <v>166</v>
      </c>
      <c r="G1533" s="6">
        <v>0.03</v>
      </c>
      <c r="H1533" s="5" t="s">
        <v>2562</v>
      </c>
      <c r="I1533" s="5" t="s">
        <v>20</v>
      </c>
      <c r="J1533" s="5">
        <v>2017.0</v>
      </c>
      <c r="K1533" s="8">
        <v>46057.0</v>
      </c>
      <c r="L1533" s="5">
        <v>1.0</v>
      </c>
      <c r="M1533" s="7">
        <f t="shared" si="3"/>
        <v>0.03</v>
      </c>
    </row>
    <row r="1534">
      <c r="A1534" s="5" t="s">
        <v>4012</v>
      </c>
      <c r="B1534" s="5" t="s">
        <v>2626</v>
      </c>
      <c r="C1534" s="5" t="s">
        <v>1899</v>
      </c>
      <c r="D1534" s="5" t="s">
        <v>4013</v>
      </c>
      <c r="E1534" s="5" t="s">
        <v>3430</v>
      </c>
      <c r="F1534" s="5" t="s">
        <v>166</v>
      </c>
      <c r="G1534" s="6">
        <v>0.99</v>
      </c>
      <c r="H1534" s="5" t="s">
        <v>1714</v>
      </c>
      <c r="I1534" s="5" t="s">
        <v>20</v>
      </c>
      <c r="J1534" s="5">
        <v>2022.0</v>
      </c>
      <c r="K1534" s="8">
        <v>46084.0</v>
      </c>
      <c r="L1534" s="5">
        <v>1.0</v>
      </c>
      <c r="M1534" s="7">
        <f t="shared" si="3"/>
        <v>0.99</v>
      </c>
    </row>
    <row r="1535">
      <c r="A1535" s="5" t="s">
        <v>4014</v>
      </c>
      <c r="B1535" s="5" t="s">
        <v>4015</v>
      </c>
      <c r="C1535" s="5" t="s">
        <v>297</v>
      </c>
      <c r="D1535" s="5" t="s">
        <v>4016</v>
      </c>
      <c r="E1535" s="5" t="s">
        <v>3430</v>
      </c>
      <c r="F1535" s="5" t="s">
        <v>166</v>
      </c>
      <c r="G1535" s="6">
        <v>0.09</v>
      </c>
      <c r="H1535" s="5" t="s">
        <v>1637</v>
      </c>
      <c r="I1535" s="5" t="s">
        <v>20</v>
      </c>
      <c r="J1535" s="5">
        <v>2005.0</v>
      </c>
      <c r="K1535" s="8">
        <v>46084.0</v>
      </c>
      <c r="L1535" s="5">
        <v>1.0</v>
      </c>
      <c r="M1535" s="7">
        <f t="shared" si="3"/>
        <v>0.09</v>
      </c>
    </row>
    <row r="1536">
      <c r="A1536" s="5" t="s">
        <v>4017</v>
      </c>
      <c r="B1536" s="5" t="s">
        <v>3814</v>
      </c>
      <c r="C1536" s="5" t="s">
        <v>297</v>
      </c>
      <c r="D1536" s="5" t="s">
        <v>4018</v>
      </c>
      <c r="E1536" s="5" t="s">
        <v>2369</v>
      </c>
      <c r="F1536" s="5" t="s">
        <v>166</v>
      </c>
      <c r="G1536" s="6">
        <v>0.09</v>
      </c>
      <c r="H1536" s="5" t="s">
        <v>2005</v>
      </c>
      <c r="I1536" s="5" t="s">
        <v>20</v>
      </c>
      <c r="J1536" s="5">
        <v>2020.0</v>
      </c>
      <c r="K1536" s="8">
        <v>46115.0</v>
      </c>
      <c r="L1536" s="5">
        <v>1.0</v>
      </c>
      <c r="M1536" s="7">
        <f t="shared" si="3"/>
        <v>0.09</v>
      </c>
    </row>
    <row r="1537">
      <c r="A1537" s="5" t="s">
        <v>4019</v>
      </c>
      <c r="B1537" s="5" t="s">
        <v>4020</v>
      </c>
      <c r="C1537" s="5" t="s">
        <v>297</v>
      </c>
      <c r="D1537" s="5" t="s">
        <v>4021</v>
      </c>
      <c r="E1537" s="5" t="s">
        <v>2762</v>
      </c>
      <c r="F1537" s="5" t="s">
        <v>166</v>
      </c>
      <c r="G1537" s="6">
        <v>0.03</v>
      </c>
      <c r="H1537" s="5" t="s">
        <v>1989</v>
      </c>
      <c r="I1537" s="5" t="s">
        <v>20</v>
      </c>
      <c r="J1537" s="5">
        <v>2019.0</v>
      </c>
      <c r="K1537" s="8">
        <v>46148.0</v>
      </c>
      <c r="L1537" s="5">
        <v>1.0</v>
      </c>
      <c r="M1537" s="7">
        <f t="shared" si="3"/>
        <v>0.03</v>
      </c>
    </row>
    <row r="1538">
      <c r="A1538" s="5" t="s">
        <v>4022</v>
      </c>
      <c r="B1538" s="5" t="s">
        <v>2512</v>
      </c>
      <c r="C1538" s="5" t="s">
        <v>297</v>
      </c>
      <c r="D1538" s="5" t="s">
        <v>4023</v>
      </c>
      <c r="E1538" s="5" t="s">
        <v>2762</v>
      </c>
      <c r="F1538" s="5" t="s">
        <v>166</v>
      </c>
      <c r="G1538" s="6">
        <v>0.03</v>
      </c>
      <c r="H1538" s="5" t="s">
        <v>2562</v>
      </c>
      <c r="I1538" s="5" t="s">
        <v>20</v>
      </c>
      <c r="J1538" s="5">
        <v>2017.0</v>
      </c>
      <c r="K1538" s="8">
        <v>46117.0</v>
      </c>
      <c r="L1538" s="5">
        <v>1.0</v>
      </c>
      <c r="M1538" s="7">
        <f t="shared" si="3"/>
        <v>0.03</v>
      </c>
    </row>
    <row r="1539">
      <c r="A1539" s="5" t="s">
        <v>4024</v>
      </c>
      <c r="B1539" s="5" t="s">
        <v>2512</v>
      </c>
      <c r="C1539" s="5" t="s">
        <v>297</v>
      </c>
      <c r="D1539" s="5" t="s">
        <v>4025</v>
      </c>
      <c r="E1539" s="5" t="s">
        <v>2369</v>
      </c>
      <c r="F1539" s="5" t="s">
        <v>166</v>
      </c>
      <c r="G1539" s="6">
        <v>0.03</v>
      </c>
      <c r="H1539" s="5" t="s">
        <v>2562</v>
      </c>
      <c r="I1539" s="5" t="s">
        <v>20</v>
      </c>
      <c r="J1539" s="5">
        <v>2017.0</v>
      </c>
      <c r="K1539" s="8">
        <v>46084.0</v>
      </c>
      <c r="L1539" s="5">
        <v>1.0</v>
      </c>
      <c r="M1539" s="7">
        <f t="shared" si="3"/>
        <v>0.03</v>
      </c>
    </row>
    <row r="1540">
      <c r="A1540" s="5" t="s">
        <v>4026</v>
      </c>
      <c r="B1540" s="5" t="s">
        <v>2381</v>
      </c>
      <c r="C1540" s="5" t="s">
        <v>297</v>
      </c>
      <c r="D1540" s="5" t="s">
        <v>4027</v>
      </c>
      <c r="E1540" s="5" t="s">
        <v>932</v>
      </c>
      <c r="F1540" s="5" t="s">
        <v>166</v>
      </c>
      <c r="G1540" s="6">
        <v>0.09</v>
      </c>
      <c r="H1540" s="5" t="s">
        <v>1628</v>
      </c>
      <c r="I1540" s="5" t="s">
        <v>20</v>
      </c>
      <c r="J1540" s="5">
        <v>2021.0</v>
      </c>
      <c r="K1540" s="8">
        <v>46023.0</v>
      </c>
      <c r="L1540" s="5">
        <v>2.0</v>
      </c>
      <c r="M1540" s="7">
        <f t="shared" si="3"/>
        <v>0.18</v>
      </c>
    </row>
    <row r="1541">
      <c r="A1541" s="5" t="s">
        <v>4028</v>
      </c>
      <c r="B1541" s="5" t="s">
        <v>4029</v>
      </c>
      <c r="C1541" s="5" t="s">
        <v>297</v>
      </c>
      <c r="D1541" s="5" t="s">
        <v>4030</v>
      </c>
      <c r="E1541" s="5" t="s">
        <v>2759</v>
      </c>
      <c r="F1541" s="5" t="s">
        <v>166</v>
      </c>
      <c r="G1541" s="6">
        <v>0.09</v>
      </c>
      <c r="H1541" s="5" t="s">
        <v>1628</v>
      </c>
      <c r="I1541" s="5" t="s">
        <v>20</v>
      </c>
      <c r="J1541" s="5">
        <v>2021.0</v>
      </c>
      <c r="K1541" s="8">
        <v>46117.0</v>
      </c>
      <c r="L1541" s="5">
        <v>3.0</v>
      </c>
      <c r="M1541" s="7">
        <f t="shared" si="3"/>
        <v>0.27</v>
      </c>
    </row>
    <row r="1542">
      <c r="A1542" s="5" t="s">
        <v>4031</v>
      </c>
      <c r="B1542" s="5" t="s">
        <v>3814</v>
      </c>
      <c r="C1542" s="5" t="s">
        <v>297</v>
      </c>
      <c r="D1542" s="5" t="s">
        <v>4032</v>
      </c>
      <c r="E1542" s="5" t="s">
        <v>2354</v>
      </c>
      <c r="F1542" s="5" t="s">
        <v>166</v>
      </c>
      <c r="G1542" s="6">
        <v>0.08</v>
      </c>
      <c r="H1542" s="5" t="s">
        <v>1704</v>
      </c>
      <c r="I1542" s="5" t="s">
        <v>20</v>
      </c>
      <c r="J1542" s="5">
        <v>2008.0</v>
      </c>
      <c r="K1542" s="8">
        <v>46025.0</v>
      </c>
      <c r="L1542" s="5">
        <v>2.0</v>
      </c>
      <c r="M1542" s="7">
        <f t="shared" si="3"/>
        <v>0.16</v>
      </c>
    </row>
    <row r="1543">
      <c r="A1543" s="5" t="s">
        <v>4033</v>
      </c>
      <c r="B1543" s="5" t="s">
        <v>4034</v>
      </c>
      <c r="C1543" s="5" t="s">
        <v>2140</v>
      </c>
      <c r="D1543" s="5" t="s">
        <v>4035</v>
      </c>
      <c r="E1543" s="5" t="s">
        <v>2346</v>
      </c>
      <c r="F1543" s="5" t="s">
        <v>4036</v>
      </c>
      <c r="G1543" s="6">
        <v>0.04</v>
      </c>
      <c r="H1543" s="5" t="s">
        <v>1628</v>
      </c>
      <c r="I1543" s="5" t="s">
        <v>20</v>
      </c>
      <c r="J1543" s="5">
        <v>2021.0</v>
      </c>
      <c r="K1543" s="8">
        <v>46055.0</v>
      </c>
      <c r="L1543" s="5">
        <v>3.0</v>
      </c>
      <c r="M1543" s="7">
        <f t="shared" si="3"/>
        <v>0.12</v>
      </c>
    </row>
    <row r="1544">
      <c r="A1544" s="5" t="s">
        <v>4037</v>
      </c>
      <c r="B1544" s="5" t="s">
        <v>4038</v>
      </c>
      <c r="C1544" s="5" t="s">
        <v>2140</v>
      </c>
      <c r="D1544" s="5" t="s">
        <v>4035</v>
      </c>
      <c r="E1544" s="5" t="s">
        <v>2759</v>
      </c>
      <c r="F1544" s="5" t="s">
        <v>4036</v>
      </c>
      <c r="G1544" s="6">
        <v>0.03</v>
      </c>
      <c r="H1544" s="5" t="s">
        <v>2624</v>
      </c>
      <c r="I1544" s="5" t="s">
        <v>20</v>
      </c>
      <c r="J1544" s="5">
        <v>2019.0</v>
      </c>
      <c r="K1544" s="8">
        <v>46116.0</v>
      </c>
      <c r="L1544" s="5">
        <v>1.0</v>
      </c>
      <c r="M1544" s="7">
        <f t="shared" si="3"/>
        <v>0.03</v>
      </c>
    </row>
    <row r="1545">
      <c r="A1545" s="5" t="s">
        <v>4039</v>
      </c>
      <c r="B1545" s="5" t="s">
        <v>4040</v>
      </c>
      <c r="C1545" s="5" t="s">
        <v>2846</v>
      </c>
      <c r="D1545" s="5" t="s">
        <v>4041</v>
      </c>
      <c r="E1545" s="5" t="s">
        <v>4042</v>
      </c>
      <c r="F1545" s="5" t="s">
        <v>4036</v>
      </c>
      <c r="G1545" s="6">
        <v>0.1</v>
      </c>
      <c r="H1545" s="5" t="s">
        <v>3482</v>
      </c>
      <c r="I1545" s="5" t="s">
        <v>20</v>
      </c>
      <c r="J1545" s="5">
        <v>2023.0</v>
      </c>
      <c r="K1545" s="8">
        <v>46117.0</v>
      </c>
      <c r="L1545" s="5">
        <v>1.0</v>
      </c>
      <c r="M1545" s="7">
        <f t="shared" si="3"/>
        <v>0.1</v>
      </c>
    </row>
    <row r="1546">
      <c r="A1546" s="5" t="s">
        <v>4043</v>
      </c>
      <c r="B1546" s="5" t="s">
        <v>2974</v>
      </c>
      <c r="C1546" s="5" t="s">
        <v>2140</v>
      </c>
      <c r="D1546" s="5" t="s">
        <v>4044</v>
      </c>
      <c r="E1546" s="5" t="s">
        <v>932</v>
      </c>
      <c r="F1546" s="5" t="s">
        <v>4036</v>
      </c>
      <c r="G1546" s="6">
        <v>0.05</v>
      </c>
      <c r="H1546" s="5" t="s">
        <v>2244</v>
      </c>
      <c r="I1546" s="5" t="s">
        <v>20</v>
      </c>
      <c r="J1546" s="5">
        <v>2014.0</v>
      </c>
      <c r="L1546" s="5">
        <v>1.0</v>
      </c>
      <c r="M1546" s="7">
        <f t="shared" si="3"/>
        <v>0.05</v>
      </c>
    </row>
    <row r="1547">
      <c r="A1547" s="5" t="s">
        <v>4045</v>
      </c>
      <c r="B1547" s="5" t="s">
        <v>4046</v>
      </c>
      <c r="C1547" s="5" t="s">
        <v>2846</v>
      </c>
      <c r="D1547" s="5" t="s">
        <v>4047</v>
      </c>
      <c r="E1547" s="5" t="s">
        <v>2362</v>
      </c>
      <c r="F1547" s="5" t="s">
        <v>4036</v>
      </c>
      <c r="G1547" s="6">
        <v>0.09</v>
      </c>
      <c r="H1547" s="5" t="s">
        <v>2005</v>
      </c>
      <c r="I1547" s="5" t="s">
        <v>20</v>
      </c>
      <c r="J1547" s="5">
        <v>2020.0</v>
      </c>
      <c r="K1547" s="8">
        <v>46146.0</v>
      </c>
      <c r="L1547" s="5">
        <v>1.0</v>
      </c>
      <c r="M1547" s="7">
        <f t="shared" si="3"/>
        <v>0.09</v>
      </c>
    </row>
    <row r="1548">
      <c r="A1548" s="5" t="s">
        <v>4048</v>
      </c>
      <c r="B1548" s="5" t="s">
        <v>4049</v>
      </c>
      <c r="C1548" s="5" t="s">
        <v>297</v>
      </c>
      <c r="E1548" s="5" t="s">
        <v>1956</v>
      </c>
      <c r="F1548" s="5" t="s">
        <v>18</v>
      </c>
      <c r="G1548" s="6">
        <v>0.09</v>
      </c>
      <c r="H1548" s="5" t="s">
        <v>3857</v>
      </c>
      <c r="I1548" s="5" t="s">
        <v>20</v>
      </c>
      <c r="J1548" s="5">
        <v>2007.0</v>
      </c>
      <c r="K1548" s="8">
        <v>46055.0</v>
      </c>
      <c r="L1548" s="5">
        <v>2.0</v>
      </c>
      <c r="M1548" s="7">
        <f t="shared" si="3"/>
        <v>0.18</v>
      </c>
    </row>
    <row r="1549">
      <c r="A1549" s="5" t="s">
        <v>4050</v>
      </c>
      <c r="B1549" s="5" t="s">
        <v>4049</v>
      </c>
      <c r="C1549" s="5" t="s">
        <v>297</v>
      </c>
      <c r="E1549" s="5" t="s">
        <v>1956</v>
      </c>
      <c r="F1549" s="5" t="s">
        <v>18</v>
      </c>
      <c r="G1549" s="6">
        <v>0.09</v>
      </c>
      <c r="H1549" s="5" t="s">
        <v>4051</v>
      </c>
      <c r="I1549" s="5" t="s">
        <v>20</v>
      </c>
      <c r="J1549" s="5">
        <v>2014.0</v>
      </c>
      <c r="K1549" s="8">
        <v>46055.0</v>
      </c>
      <c r="L1549" s="5">
        <v>2.0</v>
      </c>
      <c r="M1549" s="7">
        <f t="shared" si="3"/>
        <v>0.18</v>
      </c>
    </row>
    <row r="1550">
      <c r="A1550" s="5" t="s">
        <v>4052</v>
      </c>
      <c r="B1550" s="5" t="s">
        <v>2060</v>
      </c>
      <c r="C1550" s="5" t="s">
        <v>1951</v>
      </c>
      <c r="D1550" s="5" t="s">
        <v>4053</v>
      </c>
      <c r="E1550" s="5" t="s">
        <v>2514</v>
      </c>
      <c r="F1550" s="5" t="s">
        <v>18</v>
      </c>
      <c r="G1550" s="6">
        <v>0.09</v>
      </c>
      <c r="H1550" s="5" t="s">
        <v>1628</v>
      </c>
      <c r="I1550" s="5" t="s">
        <v>20</v>
      </c>
      <c r="J1550" s="5">
        <v>2021.0</v>
      </c>
      <c r="L1550" s="5">
        <v>1.0</v>
      </c>
      <c r="M1550" s="7">
        <f t="shared" si="3"/>
        <v>0.09</v>
      </c>
    </row>
    <row r="1551">
      <c r="A1551" s="5" t="s">
        <v>4054</v>
      </c>
      <c r="B1551" s="5" t="s">
        <v>2060</v>
      </c>
      <c r="C1551" s="5" t="s">
        <v>297</v>
      </c>
      <c r="D1551" s="5" t="s">
        <v>4055</v>
      </c>
      <c r="E1551" s="5" t="s">
        <v>782</v>
      </c>
      <c r="F1551" s="5" t="s">
        <v>18</v>
      </c>
      <c r="G1551" s="6">
        <v>0.1</v>
      </c>
      <c r="H1551" s="5" t="s">
        <v>2460</v>
      </c>
      <c r="I1551" s="5" t="s">
        <v>20</v>
      </c>
      <c r="J1551" s="5">
        <v>2024.0</v>
      </c>
      <c r="L1551" s="5">
        <v>1.0</v>
      </c>
      <c r="M1551" s="7">
        <f t="shared" si="3"/>
        <v>0.1</v>
      </c>
    </row>
    <row r="1552">
      <c r="A1552" s="5" t="s">
        <v>4056</v>
      </c>
      <c r="B1552" s="5" t="s">
        <v>4057</v>
      </c>
      <c r="C1552" s="5" t="s">
        <v>1899</v>
      </c>
      <c r="D1552" s="5" t="s">
        <v>4058</v>
      </c>
      <c r="E1552" s="5" t="s">
        <v>2302</v>
      </c>
      <c r="F1552" s="5" t="s">
        <v>18</v>
      </c>
      <c r="G1552" s="6">
        <v>0.17</v>
      </c>
      <c r="H1552" s="5" t="s">
        <v>2655</v>
      </c>
      <c r="I1552" s="5" t="s">
        <v>20</v>
      </c>
      <c r="J1552" s="5">
        <v>2021.0</v>
      </c>
      <c r="L1552" s="5">
        <v>1.0</v>
      </c>
      <c r="M1552" s="7">
        <f t="shared" si="3"/>
        <v>0.17</v>
      </c>
    </row>
    <row r="1553">
      <c r="A1553" s="5" t="s">
        <v>4059</v>
      </c>
      <c r="B1553" s="5" t="s">
        <v>2060</v>
      </c>
      <c r="C1553" s="5" t="s">
        <v>1951</v>
      </c>
      <c r="D1553" s="5" t="s">
        <v>4060</v>
      </c>
      <c r="E1553" s="5" t="s">
        <v>2298</v>
      </c>
      <c r="F1553" s="5" t="s">
        <v>18</v>
      </c>
      <c r="G1553" s="6">
        <v>0.09</v>
      </c>
      <c r="H1553" s="5" t="s">
        <v>2555</v>
      </c>
      <c r="I1553" s="5" t="s">
        <v>20</v>
      </c>
      <c r="J1553" s="5">
        <v>2020.0</v>
      </c>
      <c r="L1553" s="5">
        <v>1.0</v>
      </c>
      <c r="M1553" s="7">
        <f t="shared" si="3"/>
        <v>0.09</v>
      </c>
    </row>
    <row r="1554">
      <c r="A1554" s="5" t="s">
        <v>4061</v>
      </c>
      <c r="B1554" s="5" t="s">
        <v>2060</v>
      </c>
      <c r="C1554" s="5" t="s">
        <v>297</v>
      </c>
      <c r="D1554" s="5" t="s">
        <v>4062</v>
      </c>
      <c r="E1554" s="5" t="s">
        <v>1956</v>
      </c>
      <c r="F1554" s="5" t="s">
        <v>18</v>
      </c>
      <c r="G1554" s="6">
        <v>0.05</v>
      </c>
      <c r="H1554" s="5" t="s">
        <v>2005</v>
      </c>
      <c r="I1554" s="5" t="s">
        <v>20</v>
      </c>
      <c r="J1554" s="5">
        <v>2020.0</v>
      </c>
      <c r="L1554" s="5">
        <v>1.0</v>
      </c>
      <c r="M1554" s="7">
        <f t="shared" si="3"/>
        <v>0.05</v>
      </c>
    </row>
    <row r="1555">
      <c r="A1555" s="5" t="s">
        <v>4063</v>
      </c>
      <c r="B1555" s="5" t="s">
        <v>2060</v>
      </c>
      <c r="C1555" s="5" t="s">
        <v>1951</v>
      </c>
      <c r="D1555" s="5" t="s">
        <v>4064</v>
      </c>
      <c r="E1555" s="5" t="s">
        <v>2295</v>
      </c>
      <c r="F1555" s="5" t="s">
        <v>18</v>
      </c>
      <c r="G1555" s="6">
        <v>0.15</v>
      </c>
      <c r="H1555" s="5" t="s">
        <v>1684</v>
      </c>
      <c r="I1555" s="5" t="s">
        <v>20</v>
      </c>
      <c r="J1555" s="5">
        <v>2015.0</v>
      </c>
      <c r="L1555" s="5">
        <v>1.0</v>
      </c>
      <c r="M1555" s="7">
        <f t="shared" si="3"/>
        <v>0.15</v>
      </c>
    </row>
    <row r="1556">
      <c r="A1556" s="5" t="s">
        <v>4065</v>
      </c>
      <c r="B1556" s="5" t="s">
        <v>2060</v>
      </c>
      <c r="C1556" s="5" t="s">
        <v>297</v>
      </c>
      <c r="D1556" s="5" t="s">
        <v>4066</v>
      </c>
      <c r="E1556" s="5" t="s">
        <v>782</v>
      </c>
      <c r="F1556" s="5" t="s">
        <v>18</v>
      </c>
      <c r="G1556" s="6">
        <v>0.05</v>
      </c>
      <c r="H1556" s="5" t="s">
        <v>2181</v>
      </c>
      <c r="I1556" s="5" t="s">
        <v>20</v>
      </c>
      <c r="J1556" s="5">
        <v>2018.0</v>
      </c>
      <c r="L1556" s="5">
        <v>1.0</v>
      </c>
      <c r="M1556" s="7">
        <f t="shared" si="3"/>
        <v>0.05</v>
      </c>
    </row>
    <row r="1557">
      <c r="A1557" s="5" t="s">
        <v>4067</v>
      </c>
      <c r="B1557" s="5" t="s">
        <v>2060</v>
      </c>
      <c r="C1557" s="5" t="s">
        <v>1951</v>
      </c>
      <c r="D1557" s="5" t="s">
        <v>4068</v>
      </c>
      <c r="E1557" s="5" t="s">
        <v>2561</v>
      </c>
      <c r="F1557" s="5" t="s">
        <v>18</v>
      </c>
      <c r="G1557" s="6">
        <v>0.18</v>
      </c>
      <c r="H1557" s="5" t="s">
        <v>1958</v>
      </c>
      <c r="I1557" s="5" t="s">
        <v>20</v>
      </c>
      <c r="J1557" s="5">
        <v>2021.0</v>
      </c>
      <c r="L1557" s="5">
        <v>2.0</v>
      </c>
      <c r="M1557" s="7">
        <f t="shared" si="3"/>
        <v>0.36</v>
      </c>
    </row>
    <row r="1558">
      <c r="A1558" s="5" t="s">
        <v>4069</v>
      </c>
      <c r="B1558" s="5" t="s">
        <v>1954</v>
      </c>
      <c r="C1558" s="5" t="s">
        <v>297</v>
      </c>
      <c r="D1558" s="5" t="s">
        <v>4070</v>
      </c>
      <c r="E1558" s="5" t="s">
        <v>2514</v>
      </c>
      <c r="F1558" s="5" t="s">
        <v>18</v>
      </c>
      <c r="G1558" s="6">
        <v>0.05</v>
      </c>
      <c r="H1558" s="5" t="s">
        <v>2460</v>
      </c>
      <c r="I1558" s="5" t="s">
        <v>20</v>
      </c>
      <c r="J1558" s="5">
        <v>2024.0</v>
      </c>
      <c r="L1558" s="5">
        <v>1.0</v>
      </c>
      <c r="M1558" s="7">
        <f t="shared" si="3"/>
        <v>0.05</v>
      </c>
    </row>
    <row r="1559">
      <c r="A1559" s="5" t="s">
        <v>4071</v>
      </c>
      <c r="B1559" s="5" t="s">
        <v>4072</v>
      </c>
      <c r="C1559" s="5" t="s">
        <v>1951</v>
      </c>
      <c r="D1559" s="5" t="s">
        <v>4073</v>
      </c>
      <c r="E1559" s="5" t="s">
        <v>2302</v>
      </c>
      <c r="F1559" s="5" t="s">
        <v>18</v>
      </c>
      <c r="G1559" s="6">
        <v>0.15</v>
      </c>
      <c r="H1559" s="5" t="s">
        <v>1714</v>
      </c>
      <c r="I1559" s="5" t="s">
        <v>20</v>
      </c>
      <c r="J1559" s="5">
        <v>2022.0</v>
      </c>
      <c r="L1559" s="5">
        <v>1.0</v>
      </c>
      <c r="M1559" s="7">
        <f t="shared" si="3"/>
        <v>0.15</v>
      </c>
    </row>
    <row r="1560">
      <c r="A1560" s="5" t="s">
        <v>4074</v>
      </c>
      <c r="B1560" s="5" t="s">
        <v>2016</v>
      </c>
      <c r="C1560" s="5" t="s">
        <v>297</v>
      </c>
      <c r="D1560" s="5" t="s">
        <v>4075</v>
      </c>
      <c r="E1560" s="5" t="s">
        <v>2298</v>
      </c>
      <c r="F1560" s="5" t="s">
        <v>18</v>
      </c>
      <c r="G1560" s="6">
        <v>0.08</v>
      </c>
      <c r="H1560" s="5" t="s">
        <v>2158</v>
      </c>
      <c r="I1560" s="5" t="s">
        <v>20</v>
      </c>
      <c r="J1560" s="5">
        <v>2014.0</v>
      </c>
      <c r="L1560" s="5">
        <v>1.0</v>
      </c>
      <c r="M1560" s="7">
        <f t="shared" si="3"/>
        <v>0.08</v>
      </c>
    </row>
    <row r="1561">
      <c r="A1561" s="5" t="s">
        <v>4076</v>
      </c>
      <c r="B1561" s="5" t="s">
        <v>2016</v>
      </c>
      <c r="C1561" s="5" t="s">
        <v>297</v>
      </c>
      <c r="D1561" s="5" t="s">
        <v>4077</v>
      </c>
      <c r="E1561" s="5" t="s">
        <v>2507</v>
      </c>
      <c r="F1561" s="5" t="s">
        <v>18</v>
      </c>
      <c r="G1561" s="6">
        <v>0.06</v>
      </c>
      <c r="H1561" s="5" t="s">
        <v>2376</v>
      </c>
      <c r="I1561" s="5" t="s">
        <v>20</v>
      </c>
      <c r="J1561" s="5">
        <v>2010.0</v>
      </c>
      <c r="L1561" s="5">
        <v>1.0</v>
      </c>
      <c r="M1561" s="7">
        <f t="shared" si="3"/>
        <v>0.06</v>
      </c>
    </row>
    <row r="1562">
      <c r="A1562" s="5" t="s">
        <v>4078</v>
      </c>
      <c r="B1562" s="5" t="s">
        <v>2016</v>
      </c>
      <c r="C1562" s="5" t="s">
        <v>297</v>
      </c>
      <c r="D1562" s="5" t="s">
        <v>4079</v>
      </c>
      <c r="E1562" s="5" t="s">
        <v>2298</v>
      </c>
      <c r="F1562" s="5" t="s">
        <v>18</v>
      </c>
      <c r="G1562" s="6">
        <v>0.04</v>
      </c>
      <c r="H1562" s="5" t="s">
        <v>1958</v>
      </c>
      <c r="I1562" s="5" t="s">
        <v>20</v>
      </c>
      <c r="J1562" s="5">
        <v>2021.0</v>
      </c>
      <c r="L1562" s="5">
        <v>1.0</v>
      </c>
      <c r="M1562" s="7">
        <f t="shared" si="3"/>
        <v>0.04</v>
      </c>
    </row>
    <row r="1563">
      <c r="A1563" s="5" t="s">
        <v>4080</v>
      </c>
      <c r="B1563" s="5" t="s">
        <v>2016</v>
      </c>
      <c r="C1563" s="5" t="s">
        <v>297</v>
      </c>
      <c r="D1563" s="5" t="s">
        <v>4081</v>
      </c>
      <c r="E1563" s="5" t="s">
        <v>2298</v>
      </c>
      <c r="F1563" s="5" t="s">
        <v>18</v>
      </c>
      <c r="G1563" s="6">
        <v>0.03</v>
      </c>
      <c r="H1563" s="5" t="s">
        <v>1989</v>
      </c>
      <c r="I1563" s="5" t="s">
        <v>20</v>
      </c>
      <c r="J1563" s="5">
        <v>2019.0</v>
      </c>
      <c r="L1563" s="5">
        <v>1.0</v>
      </c>
      <c r="M1563" s="7">
        <f t="shared" si="3"/>
        <v>0.03</v>
      </c>
    </row>
    <row r="1564">
      <c r="A1564" s="5" t="s">
        <v>4082</v>
      </c>
      <c r="B1564" s="5" t="s">
        <v>2016</v>
      </c>
      <c r="C1564" s="5" t="s">
        <v>297</v>
      </c>
      <c r="D1564" s="5" t="s">
        <v>4083</v>
      </c>
      <c r="E1564" s="5" t="s">
        <v>2298</v>
      </c>
      <c r="F1564" s="5" t="s">
        <v>18</v>
      </c>
      <c r="G1564" s="6">
        <v>0.06</v>
      </c>
      <c r="H1564" s="5" t="s">
        <v>1714</v>
      </c>
      <c r="I1564" s="5" t="s">
        <v>20</v>
      </c>
      <c r="J1564" s="5">
        <v>2022.0</v>
      </c>
      <c r="L1564" s="5">
        <v>1.0</v>
      </c>
      <c r="M1564" s="7">
        <f t="shared" si="3"/>
        <v>0.06</v>
      </c>
    </row>
    <row r="1565">
      <c r="A1565" s="5" t="s">
        <v>4084</v>
      </c>
      <c r="B1565" s="5" t="s">
        <v>1756</v>
      </c>
      <c r="C1565" s="5" t="s">
        <v>1951</v>
      </c>
      <c r="D1565" s="5" t="s">
        <v>4085</v>
      </c>
      <c r="E1565" s="5" t="s">
        <v>2302</v>
      </c>
      <c r="F1565" s="5" t="s">
        <v>18</v>
      </c>
      <c r="G1565" s="6">
        <v>0.11</v>
      </c>
      <c r="H1565" s="5" t="s">
        <v>4086</v>
      </c>
      <c r="I1565" s="5" t="s">
        <v>20</v>
      </c>
      <c r="J1565" s="5">
        <v>2025.0</v>
      </c>
      <c r="L1565" s="5">
        <v>1.0</v>
      </c>
      <c r="M1565" s="7">
        <f t="shared" si="3"/>
        <v>0.11</v>
      </c>
    </row>
    <row r="1566">
      <c r="A1566" s="5" t="s">
        <v>4087</v>
      </c>
      <c r="B1566" s="5" t="s">
        <v>380</v>
      </c>
      <c r="C1566" s="5" t="s">
        <v>1951</v>
      </c>
      <c r="D1566" s="5" t="s">
        <v>4088</v>
      </c>
      <c r="E1566" s="5" t="s">
        <v>2302</v>
      </c>
      <c r="F1566" s="5" t="s">
        <v>18</v>
      </c>
      <c r="G1566" s="6">
        <v>0.04</v>
      </c>
      <c r="H1566" s="5" t="s">
        <v>1958</v>
      </c>
      <c r="I1566" s="5" t="s">
        <v>20</v>
      </c>
      <c r="J1566" s="5">
        <v>2021.0</v>
      </c>
      <c r="L1566" s="5">
        <v>1.0</v>
      </c>
      <c r="M1566" s="7">
        <f t="shared" si="3"/>
        <v>0.04</v>
      </c>
    </row>
    <row r="1567">
      <c r="A1567" s="5" t="s">
        <v>4089</v>
      </c>
      <c r="B1567" s="5" t="s">
        <v>380</v>
      </c>
      <c r="C1567" s="5" t="s">
        <v>297</v>
      </c>
      <c r="D1567" s="5" t="s">
        <v>4090</v>
      </c>
      <c r="E1567" s="5" t="s">
        <v>2298</v>
      </c>
      <c r="F1567" s="5" t="s">
        <v>18</v>
      </c>
      <c r="G1567" s="6">
        <v>0.05</v>
      </c>
      <c r="H1567" s="5" t="s">
        <v>2475</v>
      </c>
      <c r="I1567" s="5" t="s">
        <v>20</v>
      </c>
      <c r="J1567" s="5">
        <v>2012.0</v>
      </c>
      <c r="L1567" s="5">
        <v>1.0</v>
      </c>
      <c r="M1567" s="7">
        <f t="shared" si="3"/>
        <v>0.05</v>
      </c>
    </row>
    <row r="1568">
      <c r="A1568" s="5" t="s">
        <v>4091</v>
      </c>
      <c r="B1568" s="5" t="s">
        <v>2016</v>
      </c>
      <c r="C1568" s="5" t="s">
        <v>297</v>
      </c>
      <c r="D1568" s="5" t="s">
        <v>4092</v>
      </c>
      <c r="E1568" s="5" t="s">
        <v>2298</v>
      </c>
      <c r="F1568" s="5" t="s">
        <v>18</v>
      </c>
      <c r="G1568" s="6">
        <v>0.03</v>
      </c>
      <c r="H1568" s="5" t="s">
        <v>1704</v>
      </c>
      <c r="I1568" s="5" t="s">
        <v>20</v>
      </c>
      <c r="J1568" s="5">
        <v>2008.0</v>
      </c>
      <c r="L1568" s="5">
        <v>1.0</v>
      </c>
      <c r="M1568" s="7">
        <f t="shared" si="3"/>
        <v>0.03</v>
      </c>
    </row>
    <row r="1569">
      <c r="A1569" s="5" t="s">
        <v>4093</v>
      </c>
      <c r="B1569" s="5" t="s">
        <v>380</v>
      </c>
      <c r="C1569" s="5" t="s">
        <v>297</v>
      </c>
      <c r="D1569" s="5" t="s">
        <v>4094</v>
      </c>
      <c r="E1569" s="5" t="s">
        <v>1956</v>
      </c>
      <c r="F1569" s="5" t="s">
        <v>18</v>
      </c>
      <c r="G1569" s="6">
        <v>0.13</v>
      </c>
      <c r="H1569" s="5" t="s">
        <v>2624</v>
      </c>
      <c r="I1569" s="5" t="s">
        <v>20</v>
      </c>
      <c r="J1569" s="5">
        <v>2019.0</v>
      </c>
      <c r="L1569" s="5">
        <v>1.0</v>
      </c>
      <c r="M1569" s="7">
        <f t="shared" si="3"/>
        <v>0.13</v>
      </c>
    </row>
    <row r="1570">
      <c r="A1570" s="5" t="s">
        <v>4095</v>
      </c>
      <c r="B1570" s="5" t="s">
        <v>380</v>
      </c>
      <c r="C1570" s="5" t="s">
        <v>297</v>
      </c>
      <c r="D1570" s="5" t="s">
        <v>4096</v>
      </c>
      <c r="E1570" s="5" t="s">
        <v>1956</v>
      </c>
      <c r="F1570" s="5" t="s">
        <v>18</v>
      </c>
      <c r="G1570" s="6">
        <v>0.03</v>
      </c>
      <c r="H1570" s="5" t="s">
        <v>2562</v>
      </c>
      <c r="I1570" s="5" t="s">
        <v>20</v>
      </c>
      <c r="J1570" s="5">
        <v>2017.0</v>
      </c>
      <c r="L1570" s="5">
        <v>1.0</v>
      </c>
      <c r="M1570" s="7">
        <f t="shared" si="3"/>
        <v>0.03</v>
      </c>
    </row>
    <row r="1571">
      <c r="A1571" s="5" t="s">
        <v>4097</v>
      </c>
      <c r="B1571" s="5" t="s">
        <v>380</v>
      </c>
      <c r="C1571" s="5" t="s">
        <v>297</v>
      </c>
      <c r="D1571" s="5" t="s">
        <v>4098</v>
      </c>
      <c r="E1571" s="5" t="s">
        <v>1956</v>
      </c>
      <c r="F1571" s="5" t="s">
        <v>18</v>
      </c>
      <c r="G1571" s="6">
        <v>0.05</v>
      </c>
      <c r="H1571" s="5" t="s">
        <v>1958</v>
      </c>
      <c r="I1571" s="5" t="s">
        <v>20</v>
      </c>
      <c r="J1571" s="5">
        <v>2021.0</v>
      </c>
      <c r="L1571" s="5">
        <v>1.0</v>
      </c>
      <c r="M1571" s="7">
        <f t="shared" si="3"/>
        <v>0.05</v>
      </c>
    </row>
    <row r="1572">
      <c r="A1572" s="5" t="s">
        <v>4099</v>
      </c>
      <c r="B1572" s="5" t="s">
        <v>380</v>
      </c>
      <c r="C1572" s="5" t="s">
        <v>297</v>
      </c>
      <c r="D1572" s="5" t="s">
        <v>4100</v>
      </c>
      <c r="E1572" s="5" t="s">
        <v>1956</v>
      </c>
      <c r="F1572" s="5" t="s">
        <v>18</v>
      </c>
      <c r="G1572" s="6">
        <v>0.06</v>
      </c>
      <c r="H1572" s="5" t="s">
        <v>3488</v>
      </c>
      <c r="I1572" s="5" t="s">
        <v>20</v>
      </c>
      <c r="J1572" s="5">
        <v>2011.0</v>
      </c>
      <c r="L1572" s="5">
        <v>1.0</v>
      </c>
      <c r="M1572" s="7">
        <f t="shared" si="3"/>
        <v>0.06</v>
      </c>
    </row>
    <row r="1573">
      <c r="A1573" s="5" t="s">
        <v>4101</v>
      </c>
      <c r="B1573" s="5" t="s">
        <v>380</v>
      </c>
      <c r="C1573" s="5" t="s">
        <v>1899</v>
      </c>
      <c r="D1573" s="5" t="s">
        <v>4102</v>
      </c>
      <c r="E1573" s="5" t="s">
        <v>2302</v>
      </c>
      <c r="F1573" s="5" t="s">
        <v>18</v>
      </c>
      <c r="G1573" s="6">
        <v>0.2</v>
      </c>
      <c r="H1573" s="5" t="s">
        <v>1644</v>
      </c>
      <c r="I1573" s="5" t="s">
        <v>20</v>
      </c>
      <c r="J1573" s="5">
        <v>2019.0</v>
      </c>
      <c r="L1573" s="5">
        <v>2.0</v>
      </c>
      <c r="M1573" s="7">
        <f t="shared" si="3"/>
        <v>0.4</v>
      </c>
    </row>
    <row r="1574">
      <c r="A1574" s="5" t="s">
        <v>4103</v>
      </c>
      <c r="B1574" s="5" t="s">
        <v>296</v>
      </c>
      <c r="C1574" s="5" t="s">
        <v>297</v>
      </c>
      <c r="D1574" s="5" t="s">
        <v>4104</v>
      </c>
      <c r="F1574" s="5" t="s">
        <v>80</v>
      </c>
      <c r="G1574" s="6">
        <v>0.18</v>
      </c>
      <c r="H1574" s="5" t="s">
        <v>2475</v>
      </c>
      <c r="I1574" s="5" t="s">
        <v>20</v>
      </c>
      <c r="J1574" s="5">
        <v>2012.0</v>
      </c>
      <c r="L1574" s="5">
        <v>2.0</v>
      </c>
      <c r="M1574" s="7">
        <f t="shared" si="3"/>
        <v>0.36</v>
      </c>
    </row>
    <row r="1575">
      <c r="A1575" s="5" t="s">
        <v>4105</v>
      </c>
      <c r="B1575" s="5" t="s">
        <v>2753</v>
      </c>
      <c r="C1575" s="5" t="s">
        <v>1951</v>
      </c>
      <c r="D1575" s="5" t="s">
        <v>4106</v>
      </c>
      <c r="E1575" s="5" t="s">
        <v>2669</v>
      </c>
      <c r="F1575" s="5" t="s">
        <v>18</v>
      </c>
      <c r="G1575" s="6">
        <v>0.06</v>
      </c>
      <c r="H1575" s="5" t="s">
        <v>1997</v>
      </c>
      <c r="I1575" s="5" t="s">
        <v>20</v>
      </c>
      <c r="J1575" s="5">
        <v>2016.0</v>
      </c>
      <c r="K1575" s="8">
        <v>46117.0</v>
      </c>
      <c r="L1575" s="5">
        <v>1.0</v>
      </c>
      <c r="M1575" s="7">
        <f t="shared" si="3"/>
        <v>0.06</v>
      </c>
    </row>
    <row r="1576">
      <c r="A1576" s="5" t="s">
        <v>4107</v>
      </c>
      <c r="B1576" s="5" t="s">
        <v>4108</v>
      </c>
      <c r="C1576" s="5" t="s">
        <v>297</v>
      </c>
      <c r="E1576" s="5" t="s">
        <v>2514</v>
      </c>
      <c r="F1576" s="5" t="s">
        <v>18</v>
      </c>
      <c r="G1576" s="6">
        <v>0.01</v>
      </c>
      <c r="H1576" s="5" t="s">
        <v>2624</v>
      </c>
      <c r="I1576" s="5" t="s">
        <v>20</v>
      </c>
      <c r="J1576" s="5">
        <v>2019.0</v>
      </c>
      <c r="K1576" s="8">
        <v>46180.0</v>
      </c>
      <c r="L1576" s="5">
        <v>1.0</v>
      </c>
      <c r="M1576" s="7">
        <f t="shared" si="3"/>
        <v>0.01</v>
      </c>
    </row>
    <row r="1577">
      <c r="A1577" s="5" t="s">
        <v>4109</v>
      </c>
      <c r="B1577" s="5" t="s">
        <v>4110</v>
      </c>
      <c r="C1577" s="5" t="s">
        <v>1951</v>
      </c>
      <c r="D1577" s="5" t="s">
        <v>4111</v>
      </c>
      <c r="E1577" s="5" t="s">
        <v>2298</v>
      </c>
      <c r="F1577" s="5" t="s">
        <v>18</v>
      </c>
      <c r="G1577" s="6">
        <v>0.04</v>
      </c>
      <c r="H1577" s="5" t="s">
        <v>1958</v>
      </c>
      <c r="I1577" s="5" t="s">
        <v>20</v>
      </c>
      <c r="J1577" s="5">
        <v>2021.0</v>
      </c>
      <c r="K1577" s="8">
        <v>46146.0</v>
      </c>
      <c r="L1577" s="5">
        <v>1.0</v>
      </c>
      <c r="M1577" s="7">
        <f t="shared" si="3"/>
        <v>0.04</v>
      </c>
    </row>
    <row r="1578">
      <c r="A1578" s="5" t="s">
        <v>4112</v>
      </c>
      <c r="B1578" s="5" t="s">
        <v>4113</v>
      </c>
      <c r="C1578" s="5" t="s">
        <v>297</v>
      </c>
      <c r="D1578" s="5" t="s">
        <v>4114</v>
      </c>
      <c r="E1578" s="5" t="s">
        <v>2302</v>
      </c>
      <c r="F1578" s="5" t="s">
        <v>18</v>
      </c>
      <c r="G1578" s="6">
        <v>0.07</v>
      </c>
      <c r="H1578" s="5" t="s">
        <v>2579</v>
      </c>
      <c r="I1578" s="5" t="s">
        <v>20</v>
      </c>
      <c r="J1578" s="5">
        <v>2004.0</v>
      </c>
      <c r="K1578" s="8">
        <v>46055.0</v>
      </c>
      <c r="L1578" s="5">
        <v>1.0</v>
      </c>
      <c r="M1578" s="7">
        <f t="shared" si="3"/>
        <v>0.07</v>
      </c>
    </row>
    <row r="1579">
      <c r="A1579" s="5" t="s">
        <v>4115</v>
      </c>
      <c r="B1579" s="5" t="s">
        <v>4116</v>
      </c>
      <c r="C1579" s="5" t="s">
        <v>297</v>
      </c>
      <c r="D1579" s="5" t="s">
        <v>4117</v>
      </c>
      <c r="E1579" s="5" t="s">
        <v>1956</v>
      </c>
      <c r="F1579" s="5" t="s">
        <v>18</v>
      </c>
      <c r="G1579" s="6">
        <v>0.09</v>
      </c>
      <c r="H1579" s="5" t="s">
        <v>1637</v>
      </c>
      <c r="I1579" s="5" t="s">
        <v>20</v>
      </c>
      <c r="J1579" s="5">
        <v>2005.0</v>
      </c>
      <c r="K1579" s="8">
        <v>46055.0</v>
      </c>
      <c r="L1579" s="5">
        <v>1.0</v>
      </c>
      <c r="M1579" s="7">
        <f t="shared" si="3"/>
        <v>0.09</v>
      </c>
    </row>
    <row r="1580">
      <c r="A1580" s="5" t="s">
        <v>4118</v>
      </c>
      <c r="B1580" s="5" t="s">
        <v>2512</v>
      </c>
      <c r="C1580" s="5" t="s">
        <v>297</v>
      </c>
      <c r="D1580" s="5" t="s">
        <v>4119</v>
      </c>
      <c r="E1580" s="5" t="s">
        <v>2298</v>
      </c>
      <c r="F1580" s="5" t="s">
        <v>18</v>
      </c>
      <c r="G1580" s="6">
        <v>0.09</v>
      </c>
      <c r="H1580" s="5" t="s">
        <v>2207</v>
      </c>
      <c r="I1580" s="5" t="s">
        <v>20</v>
      </c>
      <c r="J1580" s="5">
        <v>2023.0</v>
      </c>
      <c r="K1580" s="8">
        <v>46084.0</v>
      </c>
      <c r="L1580" s="5">
        <v>1.0</v>
      </c>
      <c r="M1580" s="7">
        <f t="shared" si="3"/>
        <v>0.09</v>
      </c>
    </row>
    <row r="1581">
      <c r="A1581" s="5" t="s">
        <v>4120</v>
      </c>
      <c r="B1581" s="5" t="s">
        <v>4121</v>
      </c>
      <c r="C1581" s="5" t="s">
        <v>297</v>
      </c>
      <c r="D1581" s="5" t="s">
        <v>4122</v>
      </c>
      <c r="E1581" s="5" t="s">
        <v>2298</v>
      </c>
      <c r="F1581" s="5" t="s">
        <v>18</v>
      </c>
      <c r="G1581" s="6">
        <v>0.08</v>
      </c>
      <c r="H1581" s="5" t="s">
        <v>1992</v>
      </c>
      <c r="I1581" s="5" t="s">
        <v>20</v>
      </c>
      <c r="J1581" s="5">
        <v>2011.0</v>
      </c>
      <c r="K1581" s="8">
        <v>46083.0</v>
      </c>
      <c r="L1581" s="5">
        <v>1.0</v>
      </c>
      <c r="M1581" s="7">
        <f t="shared" si="3"/>
        <v>0.08</v>
      </c>
    </row>
    <row r="1582">
      <c r="A1582" s="5" t="s">
        <v>4123</v>
      </c>
      <c r="B1582" s="5" t="s">
        <v>4124</v>
      </c>
      <c r="C1582" s="5" t="s">
        <v>297</v>
      </c>
      <c r="D1582" s="5" t="s">
        <v>4125</v>
      </c>
      <c r="E1582" s="5" t="s">
        <v>2298</v>
      </c>
      <c r="F1582" s="5" t="s">
        <v>18</v>
      </c>
      <c r="G1582" s="6">
        <v>0.15</v>
      </c>
      <c r="H1582" s="5" t="s">
        <v>4126</v>
      </c>
      <c r="I1582" s="5" t="s">
        <v>20</v>
      </c>
      <c r="J1582" s="5">
        <v>2015.0</v>
      </c>
      <c r="K1582" s="8">
        <v>46055.0</v>
      </c>
      <c r="L1582" s="5">
        <v>1.0</v>
      </c>
      <c r="M1582" s="7">
        <f t="shared" si="3"/>
        <v>0.15</v>
      </c>
    </row>
    <row r="1583">
      <c r="A1583" s="5" t="s">
        <v>4127</v>
      </c>
      <c r="B1583" s="5" t="s">
        <v>2674</v>
      </c>
      <c r="C1583" s="5" t="s">
        <v>1899</v>
      </c>
      <c r="D1583" s="5" t="s">
        <v>4128</v>
      </c>
      <c r="E1583" s="5" t="s">
        <v>2298</v>
      </c>
      <c r="F1583" s="5" t="s">
        <v>18</v>
      </c>
      <c r="G1583" s="6">
        <v>0.35</v>
      </c>
      <c r="H1583" s="5" t="s">
        <v>1992</v>
      </c>
      <c r="I1583" s="5" t="s">
        <v>20</v>
      </c>
      <c r="J1583" s="5">
        <v>2011.0</v>
      </c>
      <c r="K1583" s="5" t="s">
        <v>347</v>
      </c>
      <c r="L1583" s="5">
        <v>1.0</v>
      </c>
      <c r="M1583" s="7">
        <f t="shared" si="3"/>
        <v>0.35</v>
      </c>
    </row>
    <row r="1584">
      <c r="A1584" s="5" t="s">
        <v>4129</v>
      </c>
      <c r="B1584" s="5" t="s">
        <v>4130</v>
      </c>
      <c r="C1584" s="5" t="s">
        <v>297</v>
      </c>
      <c r="D1584" s="5" t="s">
        <v>4131</v>
      </c>
      <c r="E1584" s="5" t="s">
        <v>1956</v>
      </c>
      <c r="F1584" s="5" t="s">
        <v>18</v>
      </c>
      <c r="G1584" s="6">
        <v>0.05</v>
      </c>
      <c r="H1584" s="5" t="s">
        <v>2204</v>
      </c>
      <c r="I1584" s="5" t="s">
        <v>20</v>
      </c>
      <c r="J1584" s="5">
        <v>2014.0</v>
      </c>
      <c r="K1584" s="8">
        <v>46024.0</v>
      </c>
      <c r="L1584" s="5">
        <v>1.0</v>
      </c>
      <c r="M1584" s="7">
        <f t="shared" si="3"/>
        <v>0.05</v>
      </c>
    </row>
    <row r="1585">
      <c r="A1585" s="5" t="s">
        <v>4132</v>
      </c>
      <c r="B1585" s="5" t="s">
        <v>4133</v>
      </c>
      <c r="C1585" s="5" t="s">
        <v>297</v>
      </c>
      <c r="D1585" s="5" t="s">
        <v>4134</v>
      </c>
      <c r="E1585" s="5" t="s">
        <v>2302</v>
      </c>
      <c r="F1585" s="5" t="s">
        <v>18</v>
      </c>
      <c r="G1585" s="6">
        <v>0.07</v>
      </c>
      <c r="H1585" s="5" t="s">
        <v>2518</v>
      </c>
      <c r="I1585" s="5" t="s">
        <v>20</v>
      </c>
      <c r="J1585" s="5">
        <v>2005.0</v>
      </c>
      <c r="L1585" s="5">
        <v>1.0</v>
      </c>
      <c r="M1585" s="7">
        <f t="shared" si="3"/>
        <v>0.07</v>
      </c>
    </row>
    <row r="1586">
      <c r="A1586" s="5" t="s">
        <v>4135</v>
      </c>
      <c r="B1586" s="5" t="s">
        <v>2060</v>
      </c>
      <c r="C1586" s="5" t="s">
        <v>297</v>
      </c>
      <c r="D1586" s="5" t="s">
        <v>4136</v>
      </c>
      <c r="E1586" s="5" t="s">
        <v>2298</v>
      </c>
      <c r="F1586" s="5" t="s">
        <v>18</v>
      </c>
      <c r="G1586" s="6">
        <v>0.05</v>
      </c>
      <c r="H1586" s="5" t="s">
        <v>2204</v>
      </c>
      <c r="I1586" s="5" t="s">
        <v>20</v>
      </c>
      <c r="J1586" s="5">
        <v>2014.0</v>
      </c>
      <c r="L1586" s="5">
        <v>1.0</v>
      </c>
      <c r="M1586" s="7">
        <f t="shared" si="3"/>
        <v>0.05</v>
      </c>
    </row>
    <row r="1587">
      <c r="A1587" s="5" t="s">
        <v>4137</v>
      </c>
      <c r="B1587" s="5" t="s">
        <v>2060</v>
      </c>
      <c r="C1587" s="5" t="s">
        <v>297</v>
      </c>
      <c r="D1587" s="5" t="s">
        <v>4138</v>
      </c>
      <c r="E1587" s="5" t="s">
        <v>2346</v>
      </c>
      <c r="F1587" s="5" t="s">
        <v>166</v>
      </c>
      <c r="G1587" s="6">
        <v>0.06</v>
      </c>
      <c r="H1587" s="5" t="s">
        <v>1714</v>
      </c>
      <c r="I1587" s="5" t="s">
        <v>20</v>
      </c>
      <c r="J1587" s="5">
        <v>2022.0</v>
      </c>
      <c r="L1587" s="5">
        <v>1.0</v>
      </c>
      <c r="M1587" s="7">
        <f t="shared" si="3"/>
        <v>0.06</v>
      </c>
    </row>
    <row r="1588">
      <c r="A1588" s="5" t="s">
        <v>4139</v>
      </c>
      <c r="B1588" s="5" t="s">
        <v>2016</v>
      </c>
      <c r="C1588" s="5" t="s">
        <v>297</v>
      </c>
      <c r="D1588" s="5" t="s">
        <v>4140</v>
      </c>
      <c r="E1588" s="5" t="s">
        <v>2346</v>
      </c>
      <c r="F1588" s="5" t="s">
        <v>166</v>
      </c>
      <c r="G1588" s="6">
        <v>0.06</v>
      </c>
      <c r="H1588" s="5" t="s">
        <v>1714</v>
      </c>
      <c r="I1588" s="5" t="s">
        <v>20</v>
      </c>
      <c r="J1588" s="5">
        <v>2022.0</v>
      </c>
      <c r="L1588" s="5">
        <v>1.0</v>
      </c>
      <c r="M1588" s="7">
        <f t="shared" si="3"/>
        <v>0.06</v>
      </c>
    </row>
    <row r="1589">
      <c r="A1589" s="5" t="s">
        <v>4141</v>
      </c>
      <c r="B1589" s="5" t="s">
        <v>4142</v>
      </c>
      <c r="C1589" s="5" t="s">
        <v>297</v>
      </c>
      <c r="D1589" s="5" t="s">
        <v>4143</v>
      </c>
      <c r="E1589" s="5" t="s">
        <v>2354</v>
      </c>
      <c r="F1589" s="5" t="s">
        <v>166</v>
      </c>
      <c r="G1589" s="6">
        <v>0.05</v>
      </c>
      <c r="H1589" s="5" t="s">
        <v>1714</v>
      </c>
      <c r="I1589" s="5" t="s">
        <v>20</v>
      </c>
      <c r="J1589" s="5">
        <v>2022.0</v>
      </c>
      <c r="K1589" s="8">
        <v>46026.0</v>
      </c>
      <c r="L1589" s="5">
        <v>1.0</v>
      </c>
      <c r="M1589" s="7">
        <f t="shared" si="3"/>
        <v>0.05</v>
      </c>
    </row>
    <row r="1590">
      <c r="A1590" s="5" t="s">
        <v>4144</v>
      </c>
      <c r="B1590" s="5" t="s">
        <v>380</v>
      </c>
      <c r="C1590" s="5" t="s">
        <v>297</v>
      </c>
      <c r="D1590" s="5" t="s">
        <v>4145</v>
      </c>
      <c r="E1590" s="5" t="s">
        <v>2346</v>
      </c>
      <c r="F1590" s="5" t="s">
        <v>166</v>
      </c>
      <c r="G1590" s="6">
        <v>0.05</v>
      </c>
      <c r="H1590" s="5" t="s">
        <v>1714</v>
      </c>
      <c r="I1590" s="5" t="s">
        <v>20</v>
      </c>
      <c r="J1590" s="5">
        <v>2022.0</v>
      </c>
      <c r="L1590" s="5">
        <v>1.0</v>
      </c>
      <c r="M1590" s="7">
        <f t="shared" si="3"/>
        <v>0.05</v>
      </c>
    </row>
    <row r="1591">
      <c r="A1591" s="5" t="s">
        <v>4146</v>
      </c>
      <c r="B1591" s="5" t="s">
        <v>2016</v>
      </c>
      <c r="C1591" s="5" t="s">
        <v>297</v>
      </c>
      <c r="D1591" s="5" t="s">
        <v>4147</v>
      </c>
      <c r="E1591" s="5" t="s">
        <v>2369</v>
      </c>
      <c r="F1591" s="5" t="s">
        <v>166</v>
      </c>
      <c r="G1591" s="6">
        <v>0.06</v>
      </c>
      <c r="H1591" s="5" t="s">
        <v>1714</v>
      </c>
      <c r="I1591" s="5" t="s">
        <v>20</v>
      </c>
      <c r="J1591" s="5">
        <v>2022.0</v>
      </c>
      <c r="L1591" s="5">
        <v>1.0</v>
      </c>
      <c r="M1591" s="7">
        <f t="shared" si="3"/>
        <v>0.06</v>
      </c>
    </row>
    <row r="1592">
      <c r="A1592" s="5" t="s">
        <v>4148</v>
      </c>
      <c r="B1592" s="5" t="s">
        <v>4149</v>
      </c>
      <c r="C1592" s="5" t="s">
        <v>297</v>
      </c>
      <c r="D1592" s="5" t="s">
        <v>4150</v>
      </c>
      <c r="E1592" s="5" t="s">
        <v>2362</v>
      </c>
      <c r="F1592" s="5" t="s">
        <v>166</v>
      </c>
      <c r="G1592" s="6">
        <v>0.06</v>
      </c>
      <c r="H1592" s="5" t="s">
        <v>1714</v>
      </c>
      <c r="I1592" s="5" t="s">
        <v>20</v>
      </c>
      <c r="J1592" s="5">
        <v>2022.0</v>
      </c>
      <c r="K1592" s="8">
        <v>46117.0</v>
      </c>
      <c r="L1592" s="5">
        <v>1.0</v>
      </c>
      <c r="M1592" s="7">
        <f t="shared" si="3"/>
        <v>0.06</v>
      </c>
    </row>
    <row r="1593">
      <c r="A1593" s="5" t="s">
        <v>4151</v>
      </c>
      <c r="B1593" s="5" t="s">
        <v>380</v>
      </c>
      <c r="C1593" s="5" t="s">
        <v>297</v>
      </c>
      <c r="D1593" s="5" t="s">
        <v>4152</v>
      </c>
      <c r="E1593" s="5" t="s">
        <v>932</v>
      </c>
      <c r="F1593" s="5" t="s">
        <v>166</v>
      </c>
      <c r="G1593" s="6">
        <v>0.08</v>
      </c>
      <c r="H1593" s="5" t="s">
        <v>1714</v>
      </c>
      <c r="I1593" s="5" t="s">
        <v>20</v>
      </c>
      <c r="J1593" s="5">
        <v>2022.0</v>
      </c>
      <c r="L1593" s="5">
        <v>1.0</v>
      </c>
      <c r="M1593" s="7">
        <f t="shared" si="3"/>
        <v>0.08</v>
      </c>
    </row>
    <row r="1594">
      <c r="A1594" s="5" t="s">
        <v>4153</v>
      </c>
      <c r="B1594" s="5" t="s">
        <v>4154</v>
      </c>
      <c r="C1594" s="5" t="s">
        <v>297</v>
      </c>
      <c r="D1594" s="5" t="s">
        <v>4155</v>
      </c>
      <c r="E1594" s="5" t="s">
        <v>2759</v>
      </c>
      <c r="F1594" s="5" t="s">
        <v>166</v>
      </c>
      <c r="G1594" s="6">
        <v>0.06</v>
      </c>
      <c r="H1594" s="5" t="s">
        <v>1714</v>
      </c>
      <c r="I1594" s="5" t="s">
        <v>20</v>
      </c>
      <c r="J1594" s="5">
        <v>2022.0</v>
      </c>
      <c r="K1594" s="8">
        <v>46084.0</v>
      </c>
      <c r="L1594" s="5">
        <v>1.0</v>
      </c>
      <c r="M1594" s="7">
        <f t="shared" si="3"/>
        <v>0.06</v>
      </c>
    </row>
    <row r="1595">
      <c r="A1595" s="5" t="s">
        <v>4156</v>
      </c>
      <c r="B1595" s="5" t="s">
        <v>4157</v>
      </c>
      <c r="C1595" s="5" t="s">
        <v>1951</v>
      </c>
      <c r="D1595" s="5" t="s">
        <v>4158</v>
      </c>
      <c r="E1595" s="5" t="s">
        <v>2384</v>
      </c>
      <c r="F1595" s="5" t="s">
        <v>280</v>
      </c>
      <c r="G1595" s="6">
        <v>0.24</v>
      </c>
      <c r="H1595" s="5" t="s">
        <v>2557</v>
      </c>
      <c r="I1595" s="5" t="s">
        <v>20</v>
      </c>
      <c r="J1595" s="5">
        <v>2018.0</v>
      </c>
      <c r="K1595" s="8">
        <v>46115.0</v>
      </c>
      <c r="L1595" s="5">
        <v>1.0</v>
      </c>
      <c r="M1595" s="7">
        <f t="shared" si="3"/>
        <v>0.24</v>
      </c>
    </row>
    <row r="1596">
      <c r="A1596" s="5" t="s">
        <v>4159</v>
      </c>
      <c r="B1596" s="5" t="s">
        <v>4160</v>
      </c>
      <c r="C1596" s="5" t="s">
        <v>1951</v>
      </c>
      <c r="D1596" s="5" t="s">
        <v>4161</v>
      </c>
      <c r="E1596" s="5" t="s">
        <v>2384</v>
      </c>
      <c r="F1596" s="5" t="s">
        <v>280</v>
      </c>
      <c r="G1596" s="6">
        <v>0.06</v>
      </c>
      <c r="H1596" s="5" t="s">
        <v>4162</v>
      </c>
      <c r="I1596" s="5" t="s">
        <v>20</v>
      </c>
      <c r="J1596" s="5">
        <v>2007.0</v>
      </c>
      <c r="K1596" s="8">
        <v>46084.0</v>
      </c>
      <c r="L1596" s="5">
        <v>1.0</v>
      </c>
      <c r="M1596" s="7">
        <f t="shared" si="3"/>
        <v>0.06</v>
      </c>
    </row>
    <row r="1597">
      <c r="A1597" s="5" t="s">
        <v>4163</v>
      </c>
      <c r="B1597" s="5" t="s">
        <v>612</v>
      </c>
      <c r="C1597" s="5" t="s">
        <v>297</v>
      </c>
      <c r="D1597" s="5" t="s">
        <v>4164</v>
      </c>
      <c r="E1597" s="5" t="s">
        <v>2283</v>
      </c>
      <c r="F1597" s="5" t="s">
        <v>280</v>
      </c>
      <c r="G1597" s="6">
        <v>0.18</v>
      </c>
      <c r="H1597" s="5" t="s">
        <v>1634</v>
      </c>
      <c r="I1597" s="5" t="s">
        <v>20</v>
      </c>
      <c r="J1597" s="5">
        <v>2024.0</v>
      </c>
      <c r="L1597" s="5">
        <v>2.0</v>
      </c>
      <c r="M1597" s="7">
        <f t="shared" si="3"/>
        <v>0.36</v>
      </c>
    </row>
    <row r="1598">
      <c r="A1598" s="5" t="s">
        <v>4165</v>
      </c>
      <c r="B1598" s="5" t="s">
        <v>2060</v>
      </c>
      <c r="C1598" s="5" t="s">
        <v>297</v>
      </c>
      <c r="D1598" s="5" t="s">
        <v>4166</v>
      </c>
      <c r="E1598" s="5" t="s">
        <v>2384</v>
      </c>
      <c r="F1598" s="5" t="s">
        <v>280</v>
      </c>
      <c r="G1598" s="6">
        <v>0.05</v>
      </c>
      <c r="H1598" s="5" t="s">
        <v>1679</v>
      </c>
      <c r="I1598" s="5" t="s">
        <v>20</v>
      </c>
      <c r="J1598" s="5">
        <v>2008.0</v>
      </c>
      <c r="L1598" s="5">
        <v>1.0</v>
      </c>
      <c r="M1598" s="7">
        <f t="shared" si="3"/>
        <v>0.05</v>
      </c>
    </row>
    <row r="1599">
      <c r="A1599" s="5" t="s">
        <v>4167</v>
      </c>
      <c r="B1599" s="5" t="s">
        <v>2060</v>
      </c>
      <c r="C1599" s="5" t="s">
        <v>1951</v>
      </c>
      <c r="D1599" s="5" t="s">
        <v>4168</v>
      </c>
      <c r="E1599" s="5" t="s">
        <v>2290</v>
      </c>
      <c r="F1599" s="5" t="s">
        <v>280</v>
      </c>
      <c r="G1599" s="6">
        <v>0.06</v>
      </c>
      <c r="H1599" s="5" t="s">
        <v>2475</v>
      </c>
      <c r="I1599" s="5" t="s">
        <v>20</v>
      </c>
      <c r="J1599" s="5">
        <v>2012.0</v>
      </c>
      <c r="L1599" s="5">
        <v>1.0</v>
      </c>
      <c r="M1599" s="7">
        <f t="shared" si="3"/>
        <v>0.06</v>
      </c>
    </row>
    <row r="1600">
      <c r="A1600" s="5" t="s">
        <v>4169</v>
      </c>
      <c r="B1600" s="5" t="s">
        <v>4170</v>
      </c>
      <c r="C1600" s="5" t="s">
        <v>2140</v>
      </c>
      <c r="D1600" s="5" t="s">
        <v>4171</v>
      </c>
      <c r="E1600" s="5" t="s">
        <v>2321</v>
      </c>
      <c r="F1600" s="5" t="s">
        <v>88</v>
      </c>
      <c r="G1600" s="6">
        <v>0.12</v>
      </c>
      <c r="H1600" s="5" t="s">
        <v>3253</v>
      </c>
      <c r="I1600" s="5" t="s">
        <v>20</v>
      </c>
      <c r="J1600" s="5">
        <v>2022.0</v>
      </c>
      <c r="K1600" s="8">
        <v>46115.0</v>
      </c>
      <c r="L1600" s="5">
        <v>1.0</v>
      </c>
      <c r="M1600" s="7">
        <f t="shared" si="3"/>
        <v>0.12</v>
      </c>
    </row>
    <row r="1601">
      <c r="A1601" s="5" t="s">
        <v>4172</v>
      </c>
      <c r="B1601" s="5" t="s">
        <v>4173</v>
      </c>
      <c r="C1601" s="5" t="s">
        <v>2140</v>
      </c>
      <c r="D1601" s="5" t="s">
        <v>4174</v>
      </c>
      <c r="E1601" s="5" t="s">
        <v>917</v>
      </c>
      <c r="F1601" s="5" t="s">
        <v>88</v>
      </c>
      <c r="G1601" s="6">
        <v>0.2</v>
      </c>
      <c r="H1601" s="5" t="s">
        <v>1714</v>
      </c>
      <c r="I1601" s="5" t="s">
        <v>20</v>
      </c>
      <c r="J1601" s="5">
        <v>2022.0</v>
      </c>
      <c r="K1601" s="8">
        <v>46023.0</v>
      </c>
      <c r="L1601" s="5">
        <v>1.0</v>
      </c>
      <c r="M1601" s="7">
        <f t="shared" si="3"/>
        <v>0.2</v>
      </c>
    </row>
    <row r="1602">
      <c r="A1602" s="5" t="s">
        <v>4169</v>
      </c>
      <c r="B1602" s="5" t="s">
        <v>4170</v>
      </c>
      <c r="C1602" s="5" t="s">
        <v>2140</v>
      </c>
      <c r="D1602" s="5" t="s">
        <v>4171</v>
      </c>
      <c r="E1602" s="5" t="s">
        <v>2321</v>
      </c>
      <c r="F1602" s="5" t="s">
        <v>88</v>
      </c>
      <c r="G1602" s="6">
        <v>0.05</v>
      </c>
      <c r="H1602" s="5" t="s">
        <v>1714</v>
      </c>
      <c r="I1602" s="5" t="s">
        <v>20</v>
      </c>
      <c r="J1602" s="5">
        <v>2022.0</v>
      </c>
      <c r="K1602" s="8">
        <v>46115.0</v>
      </c>
      <c r="L1602" s="5">
        <v>1.0</v>
      </c>
      <c r="M1602" s="7">
        <f t="shared" si="3"/>
        <v>0.05</v>
      </c>
    </row>
    <row r="1603">
      <c r="A1603" s="5" t="s">
        <v>4175</v>
      </c>
      <c r="B1603" s="5" t="s">
        <v>4176</v>
      </c>
      <c r="C1603" s="5" t="s">
        <v>2140</v>
      </c>
      <c r="D1603" s="5" t="s">
        <v>4177</v>
      </c>
      <c r="E1603" s="5" t="s">
        <v>382</v>
      </c>
      <c r="F1603" s="5" t="s">
        <v>88</v>
      </c>
      <c r="G1603" s="6">
        <v>0.09</v>
      </c>
      <c r="H1603" s="5" t="s">
        <v>1714</v>
      </c>
      <c r="I1603" s="5" t="s">
        <v>20</v>
      </c>
      <c r="J1603" s="5">
        <v>2022.0</v>
      </c>
      <c r="K1603" s="8">
        <v>46024.0</v>
      </c>
      <c r="L1603" s="5">
        <v>1.0</v>
      </c>
      <c r="M1603" s="7">
        <f t="shared" si="3"/>
        <v>0.09</v>
      </c>
    </row>
    <row r="1604">
      <c r="A1604" s="5" t="s">
        <v>4178</v>
      </c>
      <c r="B1604" s="5" t="s">
        <v>4179</v>
      </c>
      <c r="C1604" s="5" t="s">
        <v>2140</v>
      </c>
      <c r="D1604" s="5" t="s">
        <v>4180</v>
      </c>
      <c r="E1604" s="5" t="s">
        <v>2330</v>
      </c>
      <c r="F1604" s="5" t="s">
        <v>88</v>
      </c>
      <c r="G1604" s="6">
        <v>0.2</v>
      </c>
      <c r="H1604" s="5" t="s">
        <v>3253</v>
      </c>
      <c r="I1604" s="5" t="s">
        <v>20</v>
      </c>
      <c r="J1604" s="5">
        <v>2022.0</v>
      </c>
      <c r="K1604" s="8">
        <v>46055.0</v>
      </c>
      <c r="L1604" s="5">
        <v>1.0</v>
      </c>
      <c r="M1604" s="7">
        <f t="shared" si="3"/>
        <v>0.2</v>
      </c>
    </row>
    <row r="1605">
      <c r="A1605" s="5" t="s">
        <v>4181</v>
      </c>
      <c r="B1605" s="5" t="s">
        <v>4182</v>
      </c>
      <c r="C1605" s="5" t="s">
        <v>2140</v>
      </c>
      <c r="D1605" s="5" t="s">
        <v>4183</v>
      </c>
      <c r="E1605" s="5" t="s">
        <v>382</v>
      </c>
      <c r="F1605" s="5" t="s">
        <v>88</v>
      </c>
      <c r="G1605" s="6">
        <v>0.06</v>
      </c>
      <c r="H1605" s="5" t="s">
        <v>1714</v>
      </c>
      <c r="I1605" s="5" t="s">
        <v>20</v>
      </c>
      <c r="J1605" s="5">
        <v>2022.0</v>
      </c>
      <c r="L1605" s="5">
        <v>1.0</v>
      </c>
      <c r="M1605" s="7">
        <f t="shared" si="3"/>
        <v>0.06</v>
      </c>
    </row>
    <row r="1606">
      <c r="A1606" s="5" t="s">
        <v>4184</v>
      </c>
      <c r="B1606" s="5" t="s">
        <v>387</v>
      </c>
      <c r="C1606" s="5" t="s">
        <v>297</v>
      </c>
      <c r="D1606" s="5" t="s">
        <v>4185</v>
      </c>
      <c r="E1606" s="5" t="s">
        <v>2283</v>
      </c>
      <c r="F1606" s="5" t="s">
        <v>280</v>
      </c>
      <c r="G1606" s="6">
        <v>0.06</v>
      </c>
      <c r="H1606" s="5" t="s">
        <v>2802</v>
      </c>
      <c r="I1606" s="5" t="s">
        <v>20</v>
      </c>
      <c r="J1606" s="5">
        <v>2026.0</v>
      </c>
      <c r="L1606" s="5">
        <v>1.0</v>
      </c>
      <c r="M1606" s="7">
        <f t="shared" si="3"/>
        <v>0.06</v>
      </c>
    </row>
    <row r="1607">
      <c r="A1607" s="5" t="s">
        <v>4186</v>
      </c>
      <c r="B1607" s="5" t="s">
        <v>2060</v>
      </c>
      <c r="C1607" s="5" t="s">
        <v>297</v>
      </c>
      <c r="D1607" s="5" t="s">
        <v>4187</v>
      </c>
      <c r="E1607" s="5" t="s">
        <v>631</v>
      </c>
      <c r="F1607" s="5" t="s">
        <v>280</v>
      </c>
      <c r="G1607" s="6">
        <v>0.07</v>
      </c>
      <c r="H1607" s="5" t="s">
        <v>1717</v>
      </c>
      <c r="I1607" s="5" t="s">
        <v>20</v>
      </c>
      <c r="J1607" s="5">
        <v>2020.0</v>
      </c>
      <c r="L1607" s="5">
        <v>1.0</v>
      </c>
      <c r="M1607" s="7">
        <f t="shared" si="3"/>
        <v>0.07</v>
      </c>
    </row>
    <row r="1608">
      <c r="A1608" s="5" t="s">
        <v>4188</v>
      </c>
      <c r="B1608" s="5" t="s">
        <v>2753</v>
      </c>
      <c r="C1608" s="5" t="s">
        <v>297</v>
      </c>
      <c r="D1608" s="5" t="s">
        <v>4189</v>
      </c>
      <c r="E1608" s="5" t="s">
        <v>2283</v>
      </c>
      <c r="F1608" s="5" t="s">
        <v>280</v>
      </c>
      <c r="G1608" s="6">
        <v>0.04</v>
      </c>
      <c r="H1608" s="5" t="s">
        <v>1997</v>
      </c>
      <c r="I1608" s="5" t="s">
        <v>20</v>
      </c>
      <c r="J1608" s="5">
        <v>2016.0</v>
      </c>
      <c r="K1608" s="8">
        <v>46055.0</v>
      </c>
      <c r="L1608" s="5">
        <v>1.0</v>
      </c>
      <c r="M1608" s="7">
        <f t="shared" si="3"/>
        <v>0.04</v>
      </c>
    </row>
    <row r="1609">
      <c r="A1609" s="5" t="s">
        <v>4190</v>
      </c>
      <c r="B1609" s="5" t="s">
        <v>4191</v>
      </c>
      <c r="C1609" s="5" t="s">
        <v>297</v>
      </c>
      <c r="E1609" s="5" t="s">
        <v>1859</v>
      </c>
      <c r="F1609" s="5" t="s">
        <v>280</v>
      </c>
      <c r="G1609" s="6">
        <v>0.06</v>
      </c>
      <c r="H1609" s="5" t="s">
        <v>2158</v>
      </c>
      <c r="I1609" s="5" t="s">
        <v>20</v>
      </c>
      <c r="J1609" s="5">
        <v>2014.0</v>
      </c>
      <c r="K1609" s="8">
        <v>46083.0</v>
      </c>
      <c r="L1609" s="5">
        <v>1.0</v>
      </c>
      <c r="M1609" s="7">
        <f t="shared" si="3"/>
        <v>0.06</v>
      </c>
    </row>
    <row r="1610">
      <c r="A1610" s="5" t="s">
        <v>4192</v>
      </c>
      <c r="B1610" s="5" t="s">
        <v>4193</v>
      </c>
      <c r="C1610" s="5" t="s">
        <v>297</v>
      </c>
      <c r="E1610" s="5" t="s">
        <v>2290</v>
      </c>
      <c r="F1610" s="5" t="s">
        <v>280</v>
      </c>
      <c r="G1610" s="6">
        <v>0.05</v>
      </c>
      <c r="H1610" s="5" t="s">
        <v>1676</v>
      </c>
      <c r="I1610" s="5" t="s">
        <v>20</v>
      </c>
      <c r="J1610" s="5">
        <v>2012.0</v>
      </c>
      <c r="K1610" s="8">
        <v>46175.0</v>
      </c>
      <c r="L1610" s="5">
        <v>1.0</v>
      </c>
      <c r="M1610" s="7">
        <f t="shared" si="3"/>
        <v>0.05</v>
      </c>
    </row>
    <row r="1611">
      <c r="A1611" s="5" t="s">
        <v>4194</v>
      </c>
      <c r="B1611" s="5" t="s">
        <v>4195</v>
      </c>
      <c r="C1611" s="5" t="s">
        <v>297</v>
      </c>
      <c r="D1611" s="5" t="s">
        <v>4196</v>
      </c>
      <c r="E1611" s="5" t="s">
        <v>2283</v>
      </c>
      <c r="F1611" s="5" t="s">
        <v>280</v>
      </c>
      <c r="G1611" s="6">
        <v>0.08</v>
      </c>
      <c r="H1611" s="5" t="s">
        <v>299</v>
      </c>
      <c r="I1611" s="5" t="s">
        <v>20</v>
      </c>
      <c r="J1611" s="5">
        <v>2026.0</v>
      </c>
      <c r="K1611" s="8">
        <v>46055.0</v>
      </c>
      <c r="L1611" s="5">
        <v>1.0</v>
      </c>
      <c r="M1611" s="7">
        <f t="shared" si="3"/>
        <v>0.08</v>
      </c>
    </row>
    <row r="1612">
      <c r="A1612" s="5" t="s">
        <v>4197</v>
      </c>
      <c r="B1612" s="5" t="s">
        <v>2063</v>
      </c>
      <c r="C1612" s="5" t="s">
        <v>297</v>
      </c>
      <c r="E1612" s="5" t="s">
        <v>1859</v>
      </c>
      <c r="F1612" s="5" t="s">
        <v>280</v>
      </c>
      <c r="G1612" s="6">
        <v>0.09</v>
      </c>
      <c r="H1612" s="5" t="s">
        <v>4198</v>
      </c>
      <c r="I1612" s="5" t="s">
        <v>31</v>
      </c>
      <c r="J1612" s="5">
        <v>2001.0</v>
      </c>
      <c r="K1612" s="8">
        <v>46055.0</v>
      </c>
      <c r="L1612" s="5">
        <v>1.0</v>
      </c>
      <c r="M1612" s="7">
        <f t="shared" si="3"/>
        <v>0.09</v>
      </c>
    </row>
    <row r="1613">
      <c r="A1613" s="5" t="s">
        <v>4199</v>
      </c>
      <c r="B1613" s="5" t="s">
        <v>296</v>
      </c>
      <c r="C1613" s="5" t="s">
        <v>1951</v>
      </c>
      <c r="D1613" s="5" t="s">
        <v>4200</v>
      </c>
      <c r="F1613" s="5" t="s">
        <v>80</v>
      </c>
      <c r="G1613" s="6">
        <v>0.21</v>
      </c>
      <c r="H1613" s="5" t="s">
        <v>1667</v>
      </c>
      <c r="I1613" s="5" t="s">
        <v>20</v>
      </c>
      <c r="J1613" s="5">
        <v>2018.0</v>
      </c>
      <c r="L1613" s="5">
        <v>1.0</v>
      </c>
      <c r="M1613" s="7">
        <f t="shared" si="3"/>
        <v>0.21</v>
      </c>
    </row>
    <row r="1614">
      <c r="A1614" s="5" t="s">
        <v>4201</v>
      </c>
      <c r="B1614" s="5" t="s">
        <v>296</v>
      </c>
      <c r="C1614" s="5" t="s">
        <v>1951</v>
      </c>
      <c r="D1614" s="5" t="s">
        <v>4202</v>
      </c>
      <c r="F1614" s="5" t="s">
        <v>80</v>
      </c>
      <c r="G1614" s="6">
        <v>0.2</v>
      </c>
      <c r="H1614" s="5" t="s">
        <v>2774</v>
      </c>
      <c r="I1614" s="5" t="s">
        <v>20</v>
      </c>
      <c r="J1614" s="5">
        <v>2015.0</v>
      </c>
      <c r="L1614" s="5">
        <v>1.0</v>
      </c>
      <c r="M1614" s="7">
        <f t="shared" si="3"/>
        <v>0.2</v>
      </c>
    </row>
    <row r="1615">
      <c r="A1615" s="5" t="s">
        <v>4203</v>
      </c>
      <c r="B1615" s="5" t="s">
        <v>296</v>
      </c>
      <c r="C1615" s="5" t="s">
        <v>1899</v>
      </c>
      <c r="D1615" s="5" t="s">
        <v>4204</v>
      </c>
      <c r="F1615" s="5" t="s">
        <v>80</v>
      </c>
      <c r="G1615" s="6">
        <v>0.3</v>
      </c>
      <c r="H1615" s="5" t="s">
        <v>1997</v>
      </c>
      <c r="I1615" s="5" t="s">
        <v>20</v>
      </c>
      <c r="J1615" s="5">
        <v>2016.0</v>
      </c>
      <c r="L1615" s="5">
        <v>1.0</v>
      </c>
      <c r="M1615" s="7">
        <f t="shared" si="3"/>
        <v>0.3</v>
      </c>
    </row>
    <row r="1616">
      <c r="A1616" s="5" t="s">
        <v>4205</v>
      </c>
      <c r="B1616" s="5" t="s">
        <v>2741</v>
      </c>
      <c r="C1616" s="5" t="s">
        <v>297</v>
      </c>
      <c r="D1616" s="5" t="s">
        <v>4206</v>
      </c>
      <c r="F1616" s="5" t="s">
        <v>3182</v>
      </c>
      <c r="G1616" s="6">
        <v>0.09</v>
      </c>
      <c r="H1616" s="5" t="s">
        <v>1644</v>
      </c>
      <c r="I1616" s="5" t="s">
        <v>20</v>
      </c>
      <c r="J1616" s="5">
        <v>2019.0</v>
      </c>
      <c r="L1616" s="5">
        <v>2.0</v>
      </c>
      <c r="M1616" s="7">
        <f t="shared" si="3"/>
        <v>0.18</v>
      </c>
    </row>
    <row r="1617">
      <c r="A1617" s="5" t="s">
        <v>4207</v>
      </c>
      <c r="B1617" s="5" t="s">
        <v>1816</v>
      </c>
      <c r="C1617" s="5" t="s">
        <v>1670</v>
      </c>
      <c r="D1617" s="5" t="s">
        <v>4208</v>
      </c>
      <c r="E1617" s="5" t="s">
        <v>2325</v>
      </c>
      <c r="F1617" s="5" t="s">
        <v>80</v>
      </c>
      <c r="G1617" s="6">
        <v>0.21</v>
      </c>
      <c r="H1617" s="5" t="s">
        <v>2733</v>
      </c>
      <c r="I1617" s="5" t="s">
        <v>1794</v>
      </c>
      <c r="J1617" s="5">
        <v>2011.0</v>
      </c>
      <c r="L1617" s="5">
        <v>1.0</v>
      </c>
      <c r="M1617" s="7">
        <f t="shared" si="3"/>
        <v>0.21</v>
      </c>
    </row>
    <row r="1618">
      <c r="A1618" s="5" t="s">
        <v>4209</v>
      </c>
      <c r="B1618" s="5" t="s">
        <v>4210</v>
      </c>
      <c r="C1618" s="5" t="s">
        <v>297</v>
      </c>
      <c r="D1618" s="5" t="s">
        <v>4211</v>
      </c>
      <c r="E1618" s="5" t="s">
        <v>1856</v>
      </c>
      <c r="F1618" s="5" t="s">
        <v>280</v>
      </c>
      <c r="G1618" s="6">
        <v>0.05</v>
      </c>
      <c r="H1618" s="5" t="s">
        <v>2204</v>
      </c>
      <c r="I1618" s="5" t="s">
        <v>20</v>
      </c>
      <c r="J1618" s="5">
        <v>2014.0</v>
      </c>
      <c r="K1618" s="8">
        <v>46084.0</v>
      </c>
      <c r="L1618" s="5">
        <v>1.0</v>
      </c>
      <c r="M1618" s="7">
        <f t="shared" si="3"/>
        <v>0.05</v>
      </c>
    </row>
    <row r="1619">
      <c r="A1619" s="5" t="s">
        <v>4212</v>
      </c>
      <c r="B1619" s="5" t="s">
        <v>2060</v>
      </c>
      <c r="C1619" s="5" t="s">
        <v>297</v>
      </c>
      <c r="D1619" s="5" t="s">
        <v>4213</v>
      </c>
      <c r="E1619" s="5" t="s">
        <v>2384</v>
      </c>
      <c r="F1619" s="5" t="s">
        <v>280</v>
      </c>
      <c r="G1619" s="6">
        <v>0.06</v>
      </c>
      <c r="H1619" s="5" t="s">
        <v>2475</v>
      </c>
      <c r="I1619" s="5" t="s">
        <v>20</v>
      </c>
      <c r="J1619" s="5">
        <v>2012.0</v>
      </c>
      <c r="L1619" s="5">
        <v>1.0</v>
      </c>
      <c r="M1619" s="7">
        <f t="shared" si="3"/>
        <v>0.06</v>
      </c>
    </row>
    <row r="1620">
      <c r="A1620" s="5" t="s">
        <v>4214</v>
      </c>
      <c r="B1620" s="5" t="s">
        <v>2060</v>
      </c>
      <c r="C1620" s="5" t="s">
        <v>297</v>
      </c>
      <c r="D1620" s="5" t="s">
        <v>4215</v>
      </c>
      <c r="E1620" s="5" t="s">
        <v>1856</v>
      </c>
      <c r="F1620" s="5" t="s">
        <v>280</v>
      </c>
      <c r="G1620" s="6">
        <v>0.49</v>
      </c>
      <c r="H1620" s="5" t="s">
        <v>2540</v>
      </c>
      <c r="I1620" s="5" t="s">
        <v>20</v>
      </c>
      <c r="J1620" s="5">
        <v>2010.0</v>
      </c>
      <c r="L1620" s="5">
        <v>1.0</v>
      </c>
      <c r="M1620" s="7">
        <f t="shared" si="3"/>
        <v>0.49</v>
      </c>
    </row>
    <row r="1621">
      <c r="A1621" s="5" t="s">
        <v>4216</v>
      </c>
      <c r="B1621" s="5" t="s">
        <v>3968</v>
      </c>
      <c r="C1621" s="5" t="s">
        <v>297</v>
      </c>
      <c r="D1621" s="5" t="s">
        <v>4217</v>
      </c>
      <c r="E1621" s="5" t="s">
        <v>631</v>
      </c>
      <c r="F1621" s="5" t="s">
        <v>280</v>
      </c>
      <c r="G1621" s="6">
        <v>0.17</v>
      </c>
      <c r="H1621" s="5" t="s">
        <v>4218</v>
      </c>
      <c r="I1621" s="5" t="s">
        <v>20</v>
      </c>
      <c r="J1621" s="5">
        <v>2008.0</v>
      </c>
      <c r="K1621" s="8">
        <v>46023.0</v>
      </c>
      <c r="L1621" s="5">
        <v>4.0</v>
      </c>
      <c r="M1621" s="7">
        <f t="shared" si="3"/>
        <v>0.68</v>
      </c>
    </row>
    <row r="1622">
      <c r="A1622" s="5" t="s">
        <v>4219</v>
      </c>
      <c r="B1622" s="5" t="s">
        <v>2060</v>
      </c>
      <c r="C1622" s="5" t="s">
        <v>297</v>
      </c>
      <c r="D1622" s="5" t="s">
        <v>4220</v>
      </c>
      <c r="E1622" s="5" t="s">
        <v>2384</v>
      </c>
      <c r="F1622" s="5" t="s">
        <v>280</v>
      </c>
      <c r="G1622" s="6">
        <v>0.03</v>
      </c>
      <c r="H1622" s="5" t="s">
        <v>2557</v>
      </c>
      <c r="I1622" s="5" t="s">
        <v>20</v>
      </c>
      <c r="J1622" s="5">
        <v>2018.0</v>
      </c>
      <c r="L1622" s="5">
        <v>1.0</v>
      </c>
      <c r="M1622" s="7">
        <f t="shared" si="3"/>
        <v>0.03</v>
      </c>
    </row>
    <row r="1623">
      <c r="A1623" s="5" t="s">
        <v>4221</v>
      </c>
      <c r="B1623" s="5" t="s">
        <v>2060</v>
      </c>
      <c r="C1623" s="5" t="s">
        <v>297</v>
      </c>
      <c r="D1623" s="5" t="s">
        <v>4222</v>
      </c>
      <c r="E1623" s="5" t="s">
        <v>1761</v>
      </c>
      <c r="F1623" s="5" t="s">
        <v>280</v>
      </c>
      <c r="G1623" s="6">
        <v>0.05</v>
      </c>
      <c r="H1623" s="5" t="s">
        <v>1688</v>
      </c>
      <c r="I1623" s="5" t="s">
        <v>20</v>
      </c>
      <c r="J1623" s="5">
        <v>2021.0</v>
      </c>
      <c r="L1623" s="5">
        <v>1.0</v>
      </c>
      <c r="M1623" s="7">
        <f t="shared" si="3"/>
        <v>0.05</v>
      </c>
    </row>
    <row r="1624">
      <c r="A1624" s="5" t="s">
        <v>4223</v>
      </c>
      <c r="B1624" s="5" t="s">
        <v>4224</v>
      </c>
      <c r="C1624" s="5" t="s">
        <v>297</v>
      </c>
      <c r="D1624" s="5" t="s">
        <v>4225</v>
      </c>
      <c r="E1624" s="5" t="s">
        <v>1859</v>
      </c>
      <c r="F1624" s="5" t="s">
        <v>280</v>
      </c>
      <c r="G1624" s="6">
        <v>0.23</v>
      </c>
      <c r="H1624" s="5" t="s">
        <v>2551</v>
      </c>
      <c r="I1624" s="5" t="s">
        <v>20</v>
      </c>
      <c r="J1624" s="5">
        <v>2014.0</v>
      </c>
      <c r="K1624" s="8">
        <v>46113.0</v>
      </c>
      <c r="L1624" s="5">
        <v>1.0</v>
      </c>
      <c r="M1624" s="7">
        <f t="shared" si="3"/>
        <v>0.23</v>
      </c>
    </row>
    <row r="1625">
      <c r="A1625" s="5" t="s">
        <v>4226</v>
      </c>
      <c r="B1625" s="5" t="s">
        <v>2060</v>
      </c>
      <c r="C1625" s="5" t="s">
        <v>297</v>
      </c>
      <c r="D1625" s="5" t="s">
        <v>4227</v>
      </c>
      <c r="E1625" s="5" t="s">
        <v>1761</v>
      </c>
      <c r="F1625" s="5" t="s">
        <v>280</v>
      </c>
      <c r="G1625" s="6">
        <v>0.03</v>
      </c>
      <c r="H1625" s="5" t="s">
        <v>2603</v>
      </c>
      <c r="I1625" s="5" t="s">
        <v>20</v>
      </c>
      <c r="J1625" s="5">
        <v>2017.0</v>
      </c>
      <c r="L1625" s="5">
        <v>1.0</v>
      </c>
      <c r="M1625" s="7">
        <f t="shared" si="3"/>
        <v>0.03</v>
      </c>
    </row>
    <row r="1626">
      <c r="A1626" s="5" t="s">
        <v>4228</v>
      </c>
      <c r="B1626" s="5" t="s">
        <v>380</v>
      </c>
      <c r="C1626" s="5" t="s">
        <v>297</v>
      </c>
      <c r="D1626" s="5" t="s">
        <v>4229</v>
      </c>
      <c r="E1626" s="5" t="s">
        <v>2290</v>
      </c>
      <c r="F1626" s="5" t="s">
        <v>280</v>
      </c>
      <c r="G1626" s="6">
        <v>0.05</v>
      </c>
      <c r="H1626" s="5" t="s">
        <v>1711</v>
      </c>
      <c r="I1626" s="5" t="s">
        <v>20</v>
      </c>
      <c r="J1626" s="5">
        <v>2019.0</v>
      </c>
      <c r="L1626" s="5">
        <v>1.0</v>
      </c>
      <c r="M1626" s="7">
        <f t="shared" si="3"/>
        <v>0.05</v>
      </c>
    </row>
    <row r="1627">
      <c r="A1627" s="5" t="s">
        <v>4230</v>
      </c>
      <c r="B1627" s="5" t="s">
        <v>2060</v>
      </c>
      <c r="C1627" s="5" t="s">
        <v>297</v>
      </c>
      <c r="D1627" s="5" t="s">
        <v>4231</v>
      </c>
      <c r="E1627" s="5" t="s">
        <v>1859</v>
      </c>
      <c r="F1627" s="5" t="s">
        <v>280</v>
      </c>
      <c r="G1627" s="6">
        <v>0.03</v>
      </c>
      <c r="H1627" s="5" t="s">
        <v>2515</v>
      </c>
      <c r="I1627" s="5" t="s">
        <v>20</v>
      </c>
      <c r="J1627" s="5">
        <v>2018.0</v>
      </c>
      <c r="L1627" s="5">
        <v>1.0</v>
      </c>
      <c r="M1627" s="7">
        <f t="shared" si="3"/>
        <v>0.03</v>
      </c>
    </row>
    <row r="1628">
      <c r="A1628" s="5" t="s">
        <v>4232</v>
      </c>
      <c r="B1628" s="5" t="s">
        <v>380</v>
      </c>
      <c r="C1628" s="5" t="s">
        <v>297</v>
      </c>
      <c r="D1628" s="5" t="s">
        <v>4233</v>
      </c>
      <c r="E1628" s="5" t="s">
        <v>2283</v>
      </c>
      <c r="F1628" s="5" t="s">
        <v>280</v>
      </c>
      <c r="G1628" s="6">
        <v>0.07</v>
      </c>
      <c r="H1628" s="5" t="s">
        <v>3482</v>
      </c>
      <c r="I1628" s="5" t="s">
        <v>20</v>
      </c>
      <c r="J1628" s="5">
        <v>2023.0</v>
      </c>
      <c r="L1628" s="5">
        <v>1.0</v>
      </c>
      <c r="M1628" s="7">
        <f t="shared" si="3"/>
        <v>0.07</v>
      </c>
    </row>
    <row r="1629">
      <c r="A1629" s="5" t="s">
        <v>4234</v>
      </c>
      <c r="B1629" s="5" t="s">
        <v>296</v>
      </c>
      <c r="C1629" s="5" t="s">
        <v>1899</v>
      </c>
      <c r="D1629" s="5" t="s">
        <v>4235</v>
      </c>
      <c r="F1629" s="5" t="s">
        <v>80</v>
      </c>
      <c r="G1629" s="6">
        <v>0.23</v>
      </c>
      <c r="H1629" s="5" t="s">
        <v>3097</v>
      </c>
      <c r="I1629" s="5" t="s">
        <v>20</v>
      </c>
      <c r="J1629" s="5">
        <v>2015.0</v>
      </c>
      <c r="L1629" s="5">
        <v>1.0</v>
      </c>
      <c r="M1629" s="7">
        <f t="shared" si="3"/>
        <v>0.23</v>
      </c>
    </row>
    <row r="1630">
      <c r="A1630" s="5" t="s">
        <v>4236</v>
      </c>
      <c r="B1630" s="5" t="s">
        <v>380</v>
      </c>
      <c r="C1630" s="5" t="s">
        <v>297</v>
      </c>
      <c r="D1630" s="5" t="s">
        <v>4237</v>
      </c>
      <c r="E1630" s="5" t="s">
        <v>2283</v>
      </c>
      <c r="F1630" s="5" t="s">
        <v>280</v>
      </c>
      <c r="G1630" s="6">
        <v>0.03</v>
      </c>
      <c r="H1630" s="5" t="s">
        <v>2557</v>
      </c>
      <c r="I1630" s="5" t="s">
        <v>20</v>
      </c>
      <c r="J1630" s="5">
        <v>2018.0</v>
      </c>
      <c r="L1630" s="5">
        <v>1.0</v>
      </c>
      <c r="M1630" s="7">
        <f t="shared" si="3"/>
        <v>0.03</v>
      </c>
    </row>
    <row r="1631">
      <c r="A1631" s="5" t="s">
        <v>4238</v>
      </c>
      <c r="B1631" s="5" t="s">
        <v>4239</v>
      </c>
      <c r="C1631" s="5" t="s">
        <v>1951</v>
      </c>
      <c r="D1631" s="5" t="s">
        <v>4240</v>
      </c>
      <c r="E1631" s="5" t="s">
        <v>1856</v>
      </c>
      <c r="F1631" s="5" t="s">
        <v>280</v>
      </c>
      <c r="G1631" s="6">
        <v>0.09</v>
      </c>
      <c r="H1631" s="5" t="s">
        <v>1967</v>
      </c>
      <c r="I1631" s="5" t="s">
        <v>20</v>
      </c>
      <c r="J1631" s="5">
        <v>2022.0</v>
      </c>
      <c r="K1631" s="8">
        <v>46084.0</v>
      </c>
      <c r="L1631" s="5">
        <v>1.0</v>
      </c>
      <c r="M1631" s="7">
        <f t="shared" si="3"/>
        <v>0.09</v>
      </c>
    </row>
    <row r="1632">
      <c r="A1632" s="5" t="s">
        <v>4241</v>
      </c>
      <c r="B1632" s="5" t="s">
        <v>4242</v>
      </c>
      <c r="C1632" s="5" t="s">
        <v>297</v>
      </c>
      <c r="D1632" s="5" t="s">
        <v>4243</v>
      </c>
      <c r="E1632" s="5" t="s">
        <v>2844</v>
      </c>
      <c r="F1632" s="5" t="s">
        <v>280</v>
      </c>
      <c r="G1632" s="6">
        <v>0.05</v>
      </c>
      <c r="H1632" s="5" t="s">
        <v>1711</v>
      </c>
      <c r="I1632" s="5" t="s">
        <v>20</v>
      </c>
      <c r="J1632" s="5">
        <v>2019.0</v>
      </c>
      <c r="K1632" s="8">
        <v>46083.0</v>
      </c>
      <c r="L1632" s="5">
        <v>1.0</v>
      </c>
      <c r="M1632" s="7">
        <f t="shared" si="3"/>
        <v>0.05</v>
      </c>
    </row>
    <row r="1633">
      <c r="A1633" s="5" t="s">
        <v>4244</v>
      </c>
      <c r="B1633" s="5" t="s">
        <v>4245</v>
      </c>
      <c r="C1633" s="5" t="s">
        <v>1899</v>
      </c>
      <c r="D1633" s="5" t="s">
        <v>4246</v>
      </c>
      <c r="E1633" s="5" t="s">
        <v>631</v>
      </c>
      <c r="F1633" s="5" t="s">
        <v>280</v>
      </c>
      <c r="G1633" s="6">
        <v>0.3</v>
      </c>
      <c r="H1633" s="5" t="s">
        <v>2158</v>
      </c>
      <c r="I1633" s="5" t="s">
        <v>20</v>
      </c>
      <c r="J1633" s="5">
        <v>2014.0</v>
      </c>
      <c r="K1633" s="8">
        <v>46023.0</v>
      </c>
      <c r="L1633" s="5">
        <v>1.0</v>
      </c>
      <c r="M1633" s="7">
        <f t="shared" si="3"/>
        <v>0.3</v>
      </c>
    </row>
    <row r="1634">
      <c r="A1634" s="5" t="s">
        <v>4247</v>
      </c>
      <c r="B1634" s="5" t="s">
        <v>296</v>
      </c>
      <c r="C1634" s="5" t="s">
        <v>297</v>
      </c>
      <c r="D1634" s="5" t="s">
        <v>4248</v>
      </c>
      <c r="F1634" s="5" t="s">
        <v>80</v>
      </c>
      <c r="G1634" s="6">
        <v>0.3</v>
      </c>
      <c r="H1634" s="5" t="s">
        <v>2249</v>
      </c>
      <c r="I1634" s="5" t="s">
        <v>20</v>
      </c>
      <c r="J1634" s="5">
        <v>2017.0</v>
      </c>
      <c r="L1634" s="5">
        <v>2.0</v>
      </c>
      <c r="M1634" s="7">
        <f t="shared" si="3"/>
        <v>0.6</v>
      </c>
    </row>
    <row r="1635">
      <c r="A1635" s="5" t="s">
        <v>4249</v>
      </c>
      <c r="B1635" s="5" t="s">
        <v>380</v>
      </c>
      <c r="C1635" s="5" t="s">
        <v>297</v>
      </c>
      <c r="D1635" s="5" t="s">
        <v>4250</v>
      </c>
      <c r="E1635" s="5" t="s">
        <v>2283</v>
      </c>
      <c r="F1635" s="5" t="s">
        <v>280</v>
      </c>
      <c r="G1635" s="6">
        <v>0.07</v>
      </c>
      <c r="H1635" s="5" t="s">
        <v>1641</v>
      </c>
      <c r="I1635" s="5" t="s">
        <v>20</v>
      </c>
      <c r="J1635" s="5">
        <v>2024.0</v>
      </c>
      <c r="L1635" s="5">
        <v>1.0</v>
      </c>
      <c r="M1635" s="7">
        <f t="shared" si="3"/>
        <v>0.07</v>
      </c>
    </row>
    <row r="1636">
      <c r="A1636" s="5" t="s">
        <v>4251</v>
      </c>
      <c r="B1636" s="5" t="s">
        <v>3309</v>
      </c>
      <c r="C1636" s="5" t="s">
        <v>1899</v>
      </c>
      <c r="D1636" s="5" t="s">
        <v>4252</v>
      </c>
      <c r="E1636" s="5" t="s">
        <v>2384</v>
      </c>
      <c r="F1636" s="5" t="s">
        <v>280</v>
      </c>
      <c r="G1636" s="6">
        <v>0.25</v>
      </c>
      <c r="H1636" s="5" t="s">
        <v>2774</v>
      </c>
      <c r="I1636" s="5" t="s">
        <v>20</v>
      </c>
      <c r="J1636" s="5">
        <v>2015.0</v>
      </c>
      <c r="K1636" s="8">
        <v>46055.0</v>
      </c>
      <c r="L1636" s="5">
        <v>1.0</v>
      </c>
      <c r="M1636" s="7">
        <f t="shared" si="3"/>
        <v>0.25</v>
      </c>
    </row>
    <row r="1637">
      <c r="A1637" s="5" t="s">
        <v>4253</v>
      </c>
      <c r="B1637" s="5" t="s">
        <v>2319</v>
      </c>
      <c r="C1637" s="5" t="s">
        <v>297</v>
      </c>
      <c r="D1637" s="5" t="s">
        <v>4254</v>
      </c>
      <c r="E1637" s="5" t="s">
        <v>2384</v>
      </c>
      <c r="F1637" s="5" t="s">
        <v>280</v>
      </c>
      <c r="G1637" s="6">
        <v>0.03</v>
      </c>
      <c r="H1637" s="5" t="s">
        <v>1989</v>
      </c>
      <c r="I1637" s="5" t="s">
        <v>20</v>
      </c>
      <c r="J1637" s="5">
        <v>2019.0</v>
      </c>
      <c r="K1637" s="8">
        <v>46084.0</v>
      </c>
      <c r="L1637" s="5">
        <v>1.0</v>
      </c>
      <c r="M1637" s="7">
        <f t="shared" si="3"/>
        <v>0.03</v>
      </c>
    </row>
    <row r="1638">
      <c r="A1638" s="5" t="s">
        <v>4255</v>
      </c>
      <c r="B1638" s="5" t="s">
        <v>4256</v>
      </c>
      <c r="C1638" s="5" t="s">
        <v>1899</v>
      </c>
      <c r="D1638" s="5" t="s">
        <v>4257</v>
      </c>
      <c r="E1638" s="5" t="s">
        <v>4258</v>
      </c>
      <c r="F1638" s="5" t="s">
        <v>280</v>
      </c>
      <c r="G1638" s="6">
        <v>0.2</v>
      </c>
      <c r="H1638" s="5" t="s">
        <v>3097</v>
      </c>
      <c r="I1638" s="5" t="s">
        <v>20</v>
      </c>
      <c r="J1638" s="5">
        <v>2015.0</v>
      </c>
      <c r="K1638" s="8">
        <v>46116.0</v>
      </c>
      <c r="L1638" s="5">
        <v>1.0</v>
      </c>
      <c r="M1638" s="7">
        <f t="shared" si="3"/>
        <v>0.2</v>
      </c>
    </row>
    <row r="1639">
      <c r="A1639" s="5" t="s">
        <v>4259</v>
      </c>
      <c r="B1639" s="5" t="s">
        <v>4260</v>
      </c>
      <c r="C1639" s="5" t="s">
        <v>297</v>
      </c>
      <c r="D1639" s="5" t="s">
        <v>4261</v>
      </c>
      <c r="E1639" s="5" t="s">
        <v>1856</v>
      </c>
      <c r="F1639" s="5" t="s">
        <v>280</v>
      </c>
      <c r="G1639" s="6">
        <v>0.09</v>
      </c>
      <c r="H1639" s="5" t="s">
        <v>2475</v>
      </c>
      <c r="I1639" s="5" t="s">
        <v>20</v>
      </c>
      <c r="J1639" s="5">
        <v>2012.0</v>
      </c>
      <c r="K1639" s="8">
        <v>46055.0</v>
      </c>
      <c r="L1639" s="5">
        <v>1.0</v>
      </c>
      <c r="M1639" s="7">
        <f t="shared" si="3"/>
        <v>0.09</v>
      </c>
    </row>
    <row r="1640">
      <c r="A1640" s="5" t="s">
        <v>4262</v>
      </c>
      <c r="B1640" s="5" t="s">
        <v>3251</v>
      </c>
      <c r="C1640" s="5" t="s">
        <v>1951</v>
      </c>
      <c r="D1640" s="5" t="s">
        <v>4263</v>
      </c>
      <c r="E1640" s="5" t="s">
        <v>2283</v>
      </c>
      <c r="F1640" s="5" t="s">
        <v>280</v>
      </c>
      <c r="G1640" s="6">
        <v>0.15</v>
      </c>
      <c r="H1640" s="5" t="s">
        <v>1714</v>
      </c>
      <c r="I1640" s="5" t="s">
        <v>20</v>
      </c>
      <c r="J1640" s="5">
        <v>2022.0</v>
      </c>
      <c r="K1640" s="8">
        <v>46024.0</v>
      </c>
      <c r="L1640" s="5">
        <v>1.0</v>
      </c>
      <c r="M1640" s="7">
        <f t="shared" si="3"/>
        <v>0.15</v>
      </c>
    </row>
    <row r="1641">
      <c r="A1641" s="5" t="s">
        <v>4264</v>
      </c>
      <c r="B1641" s="5" t="s">
        <v>4265</v>
      </c>
      <c r="C1641" s="5" t="s">
        <v>297</v>
      </c>
      <c r="D1641" s="5" t="s">
        <v>4266</v>
      </c>
      <c r="E1641" s="5" t="s">
        <v>1856</v>
      </c>
      <c r="F1641" s="5" t="s">
        <v>280</v>
      </c>
      <c r="G1641" s="6">
        <v>0.03</v>
      </c>
      <c r="H1641" s="5" t="s">
        <v>2478</v>
      </c>
      <c r="I1641" s="5" t="s">
        <v>20</v>
      </c>
      <c r="J1641" s="5">
        <v>2017.0</v>
      </c>
      <c r="K1641" s="8">
        <v>46146.0</v>
      </c>
      <c r="L1641" s="5">
        <v>1.0</v>
      </c>
      <c r="M1641" s="7">
        <f t="shared" si="3"/>
        <v>0.03</v>
      </c>
    </row>
    <row r="1642">
      <c r="A1642" s="5" t="s">
        <v>4267</v>
      </c>
      <c r="B1642" s="5" t="s">
        <v>2060</v>
      </c>
      <c r="C1642" s="5" t="s">
        <v>1951</v>
      </c>
      <c r="D1642" s="5" t="s">
        <v>4268</v>
      </c>
      <c r="E1642" s="5" t="s">
        <v>2283</v>
      </c>
      <c r="F1642" s="5" t="s">
        <v>280</v>
      </c>
      <c r="G1642" s="6">
        <v>0.05</v>
      </c>
      <c r="H1642" s="5" t="s">
        <v>1644</v>
      </c>
      <c r="I1642" s="5" t="s">
        <v>20</v>
      </c>
      <c r="J1642" s="5">
        <v>2019.0</v>
      </c>
      <c r="L1642" s="5">
        <v>1.0</v>
      </c>
      <c r="M1642" s="7">
        <f t="shared" si="3"/>
        <v>0.05</v>
      </c>
    </row>
    <row r="1643">
      <c r="A1643" s="5" t="s">
        <v>4269</v>
      </c>
      <c r="B1643" s="5" t="s">
        <v>2060</v>
      </c>
      <c r="C1643" s="5" t="s">
        <v>1951</v>
      </c>
      <c r="D1643" s="5" t="s">
        <v>4270</v>
      </c>
      <c r="E1643" s="5" t="s">
        <v>2844</v>
      </c>
      <c r="F1643" s="5" t="s">
        <v>280</v>
      </c>
      <c r="G1643" s="6">
        <v>0.09</v>
      </c>
      <c r="H1643" s="5" t="s">
        <v>1714</v>
      </c>
      <c r="I1643" s="5" t="s">
        <v>20</v>
      </c>
      <c r="J1643" s="5">
        <v>2022.0</v>
      </c>
      <c r="L1643" s="5">
        <v>1.0</v>
      </c>
      <c r="M1643" s="7">
        <f t="shared" si="3"/>
        <v>0.09</v>
      </c>
    </row>
    <row r="1644">
      <c r="A1644" s="5" t="s">
        <v>4271</v>
      </c>
      <c r="B1644" s="5" t="s">
        <v>4272</v>
      </c>
      <c r="C1644" s="5" t="s">
        <v>297</v>
      </c>
      <c r="D1644" s="5" t="s">
        <v>4273</v>
      </c>
      <c r="E1644" s="5" t="s">
        <v>1859</v>
      </c>
      <c r="F1644" s="5" t="s">
        <v>280</v>
      </c>
      <c r="G1644" s="6">
        <v>0.07</v>
      </c>
      <c r="H1644" s="5" t="s">
        <v>2968</v>
      </c>
      <c r="I1644" s="5" t="s">
        <v>20</v>
      </c>
      <c r="J1644" s="5">
        <v>2006.0</v>
      </c>
      <c r="K1644" s="8">
        <v>46023.0</v>
      </c>
      <c r="L1644" s="5">
        <v>1.0</v>
      </c>
      <c r="M1644" s="7">
        <f t="shared" si="3"/>
        <v>0.07</v>
      </c>
    </row>
    <row r="1645">
      <c r="A1645" s="5" t="s">
        <v>4274</v>
      </c>
      <c r="B1645" s="5" t="s">
        <v>380</v>
      </c>
      <c r="C1645" s="5" t="s">
        <v>297</v>
      </c>
      <c r="D1645" s="5" t="s">
        <v>4275</v>
      </c>
      <c r="E1645" s="5" t="s">
        <v>1859</v>
      </c>
      <c r="F1645" s="5" t="s">
        <v>280</v>
      </c>
      <c r="G1645" s="6">
        <v>0.15</v>
      </c>
      <c r="H1645" s="5" t="s">
        <v>1714</v>
      </c>
      <c r="I1645" s="5" t="s">
        <v>20</v>
      </c>
      <c r="J1645" s="5">
        <v>2022.0</v>
      </c>
      <c r="L1645" s="5">
        <v>1.0</v>
      </c>
      <c r="M1645" s="7">
        <f t="shared" si="3"/>
        <v>0.15</v>
      </c>
    </row>
    <row r="1646">
      <c r="A1646" s="5" t="s">
        <v>4276</v>
      </c>
      <c r="B1646" s="5" t="s">
        <v>387</v>
      </c>
      <c r="C1646" s="5" t="s">
        <v>297</v>
      </c>
      <c r="D1646" s="5" t="s">
        <v>4277</v>
      </c>
      <c r="E1646" s="5" t="s">
        <v>1859</v>
      </c>
      <c r="F1646" s="5" t="s">
        <v>280</v>
      </c>
      <c r="G1646" s="6">
        <v>0.1</v>
      </c>
      <c r="H1646" s="5" t="s">
        <v>1634</v>
      </c>
      <c r="I1646" s="5" t="s">
        <v>20</v>
      </c>
      <c r="J1646" s="5">
        <v>2024.0</v>
      </c>
      <c r="L1646" s="5">
        <v>1.0</v>
      </c>
      <c r="M1646" s="7">
        <f t="shared" si="3"/>
        <v>0.1</v>
      </c>
    </row>
    <row r="1647">
      <c r="A1647" s="5" t="s">
        <v>4278</v>
      </c>
      <c r="B1647" s="5" t="s">
        <v>2060</v>
      </c>
      <c r="C1647" s="5" t="s">
        <v>297</v>
      </c>
      <c r="D1647" s="5" t="s">
        <v>4279</v>
      </c>
      <c r="E1647" s="5" t="s">
        <v>2283</v>
      </c>
      <c r="F1647" s="5" t="s">
        <v>280</v>
      </c>
      <c r="G1647" s="6">
        <v>0.14</v>
      </c>
      <c r="H1647" s="5" t="s">
        <v>2968</v>
      </c>
      <c r="I1647" s="5" t="s">
        <v>20</v>
      </c>
      <c r="J1647" s="5">
        <v>2006.0</v>
      </c>
      <c r="L1647" s="5">
        <v>1.0</v>
      </c>
      <c r="M1647" s="7">
        <f t="shared" si="3"/>
        <v>0.14</v>
      </c>
    </row>
    <row r="1648">
      <c r="A1648" s="5" t="s">
        <v>4280</v>
      </c>
      <c r="B1648" s="5" t="s">
        <v>4281</v>
      </c>
      <c r="C1648" s="5" t="s">
        <v>1899</v>
      </c>
      <c r="D1648" s="5" t="s">
        <v>4282</v>
      </c>
      <c r="E1648" s="5" t="s">
        <v>2324</v>
      </c>
      <c r="F1648" s="5" t="s">
        <v>88</v>
      </c>
      <c r="G1648" s="6">
        <v>0.4</v>
      </c>
      <c r="H1648" s="5" t="s">
        <v>2244</v>
      </c>
      <c r="I1648" s="5" t="s">
        <v>20</v>
      </c>
      <c r="J1648" s="5">
        <v>2014.0</v>
      </c>
      <c r="K1648" s="8">
        <v>46084.0</v>
      </c>
      <c r="L1648" s="5">
        <v>1.0</v>
      </c>
      <c r="M1648" s="7">
        <f t="shared" si="3"/>
        <v>0.4</v>
      </c>
    </row>
    <row r="1649">
      <c r="A1649" s="5" t="s">
        <v>4283</v>
      </c>
      <c r="B1649" s="5" t="s">
        <v>4284</v>
      </c>
      <c r="C1649" s="5" t="s">
        <v>297</v>
      </c>
      <c r="D1649" s="5" t="s">
        <v>4285</v>
      </c>
      <c r="E1649" s="5" t="s">
        <v>2330</v>
      </c>
      <c r="F1649" s="5" t="s">
        <v>88</v>
      </c>
      <c r="G1649" s="6">
        <v>0.02</v>
      </c>
      <c r="H1649" s="5" t="s">
        <v>2624</v>
      </c>
      <c r="I1649" s="5" t="s">
        <v>20</v>
      </c>
      <c r="J1649" s="5">
        <v>2019.0</v>
      </c>
      <c r="K1649" s="8">
        <v>46083.0</v>
      </c>
      <c r="L1649" s="5">
        <v>1.0</v>
      </c>
      <c r="M1649" s="7">
        <f t="shared" si="3"/>
        <v>0.02</v>
      </c>
    </row>
    <row r="1650">
      <c r="A1650" s="5" t="s">
        <v>4286</v>
      </c>
      <c r="B1650" s="5" t="s">
        <v>2179</v>
      </c>
      <c r="C1650" s="5" t="s">
        <v>1899</v>
      </c>
      <c r="D1650" s="5" t="s">
        <v>4287</v>
      </c>
      <c r="E1650" s="5" t="s">
        <v>4288</v>
      </c>
      <c r="F1650" s="5" t="s">
        <v>88</v>
      </c>
      <c r="G1650" s="6">
        <v>0.25</v>
      </c>
      <c r="H1650" s="5" t="s">
        <v>1986</v>
      </c>
      <c r="I1650" s="5" t="s">
        <v>20</v>
      </c>
      <c r="J1650" s="5">
        <v>2015.0</v>
      </c>
      <c r="K1650" s="8">
        <v>46147.0</v>
      </c>
      <c r="L1650" s="5">
        <v>1.0</v>
      </c>
      <c r="M1650" s="7">
        <f t="shared" si="3"/>
        <v>0.25</v>
      </c>
    </row>
    <row r="1651">
      <c r="A1651" s="5" t="s">
        <v>4289</v>
      </c>
      <c r="B1651" s="5" t="s">
        <v>4290</v>
      </c>
      <c r="C1651" s="5" t="s">
        <v>297</v>
      </c>
      <c r="D1651" s="5" t="s">
        <v>4291</v>
      </c>
      <c r="E1651" s="5" t="s">
        <v>2321</v>
      </c>
      <c r="F1651" s="5" t="s">
        <v>88</v>
      </c>
      <c r="G1651" s="6">
        <v>0.24</v>
      </c>
      <c r="H1651" s="5" t="s">
        <v>2177</v>
      </c>
      <c r="I1651" s="5" t="s">
        <v>31</v>
      </c>
      <c r="J1651" s="5">
        <v>2018.0</v>
      </c>
      <c r="K1651" s="8">
        <v>46082.0</v>
      </c>
      <c r="L1651" s="5">
        <v>1.0</v>
      </c>
      <c r="M1651" s="7">
        <f t="shared" si="3"/>
        <v>0.24</v>
      </c>
    </row>
    <row r="1652">
      <c r="A1652" s="5" t="s">
        <v>4292</v>
      </c>
      <c r="B1652" s="5" t="s">
        <v>2319</v>
      </c>
      <c r="C1652" s="5" t="s">
        <v>1899</v>
      </c>
      <c r="D1652" s="5" t="s">
        <v>4293</v>
      </c>
      <c r="E1652" s="5" t="s">
        <v>4294</v>
      </c>
      <c r="F1652" s="5" t="s">
        <v>88</v>
      </c>
      <c r="G1652" s="6">
        <v>0.17</v>
      </c>
      <c r="H1652" s="5" t="s">
        <v>2573</v>
      </c>
      <c r="I1652" s="5" t="s">
        <v>20</v>
      </c>
      <c r="J1652" s="5">
        <v>2012.0</v>
      </c>
      <c r="K1652" s="8">
        <v>46055.0</v>
      </c>
      <c r="L1652" s="5">
        <v>1.0</v>
      </c>
      <c r="M1652" s="7">
        <f t="shared" si="3"/>
        <v>0.17</v>
      </c>
    </row>
    <row r="1653">
      <c r="A1653" s="5" t="s">
        <v>4295</v>
      </c>
      <c r="B1653" s="5" t="s">
        <v>4296</v>
      </c>
      <c r="C1653" s="5" t="s">
        <v>297</v>
      </c>
      <c r="D1653" s="5" t="s">
        <v>4297</v>
      </c>
      <c r="E1653" s="5" t="s">
        <v>382</v>
      </c>
      <c r="F1653" s="5" t="s">
        <v>88</v>
      </c>
      <c r="G1653" s="6">
        <v>0.05</v>
      </c>
      <c r="H1653" s="5" t="s">
        <v>3097</v>
      </c>
      <c r="I1653" s="5" t="s">
        <v>20</v>
      </c>
      <c r="J1653" s="5">
        <v>2015.0</v>
      </c>
      <c r="K1653" s="8">
        <v>46024.0</v>
      </c>
      <c r="L1653" s="5">
        <v>1.0</v>
      </c>
      <c r="M1653" s="7">
        <f t="shared" si="3"/>
        <v>0.05</v>
      </c>
    </row>
    <row r="1654">
      <c r="A1654" s="5" t="s">
        <v>4298</v>
      </c>
      <c r="B1654" s="5" t="s">
        <v>2335</v>
      </c>
      <c r="C1654" s="5" t="s">
        <v>1899</v>
      </c>
      <c r="D1654" s="5" t="s">
        <v>4299</v>
      </c>
      <c r="E1654" s="5" t="s">
        <v>4300</v>
      </c>
      <c r="F1654" s="5" t="s">
        <v>88</v>
      </c>
      <c r="G1654" s="6">
        <v>0.5</v>
      </c>
      <c r="H1654" s="5" t="s">
        <v>2774</v>
      </c>
      <c r="I1654" s="5" t="s">
        <v>20</v>
      </c>
      <c r="J1654" s="5">
        <v>2015.0</v>
      </c>
      <c r="K1654" s="8">
        <v>46055.0</v>
      </c>
      <c r="L1654" s="5">
        <v>1.0</v>
      </c>
      <c r="M1654" s="7">
        <f t="shared" si="3"/>
        <v>0.5</v>
      </c>
    </row>
    <row r="1655">
      <c r="A1655" s="5" t="s">
        <v>4301</v>
      </c>
      <c r="B1655" s="5" t="s">
        <v>2223</v>
      </c>
      <c r="C1655" s="5" t="s">
        <v>297</v>
      </c>
      <c r="D1655" s="5" t="s">
        <v>4302</v>
      </c>
      <c r="E1655" s="5" t="s">
        <v>917</v>
      </c>
      <c r="F1655" s="5" t="s">
        <v>88</v>
      </c>
      <c r="G1655" s="6">
        <v>0.09</v>
      </c>
      <c r="H1655" s="5" t="s">
        <v>2207</v>
      </c>
      <c r="I1655" s="5" t="s">
        <v>20</v>
      </c>
      <c r="J1655" s="5">
        <v>2023.0</v>
      </c>
      <c r="K1655" s="8">
        <v>46054.0</v>
      </c>
      <c r="L1655" s="5">
        <v>4.0</v>
      </c>
      <c r="M1655" s="7">
        <f t="shared" si="3"/>
        <v>0.36</v>
      </c>
    </row>
    <row r="1656">
      <c r="A1656" s="5" t="s">
        <v>4303</v>
      </c>
      <c r="B1656" s="5" t="s">
        <v>4304</v>
      </c>
      <c r="C1656" s="5" t="s">
        <v>1899</v>
      </c>
      <c r="D1656" s="5" t="s">
        <v>4305</v>
      </c>
      <c r="E1656" s="5" t="s">
        <v>2330</v>
      </c>
      <c r="F1656" s="5" t="s">
        <v>88</v>
      </c>
      <c r="G1656" s="6">
        <v>0.19</v>
      </c>
      <c r="H1656" s="5" t="s">
        <v>2177</v>
      </c>
      <c r="I1656" s="5" t="s">
        <v>20</v>
      </c>
      <c r="J1656" s="5">
        <v>2018.0</v>
      </c>
      <c r="K1656" s="5" t="s">
        <v>752</v>
      </c>
      <c r="L1656" s="5">
        <v>1.0</v>
      </c>
      <c r="M1656" s="7">
        <f t="shared" si="3"/>
        <v>0.19</v>
      </c>
    </row>
    <row r="1657">
      <c r="A1657" s="5" t="s">
        <v>4306</v>
      </c>
      <c r="B1657" s="5" t="s">
        <v>4130</v>
      </c>
      <c r="C1657" s="5" t="s">
        <v>297</v>
      </c>
      <c r="E1657" s="5" t="s">
        <v>382</v>
      </c>
      <c r="F1657" s="5" t="s">
        <v>88</v>
      </c>
      <c r="G1657" s="6">
        <v>0.06</v>
      </c>
      <c r="H1657" s="5" t="s">
        <v>2204</v>
      </c>
      <c r="I1657" s="5" t="s">
        <v>20</v>
      </c>
      <c r="J1657" s="5">
        <v>2014.0</v>
      </c>
      <c r="K1657" s="8">
        <v>46024.0</v>
      </c>
      <c r="L1657" s="5">
        <v>5.0</v>
      </c>
      <c r="M1657" s="7">
        <f t="shared" si="3"/>
        <v>0.3</v>
      </c>
    </row>
    <row r="1658">
      <c r="A1658" s="5" t="s">
        <v>4307</v>
      </c>
      <c r="B1658" s="5" t="s">
        <v>3330</v>
      </c>
      <c r="C1658" s="5" t="s">
        <v>297</v>
      </c>
      <c r="D1658" s="5" t="s">
        <v>4308</v>
      </c>
      <c r="E1658" s="5" t="s">
        <v>2321</v>
      </c>
      <c r="F1658" s="5" t="s">
        <v>88</v>
      </c>
      <c r="G1658" s="6">
        <v>0.1</v>
      </c>
      <c r="H1658" s="5" t="s">
        <v>2164</v>
      </c>
      <c r="I1658" s="5" t="s">
        <v>20</v>
      </c>
      <c r="J1658" s="5">
        <v>2021.0</v>
      </c>
      <c r="K1658" s="8">
        <v>46024.0</v>
      </c>
      <c r="L1658" s="5">
        <v>4.0</v>
      </c>
      <c r="M1658" s="7">
        <f t="shared" si="3"/>
        <v>0.4</v>
      </c>
    </row>
    <row r="1659">
      <c r="A1659" s="5" t="s">
        <v>4309</v>
      </c>
      <c r="B1659" s="5" t="s">
        <v>2753</v>
      </c>
      <c r="C1659" s="5" t="s">
        <v>297</v>
      </c>
      <c r="D1659" s="5" t="s">
        <v>4310</v>
      </c>
      <c r="E1659" s="5" t="s">
        <v>382</v>
      </c>
      <c r="F1659" s="5" t="s">
        <v>88</v>
      </c>
      <c r="G1659" s="6">
        <v>0.05</v>
      </c>
      <c r="H1659" s="5" t="s">
        <v>1997</v>
      </c>
      <c r="I1659" s="5" t="s">
        <v>20</v>
      </c>
      <c r="J1659" s="5">
        <v>2016.0</v>
      </c>
      <c r="K1659" s="8">
        <v>46082.0</v>
      </c>
      <c r="L1659" s="5">
        <v>1.0</v>
      </c>
      <c r="M1659" s="7">
        <f t="shared" si="3"/>
        <v>0.05</v>
      </c>
    </row>
    <row r="1660">
      <c r="A1660" s="5" t="s">
        <v>4311</v>
      </c>
      <c r="B1660" s="5" t="s">
        <v>2319</v>
      </c>
      <c r="C1660" s="5" t="s">
        <v>297</v>
      </c>
      <c r="D1660" s="5" t="s">
        <v>4312</v>
      </c>
      <c r="E1660" s="5" t="s">
        <v>2321</v>
      </c>
      <c r="F1660" s="5" t="s">
        <v>88</v>
      </c>
      <c r="G1660" s="6">
        <v>0.2</v>
      </c>
      <c r="H1660" s="5" t="s">
        <v>2573</v>
      </c>
      <c r="I1660" s="5" t="s">
        <v>20</v>
      </c>
      <c r="J1660" s="5">
        <v>2012.0</v>
      </c>
      <c r="K1660" s="8">
        <v>46113.0</v>
      </c>
      <c r="L1660" s="5">
        <v>1.0</v>
      </c>
      <c r="M1660" s="7">
        <f t="shared" si="3"/>
        <v>0.2</v>
      </c>
    </row>
    <row r="1661">
      <c r="A1661" s="5" t="s">
        <v>4313</v>
      </c>
      <c r="B1661" s="5" t="s">
        <v>2063</v>
      </c>
      <c r="C1661" s="5" t="s">
        <v>297</v>
      </c>
      <c r="D1661" s="5" t="s">
        <v>4314</v>
      </c>
      <c r="E1661" s="5" t="s">
        <v>382</v>
      </c>
      <c r="F1661" s="5" t="s">
        <v>88</v>
      </c>
      <c r="G1661" s="6">
        <v>0.05</v>
      </c>
      <c r="H1661" s="5" t="s">
        <v>2475</v>
      </c>
      <c r="I1661" s="5" t="s">
        <v>20</v>
      </c>
      <c r="J1661" s="5">
        <v>2012.0</v>
      </c>
      <c r="K1661" s="8">
        <v>46024.0</v>
      </c>
      <c r="L1661" s="5">
        <v>1.0</v>
      </c>
      <c r="M1661" s="7">
        <f t="shared" si="3"/>
        <v>0.05</v>
      </c>
    </row>
    <row r="1662">
      <c r="A1662" s="5" t="s">
        <v>4315</v>
      </c>
      <c r="B1662" s="5" t="s">
        <v>4316</v>
      </c>
      <c r="C1662" s="5" t="s">
        <v>297</v>
      </c>
      <c r="D1662" s="5" t="s">
        <v>4317</v>
      </c>
      <c r="E1662" s="5" t="s">
        <v>382</v>
      </c>
      <c r="F1662" s="5" t="s">
        <v>88</v>
      </c>
      <c r="G1662" s="6">
        <v>0.22</v>
      </c>
      <c r="H1662" s="5" t="s">
        <v>2240</v>
      </c>
      <c r="I1662" s="5" t="s">
        <v>31</v>
      </c>
      <c r="J1662" s="5">
        <v>2024.0</v>
      </c>
      <c r="K1662" s="8">
        <v>46024.0</v>
      </c>
      <c r="L1662" s="5">
        <v>1.0</v>
      </c>
      <c r="M1662" s="7">
        <f t="shared" si="3"/>
        <v>0.22</v>
      </c>
    </row>
    <row r="1663">
      <c r="A1663" s="5" t="s">
        <v>4318</v>
      </c>
      <c r="B1663" s="5" t="s">
        <v>4319</v>
      </c>
      <c r="C1663" s="5" t="s">
        <v>1899</v>
      </c>
      <c r="D1663" s="5" t="s">
        <v>4320</v>
      </c>
      <c r="E1663" s="5" t="s">
        <v>4321</v>
      </c>
      <c r="F1663" s="5" t="s">
        <v>88</v>
      </c>
      <c r="G1663" s="6">
        <v>28.8</v>
      </c>
      <c r="H1663" s="5" t="s">
        <v>2174</v>
      </c>
      <c r="I1663" s="5" t="s">
        <v>20</v>
      </c>
      <c r="J1663" s="5">
        <v>2021.0</v>
      </c>
      <c r="K1663" s="8">
        <v>46241.0</v>
      </c>
      <c r="L1663" s="5">
        <v>1.0</v>
      </c>
      <c r="M1663" s="7">
        <f t="shared" si="3"/>
        <v>28.8</v>
      </c>
    </row>
    <row r="1664">
      <c r="A1664" s="5" t="s">
        <v>4322</v>
      </c>
      <c r="B1664" s="5" t="s">
        <v>2626</v>
      </c>
      <c r="C1664" s="5" t="s">
        <v>297</v>
      </c>
      <c r="D1664" s="5" t="s">
        <v>4323</v>
      </c>
      <c r="E1664" s="5" t="s">
        <v>2330</v>
      </c>
      <c r="F1664" s="5" t="s">
        <v>88</v>
      </c>
      <c r="G1664" s="6">
        <v>0.05</v>
      </c>
      <c r="H1664" s="5" t="s">
        <v>2583</v>
      </c>
      <c r="I1664" s="5" t="s">
        <v>31</v>
      </c>
      <c r="J1664" s="5">
        <v>2020.0</v>
      </c>
      <c r="K1664" s="8">
        <v>46084.0</v>
      </c>
      <c r="L1664" s="5">
        <v>1.0</v>
      </c>
      <c r="M1664" s="7">
        <f t="shared" si="3"/>
        <v>0.05</v>
      </c>
    </row>
    <row r="1665">
      <c r="A1665" s="5" t="s">
        <v>4324</v>
      </c>
      <c r="B1665" s="5" t="s">
        <v>4325</v>
      </c>
      <c r="C1665" s="5" t="s">
        <v>1899</v>
      </c>
      <c r="D1665" s="5" t="s">
        <v>4326</v>
      </c>
      <c r="E1665" s="5" t="s">
        <v>4327</v>
      </c>
      <c r="F1665" s="5" t="s">
        <v>88</v>
      </c>
      <c r="G1665" s="6">
        <v>0.25</v>
      </c>
      <c r="H1665" s="5" t="s">
        <v>2646</v>
      </c>
      <c r="I1665" s="5" t="s">
        <v>20</v>
      </c>
      <c r="J1665" s="5">
        <v>2013.0</v>
      </c>
      <c r="K1665" s="8">
        <v>46116.0</v>
      </c>
      <c r="L1665" s="5">
        <v>1.0</v>
      </c>
      <c r="M1665" s="7">
        <f t="shared" si="3"/>
        <v>0.25</v>
      </c>
    </row>
    <row r="1666">
      <c r="A1666" s="5" t="s">
        <v>4328</v>
      </c>
      <c r="B1666" s="5" t="s">
        <v>2626</v>
      </c>
      <c r="C1666" s="5" t="s">
        <v>1899</v>
      </c>
      <c r="D1666" s="5" t="s">
        <v>4329</v>
      </c>
      <c r="E1666" s="5" t="s">
        <v>4330</v>
      </c>
      <c r="F1666" s="5" t="s">
        <v>88</v>
      </c>
      <c r="G1666" s="6">
        <v>0.3</v>
      </c>
      <c r="H1666" s="5" t="s">
        <v>2174</v>
      </c>
      <c r="I1666" s="5" t="s">
        <v>20</v>
      </c>
      <c r="J1666" s="5">
        <v>2021.0</v>
      </c>
      <c r="K1666" s="8">
        <v>46025.0</v>
      </c>
      <c r="L1666" s="5">
        <v>1.0</v>
      </c>
      <c r="M1666" s="7">
        <f t="shared" si="3"/>
        <v>0.3</v>
      </c>
    </row>
    <row r="1667">
      <c r="A1667" s="5" t="s">
        <v>4331</v>
      </c>
      <c r="B1667" s="5" t="s">
        <v>2234</v>
      </c>
      <c r="C1667" s="5" t="s">
        <v>297</v>
      </c>
      <c r="D1667" s="5" t="s">
        <v>4332</v>
      </c>
      <c r="E1667" s="5" t="s">
        <v>2330</v>
      </c>
      <c r="F1667" s="5" t="s">
        <v>88</v>
      </c>
      <c r="G1667" s="6">
        <v>0.06</v>
      </c>
      <c r="H1667" s="5" t="s">
        <v>1714</v>
      </c>
      <c r="I1667" s="5" t="s">
        <v>20</v>
      </c>
      <c r="J1667" s="5">
        <v>2022.0</v>
      </c>
      <c r="K1667" s="8">
        <v>46179.0</v>
      </c>
      <c r="L1667" s="5">
        <v>3.0</v>
      </c>
      <c r="M1667" s="7">
        <f t="shared" si="3"/>
        <v>0.18</v>
      </c>
    </row>
    <row r="1668">
      <c r="A1668" s="5" t="s">
        <v>4333</v>
      </c>
      <c r="B1668" s="5" t="s">
        <v>4334</v>
      </c>
      <c r="C1668" s="5" t="s">
        <v>1951</v>
      </c>
      <c r="D1668" s="5" t="s">
        <v>4335</v>
      </c>
      <c r="E1668" s="5" t="s">
        <v>917</v>
      </c>
      <c r="F1668" s="5" t="s">
        <v>88</v>
      </c>
      <c r="G1668" s="6">
        <v>0.5</v>
      </c>
      <c r="H1668" s="5" t="s">
        <v>2177</v>
      </c>
      <c r="I1668" s="5" t="s">
        <v>31</v>
      </c>
      <c r="J1668" s="5">
        <v>2018.0</v>
      </c>
      <c r="L1668" s="5">
        <v>1.0</v>
      </c>
      <c r="M1668" s="7">
        <f t="shared" si="3"/>
        <v>0.5</v>
      </c>
    </row>
    <row r="1669">
      <c r="A1669" s="5" t="s">
        <v>4336</v>
      </c>
      <c r="B1669" s="5" t="s">
        <v>2016</v>
      </c>
      <c r="C1669" s="5" t="s">
        <v>297</v>
      </c>
      <c r="D1669" s="5" t="s">
        <v>4337</v>
      </c>
      <c r="E1669" s="5" t="s">
        <v>382</v>
      </c>
      <c r="F1669" s="5" t="s">
        <v>88</v>
      </c>
      <c r="G1669" s="6">
        <v>0.05</v>
      </c>
      <c r="H1669" s="5" t="s">
        <v>1676</v>
      </c>
      <c r="I1669" s="5" t="s">
        <v>20</v>
      </c>
      <c r="J1669" s="5">
        <v>2012.0</v>
      </c>
      <c r="L1669" s="5">
        <v>1.0</v>
      </c>
      <c r="M1669" s="7">
        <f t="shared" si="3"/>
        <v>0.05</v>
      </c>
    </row>
    <row r="1670">
      <c r="A1670" s="5" t="s">
        <v>4338</v>
      </c>
      <c r="B1670" s="5" t="s">
        <v>2019</v>
      </c>
      <c r="C1670" s="5" t="s">
        <v>297</v>
      </c>
      <c r="D1670" s="5" t="s">
        <v>4339</v>
      </c>
      <c r="E1670" s="5" t="s">
        <v>917</v>
      </c>
      <c r="F1670" s="5" t="s">
        <v>88</v>
      </c>
      <c r="G1670" s="6">
        <v>0.17</v>
      </c>
      <c r="H1670" s="5" t="s">
        <v>1641</v>
      </c>
      <c r="I1670" s="5" t="s">
        <v>20</v>
      </c>
      <c r="J1670" s="5">
        <v>2024.0</v>
      </c>
      <c r="K1670" s="8">
        <v>46023.0</v>
      </c>
      <c r="L1670" s="5">
        <v>2.0</v>
      </c>
      <c r="M1670" s="7">
        <f t="shared" si="3"/>
        <v>0.34</v>
      </c>
    </row>
    <row r="1671">
      <c r="A1671" s="5" t="s">
        <v>4340</v>
      </c>
      <c r="B1671" s="5" t="s">
        <v>2626</v>
      </c>
      <c r="C1671" s="5" t="s">
        <v>297</v>
      </c>
      <c r="D1671" s="5" t="s">
        <v>4341</v>
      </c>
      <c r="E1671" s="5" t="s">
        <v>2324</v>
      </c>
      <c r="F1671" s="5" t="s">
        <v>88</v>
      </c>
      <c r="G1671" s="6">
        <v>0.09</v>
      </c>
      <c r="H1671" s="5" t="s">
        <v>1628</v>
      </c>
      <c r="I1671" s="5" t="s">
        <v>20</v>
      </c>
      <c r="J1671" s="5">
        <v>2021.0</v>
      </c>
      <c r="K1671" s="8">
        <v>46084.0</v>
      </c>
      <c r="L1671" s="5">
        <v>2.0</v>
      </c>
      <c r="M1671" s="7">
        <f t="shared" si="3"/>
        <v>0.18</v>
      </c>
    </row>
    <row r="1672">
      <c r="A1672" s="5" t="s">
        <v>4342</v>
      </c>
      <c r="B1672" s="5" t="s">
        <v>2428</v>
      </c>
      <c r="C1672" s="5" t="s">
        <v>1899</v>
      </c>
      <c r="D1672" s="5" t="s">
        <v>4343</v>
      </c>
      <c r="E1672" s="5" t="s">
        <v>2324</v>
      </c>
      <c r="F1672" s="5" t="s">
        <v>88</v>
      </c>
      <c r="G1672" s="6">
        <v>0.27</v>
      </c>
      <c r="H1672" s="5" t="s">
        <v>1667</v>
      </c>
      <c r="I1672" s="5" t="s">
        <v>20</v>
      </c>
      <c r="J1672" s="5">
        <v>2018.0</v>
      </c>
      <c r="L1672" s="5">
        <v>1.0</v>
      </c>
      <c r="M1672" s="7">
        <f t="shared" si="3"/>
        <v>0.27</v>
      </c>
    </row>
    <row r="1673">
      <c r="A1673" s="5" t="s">
        <v>4344</v>
      </c>
      <c r="B1673" s="5" t="s">
        <v>2016</v>
      </c>
      <c r="C1673" s="5" t="s">
        <v>297</v>
      </c>
      <c r="D1673" s="5" t="s">
        <v>4345</v>
      </c>
      <c r="E1673" s="5" t="s">
        <v>3500</v>
      </c>
      <c r="F1673" s="5" t="s">
        <v>3174</v>
      </c>
      <c r="G1673" s="6">
        <v>16.0</v>
      </c>
      <c r="H1673" s="5" t="s">
        <v>1679</v>
      </c>
      <c r="I1673" s="5" t="s">
        <v>20</v>
      </c>
      <c r="J1673" s="5">
        <v>2008.0</v>
      </c>
      <c r="L1673" s="5">
        <v>1.0</v>
      </c>
      <c r="M1673" s="7">
        <f t="shared" si="3"/>
        <v>16</v>
      </c>
    </row>
    <row r="1674">
      <c r="A1674" s="5" t="s">
        <v>4346</v>
      </c>
      <c r="B1674" s="5" t="s">
        <v>2827</v>
      </c>
      <c r="C1674" s="5" t="s">
        <v>297</v>
      </c>
      <c r="D1674" s="5" t="s">
        <v>4347</v>
      </c>
      <c r="E1674" s="5" t="s">
        <v>917</v>
      </c>
      <c r="F1674" s="5" t="s">
        <v>88</v>
      </c>
      <c r="G1674" s="6">
        <v>0.33</v>
      </c>
      <c r="H1674" s="5" t="s">
        <v>3375</v>
      </c>
      <c r="I1674" s="5" t="s">
        <v>31</v>
      </c>
      <c r="J1674" s="5">
        <v>2025.0</v>
      </c>
      <c r="L1674" s="5">
        <v>2.0</v>
      </c>
      <c r="M1674" s="7">
        <f t="shared" si="3"/>
        <v>0.66</v>
      </c>
    </row>
    <row r="1675">
      <c r="A1675" s="5" t="s">
        <v>4348</v>
      </c>
      <c r="B1675" s="5" t="s">
        <v>2016</v>
      </c>
      <c r="C1675" s="5" t="s">
        <v>297</v>
      </c>
      <c r="D1675" s="5" t="s">
        <v>4349</v>
      </c>
      <c r="E1675" s="5" t="s">
        <v>917</v>
      </c>
      <c r="F1675" s="5" t="s">
        <v>88</v>
      </c>
      <c r="G1675" s="6">
        <v>0.33</v>
      </c>
      <c r="H1675" s="5" t="s">
        <v>1981</v>
      </c>
      <c r="I1675" s="5" t="s">
        <v>31</v>
      </c>
      <c r="J1675" s="5">
        <v>2022.0</v>
      </c>
      <c r="L1675" s="5">
        <v>1.0</v>
      </c>
      <c r="M1675" s="7">
        <f t="shared" si="3"/>
        <v>0.33</v>
      </c>
    </row>
    <row r="1676">
      <c r="A1676" s="5" t="s">
        <v>4350</v>
      </c>
      <c r="B1676" s="5" t="s">
        <v>4351</v>
      </c>
      <c r="C1676" s="5" t="s">
        <v>2252</v>
      </c>
      <c r="D1676" s="5" t="s">
        <v>4352</v>
      </c>
      <c r="E1676" s="5" t="s">
        <v>382</v>
      </c>
      <c r="F1676" s="5" t="s">
        <v>88</v>
      </c>
      <c r="G1676" s="6">
        <v>0.99</v>
      </c>
      <c r="H1676" s="5" t="s">
        <v>2774</v>
      </c>
      <c r="I1676" s="5" t="s">
        <v>20</v>
      </c>
      <c r="J1676" s="5">
        <v>2015.0</v>
      </c>
      <c r="K1676" s="5" t="s">
        <v>1736</v>
      </c>
      <c r="L1676" s="5">
        <v>1.0</v>
      </c>
      <c r="M1676" s="7">
        <f t="shared" si="3"/>
        <v>0.99</v>
      </c>
    </row>
    <row r="1677">
      <c r="A1677" s="5" t="s">
        <v>4353</v>
      </c>
      <c r="B1677" s="5" t="s">
        <v>4354</v>
      </c>
      <c r="C1677" s="5" t="s">
        <v>297</v>
      </c>
      <c r="D1677" s="5" t="s">
        <v>4355</v>
      </c>
      <c r="E1677" s="5" t="s">
        <v>2330</v>
      </c>
      <c r="F1677" s="5" t="s">
        <v>88</v>
      </c>
      <c r="G1677" s="6">
        <v>0.06</v>
      </c>
      <c r="H1677" s="5" t="s">
        <v>1986</v>
      </c>
      <c r="I1677" s="5" t="s">
        <v>20</v>
      </c>
      <c r="J1677" s="5">
        <v>2015.0</v>
      </c>
      <c r="K1677" s="8">
        <v>46056.0</v>
      </c>
      <c r="L1677" s="5">
        <v>5.0</v>
      </c>
      <c r="M1677" s="7">
        <f t="shared" si="3"/>
        <v>0.3</v>
      </c>
    </row>
    <row r="1678">
      <c r="A1678" s="5" t="s">
        <v>4356</v>
      </c>
      <c r="B1678" s="5" t="s">
        <v>3502</v>
      </c>
      <c r="C1678" s="5" t="s">
        <v>1951</v>
      </c>
      <c r="D1678" s="5" t="s">
        <v>4357</v>
      </c>
      <c r="E1678" s="5" t="s">
        <v>2321</v>
      </c>
      <c r="F1678" s="5" t="s">
        <v>88</v>
      </c>
      <c r="G1678" s="6">
        <v>0.08</v>
      </c>
      <c r="H1678" s="5" t="s">
        <v>1679</v>
      </c>
      <c r="I1678" s="5" t="s">
        <v>20</v>
      </c>
      <c r="J1678" s="5">
        <v>2008.0</v>
      </c>
      <c r="K1678" s="8">
        <v>46084.0</v>
      </c>
      <c r="L1678" s="5">
        <v>1.0</v>
      </c>
      <c r="M1678" s="7">
        <f t="shared" si="3"/>
        <v>0.08</v>
      </c>
    </row>
    <row r="1679">
      <c r="A1679" s="5" t="s">
        <v>4358</v>
      </c>
      <c r="B1679" s="5" t="s">
        <v>380</v>
      </c>
      <c r="C1679" s="5" t="s">
        <v>297</v>
      </c>
      <c r="D1679" s="5" t="s">
        <v>4359</v>
      </c>
      <c r="E1679" s="5" t="s">
        <v>2330</v>
      </c>
      <c r="F1679" s="5" t="s">
        <v>88</v>
      </c>
      <c r="G1679" s="6">
        <v>0.05</v>
      </c>
      <c r="H1679" s="5" t="s">
        <v>4360</v>
      </c>
      <c r="I1679" s="5" t="s">
        <v>20</v>
      </c>
      <c r="J1679" s="5">
        <v>2014.0</v>
      </c>
      <c r="L1679" s="5">
        <v>1.0</v>
      </c>
      <c r="M1679" s="7">
        <f t="shared" si="3"/>
        <v>0.05</v>
      </c>
    </row>
    <row r="1680">
      <c r="A1680" s="5" t="s">
        <v>4361</v>
      </c>
      <c r="B1680" s="5" t="s">
        <v>3502</v>
      </c>
      <c r="C1680" s="5" t="s">
        <v>297</v>
      </c>
      <c r="D1680" s="5" t="s">
        <v>4362</v>
      </c>
      <c r="E1680" s="5" t="s">
        <v>2324</v>
      </c>
      <c r="F1680" s="5" t="s">
        <v>88</v>
      </c>
      <c r="G1680" s="6">
        <v>0.05</v>
      </c>
      <c r="H1680" s="5" t="s">
        <v>1679</v>
      </c>
      <c r="I1680" s="5" t="s">
        <v>20</v>
      </c>
      <c r="J1680" s="5">
        <v>2008.0</v>
      </c>
      <c r="K1680" s="8">
        <v>46084.0</v>
      </c>
      <c r="L1680" s="5">
        <v>1.0</v>
      </c>
      <c r="M1680" s="7">
        <f t="shared" si="3"/>
        <v>0.05</v>
      </c>
    </row>
    <row r="1681">
      <c r="A1681" s="5" t="s">
        <v>4363</v>
      </c>
      <c r="B1681" s="5" t="s">
        <v>4364</v>
      </c>
      <c r="C1681" s="5" t="s">
        <v>297</v>
      </c>
      <c r="D1681" s="5" t="s">
        <v>4365</v>
      </c>
      <c r="E1681" s="5" t="s">
        <v>2324</v>
      </c>
      <c r="F1681" s="5" t="s">
        <v>88</v>
      </c>
      <c r="G1681" s="6">
        <v>0.03</v>
      </c>
      <c r="H1681" s="5" t="s">
        <v>1707</v>
      </c>
      <c r="I1681" s="5" t="s">
        <v>20</v>
      </c>
      <c r="J1681" s="5">
        <v>2016.0</v>
      </c>
      <c r="K1681" s="8">
        <v>46116.0</v>
      </c>
      <c r="L1681" s="5">
        <v>2.0</v>
      </c>
      <c r="M1681" s="7">
        <f t="shared" si="3"/>
        <v>0.06</v>
      </c>
    </row>
    <row r="1682">
      <c r="A1682" s="5" t="s">
        <v>4366</v>
      </c>
      <c r="B1682" s="5" t="s">
        <v>380</v>
      </c>
      <c r="C1682" s="5" t="s">
        <v>297</v>
      </c>
      <c r="D1682" s="5" t="s">
        <v>4367</v>
      </c>
      <c r="E1682" s="5" t="s">
        <v>917</v>
      </c>
      <c r="F1682" s="5" t="s">
        <v>88</v>
      </c>
      <c r="G1682" s="6">
        <v>0.04</v>
      </c>
      <c r="H1682" s="5" t="s">
        <v>2475</v>
      </c>
      <c r="I1682" s="5" t="s">
        <v>20</v>
      </c>
      <c r="J1682" s="5">
        <v>2012.0</v>
      </c>
      <c r="L1682" s="5">
        <v>2.0</v>
      </c>
      <c r="M1682" s="7">
        <f t="shared" si="3"/>
        <v>0.08</v>
      </c>
    </row>
    <row r="1683">
      <c r="A1683" s="5" t="s">
        <v>4368</v>
      </c>
      <c r="B1683" s="5" t="s">
        <v>4364</v>
      </c>
      <c r="C1683" s="5" t="s">
        <v>297</v>
      </c>
      <c r="E1683" s="5" t="s">
        <v>4330</v>
      </c>
      <c r="F1683" s="5" t="s">
        <v>88</v>
      </c>
      <c r="G1683" s="6">
        <v>0.05</v>
      </c>
      <c r="H1683" s="5" t="s">
        <v>1997</v>
      </c>
      <c r="I1683" s="5" t="s">
        <v>20</v>
      </c>
      <c r="J1683" s="5">
        <v>2016.0</v>
      </c>
      <c r="K1683" s="8">
        <v>46143.0</v>
      </c>
      <c r="L1683" s="5">
        <v>3.0</v>
      </c>
      <c r="M1683" s="7">
        <f t="shared" si="3"/>
        <v>0.15</v>
      </c>
    </row>
    <row r="1684">
      <c r="A1684" s="5" t="s">
        <v>4369</v>
      </c>
      <c r="B1684" s="5" t="s">
        <v>4370</v>
      </c>
      <c r="C1684" s="5" t="s">
        <v>297</v>
      </c>
      <c r="D1684" s="5" t="s">
        <v>4371</v>
      </c>
      <c r="E1684" s="5" t="s">
        <v>382</v>
      </c>
      <c r="F1684" s="5" t="s">
        <v>88</v>
      </c>
      <c r="G1684" s="6">
        <v>0.07</v>
      </c>
      <c r="H1684" s="5" t="s">
        <v>2174</v>
      </c>
      <c r="I1684" s="5" t="s">
        <v>20</v>
      </c>
      <c r="J1684" s="5">
        <v>2021.0</v>
      </c>
      <c r="K1684" s="8">
        <v>46024.0</v>
      </c>
      <c r="L1684" s="5">
        <v>4.0</v>
      </c>
      <c r="M1684" s="7">
        <f t="shared" si="3"/>
        <v>0.28</v>
      </c>
    </row>
    <row r="1685">
      <c r="A1685" s="5" t="s">
        <v>4372</v>
      </c>
      <c r="B1685" s="5" t="s">
        <v>4373</v>
      </c>
      <c r="C1685" s="5" t="s">
        <v>297</v>
      </c>
      <c r="D1685" s="5" t="s">
        <v>4374</v>
      </c>
      <c r="E1685" s="5" t="s">
        <v>2321</v>
      </c>
      <c r="F1685" s="5" t="s">
        <v>88</v>
      </c>
      <c r="G1685" s="6">
        <v>0.07</v>
      </c>
      <c r="H1685" s="5" t="s">
        <v>2475</v>
      </c>
      <c r="I1685" s="5" t="s">
        <v>20</v>
      </c>
      <c r="J1685" s="5">
        <v>2012.0</v>
      </c>
      <c r="K1685" s="8">
        <v>46176.0</v>
      </c>
      <c r="L1685" s="5">
        <v>2.0</v>
      </c>
      <c r="M1685" s="7">
        <f t="shared" si="3"/>
        <v>0.14</v>
      </c>
    </row>
    <row r="1686">
      <c r="A1686" s="5" t="s">
        <v>4375</v>
      </c>
      <c r="B1686" s="5" t="s">
        <v>380</v>
      </c>
      <c r="C1686" s="5" t="s">
        <v>1951</v>
      </c>
      <c r="D1686" s="5" t="s">
        <v>4376</v>
      </c>
      <c r="E1686" s="5" t="s">
        <v>2321</v>
      </c>
      <c r="F1686" s="5" t="s">
        <v>88</v>
      </c>
      <c r="G1686" s="6">
        <v>0.25</v>
      </c>
      <c r="H1686" s="5" t="s">
        <v>2177</v>
      </c>
      <c r="I1686" s="5" t="s">
        <v>20</v>
      </c>
      <c r="J1686" s="5">
        <v>2018.0</v>
      </c>
      <c r="L1686" s="5">
        <v>1.0</v>
      </c>
      <c r="M1686" s="7">
        <f t="shared" si="3"/>
        <v>0.25</v>
      </c>
    </row>
    <row r="1687">
      <c r="A1687" s="5" t="s">
        <v>4375</v>
      </c>
      <c r="B1687" s="5" t="s">
        <v>380</v>
      </c>
      <c r="C1687" s="5" t="s">
        <v>297</v>
      </c>
      <c r="D1687" s="5" t="s">
        <v>4376</v>
      </c>
      <c r="E1687" s="5" t="s">
        <v>2321</v>
      </c>
      <c r="F1687" s="5" t="s">
        <v>88</v>
      </c>
      <c r="G1687" s="6">
        <v>0.25</v>
      </c>
      <c r="H1687" s="5" t="s">
        <v>2143</v>
      </c>
      <c r="I1687" s="5" t="s">
        <v>31</v>
      </c>
      <c r="J1687" s="5">
        <v>2023.0</v>
      </c>
      <c r="L1687" s="5">
        <v>1.0</v>
      </c>
      <c r="M1687" s="7"/>
    </row>
    <row r="1688">
      <c r="A1688" s="5" t="s">
        <v>4377</v>
      </c>
      <c r="B1688" s="5" t="s">
        <v>612</v>
      </c>
      <c r="C1688" s="5" t="s">
        <v>297</v>
      </c>
      <c r="D1688" s="5" t="s">
        <v>4378</v>
      </c>
      <c r="E1688" s="5" t="s">
        <v>2330</v>
      </c>
      <c r="F1688" s="5" t="s">
        <v>88</v>
      </c>
      <c r="G1688" s="6">
        <v>0.04</v>
      </c>
      <c r="H1688" s="5" t="s">
        <v>1634</v>
      </c>
      <c r="I1688" s="5" t="s">
        <v>20</v>
      </c>
      <c r="J1688" s="5">
        <v>2024.0</v>
      </c>
      <c r="L1688" s="5">
        <v>1.0</v>
      </c>
      <c r="M1688" s="7">
        <f t="shared" ref="M1688:M1710" si="4">L1688*G1688</f>
        <v>0.04</v>
      </c>
    </row>
    <row r="1689">
      <c r="A1689" s="5" t="s">
        <v>4379</v>
      </c>
      <c r="B1689" s="5" t="s">
        <v>380</v>
      </c>
      <c r="C1689" s="5" t="s">
        <v>1899</v>
      </c>
      <c r="D1689" s="5" t="s">
        <v>4380</v>
      </c>
      <c r="E1689" s="5" t="s">
        <v>4294</v>
      </c>
      <c r="F1689" s="5" t="s">
        <v>88</v>
      </c>
      <c r="G1689" s="6">
        <v>0.25</v>
      </c>
      <c r="H1689" s="5" t="s">
        <v>2192</v>
      </c>
      <c r="I1689" s="5" t="s">
        <v>20</v>
      </c>
      <c r="J1689" s="5">
        <v>2016.0</v>
      </c>
      <c r="L1689" s="5">
        <v>1.0</v>
      </c>
      <c r="M1689" s="7">
        <f t="shared" si="4"/>
        <v>0.25</v>
      </c>
    </row>
    <row r="1690">
      <c r="A1690" s="5" t="s">
        <v>4381</v>
      </c>
      <c r="B1690" s="5" t="s">
        <v>380</v>
      </c>
      <c r="C1690" s="5" t="s">
        <v>1951</v>
      </c>
      <c r="D1690" s="5" t="s">
        <v>4382</v>
      </c>
      <c r="E1690" s="5" t="s">
        <v>2321</v>
      </c>
      <c r="F1690" s="5" t="s">
        <v>88</v>
      </c>
      <c r="G1690" s="6">
        <v>0.13</v>
      </c>
      <c r="H1690" s="5" t="s">
        <v>1714</v>
      </c>
      <c r="I1690" s="5" t="s">
        <v>20</v>
      </c>
      <c r="J1690" s="5">
        <v>2022.0</v>
      </c>
      <c r="L1690" s="5">
        <v>1.0</v>
      </c>
      <c r="M1690" s="7">
        <f t="shared" si="4"/>
        <v>0.13</v>
      </c>
    </row>
    <row r="1691">
      <c r="A1691" s="5" t="s">
        <v>4383</v>
      </c>
      <c r="B1691" s="5" t="s">
        <v>380</v>
      </c>
      <c r="C1691" s="5" t="s">
        <v>1951</v>
      </c>
      <c r="D1691" s="5" t="s">
        <v>4384</v>
      </c>
      <c r="E1691" s="5" t="s">
        <v>4300</v>
      </c>
      <c r="F1691" s="5" t="s">
        <v>88</v>
      </c>
      <c r="G1691" s="6">
        <v>0.07</v>
      </c>
      <c r="H1691" s="5" t="s">
        <v>1644</v>
      </c>
      <c r="I1691" s="5" t="s">
        <v>20</v>
      </c>
      <c r="J1691" s="5">
        <v>2019.0</v>
      </c>
      <c r="L1691" s="5">
        <v>1.0</v>
      </c>
      <c r="M1691" s="7">
        <f t="shared" si="4"/>
        <v>0.07</v>
      </c>
    </row>
    <row r="1692">
      <c r="A1692" s="5" t="s">
        <v>4385</v>
      </c>
      <c r="B1692" s="5" t="s">
        <v>380</v>
      </c>
      <c r="C1692" s="5" t="s">
        <v>297</v>
      </c>
      <c r="D1692" s="5" t="s">
        <v>4386</v>
      </c>
      <c r="E1692" s="5" t="s">
        <v>4330</v>
      </c>
      <c r="F1692" s="5" t="s">
        <v>88</v>
      </c>
      <c r="G1692" s="6">
        <v>0.06</v>
      </c>
      <c r="H1692" s="5" t="s">
        <v>1644</v>
      </c>
      <c r="I1692" s="5" t="s">
        <v>20</v>
      </c>
      <c r="J1692" s="5">
        <v>2019.0</v>
      </c>
      <c r="L1692" s="5">
        <v>2.0</v>
      </c>
      <c r="M1692" s="7">
        <f t="shared" si="4"/>
        <v>0.12</v>
      </c>
    </row>
    <row r="1693">
      <c r="A1693" s="5" t="s">
        <v>4387</v>
      </c>
      <c r="B1693" s="5" t="s">
        <v>380</v>
      </c>
      <c r="C1693" s="5" t="s">
        <v>297</v>
      </c>
      <c r="D1693" s="5" t="s">
        <v>4388</v>
      </c>
      <c r="E1693" s="5" t="s">
        <v>382</v>
      </c>
      <c r="F1693" s="5" t="s">
        <v>88</v>
      </c>
      <c r="G1693" s="6">
        <v>0.04</v>
      </c>
      <c r="H1693" s="5" t="s">
        <v>1644</v>
      </c>
      <c r="I1693" s="5" t="s">
        <v>20</v>
      </c>
      <c r="J1693" s="5">
        <v>2019.0</v>
      </c>
      <c r="L1693" s="5">
        <v>2.0</v>
      </c>
      <c r="M1693" s="7">
        <f t="shared" si="4"/>
        <v>0.08</v>
      </c>
    </row>
    <row r="1694">
      <c r="A1694" s="5" t="s">
        <v>4389</v>
      </c>
      <c r="B1694" s="5" t="s">
        <v>380</v>
      </c>
      <c r="C1694" s="5" t="s">
        <v>297</v>
      </c>
      <c r="D1694" s="5" t="s">
        <v>4390</v>
      </c>
      <c r="E1694" s="5" t="s">
        <v>2330</v>
      </c>
      <c r="F1694" s="5" t="s">
        <v>88</v>
      </c>
      <c r="G1694" s="6">
        <v>0.3</v>
      </c>
      <c r="H1694" s="5" t="s">
        <v>2545</v>
      </c>
      <c r="I1694" s="5" t="s">
        <v>20</v>
      </c>
      <c r="J1694" s="5">
        <v>2017.0</v>
      </c>
      <c r="L1694" s="5">
        <v>2.0</v>
      </c>
      <c r="M1694" s="7">
        <f t="shared" si="4"/>
        <v>0.6</v>
      </c>
    </row>
    <row r="1695">
      <c r="A1695" s="5" t="s">
        <v>4391</v>
      </c>
      <c r="B1695" s="5" t="s">
        <v>380</v>
      </c>
      <c r="C1695" s="5" t="s">
        <v>297</v>
      </c>
      <c r="D1695" s="5" t="s">
        <v>4392</v>
      </c>
      <c r="E1695" s="5" t="s">
        <v>382</v>
      </c>
      <c r="F1695" s="5" t="s">
        <v>88</v>
      </c>
      <c r="G1695" s="6">
        <v>0.4</v>
      </c>
      <c r="H1695" s="5" t="s">
        <v>2188</v>
      </c>
      <c r="I1695" s="5" t="s">
        <v>31</v>
      </c>
      <c r="J1695" s="5">
        <v>2022.0</v>
      </c>
      <c r="L1695" s="5">
        <v>4.0</v>
      </c>
      <c r="M1695" s="7">
        <f t="shared" si="4"/>
        <v>1.6</v>
      </c>
    </row>
    <row r="1696">
      <c r="A1696" s="5" t="s">
        <v>4393</v>
      </c>
      <c r="B1696" s="5" t="s">
        <v>380</v>
      </c>
      <c r="C1696" s="5" t="s">
        <v>297</v>
      </c>
      <c r="D1696" s="5" t="s">
        <v>4394</v>
      </c>
      <c r="E1696" s="5" t="s">
        <v>382</v>
      </c>
      <c r="F1696" s="5" t="s">
        <v>88</v>
      </c>
      <c r="G1696" s="6">
        <v>0.25</v>
      </c>
      <c r="H1696" s="5" t="s">
        <v>2240</v>
      </c>
      <c r="I1696" s="5" t="s">
        <v>20</v>
      </c>
      <c r="J1696" s="5">
        <v>2024.0</v>
      </c>
      <c r="L1696" s="5">
        <v>1.0</v>
      </c>
      <c r="M1696" s="7">
        <f t="shared" si="4"/>
        <v>0.25</v>
      </c>
    </row>
    <row r="1697">
      <c r="A1697" s="5" t="s">
        <v>4395</v>
      </c>
      <c r="B1697" s="5" t="s">
        <v>380</v>
      </c>
      <c r="C1697" s="5" t="s">
        <v>297</v>
      </c>
      <c r="D1697" s="5" t="s">
        <v>4396</v>
      </c>
      <c r="E1697" s="5" t="s">
        <v>382</v>
      </c>
      <c r="F1697" s="5" t="s">
        <v>88</v>
      </c>
      <c r="G1697" s="6">
        <v>0.07</v>
      </c>
      <c r="H1697" s="5" t="s">
        <v>1667</v>
      </c>
      <c r="I1697" s="5" t="s">
        <v>20</v>
      </c>
      <c r="J1697" s="5">
        <v>2018.0</v>
      </c>
      <c r="L1697" s="5">
        <v>2.0</v>
      </c>
      <c r="M1697" s="7">
        <f t="shared" si="4"/>
        <v>0.14</v>
      </c>
    </row>
    <row r="1698">
      <c r="A1698" s="5" t="s">
        <v>4397</v>
      </c>
      <c r="B1698" s="5" t="s">
        <v>380</v>
      </c>
      <c r="C1698" s="5" t="s">
        <v>297</v>
      </c>
      <c r="D1698" s="5" t="s">
        <v>4398</v>
      </c>
      <c r="E1698" s="5" t="s">
        <v>917</v>
      </c>
      <c r="F1698" s="5" t="s">
        <v>88</v>
      </c>
      <c r="G1698" s="6">
        <v>2.02</v>
      </c>
      <c r="H1698" s="5" t="s">
        <v>2999</v>
      </c>
      <c r="I1698" s="5" t="s">
        <v>20</v>
      </c>
      <c r="J1698" s="5">
        <v>2011.0</v>
      </c>
      <c r="L1698" s="5">
        <v>2.0</v>
      </c>
      <c r="M1698" s="7">
        <f t="shared" si="4"/>
        <v>4.04</v>
      </c>
    </row>
    <row r="1699">
      <c r="A1699" s="5" t="s">
        <v>4399</v>
      </c>
      <c r="B1699" s="5" t="s">
        <v>380</v>
      </c>
      <c r="C1699" s="5" t="s">
        <v>297</v>
      </c>
      <c r="D1699" s="5" t="s">
        <v>4400</v>
      </c>
      <c r="E1699" s="5" t="s">
        <v>382</v>
      </c>
      <c r="F1699" s="5" t="s">
        <v>88</v>
      </c>
      <c r="G1699" s="6">
        <v>0.2</v>
      </c>
      <c r="H1699" s="5" t="s">
        <v>1742</v>
      </c>
      <c r="I1699" s="5" t="s">
        <v>20</v>
      </c>
      <c r="J1699" s="5">
        <v>2023.0</v>
      </c>
      <c r="L1699" s="5">
        <v>1.0</v>
      </c>
      <c r="M1699" s="7">
        <f t="shared" si="4"/>
        <v>0.2</v>
      </c>
    </row>
    <row r="1700">
      <c r="A1700" s="5" t="s">
        <v>4401</v>
      </c>
      <c r="B1700" s="5" t="s">
        <v>380</v>
      </c>
      <c r="C1700" s="5" t="s">
        <v>297</v>
      </c>
      <c r="D1700" s="5" t="s">
        <v>4402</v>
      </c>
      <c r="E1700" s="5" t="s">
        <v>382</v>
      </c>
      <c r="F1700" s="5" t="s">
        <v>88</v>
      </c>
      <c r="G1700" s="6">
        <v>0.05</v>
      </c>
      <c r="H1700" s="5" t="s">
        <v>4403</v>
      </c>
      <c r="I1700" s="5" t="s">
        <v>20</v>
      </c>
      <c r="J1700" s="5">
        <v>2021.0</v>
      </c>
      <c r="L1700" s="5">
        <v>2.0</v>
      </c>
      <c r="M1700" s="7">
        <f t="shared" si="4"/>
        <v>0.1</v>
      </c>
    </row>
    <row r="1701">
      <c r="A1701" s="5" t="s">
        <v>4404</v>
      </c>
      <c r="B1701" s="5" t="s">
        <v>380</v>
      </c>
      <c r="C1701" s="5" t="s">
        <v>297</v>
      </c>
      <c r="D1701" s="5" t="s">
        <v>4405</v>
      </c>
      <c r="E1701" s="5" t="s">
        <v>382</v>
      </c>
      <c r="F1701" s="5" t="s">
        <v>88</v>
      </c>
      <c r="G1701" s="6">
        <v>0.04</v>
      </c>
      <c r="H1701" s="5" t="s">
        <v>1647</v>
      </c>
      <c r="I1701" s="5" t="s">
        <v>20</v>
      </c>
      <c r="J1701" s="5">
        <v>2018.0</v>
      </c>
      <c r="L1701" s="5">
        <v>4.0</v>
      </c>
      <c r="M1701" s="7">
        <f t="shared" si="4"/>
        <v>0.16</v>
      </c>
    </row>
    <row r="1702">
      <c r="A1702" s="5" t="s">
        <v>4406</v>
      </c>
      <c r="B1702" s="5" t="s">
        <v>4407</v>
      </c>
      <c r="C1702" s="5" t="s">
        <v>297</v>
      </c>
      <c r="D1702" s="5" t="s">
        <v>4408</v>
      </c>
      <c r="E1702" s="5" t="s">
        <v>4327</v>
      </c>
      <c r="F1702" s="5" t="s">
        <v>88</v>
      </c>
      <c r="G1702" s="6">
        <v>0.05</v>
      </c>
      <c r="H1702" s="5" t="s">
        <v>2774</v>
      </c>
      <c r="I1702" s="5" t="s">
        <v>20</v>
      </c>
      <c r="J1702" s="5">
        <v>2015.0</v>
      </c>
      <c r="K1702" s="8">
        <v>46179.0</v>
      </c>
      <c r="L1702" s="5">
        <v>1.0</v>
      </c>
      <c r="M1702" s="7">
        <f t="shared" si="4"/>
        <v>0.05</v>
      </c>
    </row>
    <row r="1703">
      <c r="A1703" s="5" t="s">
        <v>4409</v>
      </c>
      <c r="B1703" s="5" t="s">
        <v>2319</v>
      </c>
      <c r="C1703" s="5" t="s">
        <v>297</v>
      </c>
      <c r="E1703" s="5" t="s">
        <v>2321</v>
      </c>
      <c r="F1703" s="5" t="s">
        <v>88</v>
      </c>
      <c r="G1703" s="6">
        <v>0.03</v>
      </c>
      <c r="H1703" s="5" t="s">
        <v>2557</v>
      </c>
      <c r="I1703" s="5" t="s">
        <v>20</v>
      </c>
      <c r="J1703" s="5">
        <v>2018.0</v>
      </c>
      <c r="K1703" s="8">
        <v>46083.0</v>
      </c>
      <c r="L1703" s="5">
        <v>3.0</v>
      </c>
      <c r="M1703" s="7">
        <f t="shared" si="4"/>
        <v>0.09</v>
      </c>
    </row>
    <row r="1704">
      <c r="A1704" s="5" t="s">
        <v>4410</v>
      </c>
      <c r="B1704" s="5" t="s">
        <v>4411</v>
      </c>
      <c r="C1704" s="5" t="s">
        <v>297</v>
      </c>
      <c r="E1704" s="5" t="s">
        <v>2321</v>
      </c>
      <c r="F1704" s="5" t="s">
        <v>88</v>
      </c>
      <c r="G1704" s="6">
        <v>0.02</v>
      </c>
      <c r="H1704" s="5" t="s">
        <v>2624</v>
      </c>
      <c r="I1704" s="5" t="s">
        <v>20</v>
      </c>
      <c r="J1704" s="5">
        <v>2019.0</v>
      </c>
      <c r="K1704" s="8">
        <v>46056.0</v>
      </c>
      <c r="L1704" s="5">
        <v>2.0</v>
      </c>
      <c r="M1704" s="7">
        <f t="shared" si="4"/>
        <v>0.04</v>
      </c>
    </row>
    <row r="1705">
      <c r="A1705" s="5" t="s">
        <v>4412</v>
      </c>
      <c r="B1705" s="5" t="s">
        <v>3317</v>
      </c>
      <c r="C1705" s="5" t="s">
        <v>297</v>
      </c>
      <c r="D1705" s="5" t="s">
        <v>4413</v>
      </c>
      <c r="E1705" s="5" t="s">
        <v>2321</v>
      </c>
      <c r="F1705" s="5" t="s">
        <v>88</v>
      </c>
      <c r="G1705" s="6">
        <v>0.09</v>
      </c>
      <c r="H1705" s="5" t="s">
        <v>2008</v>
      </c>
      <c r="I1705" s="5" t="s">
        <v>20</v>
      </c>
      <c r="J1705" s="5">
        <v>2013.0</v>
      </c>
      <c r="K1705" s="8">
        <v>46083.0</v>
      </c>
      <c r="L1705" s="5">
        <v>1.0</v>
      </c>
      <c r="M1705" s="7">
        <f t="shared" si="4"/>
        <v>0.09</v>
      </c>
    </row>
    <row r="1706">
      <c r="A1706" s="5" t="s">
        <v>4414</v>
      </c>
      <c r="B1706" s="5" t="s">
        <v>4415</v>
      </c>
      <c r="C1706" s="5" t="s">
        <v>297</v>
      </c>
      <c r="D1706" s="5" t="s">
        <v>4416</v>
      </c>
      <c r="E1706" s="5" t="s">
        <v>4288</v>
      </c>
      <c r="F1706" s="5" t="s">
        <v>88</v>
      </c>
      <c r="G1706" s="6">
        <v>0.14</v>
      </c>
      <c r="H1706" s="5" t="s">
        <v>2164</v>
      </c>
      <c r="I1706" s="5" t="s">
        <v>31</v>
      </c>
      <c r="J1706" s="5">
        <v>2021.0</v>
      </c>
      <c r="K1706" s="8">
        <v>46115.0</v>
      </c>
      <c r="L1706" s="5">
        <v>4.0</v>
      </c>
      <c r="M1706" s="7">
        <f t="shared" si="4"/>
        <v>0.56</v>
      </c>
    </row>
    <row r="1707">
      <c r="A1707" s="5" t="s">
        <v>4417</v>
      </c>
      <c r="B1707" s="5" t="s">
        <v>3396</v>
      </c>
      <c r="C1707" s="5" t="s">
        <v>297</v>
      </c>
      <c r="D1707" s="5" t="s">
        <v>3656</v>
      </c>
      <c r="E1707" s="5" t="s">
        <v>2321</v>
      </c>
      <c r="F1707" s="5" t="s">
        <v>88</v>
      </c>
      <c r="G1707" s="6">
        <v>0.06</v>
      </c>
      <c r="H1707" s="5" t="s">
        <v>4418</v>
      </c>
      <c r="I1707" s="5" t="s">
        <v>20</v>
      </c>
      <c r="J1707" s="5">
        <v>2019.0</v>
      </c>
      <c r="K1707" s="8">
        <v>46055.0</v>
      </c>
      <c r="L1707" s="5">
        <v>2.0</v>
      </c>
      <c r="M1707" s="7">
        <f t="shared" si="4"/>
        <v>0.12</v>
      </c>
    </row>
    <row r="1708">
      <c r="A1708" s="5" t="s">
        <v>4419</v>
      </c>
      <c r="B1708" s="5" t="s">
        <v>4420</v>
      </c>
      <c r="C1708" s="5" t="s">
        <v>297</v>
      </c>
      <c r="E1708" s="5" t="s">
        <v>382</v>
      </c>
      <c r="F1708" s="5" t="s">
        <v>88</v>
      </c>
      <c r="G1708" s="6">
        <v>0.03</v>
      </c>
      <c r="H1708" s="5" t="s">
        <v>1707</v>
      </c>
      <c r="I1708" s="5" t="s">
        <v>20</v>
      </c>
      <c r="J1708" s="5">
        <v>2016.0</v>
      </c>
      <c r="K1708" s="8">
        <v>46024.0</v>
      </c>
      <c r="L1708" s="5">
        <v>2.0</v>
      </c>
      <c r="M1708" s="7">
        <f t="shared" si="4"/>
        <v>0.06</v>
      </c>
    </row>
    <row r="1709">
      <c r="A1709" s="5" t="s">
        <v>4421</v>
      </c>
      <c r="B1709" s="5" t="s">
        <v>380</v>
      </c>
      <c r="C1709" s="5" t="s">
        <v>297</v>
      </c>
      <c r="D1709" s="5" t="s">
        <v>4422</v>
      </c>
      <c r="E1709" s="5" t="s">
        <v>917</v>
      </c>
      <c r="F1709" s="5" t="s">
        <v>88</v>
      </c>
      <c r="G1709" s="6">
        <v>0.25</v>
      </c>
      <c r="H1709" s="5" t="s">
        <v>2704</v>
      </c>
      <c r="I1709" s="5" t="s">
        <v>20</v>
      </c>
      <c r="J1709" s="5">
        <v>2010.0</v>
      </c>
      <c r="L1709" s="5">
        <v>4.0</v>
      </c>
      <c r="M1709" s="7">
        <f t="shared" si="4"/>
        <v>1</v>
      </c>
    </row>
    <row r="1710">
      <c r="A1710" s="5" t="s">
        <v>4423</v>
      </c>
      <c r="B1710" s="5" t="s">
        <v>380</v>
      </c>
      <c r="C1710" s="5" t="s">
        <v>297</v>
      </c>
      <c r="D1710" s="5" t="s">
        <v>4424</v>
      </c>
      <c r="E1710" s="5" t="s">
        <v>917</v>
      </c>
      <c r="F1710" s="5" t="s">
        <v>88</v>
      </c>
      <c r="G1710" s="6">
        <v>0.5</v>
      </c>
      <c r="H1710" s="5" t="s">
        <v>1714</v>
      </c>
      <c r="I1710" s="5" t="s">
        <v>20</v>
      </c>
      <c r="J1710" s="5">
        <v>2022.0</v>
      </c>
      <c r="L1710" s="5">
        <v>2.0</v>
      </c>
      <c r="M1710" s="7">
        <f t="shared" si="4"/>
        <v>1</v>
      </c>
    </row>
    <row r="1711">
      <c r="A1711" s="5" t="s">
        <v>4423</v>
      </c>
      <c r="B1711" s="5" t="s">
        <v>380</v>
      </c>
      <c r="C1711" s="5" t="s">
        <v>1899</v>
      </c>
      <c r="D1711" s="5" t="s">
        <v>4424</v>
      </c>
      <c r="E1711" s="5" t="s">
        <v>917</v>
      </c>
      <c r="F1711" s="5" t="s">
        <v>88</v>
      </c>
      <c r="G1711" s="6">
        <v>1.8</v>
      </c>
      <c r="H1711" s="5" t="s">
        <v>4425</v>
      </c>
      <c r="I1711" s="5" t="s">
        <v>20</v>
      </c>
      <c r="J1711" s="5">
        <v>2022.0</v>
      </c>
      <c r="L1711" s="5">
        <v>1.0</v>
      </c>
      <c r="M1711" s="7"/>
    </row>
    <row r="1712">
      <c r="A1712" s="5" t="s">
        <v>4426</v>
      </c>
      <c r="B1712" s="5" t="s">
        <v>380</v>
      </c>
      <c r="C1712" s="5" t="s">
        <v>1951</v>
      </c>
      <c r="D1712" s="5" t="s">
        <v>4427</v>
      </c>
      <c r="E1712" s="5" t="s">
        <v>917</v>
      </c>
      <c r="F1712" s="5" t="s">
        <v>88</v>
      </c>
      <c r="G1712" s="6">
        <v>1.0</v>
      </c>
      <c r="H1712" s="5" t="s">
        <v>1628</v>
      </c>
      <c r="I1712" s="5" t="s">
        <v>20</v>
      </c>
      <c r="J1712" s="5">
        <v>2021.0</v>
      </c>
      <c r="L1712" s="5">
        <v>2.0</v>
      </c>
      <c r="M1712" s="7">
        <f t="shared" ref="M1712:M2999" si="5">L1712*G1712</f>
        <v>2</v>
      </c>
    </row>
    <row r="1713">
      <c r="A1713" s="5" t="s">
        <v>4428</v>
      </c>
      <c r="B1713" s="5" t="s">
        <v>4407</v>
      </c>
      <c r="C1713" s="5" t="s">
        <v>297</v>
      </c>
      <c r="D1713" s="5" t="s">
        <v>4429</v>
      </c>
      <c r="E1713" s="5" t="s">
        <v>2324</v>
      </c>
      <c r="F1713" s="5" t="s">
        <v>88</v>
      </c>
      <c r="G1713" s="6">
        <v>0.05</v>
      </c>
      <c r="H1713" s="5" t="s">
        <v>2999</v>
      </c>
      <c r="I1713" s="5" t="s">
        <v>20</v>
      </c>
      <c r="J1713" s="5">
        <v>2011.0</v>
      </c>
      <c r="K1713" s="8">
        <v>46145.0</v>
      </c>
      <c r="L1713" s="5">
        <v>1.0</v>
      </c>
      <c r="M1713" s="7">
        <f t="shared" si="5"/>
        <v>0.05</v>
      </c>
    </row>
    <row r="1714">
      <c r="A1714" s="5" t="s">
        <v>4430</v>
      </c>
      <c r="B1714" s="5" t="s">
        <v>2626</v>
      </c>
      <c r="C1714" s="5" t="s">
        <v>297</v>
      </c>
      <c r="D1714" s="5" t="s">
        <v>4431</v>
      </c>
      <c r="E1714" s="5" t="s">
        <v>382</v>
      </c>
      <c r="F1714" s="5" t="s">
        <v>88</v>
      </c>
      <c r="G1714" s="6">
        <v>0.09</v>
      </c>
      <c r="H1714" s="5" t="s">
        <v>2475</v>
      </c>
      <c r="I1714" s="5" t="s">
        <v>20</v>
      </c>
      <c r="J1714" s="5">
        <v>2012.0</v>
      </c>
      <c r="K1714" s="8">
        <v>46023.0</v>
      </c>
      <c r="L1714" s="5">
        <v>1.0</v>
      </c>
      <c r="M1714" s="7">
        <f t="shared" si="5"/>
        <v>0.09</v>
      </c>
    </row>
    <row r="1715">
      <c r="A1715" s="5" t="s">
        <v>4432</v>
      </c>
      <c r="B1715" s="5" t="s">
        <v>2019</v>
      </c>
      <c r="C1715" s="5" t="s">
        <v>297</v>
      </c>
      <c r="D1715" s="5" t="s">
        <v>4433</v>
      </c>
      <c r="E1715" s="5" t="s">
        <v>2330</v>
      </c>
      <c r="F1715" s="5" t="s">
        <v>88</v>
      </c>
      <c r="G1715" s="6">
        <v>0.05</v>
      </c>
      <c r="H1715" s="5" t="s">
        <v>2475</v>
      </c>
      <c r="I1715" s="5" t="s">
        <v>20</v>
      </c>
      <c r="J1715" s="5">
        <v>2012.0</v>
      </c>
      <c r="K1715" s="8">
        <v>46083.0</v>
      </c>
      <c r="L1715" s="5">
        <v>1.0</v>
      </c>
      <c r="M1715" s="7">
        <f t="shared" si="5"/>
        <v>0.05</v>
      </c>
    </row>
    <row r="1716">
      <c r="A1716" s="5" t="s">
        <v>4434</v>
      </c>
      <c r="B1716" s="5" t="s">
        <v>380</v>
      </c>
      <c r="C1716" s="5" t="s">
        <v>1899</v>
      </c>
      <c r="D1716" s="5" t="s">
        <v>4435</v>
      </c>
      <c r="E1716" s="5" t="s">
        <v>917</v>
      </c>
      <c r="F1716" s="5" t="s">
        <v>88</v>
      </c>
      <c r="G1716" s="6">
        <v>4.0</v>
      </c>
      <c r="H1716" s="5" t="s">
        <v>4436</v>
      </c>
      <c r="I1716" s="5" t="s">
        <v>20</v>
      </c>
      <c r="J1716" s="5">
        <v>2024.0</v>
      </c>
      <c r="L1716" s="5">
        <v>4.0</v>
      </c>
      <c r="M1716" s="7">
        <f t="shared" si="5"/>
        <v>16</v>
      </c>
    </row>
    <row r="1717">
      <c r="A1717" s="5" t="s">
        <v>4437</v>
      </c>
      <c r="B1717" s="5" t="s">
        <v>380</v>
      </c>
      <c r="C1717" s="5" t="s">
        <v>1899</v>
      </c>
      <c r="D1717" s="5" t="s">
        <v>4438</v>
      </c>
      <c r="E1717" s="5" t="s">
        <v>4327</v>
      </c>
      <c r="F1717" s="5" t="s">
        <v>88</v>
      </c>
      <c r="G1717" s="6">
        <v>0.25</v>
      </c>
      <c r="H1717" s="5" t="s">
        <v>2624</v>
      </c>
      <c r="I1717" s="5" t="s">
        <v>20</v>
      </c>
      <c r="J1717" s="5">
        <v>2019.0</v>
      </c>
      <c r="L1717" s="5">
        <v>2.0</v>
      </c>
      <c r="M1717" s="7">
        <f t="shared" si="5"/>
        <v>0.5</v>
      </c>
    </row>
    <row r="1718">
      <c r="A1718" s="5" t="s">
        <v>4439</v>
      </c>
      <c r="B1718" s="5" t="s">
        <v>380</v>
      </c>
      <c r="C1718" s="5" t="s">
        <v>1899</v>
      </c>
      <c r="D1718" s="5" t="s">
        <v>4440</v>
      </c>
      <c r="E1718" s="5" t="s">
        <v>4330</v>
      </c>
      <c r="F1718" s="5" t="s">
        <v>88</v>
      </c>
      <c r="G1718" s="6">
        <v>0.5</v>
      </c>
      <c r="H1718" s="5" t="s">
        <v>1992</v>
      </c>
      <c r="I1718" s="5" t="s">
        <v>20</v>
      </c>
      <c r="J1718" s="5">
        <v>2011.0</v>
      </c>
      <c r="L1718" s="5">
        <v>1.0</v>
      </c>
      <c r="M1718" s="7">
        <f t="shared" si="5"/>
        <v>0.5</v>
      </c>
    </row>
    <row r="1719">
      <c r="A1719" s="5" t="s">
        <v>4441</v>
      </c>
      <c r="B1719" s="5" t="s">
        <v>380</v>
      </c>
      <c r="C1719" s="5" t="s">
        <v>297</v>
      </c>
      <c r="D1719" s="5" t="s">
        <v>4442</v>
      </c>
      <c r="E1719" s="5" t="s">
        <v>917</v>
      </c>
      <c r="F1719" s="5" t="s">
        <v>88</v>
      </c>
      <c r="G1719" s="6">
        <v>0.05</v>
      </c>
      <c r="H1719" s="5" t="s">
        <v>2471</v>
      </c>
      <c r="I1719" s="5" t="s">
        <v>20</v>
      </c>
      <c r="J1719" s="5">
        <v>2017.0</v>
      </c>
      <c r="L1719" s="5">
        <v>2.0</v>
      </c>
      <c r="M1719" s="7">
        <f t="shared" si="5"/>
        <v>0.1</v>
      </c>
    </row>
    <row r="1720">
      <c r="A1720" s="5" t="s">
        <v>4443</v>
      </c>
      <c r="B1720" s="5" t="s">
        <v>380</v>
      </c>
      <c r="C1720" s="5" t="s">
        <v>1951</v>
      </c>
      <c r="D1720" s="5" t="s">
        <v>4444</v>
      </c>
      <c r="E1720" s="5" t="s">
        <v>917</v>
      </c>
      <c r="F1720" s="5" t="s">
        <v>88</v>
      </c>
      <c r="G1720" s="6">
        <v>0.03</v>
      </c>
      <c r="H1720" s="5" t="s">
        <v>1707</v>
      </c>
      <c r="I1720" s="5" t="s">
        <v>20</v>
      </c>
      <c r="J1720" s="5">
        <v>2016.0</v>
      </c>
      <c r="L1720" s="5">
        <v>1.0</v>
      </c>
      <c r="M1720" s="7">
        <f t="shared" si="5"/>
        <v>0.03</v>
      </c>
    </row>
    <row r="1721">
      <c r="A1721" s="5" t="s">
        <v>4445</v>
      </c>
      <c r="B1721" s="5" t="s">
        <v>380</v>
      </c>
      <c r="C1721" s="5" t="s">
        <v>297</v>
      </c>
      <c r="D1721" s="5" t="s">
        <v>4446</v>
      </c>
      <c r="E1721" s="5" t="s">
        <v>917</v>
      </c>
      <c r="F1721" s="5" t="s">
        <v>88</v>
      </c>
      <c r="G1721" s="6">
        <v>0.2</v>
      </c>
      <c r="H1721" s="5" t="s">
        <v>2562</v>
      </c>
      <c r="I1721" s="5" t="s">
        <v>20</v>
      </c>
      <c r="J1721" s="5">
        <v>2017.0</v>
      </c>
      <c r="L1721" s="5">
        <v>4.0</v>
      </c>
      <c r="M1721" s="7">
        <f t="shared" si="5"/>
        <v>0.8</v>
      </c>
    </row>
    <row r="1722">
      <c r="A1722" s="5" t="s">
        <v>4447</v>
      </c>
      <c r="B1722" s="5" t="s">
        <v>380</v>
      </c>
      <c r="C1722" s="5" t="s">
        <v>297</v>
      </c>
      <c r="D1722" s="5" t="s">
        <v>4396</v>
      </c>
      <c r="E1722" s="5" t="s">
        <v>382</v>
      </c>
      <c r="F1722" s="5" t="s">
        <v>88</v>
      </c>
      <c r="G1722" s="6">
        <v>0.29</v>
      </c>
      <c r="H1722" s="5" t="s">
        <v>2005</v>
      </c>
      <c r="I1722" s="5" t="s">
        <v>31</v>
      </c>
      <c r="J1722" s="5">
        <v>2020.0</v>
      </c>
      <c r="L1722" s="5">
        <v>1.0</v>
      </c>
      <c r="M1722" s="7">
        <f t="shared" si="5"/>
        <v>0.29</v>
      </c>
    </row>
    <row r="1723">
      <c r="A1723" s="5" t="s">
        <v>4448</v>
      </c>
      <c r="B1723" s="5" t="s">
        <v>380</v>
      </c>
      <c r="C1723" s="5" t="s">
        <v>297</v>
      </c>
      <c r="D1723" s="5" t="s">
        <v>4449</v>
      </c>
      <c r="E1723" s="5" t="s">
        <v>382</v>
      </c>
      <c r="F1723" s="5" t="s">
        <v>88</v>
      </c>
      <c r="G1723" s="6">
        <v>0.08</v>
      </c>
      <c r="H1723" s="5" t="s">
        <v>2174</v>
      </c>
      <c r="I1723" s="5" t="s">
        <v>20</v>
      </c>
      <c r="J1723" s="5">
        <v>2021.0</v>
      </c>
      <c r="L1723" s="5">
        <v>3.0</v>
      </c>
      <c r="M1723" s="7">
        <f t="shared" si="5"/>
        <v>0.24</v>
      </c>
    </row>
    <row r="1724">
      <c r="A1724" s="5" t="s">
        <v>4450</v>
      </c>
      <c r="B1724" s="5" t="s">
        <v>2060</v>
      </c>
      <c r="C1724" s="5" t="s">
        <v>1951</v>
      </c>
      <c r="D1724" s="5" t="s">
        <v>4451</v>
      </c>
      <c r="E1724" s="5" t="s">
        <v>4327</v>
      </c>
      <c r="F1724" s="5" t="s">
        <v>88</v>
      </c>
      <c r="G1724" s="6">
        <v>0.1</v>
      </c>
      <c r="H1724" s="5" t="s">
        <v>2221</v>
      </c>
      <c r="I1724" s="5" t="s">
        <v>20</v>
      </c>
      <c r="J1724" s="5">
        <v>2024.0</v>
      </c>
      <c r="L1724" s="5">
        <v>4.0</v>
      </c>
      <c r="M1724" s="7">
        <f t="shared" si="5"/>
        <v>0.4</v>
      </c>
    </row>
    <row r="1725">
      <c r="A1725" s="5" t="s">
        <v>4452</v>
      </c>
      <c r="B1725" s="5" t="s">
        <v>2060</v>
      </c>
      <c r="C1725" s="5" t="s">
        <v>297</v>
      </c>
      <c r="D1725" s="5" t="s">
        <v>4453</v>
      </c>
      <c r="E1725" s="5" t="s">
        <v>2321</v>
      </c>
      <c r="F1725" s="5" t="s">
        <v>88</v>
      </c>
      <c r="G1725" s="6">
        <v>0.06</v>
      </c>
      <c r="H1725" s="5" t="s">
        <v>1644</v>
      </c>
      <c r="I1725" s="5" t="s">
        <v>20</v>
      </c>
      <c r="J1725" s="5">
        <v>2019.0</v>
      </c>
      <c r="L1725" s="5">
        <v>3.0</v>
      </c>
      <c r="M1725" s="7">
        <f t="shared" si="5"/>
        <v>0.18</v>
      </c>
    </row>
    <row r="1726">
      <c r="A1726" s="5" t="s">
        <v>4454</v>
      </c>
      <c r="B1726" s="5" t="s">
        <v>2319</v>
      </c>
      <c r="C1726" s="5" t="s">
        <v>297</v>
      </c>
      <c r="D1726" s="5" t="s">
        <v>4455</v>
      </c>
      <c r="E1726" s="5" t="s">
        <v>2321</v>
      </c>
      <c r="F1726" s="5" t="s">
        <v>88</v>
      </c>
      <c r="G1726" s="6">
        <v>0.06</v>
      </c>
      <c r="H1726" s="5" t="s">
        <v>1981</v>
      </c>
      <c r="I1726" s="5" t="s">
        <v>20</v>
      </c>
      <c r="J1726" s="5">
        <v>2022.0</v>
      </c>
      <c r="K1726" s="8">
        <v>46083.0</v>
      </c>
      <c r="L1726" s="5">
        <v>1.0</v>
      </c>
      <c r="M1726" s="7">
        <f t="shared" si="5"/>
        <v>0.06</v>
      </c>
    </row>
    <row r="1727">
      <c r="A1727" s="5" t="s">
        <v>4456</v>
      </c>
      <c r="B1727" s="5" t="s">
        <v>2016</v>
      </c>
      <c r="C1727" s="5" t="s">
        <v>297</v>
      </c>
      <c r="D1727" s="5" t="s">
        <v>4457</v>
      </c>
      <c r="E1727" s="5" t="s">
        <v>2321</v>
      </c>
      <c r="F1727" s="5" t="s">
        <v>88</v>
      </c>
      <c r="G1727" s="6">
        <v>0.05</v>
      </c>
      <c r="H1727" s="5" t="s">
        <v>2475</v>
      </c>
      <c r="I1727" s="5" t="s">
        <v>20</v>
      </c>
      <c r="J1727" s="5">
        <v>2012.0</v>
      </c>
      <c r="L1727" s="5">
        <v>1.0</v>
      </c>
      <c r="M1727" s="7">
        <f t="shared" si="5"/>
        <v>0.05</v>
      </c>
    </row>
    <row r="1728">
      <c r="A1728" s="5" t="s">
        <v>4417</v>
      </c>
      <c r="B1728" s="5" t="s">
        <v>3396</v>
      </c>
      <c r="C1728" s="5" t="s">
        <v>297</v>
      </c>
      <c r="D1728" s="5" t="s">
        <v>3656</v>
      </c>
      <c r="E1728" s="5" t="s">
        <v>2321</v>
      </c>
      <c r="F1728" s="5" t="s">
        <v>88</v>
      </c>
      <c r="G1728" s="6">
        <v>0.03</v>
      </c>
      <c r="H1728" s="5" t="s">
        <v>1707</v>
      </c>
      <c r="I1728" s="5" t="s">
        <v>20</v>
      </c>
      <c r="J1728" s="5">
        <v>2016.0</v>
      </c>
      <c r="K1728" s="8">
        <v>46055.0</v>
      </c>
      <c r="L1728" s="5">
        <v>2.0</v>
      </c>
      <c r="M1728" s="7">
        <f t="shared" si="5"/>
        <v>0.06</v>
      </c>
    </row>
    <row r="1729">
      <c r="A1729" s="5" t="s">
        <v>4458</v>
      </c>
      <c r="B1729" s="5" t="s">
        <v>3798</v>
      </c>
      <c r="C1729" s="5" t="s">
        <v>1951</v>
      </c>
      <c r="D1729" s="5" t="s">
        <v>4459</v>
      </c>
      <c r="E1729" s="5" t="s">
        <v>382</v>
      </c>
      <c r="F1729" s="5" t="s">
        <v>88</v>
      </c>
      <c r="G1729" s="6">
        <v>0.13</v>
      </c>
      <c r="H1729" s="5" t="s">
        <v>1644</v>
      </c>
      <c r="I1729" s="5" t="s">
        <v>20</v>
      </c>
      <c r="J1729" s="5">
        <v>2019.0</v>
      </c>
      <c r="K1729" s="5" t="s">
        <v>566</v>
      </c>
      <c r="L1729" s="5">
        <v>1.0</v>
      </c>
      <c r="M1729" s="7">
        <f t="shared" si="5"/>
        <v>0.13</v>
      </c>
    </row>
    <row r="1730">
      <c r="A1730" s="5" t="s">
        <v>4460</v>
      </c>
      <c r="B1730" s="5" t="s">
        <v>4461</v>
      </c>
      <c r="C1730" s="5" t="s">
        <v>1951</v>
      </c>
      <c r="D1730" s="5" t="s">
        <v>4462</v>
      </c>
      <c r="E1730" s="5" t="s">
        <v>917</v>
      </c>
      <c r="F1730" s="5" t="s">
        <v>88</v>
      </c>
      <c r="G1730" s="6">
        <v>0.15</v>
      </c>
      <c r="H1730" s="5" t="s">
        <v>1644</v>
      </c>
      <c r="I1730" s="5" t="s">
        <v>20</v>
      </c>
      <c r="J1730" s="5">
        <v>2019.0</v>
      </c>
      <c r="K1730" s="8">
        <v>46023.0</v>
      </c>
      <c r="L1730" s="5">
        <v>4.0</v>
      </c>
      <c r="M1730" s="7">
        <f t="shared" si="5"/>
        <v>0.6</v>
      </c>
    </row>
    <row r="1731">
      <c r="A1731" s="5" t="s">
        <v>4463</v>
      </c>
      <c r="B1731" s="5" t="s">
        <v>4464</v>
      </c>
      <c r="C1731" s="5" t="s">
        <v>297</v>
      </c>
      <c r="D1731" s="5" t="s">
        <v>4465</v>
      </c>
      <c r="E1731" s="5" t="s">
        <v>2321</v>
      </c>
      <c r="F1731" s="5" t="s">
        <v>88</v>
      </c>
      <c r="G1731" s="6">
        <v>0.1</v>
      </c>
      <c r="H1731" s="5" t="s">
        <v>1989</v>
      </c>
      <c r="I1731" s="5" t="s">
        <v>20</v>
      </c>
      <c r="J1731" s="5">
        <v>2019.0</v>
      </c>
      <c r="K1731" s="8">
        <v>46024.0</v>
      </c>
      <c r="L1731" s="5">
        <v>2.0</v>
      </c>
      <c r="M1731" s="7">
        <f t="shared" si="5"/>
        <v>0.2</v>
      </c>
    </row>
    <row r="1732">
      <c r="A1732" s="5" t="s">
        <v>4466</v>
      </c>
      <c r="B1732" s="5" t="s">
        <v>4467</v>
      </c>
      <c r="C1732" s="5" t="s">
        <v>2252</v>
      </c>
      <c r="D1732" s="5" t="s">
        <v>4468</v>
      </c>
      <c r="E1732" s="5" t="s">
        <v>2814</v>
      </c>
      <c r="F1732" s="5" t="s">
        <v>88</v>
      </c>
      <c r="G1732" s="6">
        <v>0.5</v>
      </c>
      <c r="H1732" s="5" t="s">
        <v>1644</v>
      </c>
      <c r="I1732" s="5" t="s">
        <v>20</v>
      </c>
      <c r="J1732" s="5">
        <v>2019.0</v>
      </c>
      <c r="K1732" s="8">
        <v>46146.0</v>
      </c>
      <c r="L1732" s="5">
        <v>1.0</v>
      </c>
      <c r="M1732" s="7">
        <f t="shared" si="5"/>
        <v>0.5</v>
      </c>
    </row>
    <row r="1733">
      <c r="A1733" s="5" t="s">
        <v>4469</v>
      </c>
      <c r="B1733" s="5" t="s">
        <v>2626</v>
      </c>
      <c r="C1733" s="5" t="s">
        <v>297</v>
      </c>
      <c r="D1733" s="5" t="s">
        <v>4470</v>
      </c>
      <c r="E1733" s="5" t="s">
        <v>4330</v>
      </c>
      <c r="F1733" s="5" t="s">
        <v>88</v>
      </c>
      <c r="G1733" s="6">
        <v>0.17</v>
      </c>
      <c r="H1733" s="5" t="s">
        <v>2475</v>
      </c>
      <c r="I1733" s="5" t="s">
        <v>20</v>
      </c>
      <c r="J1733" s="5">
        <v>2012.0</v>
      </c>
      <c r="K1733" s="8">
        <v>46055.0</v>
      </c>
      <c r="L1733" s="5">
        <v>3.0</v>
      </c>
      <c r="M1733" s="7">
        <f t="shared" si="5"/>
        <v>0.51</v>
      </c>
    </row>
    <row r="1734">
      <c r="A1734" s="5" t="s">
        <v>4471</v>
      </c>
      <c r="B1734" s="5" t="s">
        <v>4472</v>
      </c>
      <c r="C1734" s="5" t="s">
        <v>1899</v>
      </c>
      <c r="D1734" s="5" t="s">
        <v>4473</v>
      </c>
      <c r="E1734" s="5" t="s">
        <v>2321</v>
      </c>
      <c r="F1734" s="5" t="s">
        <v>88</v>
      </c>
      <c r="G1734" s="6">
        <v>0.15</v>
      </c>
      <c r="H1734" s="5" t="s">
        <v>3097</v>
      </c>
      <c r="I1734" s="5" t="s">
        <v>20</v>
      </c>
      <c r="J1734" s="5">
        <v>2015.0</v>
      </c>
      <c r="K1734" s="8">
        <v>46083.0</v>
      </c>
      <c r="L1734" s="5">
        <v>1.0</v>
      </c>
      <c r="M1734" s="7">
        <f t="shared" si="5"/>
        <v>0.15</v>
      </c>
    </row>
    <row r="1735">
      <c r="A1735" s="5" t="s">
        <v>4474</v>
      </c>
      <c r="B1735" s="5" t="s">
        <v>2319</v>
      </c>
      <c r="C1735" s="5" t="s">
        <v>1899</v>
      </c>
      <c r="D1735" s="5" t="s">
        <v>4475</v>
      </c>
      <c r="E1735" s="5" t="s">
        <v>2321</v>
      </c>
      <c r="F1735" s="5" t="s">
        <v>88</v>
      </c>
      <c r="G1735" s="6">
        <v>0.22</v>
      </c>
      <c r="H1735" s="5" t="s">
        <v>2995</v>
      </c>
      <c r="I1735" s="5" t="s">
        <v>20</v>
      </c>
      <c r="J1735" s="5">
        <v>2013.0</v>
      </c>
      <c r="K1735" s="8">
        <v>46083.0</v>
      </c>
      <c r="L1735" s="5">
        <v>1.0</v>
      </c>
      <c r="M1735" s="7">
        <f t="shared" si="5"/>
        <v>0.22</v>
      </c>
    </row>
    <row r="1736">
      <c r="A1736" s="5" t="s">
        <v>4476</v>
      </c>
      <c r="B1736" s="5" t="s">
        <v>4477</v>
      </c>
      <c r="C1736" s="5" t="s">
        <v>297</v>
      </c>
      <c r="D1736" s="5" t="s">
        <v>4478</v>
      </c>
      <c r="E1736" s="5" t="s">
        <v>2321</v>
      </c>
      <c r="F1736" s="5" t="s">
        <v>88</v>
      </c>
      <c r="G1736" s="6">
        <v>0.26</v>
      </c>
      <c r="H1736" s="5" t="s">
        <v>2221</v>
      </c>
      <c r="I1736" s="5" t="s">
        <v>31</v>
      </c>
      <c r="J1736" s="5">
        <v>2026.0</v>
      </c>
      <c r="K1736" s="8">
        <v>46024.0</v>
      </c>
      <c r="L1736" s="5">
        <v>1.0</v>
      </c>
      <c r="M1736" s="7">
        <f t="shared" si="5"/>
        <v>0.26</v>
      </c>
    </row>
    <row r="1737">
      <c r="A1737" s="5" t="s">
        <v>4479</v>
      </c>
      <c r="B1737" s="5" t="s">
        <v>3798</v>
      </c>
      <c r="C1737" s="5" t="s">
        <v>297</v>
      </c>
      <c r="D1737" s="5" t="s">
        <v>4480</v>
      </c>
      <c r="E1737" s="5" t="s">
        <v>2321</v>
      </c>
      <c r="F1737" s="5" t="s">
        <v>88</v>
      </c>
      <c r="G1737" s="6">
        <v>0.2</v>
      </c>
      <c r="H1737" s="5" t="s">
        <v>1622</v>
      </c>
      <c r="I1737" s="5" t="s">
        <v>31</v>
      </c>
      <c r="J1737" s="5">
        <v>2022.0</v>
      </c>
      <c r="K1737" s="5" t="s">
        <v>3158</v>
      </c>
      <c r="L1737" s="5">
        <v>1.0</v>
      </c>
      <c r="M1737" s="7">
        <f t="shared" si="5"/>
        <v>0.2</v>
      </c>
    </row>
    <row r="1738">
      <c r="A1738" s="5" t="s">
        <v>4481</v>
      </c>
      <c r="B1738" s="5" t="s">
        <v>4482</v>
      </c>
      <c r="C1738" s="5" t="s">
        <v>297</v>
      </c>
      <c r="D1738" s="5" t="s">
        <v>4483</v>
      </c>
      <c r="E1738" s="5" t="s">
        <v>2321</v>
      </c>
      <c r="F1738" s="5" t="s">
        <v>88</v>
      </c>
      <c r="G1738" s="6">
        <v>0.04</v>
      </c>
      <c r="H1738" s="5" t="s">
        <v>2555</v>
      </c>
      <c r="I1738" s="5" t="s">
        <v>20</v>
      </c>
      <c r="J1738" s="5">
        <v>2020.0</v>
      </c>
      <c r="K1738" s="8">
        <v>46055.0</v>
      </c>
      <c r="L1738" s="5">
        <v>1.0</v>
      </c>
      <c r="M1738" s="7">
        <f t="shared" si="5"/>
        <v>0.04</v>
      </c>
    </row>
    <row r="1739">
      <c r="A1739" s="5" t="s">
        <v>4484</v>
      </c>
      <c r="B1739" s="5" t="s">
        <v>4485</v>
      </c>
      <c r="C1739" s="5" t="s">
        <v>1951</v>
      </c>
      <c r="D1739" s="5" t="s">
        <v>4486</v>
      </c>
      <c r="E1739" s="5" t="s">
        <v>2321</v>
      </c>
      <c r="F1739" s="5" t="s">
        <v>88</v>
      </c>
      <c r="G1739" s="6">
        <v>0.14</v>
      </c>
      <c r="H1739" s="5" t="s">
        <v>1634</v>
      </c>
      <c r="I1739" s="5" t="s">
        <v>20</v>
      </c>
      <c r="J1739" s="5">
        <v>2024.0</v>
      </c>
      <c r="K1739" s="8">
        <v>46056.0</v>
      </c>
      <c r="L1739" s="5">
        <v>1.0</v>
      </c>
      <c r="M1739" s="7">
        <f t="shared" si="5"/>
        <v>0.14</v>
      </c>
    </row>
    <row r="1740">
      <c r="A1740" s="5" t="s">
        <v>4487</v>
      </c>
      <c r="B1740" s="5" t="s">
        <v>2626</v>
      </c>
      <c r="C1740" s="5" t="s">
        <v>297</v>
      </c>
      <c r="D1740" s="5" t="s">
        <v>4488</v>
      </c>
      <c r="E1740" s="5" t="s">
        <v>382</v>
      </c>
      <c r="F1740" s="5" t="s">
        <v>88</v>
      </c>
      <c r="G1740" s="6">
        <v>0.06</v>
      </c>
      <c r="H1740" s="5" t="s">
        <v>3301</v>
      </c>
      <c r="I1740" s="5" t="s">
        <v>20</v>
      </c>
      <c r="J1740" s="5">
        <v>2013.0</v>
      </c>
      <c r="K1740" s="5" t="s">
        <v>3158</v>
      </c>
      <c r="L1740" s="5">
        <v>1.0</v>
      </c>
      <c r="M1740" s="7">
        <f t="shared" si="5"/>
        <v>0.06</v>
      </c>
    </row>
    <row r="1741">
      <c r="A1741" s="5" t="s">
        <v>4489</v>
      </c>
      <c r="B1741" s="5" t="s">
        <v>4490</v>
      </c>
      <c r="C1741" s="5" t="s">
        <v>297</v>
      </c>
      <c r="D1741" s="5" t="s">
        <v>4491</v>
      </c>
      <c r="E1741" s="5" t="s">
        <v>2330</v>
      </c>
      <c r="F1741" s="5" t="s">
        <v>88</v>
      </c>
      <c r="G1741" s="6">
        <v>0.05</v>
      </c>
      <c r="H1741" s="5" t="s">
        <v>3301</v>
      </c>
      <c r="I1741" s="5" t="s">
        <v>20</v>
      </c>
      <c r="J1741" s="5">
        <v>2013.0</v>
      </c>
      <c r="K1741" s="8">
        <v>46114.0</v>
      </c>
      <c r="L1741" s="5">
        <v>1.0</v>
      </c>
      <c r="M1741" s="7">
        <f t="shared" si="5"/>
        <v>0.05</v>
      </c>
    </row>
    <row r="1742">
      <c r="A1742" s="5" t="s">
        <v>4492</v>
      </c>
      <c r="B1742" s="5" t="s">
        <v>2060</v>
      </c>
      <c r="C1742" s="5" t="s">
        <v>1951</v>
      </c>
      <c r="D1742" s="5" t="s">
        <v>4493</v>
      </c>
      <c r="E1742" s="5" t="s">
        <v>2321</v>
      </c>
      <c r="F1742" s="5" t="s">
        <v>88</v>
      </c>
      <c r="G1742" s="6">
        <v>0.06</v>
      </c>
      <c r="H1742" s="5" t="s">
        <v>2624</v>
      </c>
      <c r="I1742" s="5" t="s">
        <v>20</v>
      </c>
      <c r="J1742" s="5">
        <v>2019.0</v>
      </c>
      <c r="L1742" s="5">
        <v>6.0</v>
      </c>
      <c r="M1742" s="7">
        <f t="shared" si="5"/>
        <v>0.36</v>
      </c>
    </row>
    <row r="1743">
      <c r="A1743" s="5" t="s">
        <v>4494</v>
      </c>
      <c r="B1743" s="5" t="s">
        <v>2674</v>
      </c>
      <c r="C1743" s="5" t="s">
        <v>297</v>
      </c>
      <c r="D1743" s="5" t="s">
        <v>4495</v>
      </c>
      <c r="E1743" s="5" t="s">
        <v>4288</v>
      </c>
      <c r="F1743" s="5" t="s">
        <v>88</v>
      </c>
      <c r="G1743" s="6">
        <v>0.04</v>
      </c>
      <c r="H1743" s="5" t="s">
        <v>3301</v>
      </c>
      <c r="I1743" s="5" t="s">
        <v>20</v>
      </c>
      <c r="J1743" s="5">
        <v>2013.0</v>
      </c>
      <c r="K1743" s="8">
        <v>46145.0</v>
      </c>
      <c r="L1743" s="5">
        <v>2.0</v>
      </c>
      <c r="M1743" s="7">
        <f t="shared" si="5"/>
        <v>0.08</v>
      </c>
    </row>
    <row r="1744">
      <c r="A1744" s="5" t="s">
        <v>4496</v>
      </c>
      <c r="B1744" s="5" t="s">
        <v>4497</v>
      </c>
      <c r="C1744" s="5" t="s">
        <v>1951</v>
      </c>
      <c r="D1744" s="5" t="s">
        <v>4498</v>
      </c>
      <c r="E1744" s="5" t="s">
        <v>4499</v>
      </c>
      <c r="F1744" s="5" t="s">
        <v>88</v>
      </c>
      <c r="G1744" s="6">
        <v>0.47</v>
      </c>
      <c r="H1744" s="5" t="s">
        <v>3482</v>
      </c>
      <c r="I1744" s="5" t="s">
        <v>20</v>
      </c>
      <c r="J1744" s="5">
        <v>2023.0</v>
      </c>
      <c r="K1744" s="8">
        <v>46082.0</v>
      </c>
      <c r="L1744" s="5">
        <v>3.0</v>
      </c>
      <c r="M1744" s="7">
        <f t="shared" si="5"/>
        <v>1.41</v>
      </c>
    </row>
    <row r="1745">
      <c r="A1745" s="5" t="s">
        <v>4417</v>
      </c>
      <c r="B1745" s="5" t="s">
        <v>3396</v>
      </c>
      <c r="C1745" s="5" t="s">
        <v>297</v>
      </c>
      <c r="D1745" s="5" t="s">
        <v>3656</v>
      </c>
      <c r="E1745" s="5" t="s">
        <v>2321</v>
      </c>
      <c r="F1745" s="5" t="s">
        <v>88</v>
      </c>
      <c r="G1745" s="6">
        <v>0.25</v>
      </c>
      <c r="H1745" s="5" t="s">
        <v>4500</v>
      </c>
      <c r="I1745" s="5" t="s">
        <v>31</v>
      </c>
      <c r="J1745" s="5">
        <v>2013.0</v>
      </c>
      <c r="K1745" s="8">
        <v>46055.0</v>
      </c>
      <c r="L1745" s="5">
        <v>1.0</v>
      </c>
      <c r="M1745" s="7">
        <f t="shared" si="5"/>
        <v>0.25</v>
      </c>
    </row>
    <row r="1746">
      <c r="A1746" s="5" t="s">
        <v>4501</v>
      </c>
      <c r="B1746" s="5" t="s">
        <v>2319</v>
      </c>
      <c r="C1746" s="5" t="s">
        <v>297</v>
      </c>
      <c r="D1746" s="5" t="s">
        <v>4502</v>
      </c>
      <c r="E1746" s="5" t="s">
        <v>4330</v>
      </c>
      <c r="F1746" s="5" t="s">
        <v>88</v>
      </c>
      <c r="G1746" s="6">
        <v>0.09</v>
      </c>
      <c r="H1746" s="5" t="s">
        <v>2540</v>
      </c>
      <c r="I1746" s="5" t="s">
        <v>20</v>
      </c>
      <c r="J1746" s="5">
        <v>2010.0</v>
      </c>
      <c r="K1746" s="8">
        <v>46055.0</v>
      </c>
      <c r="L1746" s="5">
        <v>1.0</v>
      </c>
      <c r="M1746" s="7">
        <f t="shared" si="5"/>
        <v>0.09</v>
      </c>
    </row>
    <row r="1747">
      <c r="A1747" s="5" t="s">
        <v>4503</v>
      </c>
      <c r="B1747" s="5" t="s">
        <v>2319</v>
      </c>
      <c r="C1747" s="5" t="s">
        <v>297</v>
      </c>
      <c r="D1747" s="5" t="s">
        <v>4504</v>
      </c>
      <c r="E1747" s="5" t="s">
        <v>382</v>
      </c>
      <c r="F1747" s="5" t="s">
        <v>88</v>
      </c>
      <c r="G1747" s="6">
        <v>0.06</v>
      </c>
      <c r="H1747" s="5" t="s">
        <v>1992</v>
      </c>
      <c r="I1747" s="5" t="s">
        <v>20</v>
      </c>
      <c r="J1747" s="5">
        <v>2011.0</v>
      </c>
      <c r="K1747" s="8">
        <v>46023.0</v>
      </c>
      <c r="L1747" s="5">
        <v>1.0</v>
      </c>
      <c r="M1747" s="7">
        <f t="shared" si="5"/>
        <v>0.06</v>
      </c>
    </row>
    <row r="1748">
      <c r="A1748" s="5" t="s">
        <v>4505</v>
      </c>
      <c r="B1748" s="5" t="s">
        <v>3582</v>
      </c>
      <c r="C1748" s="5" t="s">
        <v>1899</v>
      </c>
      <c r="D1748" s="5" t="s">
        <v>4506</v>
      </c>
      <c r="E1748" s="5" t="s">
        <v>4294</v>
      </c>
      <c r="F1748" s="5" t="s">
        <v>88</v>
      </c>
      <c r="G1748" s="6">
        <v>1.19</v>
      </c>
      <c r="H1748" s="5" t="s">
        <v>2518</v>
      </c>
      <c r="I1748" s="5" t="s">
        <v>20</v>
      </c>
      <c r="J1748" s="5">
        <v>2005.0</v>
      </c>
      <c r="K1748" s="8">
        <v>46116.0</v>
      </c>
      <c r="L1748" s="5">
        <v>1.0</v>
      </c>
      <c r="M1748" s="7">
        <f t="shared" si="5"/>
        <v>1.19</v>
      </c>
    </row>
    <row r="1749">
      <c r="A1749" s="5" t="s">
        <v>4507</v>
      </c>
      <c r="B1749" s="5" t="s">
        <v>2753</v>
      </c>
      <c r="C1749" s="5" t="s">
        <v>297</v>
      </c>
      <c r="D1749" s="5" t="s">
        <v>4508</v>
      </c>
      <c r="E1749" s="5" t="s">
        <v>2321</v>
      </c>
      <c r="F1749" s="5" t="s">
        <v>88</v>
      </c>
      <c r="G1749" s="6">
        <v>0.05</v>
      </c>
      <c r="H1749" s="5" t="s">
        <v>1997</v>
      </c>
      <c r="I1749" s="5" t="s">
        <v>20</v>
      </c>
      <c r="J1749" s="5">
        <v>2016.0</v>
      </c>
      <c r="K1749" s="8">
        <v>46083.0</v>
      </c>
      <c r="L1749" s="5">
        <v>2.0</v>
      </c>
      <c r="M1749" s="7">
        <f t="shared" si="5"/>
        <v>0.1</v>
      </c>
    </row>
    <row r="1750">
      <c r="A1750" s="5" t="s">
        <v>4509</v>
      </c>
      <c r="B1750" s="5" t="s">
        <v>2019</v>
      </c>
      <c r="C1750" s="5" t="s">
        <v>297</v>
      </c>
      <c r="D1750" s="5" t="s">
        <v>4510</v>
      </c>
      <c r="E1750" s="5" t="s">
        <v>382</v>
      </c>
      <c r="F1750" s="5" t="s">
        <v>88</v>
      </c>
      <c r="G1750" s="6">
        <v>0.03</v>
      </c>
      <c r="H1750" s="5" t="s">
        <v>2624</v>
      </c>
      <c r="I1750" s="5" t="s">
        <v>20</v>
      </c>
      <c r="J1750" s="5">
        <v>2019.0</v>
      </c>
      <c r="K1750" s="8">
        <v>46054.0</v>
      </c>
      <c r="L1750" s="5">
        <v>1.0</v>
      </c>
      <c r="M1750" s="7">
        <f t="shared" si="5"/>
        <v>0.03</v>
      </c>
    </row>
    <row r="1751">
      <c r="A1751" s="5" t="s">
        <v>4511</v>
      </c>
      <c r="B1751" s="5" t="s">
        <v>1946</v>
      </c>
      <c r="C1751" s="5" t="s">
        <v>1899</v>
      </c>
      <c r="D1751" s="5" t="s">
        <v>4512</v>
      </c>
      <c r="E1751" s="5" t="s">
        <v>2330</v>
      </c>
      <c r="F1751" s="5" t="s">
        <v>88</v>
      </c>
      <c r="G1751" s="6">
        <v>0.35</v>
      </c>
      <c r="H1751" s="5" t="s">
        <v>1667</v>
      </c>
      <c r="I1751" s="5" t="s">
        <v>20</v>
      </c>
      <c r="J1751" s="5">
        <v>2018.0</v>
      </c>
      <c r="L1751" s="5">
        <v>1.0</v>
      </c>
      <c r="M1751" s="7">
        <f t="shared" si="5"/>
        <v>0.35</v>
      </c>
    </row>
    <row r="1752">
      <c r="A1752" s="5" t="s">
        <v>4513</v>
      </c>
      <c r="B1752" s="5" t="s">
        <v>2016</v>
      </c>
      <c r="C1752" s="5" t="s">
        <v>297</v>
      </c>
      <c r="D1752" s="5" t="s">
        <v>4514</v>
      </c>
      <c r="E1752" s="5" t="s">
        <v>917</v>
      </c>
      <c r="F1752" s="5" t="s">
        <v>88</v>
      </c>
      <c r="G1752" s="6">
        <v>0.7</v>
      </c>
      <c r="H1752" s="5" t="s">
        <v>2655</v>
      </c>
      <c r="I1752" s="5" t="s">
        <v>20</v>
      </c>
      <c r="J1752" s="5">
        <v>2021.0</v>
      </c>
      <c r="L1752" s="5">
        <v>2.0</v>
      </c>
      <c r="M1752" s="7">
        <f t="shared" si="5"/>
        <v>1.4</v>
      </c>
    </row>
    <row r="1753">
      <c r="A1753" s="5" t="s">
        <v>4515</v>
      </c>
      <c r="B1753" s="5" t="s">
        <v>2827</v>
      </c>
      <c r="C1753" s="5" t="s">
        <v>297</v>
      </c>
      <c r="D1753" s="5" t="s">
        <v>4516</v>
      </c>
      <c r="E1753" s="5" t="s">
        <v>917</v>
      </c>
      <c r="F1753" s="5" t="s">
        <v>88</v>
      </c>
      <c r="G1753" s="6">
        <v>0.49</v>
      </c>
      <c r="H1753" s="5" t="s">
        <v>1961</v>
      </c>
      <c r="I1753" s="5" t="s">
        <v>20</v>
      </c>
      <c r="J1753" s="5">
        <v>2024.0</v>
      </c>
      <c r="L1753" s="5">
        <v>2.0</v>
      </c>
      <c r="M1753" s="7">
        <f t="shared" si="5"/>
        <v>0.98</v>
      </c>
    </row>
    <row r="1754">
      <c r="A1754" s="5" t="s">
        <v>4517</v>
      </c>
      <c r="B1754" s="5" t="s">
        <v>2016</v>
      </c>
      <c r="C1754" s="5" t="s">
        <v>297</v>
      </c>
      <c r="D1754" s="5" t="s">
        <v>4518</v>
      </c>
      <c r="E1754" s="5" t="s">
        <v>382</v>
      </c>
      <c r="F1754" s="5" t="s">
        <v>88</v>
      </c>
      <c r="G1754" s="6">
        <v>0.13</v>
      </c>
      <c r="H1754" s="5" t="s">
        <v>2388</v>
      </c>
      <c r="I1754" s="5" t="s">
        <v>20</v>
      </c>
      <c r="J1754" s="5">
        <v>2019.0</v>
      </c>
      <c r="L1754" s="5">
        <v>2.0</v>
      </c>
      <c r="M1754" s="7">
        <f t="shared" si="5"/>
        <v>0.26</v>
      </c>
    </row>
    <row r="1755">
      <c r="A1755" s="5" t="s">
        <v>4519</v>
      </c>
      <c r="B1755" s="5" t="s">
        <v>2016</v>
      </c>
      <c r="C1755" s="5" t="s">
        <v>297</v>
      </c>
      <c r="D1755" s="5" t="s">
        <v>4520</v>
      </c>
      <c r="E1755" s="5" t="s">
        <v>382</v>
      </c>
      <c r="F1755" s="5" t="s">
        <v>88</v>
      </c>
      <c r="G1755" s="6">
        <v>0.15</v>
      </c>
      <c r="H1755" s="5" t="s">
        <v>2774</v>
      </c>
      <c r="I1755" s="5" t="s">
        <v>31</v>
      </c>
      <c r="J1755" s="5">
        <v>2015.0</v>
      </c>
      <c r="L1755" s="5">
        <v>1.0</v>
      </c>
      <c r="M1755" s="7">
        <f t="shared" si="5"/>
        <v>0.15</v>
      </c>
    </row>
    <row r="1756">
      <c r="A1756" s="5" t="s">
        <v>4521</v>
      </c>
      <c r="B1756" s="5" t="s">
        <v>1946</v>
      </c>
      <c r="C1756" s="5" t="s">
        <v>1899</v>
      </c>
      <c r="D1756" s="5" t="s">
        <v>4522</v>
      </c>
      <c r="E1756" s="5" t="s">
        <v>4330</v>
      </c>
      <c r="F1756" s="5" t="s">
        <v>88</v>
      </c>
      <c r="G1756" s="6">
        <v>0.56</v>
      </c>
      <c r="H1756" s="5" t="s">
        <v>3223</v>
      </c>
      <c r="I1756" s="5" t="s">
        <v>20</v>
      </c>
      <c r="J1756" s="5">
        <v>2014.0</v>
      </c>
      <c r="L1756" s="5">
        <v>1.0</v>
      </c>
      <c r="M1756" s="7">
        <f t="shared" si="5"/>
        <v>0.56</v>
      </c>
    </row>
    <row r="1757">
      <c r="A1757" s="5" t="s">
        <v>4523</v>
      </c>
      <c r="B1757" s="5" t="s">
        <v>2016</v>
      </c>
      <c r="C1757" s="5" t="s">
        <v>297</v>
      </c>
      <c r="D1757" s="5" t="s">
        <v>4524</v>
      </c>
      <c r="E1757" s="5" t="s">
        <v>917</v>
      </c>
      <c r="F1757" s="5" t="s">
        <v>88</v>
      </c>
      <c r="G1757" s="6">
        <v>0.43</v>
      </c>
      <c r="H1757" s="5" t="s">
        <v>2995</v>
      </c>
      <c r="I1757" s="5" t="s">
        <v>20</v>
      </c>
      <c r="J1757" s="5">
        <v>2013.0</v>
      </c>
      <c r="L1757" s="5">
        <v>1.0</v>
      </c>
      <c r="M1757" s="7">
        <f t="shared" si="5"/>
        <v>0.43</v>
      </c>
    </row>
    <row r="1758">
      <c r="A1758" s="5" t="s">
        <v>4525</v>
      </c>
      <c r="B1758" s="5" t="s">
        <v>2060</v>
      </c>
      <c r="C1758" s="5" t="s">
        <v>297</v>
      </c>
      <c r="D1758" s="5" t="s">
        <v>4526</v>
      </c>
      <c r="E1758" s="5" t="s">
        <v>2324</v>
      </c>
      <c r="F1758" s="5" t="s">
        <v>88</v>
      </c>
      <c r="G1758" s="6">
        <v>0.23</v>
      </c>
      <c r="H1758" s="5" t="s">
        <v>4527</v>
      </c>
      <c r="I1758" s="5" t="s">
        <v>20</v>
      </c>
      <c r="J1758" s="5">
        <v>2003.0</v>
      </c>
      <c r="L1758" s="5">
        <v>1.0</v>
      </c>
      <c r="M1758" s="7">
        <f t="shared" si="5"/>
        <v>0.23</v>
      </c>
    </row>
    <row r="1759">
      <c r="A1759" s="5" t="s">
        <v>4528</v>
      </c>
      <c r="B1759" s="5" t="s">
        <v>387</v>
      </c>
      <c r="C1759" s="5" t="s">
        <v>1951</v>
      </c>
      <c r="D1759" s="5" t="s">
        <v>4529</v>
      </c>
      <c r="E1759" s="5" t="s">
        <v>2321</v>
      </c>
      <c r="F1759" s="5" t="s">
        <v>88</v>
      </c>
      <c r="G1759" s="6">
        <v>0.09</v>
      </c>
      <c r="H1759" s="5" t="s">
        <v>2221</v>
      </c>
      <c r="I1759" s="5" t="s">
        <v>20</v>
      </c>
      <c r="J1759" s="5">
        <v>2024.0</v>
      </c>
      <c r="L1759" s="5">
        <v>2.0</v>
      </c>
      <c r="M1759" s="7">
        <f t="shared" si="5"/>
        <v>0.18</v>
      </c>
    </row>
    <row r="1760">
      <c r="A1760" s="5" t="s">
        <v>4530</v>
      </c>
      <c r="B1760" s="5" t="s">
        <v>2060</v>
      </c>
      <c r="C1760" s="5" t="s">
        <v>1899</v>
      </c>
      <c r="D1760" s="5" t="s">
        <v>4531</v>
      </c>
      <c r="E1760" s="5" t="s">
        <v>4532</v>
      </c>
      <c r="F1760" s="5" t="s">
        <v>88</v>
      </c>
      <c r="G1760" s="6">
        <v>0.73</v>
      </c>
      <c r="H1760" s="5" t="s">
        <v>2774</v>
      </c>
      <c r="I1760" s="5" t="s">
        <v>20</v>
      </c>
      <c r="J1760" s="5">
        <v>2015.0</v>
      </c>
      <c r="L1760" s="5">
        <v>1.0</v>
      </c>
      <c r="M1760" s="7">
        <f t="shared" si="5"/>
        <v>0.73</v>
      </c>
    </row>
    <row r="1761">
      <c r="A1761" s="5" t="s">
        <v>4533</v>
      </c>
      <c r="B1761" s="5" t="s">
        <v>2060</v>
      </c>
      <c r="C1761" s="5" t="s">
        <v>297</v>
      </c>
      <c r="D1761" s="5" t="s">
        <v>4534</v>
      </c>
      <c r="E1761" s="5" t="s">
        <v>917</v>
      </c>
      <c r="F1761" s="5" t="s">
        <v>88</v>
      </c>
      <c r="G1761" s="6">
        <v>0.3</v>
      </c>
      <c r="H1761" s="5" t="s">
        <v>2693</v>
      </c>
      <c r="I1761" s="5" t="s">
        <v>20</v>
      </c>
      <c r="J1761" s="5">
        <v>2010.0</v>
      </c>
      <c r="L1761" s="5">
        <v>1.0</v>
      </c>
      <c r="M1761" s="7">
        <f t="shared" si="5"/>
        <v>0.3</v>
      </c>
    </row>
    <row r="1762">
      <c r="A1762" s="5" t="s">
        <v>4535</v>
      </c>
      <c r="B1762" s="5" t="s">
        <v>2060</v>
      </c>
      <c r="C1762" s="5" t="s">
        <v>1899</v>
      </c>
      <c r="D1762" s="5" t="s">
        <v>4536</v>
      </c>
      <c r="E1762" s="5" t="s">
        <v>4294</v>
      </c>
      <c r="F1762" s="5" t="s">
        <v>88</v>
      </c>
      <c r="G1762" s="6">
        <v>1.99</v>
      </c>
      <c r="H1762" s="5" t="s">
        <v>4537</v>
      </c>
      <c r="I1762" s="5" t="s">
        <v>31</v>
      </c>
      <c r="J1762" s="5">
        <v>2021.0</v>
      </c>
      <c r="L1762" s="5">
        <v>1.0</v>
      </c>
      <c r="M1762" s="7">
        <f t="shared" si="5"/>
        <v>1.99</v>
      </c>
    </row>
    <row r="1763">
      <c r="A1763" s="5" t="s">
        <v>4538</v>
      </c>
      <c r="B1763" s="5" t="s">
        <v>2060</v>
      </c>
      <c r="C1763" s="5" t="s">
        <v>297</v>
      </c>
      <c r="D1763" s="5" t="s">
        <v>2327</v>
      </c>
      <c r="E1763" s="5" t="s">
        <v>2321</v>
      </c>
      <c r="F1763" s="5" t="s">
        <v>88</v>
      </c>
      <c r="G1763" s="6">
        <v>0.29</v>
      </c>
      <c r="H1763" s="5" t="s">
        <v>3491</v>
      </c>
      <c r="I1763" s="5" t="s">
        <v>31</v>
      </c>
      <c r="J1763" s="5">
        <v>2012.0</v>
      </c>
      <c r="L1763" s="5">
        <v>1.0</v>
      </c>
      <c r="M1763" s="7">
        <f t="shared" si="5"/>
        <v>0.29</v>
      </c>
    </row>
    <row r="1764">
      <c r="A1764" s="5" t="s">
        <v>4539</v>
      </c>
      <c r="B1764" s="5" t="s">
        <v>2060</v>
      </c>
      <c r="C1764" s="5" t="s">
        <v>297</v>
      </c>
      <c r="D1764" s="5" t="s">
        <v>4540</v>
      </c>
      <c r="E1764" s="5" t="s">
        <v>382</v>
      </c>
      <c r="F1764" s="5" t="s">
        <v>88</v>
      </c>
      <c r="G1764" s="6">
        <v>0.2</v>
      </c>
      <c r="H1764" s="5" t="s">
        <v>2624</v>
      </c>
      <c r="I1764" s="5" t="s">
        <v>20</v>
      </c>
      <c r="J1764" s="5">
        <v>2019.0</v>
      </c>
      <c r="L1764" s="5">
        <v>1.0</v>
      </c>
      <c r="M1764" s="7">
        <f t="shared" si="5"/>
        <v>0.2</v>
      </c>
    </row>
    <row r="1765">
      <c r="A1765" s="5" t="s">
        <v>4541</v>
      </c>
      <c r="B1765" s="5" t="s">
        <v>2060</v>
      </c>
      <c r="C1765" s="5" t="s">
        <v>1951</v>
      </c>
      <c r="D1765" s="5" t="s">
        <v>4542</v>
      </c>
      <c r="E1765" s="5" t="s">
        <v>382</v>
      </c>
      <c r="F1765" s="5" t="s">
        <v>88</v>
      </c>
      <c r="G1765" s="6">
        <v>0.25</v>
      </c>
      <c r="H1765" s="5" t="s">
        <v>4543</v>
      </c>
      <c r="I1765" s="5" t="s">
        <v>20</v>
      </c>
      <c r="J1765" s="5">
        <v>2021.0</v>
      </c>
      <c r="L1765" s="5">
        <v>2.0</v>
      </c>
      <c r="M1765" s="7">
        <f t="shared" si="5"/>
        <v>0.5</v>
      </c>
    </row>
    <row r="1766">
      <c r="A1766" s="5" t="s">
        <v>4544</v>
      </c>
      <c r="B1766" s="5" t="s">
        <v>380</v>
      </c>
      <c r="C1766" s="5" t="s">
        <v>297</v>
      </c>
      <c r="D1766" s="5" t="s">
        <v>4545</v>
      </c>
      <c r="E1766" s="5" t="s">
        <v>917</v>
      </c>
      <c r="F1766" s="5" t="s">
        <v>88</v>
      </c>
      <c r="G1766" s="6">
        <v>0.05</v>
      </c>
      <c r="H1766" s="5" t="s">
        <v>2244</v>
      </c>
      <c r="I1766" s="5" t="s">
        <v>20</v>
      </c>
      <c r="J1766" s="5">
        <v>2014.0</v>
      </c>
      <c r="L1766" s="5">
        <v>1.0</v>
      </c>
      <c r="M1766" s="7">
        <f t="shared" si="5"/>
        <v>0.05</v>
      </c>
    </row>
    <row r="1767">
      <c r="A1767" s="5" t="s">
        <v>4546</v>
      </c>
      <c r="B1767" s="5" t="s">
        <v>380</v>
      </c>
      <c r="C1767" s="5" t="s">
        <v>297</v>
      </c>
      <c r="D1767" s="5" t="s">
        <v>4547</v>
      </c>
      <c r="E1767" s="5" t="s">
        <v>4294</v>
      </c>
      <c r="F1767" s="5" t="s">
        <v>88</v>
      </c>
      <c r="G1767" s="6">
        <v>0.03</v>
      </c>
      <c r="H1767" s="5" t="s">
        <v>2475</v>
      </c>
      <c r="I1767" s="5" t="s">
        <v>20</v>
      </c>
      <c r="J1767" s="5">
        <v>2012.0</v>
      </c>
      <c r="L1767" s="5">
        <v>1.0</v>
      </c>
      <c r="M1767" s="7">
        <f t="shared" si="5"/>
        <v>0.03</v>
      </c>
    </row>
    <row r="1768">
      <c r="A1768" s="5" t="s">
        <v>4548</v>
      </c>
      <c r="B1768" s="5" t="s">
        <v>2974</v>
      </c>
      <c r="C1768" s="5" t="s">
        <v>2140</v>
      </c>
      <c r="D1768" s="5" t="s">
        <v>4549</v>
      </c>
      <c r="E1768" s="5" t="s">
        <v>917</v>
      </c>
      <c r="F1768" s="5" t="s">
        <v>88</v>
      </c>
      <c r="G1768" s="6">
        <v>0.05</v>
      </c>
      <c r="H1768" s="5" t="s">
        <v>2573</v>
      </c>
      <c r="I1768" s="5" t="s">
        <v>20</v>
      </c>
      <c r="J1768" s="5">
        <v>2012.0</v>
      </c>
      <c r="L1768" s="5">
        <v>1.0</v>
      </c>
      <c r="M1768" s="7">
        <f t="shared" si="5"/>
        <v>0.05</v>
      </c>
    </row>
    <row r="1769">
      <c r="A1769" s="5" t="s">
        <v>4550</v>
      </c>
      <c r="B1769" s="5" t="s">
        <v>2016</v>
      </c>
      <c r="C1769" s="5" t="s">
        <v>297</v>
      </c>
      <c r="D1769" s="5" t="s">
        <v>4551</v>
      </c>
      <c r="E1769" s="5" t="s">
        <v>1746</v>
      </c>
      <c r="F1769" s="5" t="s">
        <v>152</v>
      </c>
      <c r="G1769" s="6">
        <v>0.06</v>
      </c>
      <c r="H1769" s="5" t="s">
        <v>2646</v>
      </c>
      <c r="I1769" s="5" t="s">
        <v>20</v>
      </c>
      <c r="J1769" s="5">
        <v>2013.0</v>
      </c>
      <c r="L1769" s="5">
        <v>4.0</v>
      </c>
      <c r="M1769" s="7">
        <f t="shared" si="5"/>
        <v>0.24</v>
      </c>
    </row>
    <row r="1770">
      <c r="A1770" s="5" t="s">
        <v>4552</v>
      </c>
      <c r="B1770" s="5" t="s">
        <v>380</v>
      </c>
      <c r="C1770" s="5" t="s">
        <v>297</v>
      </c>
      <c r="D1770" s="5" t="s">
        <v>4553</v>
      </c>
      <c r="E1770" s="5" t="s">
        <v>1782</v>
      </c>
      <c r="F1770" s="5" t="s">
        <v>152</v>
      </c>
      <c r="G1770" s="6">
        <v>0.06</v>
      </c>
      <c r="H1770" s="5" t="s">
        <v>2188</v>
      </c>
      <c r="I1770" s="5" t="s">
        <v>20</v>
      </c>
      <c r="J1770" s="5">
        <v>2022.0</v>
      </c>
      <c r="L1770" s="5">
        <v>2.0</v>
      </c>
      <c r="M1770" s="7">
        <f t="shared" si="5"/>
        <v>0.12</v>
      </c>
    </row>
    <row r="1771">
      <c r="A1771" s="5" t="s">
        <v>4552</v>
      </c>
      <c r="B1771" s="5" t="s">
        <v>380</v>
      </c>
      <c r="C1771" s="5" t="s">
        <v>297</v>
      </c>
      <c r="D1771" s="5" t="s">
        <v>4553</v>
      </c>
      <c r="E1771" s="5" t="s">
        <v>1782</v>
      </c>
      <c r="F1771" s="5" t="s">
        <v>152</v>
      </c>
      <c r="G1771" s="6">
        <v>0.05</v>
      </c>
      <c r="H1771" s="5" t="s">
        <v>4554</v>
      </c>
      <c r="I1771" s="5" t="s">
        <v>20</v>
      </c>
      <c r="J1771" s="5">
        <v>2014.0</v>
      </c>
      <c r="L1771" s="5">
        <v>4.0</v>
      </c>
      <c r="M1771" s="7">
        <f t="shared" si="5"/>
        <v>0.2</v>
      </c>
    </row>
    <row r="1772">
      <c r="A1772" s="5" t="s">
        <v>4555</v>
      </c>
      <c r="B1772" s="5" t="s">
        <v>380</v>
      </c>
      <c r="C1772" s="5" t="s">
        <v>1951</v>
      </c>
      <c r="D1772" s="5" t="s">
        <v>4556</v>
      </c>
      <c r="E1772" s="5" t="s">
        <v>715</v>
      </c>
      <c r="F1772" s="5" t="s">
        <v>152</v>
      </c>
      <c r="G1772" s="6">
        <v>0.23</v>
      </c>
      <c r="H1772" s="5" t="s">
        <v>2475</v>
      </c>
      <c r="I1772" s="5" t="s">
        <v>20</v>
      </c>
      <c r="J1772" s="5">
        <v>2012.0</v>
      </c>
      <c r="L1772" s="5">
        <v>4.0</v>
      </c>
      <c r="M1772" s="7">
        <f t="shared" si="5"/>
        <v>0.92</v>
      </c>
    </row>
    <row r="1773">
      <c r="A1773" s="5" t="s">
        <v>4557</v>
      </c>
      <c r="B1773" s="5" t="s">
        <v>380</v>
      </c>
      <c r="C1773" s="5" t="s">
        <v>297</v>
      </c>
      <c r="D1773" s="5" t="s">
        <v>4558</v>
      </c>
      <c r="E1773" s="5" t="s">
        <v>1764</v>
      </c>
      <c r="F1773" s="5" t="s">
        <v>152</v>
      </c>
      <c r="G1773" s="6">
        <v>0.06</v>
      </c>
      <c r="H1773" s="5" t="s">
        <v>2376</v>
      </c>
      <c r="I1773" s="5" t="s">
        <v>20</v>
      </c>
      <c r="J1773" s="5">
        <v>2010.0</v>
      </c>
      <c r="L1773" s="5">
        <v>4.0</v>
      </c>
      <c r="M1773" s="7">
        <f t="shared" si="5"/>
        <v>0.24</v>
      </c>
    </row>
    <row r="1774">
      <c r="A1774" s="5" t="s">
        <v>4559</v>
      </c>
      <c r="B1774" s="5" t="s">
        <v>380</v>
      </c>
      <c r="C1774" s="5" t="s">
        <v>297</v>
      </c>
      <c r="D1774" s="5" t="s">
        <v>4560</v>
      </c>
      <c r="E1774" s="5" t="s">
        <v>715</v>
      </c>
      <c r="F1774" s="5" t="s">
        <v>152</v>
      </c>
      <c r="G1774" s="6">
        <v>0.03</v>
      </c>
      <c r="H1774" s="5" t="s">
        <v>1717</v>
      </c>
      <c r="I1774" s="5" t="s">
        <v>20</v>
      </c>
      <c r="J1774" s="5">
        <v>2020.0</v>
      </c>
      <c r="L1774" s="5">
        <v>4.0</v>
      </c>
      <c r="M1774" s="7">
        <f t="shared" si="5"/>
        <v>0.12</v>
      </c>
    </row>
    <row r="1775">
      <c r="A1775" s="5" t="s">
        <v>4561</v>
      </c>
      <c r="B1775" s="5" t="s">
        <v>380</v>
      </c>
      <c r="C1775" s="5" t="s">
        <v>297</v>
      </c>
      <c r="D1775" s="5" t="s">
        <v>4562</v>
      </c>
      <c r="E1775" s="5" t="s">
        <v>1746</v>
      </c>
      <c r="F1775" s="5" t="s">
        <v>152</v>
      </c>
      <c r="G1775" s="6">
        <v>0.14</v>
      </c>
      <c r="H1775" s="5" t="s">
        <v>1958</v>
      </c>
      <c r="I1775" s="5" t="s">
        <v>31</v>
      </c>
      <c r="J1775" s="5">
        <v>2021.0</v>
      </c>
      <c r="L1775" s="5">
        <v>4.0</v>
      </c>
      <c r="M1775" s="7">
        <f t="shared" si="5"/>
        <v>0.56</v>
      </c>
    </row>
    <row r="1776">
      <c r="A1776" s="5" t="s">
        <v>4563</v>
      </c>
      <c r="B1776" s="5" t="s">
        <v>380</v>
      </c>
      <c r="C1776" s="5" t="s">
        <v>297</v>
      </c>
      <c r="D1776" s="5" t="s">
        <v>4564</v>
      </c>
      <c r="E1776" s="5" t="s">
        <v>1746</v>
      </c>
      <c r="F1776" s="5" t="s">
        <v>152</v>
      </c>
      <c r="G1776" s="6">
        <v>0.03</v>
      </c>
      <c r="H1776" s="5" t="s">
        <v>2624</v>
      </c>
      <c r="I1776" s="5" t="s">
        <v>31</v>
      </c>
      <c r="J1776" s="5">
        <v>2019.0</v>
      </c>
      <c r="L1776" s="5">
        <v>4.0</v>
      </c>
      <c r="M1776" s="7">
        <f t="shared" si="5"/>
        <v>0.12</v>
      </c>
    </row>
    <row r="1777">
      <c r="A1777" s="5" t="s">
        <v>4565</v>
      </c>
      <c r="B1777" s="5" t="s">
        <v>2016</v>
      </c>
      <c r="C1777" s="5" t="s">
        <v>297</v>
      </c>
      <c r="D1777" s="5" t="s">
        <v>4566</v>
      </c>
      <c r="E1777" s="5" t="s">
        <v>1746</v>
      </c>
      <c r="F1777" s="5" t="s">
        <v>152</v>
      </c>
      <c r="G1777" s="6">
        <v>0.06</v>
      </c>
      <c r="H1777" s="5" t="s">
        <v>2555</v>
      </c>
      <c r="I1777" s="5" t="s">
        <v>20</v>
      </c>
      <c r="J1777" s="5">
        <v>2020.0</v>
      </c>
      <c r="L1777" s="5">
        <v>4.0</v>
      </c>
      <c r="M1777" s="7">
        <f t="shared" si="5"/>
        <v>0.24</v>
      </c>
    </row>
    <row r="1778">
      <c r="A1778" s="5" t="s">
        <v>4567</v>
      </c>
      <c r="B1778" s="5" t="s">
        <v>3722</v>
      </c>
      <c r="C1778" s="5" t="s">
        <v>297</v>
      </c>
      <c r="D1778" s="5" t="s">
        <v>4568</v>
      </c>
      <c r="E1778" s="5" t="s">
        <v>1782</v>
      </c>
      <c r="F1778" s="5" t="s">
        <v>152</v>
      </c>
      <c r="G1778" s="6">
        <v>0.03</v>
      </c>
      <c r="H1778" s="5" t="s">
        <v>2515</v>
      </c>
      <c r="I1778" s="5" t="s">
        <v>20</v>
      </c>
      <c r="J1778" s="5">
        <v>2018.0</v>
      </c>
      <c r="K1778" s="8">
        <v>46055.0</v>
      </c>
      <c r="L1778" s="5">
        <v>7.0</v>
      </c>
      <c r="M1778" s="7">
        <f t="shared" si="5"/>
        <v>0.21</v>
      </c>
    </row>
    <row r="1779">
      <c r="A1779" s="5" t="s">
        <v>4567</v>
      </c>
      <c r="B1779" s="5" t="s">
        <v>3722</v>
      </c>
      <c r="C1779" s="5" t="s">
        <v>297</v>
      </c>
      <c r="D1779" s="5" t="s">
        <v>4568</v>
      </c>
      <c r="E1779" s="5" t="s">
        <v>1782</v>
      </c>
      <c r="F1779" s="5" t="s">
        <v>152</v>
      </c>
      <c r="G1779" s="6">
        <v>0.03</v>
      </c>
      <c r="H1779" s="5" t="s">
        <v>2562</v>
      </c>
      <c r="I1779" s="5" t="s">
        <v>20</v>
      </c>
      <c r="J1779" s="5">
        <v>2017.0</v>
      </c>
      <c r="K1779" s="8">
        <v>46055.0</v>
      </c>
      <c r="L1779" s="5">
        <v>1.0</v>
      </c>
      <c r="M1779" s="7">
        <f t="shared" si="5"/>
        <v>0.03</v>
      </c>
    </row>
    <row r="1780">
      <c r="A1780" s="5" t="s">
        <v>4569</v>
      </c>
      <c r="B1780" s="5" t="s">
        <v>3798</v>
      </c>
      <c r="C1780" s="5" t="s">
        <v>297</v>
      </c>
      <c r="D1780" s="5" t="s">
        <v>4570</v>
      </c>
      <c r="E1780" s="5" t="s">
        <v>1746</v>
      </c>
      <c r="F1780" s="5" t="s">
        <v>152</v>
      </c>
      <c r="G1780" s="6">
        <v>0.08</v>
      </c>
      <c r="H1780" s="5" t="s">
        <v>2573</v>
      </c>
      <c r="I1780" s="5" t="s">
        <v>20</v>
      </c>
      <c r="J1780" s="5">
        <v>2012.0</v>
      </c>
      <c r="K1780" s="5" t="s">
        <v>566</v>
      </c>
      <c r="L1780" s="5">
        <v>5.0</v>
      </c>
      <c r="M1780" s="7">
        <f t="shared" si="5"/>
        <v>0.4</v>
      </c>
    </row>
    <row r="1781">
      <c r="A1781" s="5" t="s">
        <v>4571</v>
      </c>
      <c r="B1781" s="5" t="s">
        <v>4572</v>
      </c>
      <c r="C1781" s="5" t="s">
        <v>297</v>
      </c>
      <c r="D1781" s="5" t="s">
        <v>4573</v>
      </c>
      <c r="E1781" s="5" t="s">
        <v>1782</v>
      </c>
      <c r="F1781" s="5" t="s">
        <v>152</v>
      </c>
      <c r="G1781" s="6">
        <v>0.29</v>
      </c>
      <c r="H1781" s="5" t="s">
        <v>299</v>
      </c>
      <c r="I1781" s="5" t="s">
        <v>31</v>
      </c>
      <c r="J1781" s="5">
        <v>2026.0</v>
      </c>
      <c r="K1781" s="8">
        <v>46083.0</v>
      </c>
      <c r="L1781" s="5">
        <v>1.0</v>
      </c>
      <c r="M1781" s="7">
        <f t="shared" si="5"/>
        <v>0.29</v>
      </c>
    </row>
    <row r="1782">
      <c r="A1782" s="5" t="s">
        <v>4571</v>
      </c>
      <c r="B1782" s="5" t="s">
        <v>4572</v>
      </c>
      <c r="C1782" s="5" t="s">
        <v>297</v>
      </c>
      <c r="D1782" s="5" t="s">
        <v>4573</v>
      </c>
      <c r="E1782" s="5" t="s">
        <v>1782</v>
      </c>
      <c r="F1782" s="5" t="s">
        <v>152</v>
      </c>
      <c r="G1782" s="6">
        <v>0.07</v>
      </c>
      <c r="H1782" s="5" t="s">
        <v>299</v>
      </c>
      <c r="I1782" s="5" t="s">
        <v>31</v>
      </c>
      <c r="J1782" s="5">
        <v>2026.0</v>
      </c>
      <c r="K1782" s="8">
        <v>46083.0</v>
      </c>
      <c r="L1782" s="5">
        <v>3.0</v>
      </c>
      <c r="M1782" s="7">
        <f t="shared" si="5"/>
        <v>0.21</v>
      </c>
    </row>
    <row r="1783">
      <c r="A1783" s="5" t="s">
        <v>4574</v>
      </c>
      <c r="B1783" s="5" t="s">
        <v>4575</v>
      </c>
      <c r="C1783" s="5" t="s">
        <v>297</v>
      </c>
      <c r="D1783" s="5" t="s">
        <v>4576</v>
      </c>
      <c r="E1783" s="5" t="s">
        <v>1746</v>
      </c>
      <c r="F1783" s="5" t="s">
        <v>152</v>
      </c>
      <c r="G1783" s="6">
        <v>0.25</v>
      </c>
      <c r="H1783" s="5" t="s">
        <v>1634</v>
      </c>
      <c r="I1783" s="5" t="s">
        <v>31</v>
      </c>
      <c r="J1783" s="5">
        <v>2024.0</v>
      </c>
      <c r="K1783" s="8">
        <v>46054.0</v>
      </c>
      <c r="L1783" s="5">
        <v>4.0</v>
      </c>
      <c r="M1783" s="7">
        <f t="shared" si="5"/>
        <v>1</v>
      </c>
    </row>
    <row r="1784">
      <c r="A1784" s="5" t="s">
        <v>4577</v>
      </c>
      <c r="B1784" s="5" t="s">
        <v>4578</v>
      </c>
      <c r="C1784" s="5" t="s">
        <v>297</v>
      </c>
      <c r="D1784" s="5" t="s">
        <v>4579</v>
      </c>
      <c r="E1784" s="5" t="s">
        <v>1805</v>
      </c>
      <c r="F1784" s="5" t="s">
        <v>152</v>
      </c>
      <c r="G1784" s="6">
        <v>0.08</v>
      </c>
      <c r="H1784" s="5" t="s">
        <v>4580</v>
      </c>
      <c r="I1784" s="5" t="s">
        <v>20</v>
      </c>
      <c r="J1784" s="5">
        <v>2024.0</v>
      </c>
      <c r="K1784" s="8">
        <v>46084.0</v>
      </c>
      <c r="L1784" s="5">
        <v>6.0</v>
      </c>
      <c r="M1784" s="7">
        <f t="shared" si="5"/>
        <v>0.48</v>
      </c>
    </row>
    <row r="1785">
      <c r="A1785" s="5" t="s">
        <v>4581</v>
      </c>
      <c r="B1785" s="5" t="s">
        <v>4582</v>
      </c>
      <c r="C1785" s="5" t="s">
        <v>297</v>
      </c>
      <c r="D1785" s="5" t="s">
        <v>4583</v>
      </c>
      <c r="E1785" s="5" t="s">
        <v>715</v>
      </c>
      <c r="F1785" s="5" t="s">
        <v>152</v>
      </c>
      <c r="G1785" s="6">
        <v>0.06</v>
      </c>
      <c r="H1785" s="5" t="s">
        <v>1676</v>
      </c>
      <c r="I1785" s="5" t="s">
        <v>20</v>
      </c>
      <c r="J1785" s="5">
        <v>2012.0</v>
      </c>
      <c r="K1785" s="8">
        <v>46023.0</v>
      </c>
      <c r="L1785" s="5">
        <v>4.0</v>
      </c>
      <c r="M1785" s="7">
        <f t="shared" si="5"/>
        <v>0.24</v>
      </c>
    </row>
    <row r="1786">
      <c r="A1786" s="5" t="s">
        <v>273</v>
      </c>
      <c r="B1786" s="5" t="s">
        <v>2415</v>
      </c>
      <c r="C1786" s="5" t="s">
        <v>297</v>
      </c>
      <c r="D1786" s="5" t="s">
        <v>4584</v>
      </c>
      <c r="E1786" s="5" t="s">
        <v>715</v>
      </c>
      <c r="F1786" s="5" t="s">
        <v>152</v>
      </c>
      <c r="G1786" s="6">
        <v>0.07</v>
      </c>
      <c r="H1786" s="5" t="s">
        <v>2249</v>
      </c>
      <c r="I1786" s="5" t="s">
        <v>20</v>
      </c>
      <c r="J1786" s="5">
        <v>2017.0</v>
      </c>
      <c r="K1786" s="8">
        <v>46023.0</v>
      </c>
      <c r="L1786" s="5">
        <v>4.0</v>
      </c>
      <c r="M1786" s="7">
        <f t="shared" si="5"/>
        <v>0.28</v>
      </c>
    </row>
    <row r="1787">
      <c r="A1787" s="5" t="s">
        <v>4585</v>
      </c>
      <c r="B1787" s="5" t="s">
        <v>2512</v>
      </c>
      <c r="C1787" s="5" t="s">
        <v>297</v>
      </c>
      <c r="E1787" s="5" t="s">
        <v>1746</v>
      </c>
      <c r="F1787" s="5" t="s">
        <v>152</v>
      </c>
      <c r="G1787" s="6">
        <v>0.03</v>
      </c>
      <c r="H1787" s="5" t="s">
        <v>2562</v>
      </c>
      <c r="I1787" s="5" t="s">
        <v>20</v>
      </c>
      <c r="J1787" s="5">
        <v>2017.0</v>
      </c>
      <c r="K1787" s="8">
        <v>46025.0</v>
      </c>
      <c r="L1787" s="5">
        <v>6.0</v>
      </c>
      <c r="M1787" s="7">
        <f t="shared" si="5"/>
        <v>0.18</v>
      </c>
    </row>
    <row r="1788">
      <c r="A1788" s="5" t="s">
        <v>4586</v>
      </c>
      <c r="B1788" s="5" t="s">
        <v>2055</v>
      </c>
      <c r="C1788" s="5" t="s">
        <v>297</v>
      </c>
      <c r="D1788" s="5" t="s">
        <v>4587</v>
      </c>
      <c r="E1788" s="5" t="s">
        <v>1840</v>
      </c>
      <c r="F1788" s="5" t="s">
        <v>152</v>
      </c>
      <c r="G1788" s="6">
        <v>0.08</v>
      </c>
      <c r="H1788" s="5" t="s">
        <v>2249</v>
      </c>
      <c r="I1788" s="5" t="s">
        <v>20</v>
      </c>
      <c r="J1788" s="5">
        <v>2017.0</v>
      </c>
      <c r="K1788" s="8">
        <v>46084.0</v>
      </c>
      <c r="L1788" s="5">
        <v>4.0</v>
      </c>
      <c r="M1788" s="7">
        <f t="shared" si="5"/>
        <v>0.32</v>
      </c>
    </row>
    <row r="1789">
      <c r="A1789" s="5" t="s">
        <v>4588</v>
      </c>
      <c r="B1789" s="5" t="s">
        <v>2108</v>
      </c>
      <c r="C1789" s="5" t="s">
        <v>297</v>
      </c>
      <c r="D1789" s="5" t="s">
        <v>4589</v>
      </c>
      <c r="E1789" s="5" t="s">
        <v>1746</v>
      </c>
      <c r="F1789" s="5" t="s">
        <v>152</v>
      </c>
      <c r="G1789" s="6">
        <v>0.06</v>
      </c>
      <c r="H1789" s="5" t="s">
        <v>2158</v>
      </c>
      <c r="I1789" s="5" t="s">
        <v>20</v>
      </c>
      <c r="J1789" s="5">
        <v>2014.0</v>
      </c>
      <c r="K1789" s="8">
        <v>46054.0</v>
      </c>
      <c r="L1789" s="5">
        <v>4.0</v>
      </c>
      <c r="M1789" s="7">
        <f t="shared" si="5"/>
        <v>0.24</v>
      </c>
    </row>
    <row r="1790">
      <c r="A1790" s="5" t="s">
        <v>4590</v>
      </c>
      <c r="B1790" s="5" t="s">
        <v>4591</v>
      </c>
      <c r="C1790" s="5" t="s">
        <v>297</v>
      </c>
      <c r="D1790" s="5" t="s">
        <v>4592</v>
      </c>
      <c r="E1790" s="5" t="s">
        <v>1782</v>
      </c>
      <c r="F1790" s="5" t="s">
        <v>152</v>
      </c>
      <c r="G1790" s="6">
        <v>0.5</v>
      </c>
      <c r="H1790" s="5" t="s">
        <v>2188</v>
      </c>
      <c r="I1790" s="5" t="s">
        <v>20</v>
      </c>
      <c r="J1790" s="5">
        <v>2022.0</v>
      </c>
      <c r="K1790" s="8">
        <v>46024.0</v>
      </c>
      <c r="L1790" s="5">
        <v>8.0</v>
      </c>
      <c r="M1790" s="7">
        <f t="shared" si="5"/>
        <v>4</v>
      </c>
    </row>
    <row r="1791">
      <c r="A1791" s="5" t="s">
        <v>4593</v>
      </c>
      <c r="B1791" s="5" t="s">
        <v>2667</v>
      </c>
      <c r="C1791" s="5" t="s">
        <v>297</v>
      </c>
      <c r="D1791" s="5" t="s">
        <v>4594</v>
      </c>
      <c r="E1791" s="5" t="s">
        <v>2430</v>
      </c>
      <c r="F1791" s="5" t="s">
        <v>152</v>
      </c>
      <c r="G1791" s="6">
        <v>0.03</v>
      </c>
      <c r="H1791" s="5" t="s">
        <v>1717</v>
      </c>
      <c r="I1791" s="5" t="s">
        <v>20</v>
      </c>
      <c r="J1791" s="5">
        <v>2020.0</v>
      </c>
      <c r="K1791" s="8">
        <v>46176.0</v>
      </c>
      <c r="L1791" s="5">
        <v>8.0</v>
      </c>
      <c r="M1791" s="7">
        <f t="shared" si="5"/>
        <v>0.24</v>
      </c>
    </row>
    <row r="1792">
      <c r="A1792" s="5" t="s">
        <v>4595</v>
      </c>
      <c r="B1792" s="5" t="s">
        <v>2108</v>
      </c>
      <c r="C1792" s="5" t="s">
        <v>297</v>
      </c>
      <c r="D1792" s="5" t="s">
        <v>4596</v>
      </c>
      <c r="E1792" s="5" t="s">
        <v>1782</v>
      </c>
      <c r="F1792" s="5" t="s">
        <v>152</v>
      </c>
      <c r="G1792" s="6">
        <v>0.03</v>
      </c>
      <c r="H1792" s="5" t="s">
        <v>2624</v>
      </c>
      <c r="I1792" s="5" t="s">
        <v>20</v>
      </c>
      <c r="J1792" s="5">
        <v>2019.0</v>
      </c>
      <c r="K1792" s="8">
        <v>46055.0</v>
      </c>
      <c r="L1792" s="5">
        <v>1.0</v>
      </c>
      <c r="M1792" s="7">
        <f t="shared" si="5"/>
        <v>0.03</v>
      </c>
    </row>
    <row r="1793">
      <c r="A1793" s="5" t="s">
        <v>4597</v>
      </c>
      <c r="B1793" s="5" t="s">
        <v>3471</v>
      </c>
      <c r="C1793" s="5" t="s">
        <v>297</v>
      </c>
      <c r="D1793" s="5" t="s">
        <v>4598</v>
      </c>
      <c r="E1793" s="5" t="s">
        <v>1764</v>
      </c>
      <c r="F1793" s="5" t="s">
        <v>152</v>
      </c>
      <c r="G1793" s="6">
        <v>0.03</v>
      </c>
      <c r="H1793" s="5" t="s">
        <v>2562</v>
      </c>
      <c r="I1793" s="5" t="s">
        <v>20</v>
      </c>
      <c r="J1793" s="5">
        <v>2017.0</v>
      </c>
      <c r="K1793" s="8">
        <v>46084.0</v>
      </c>
      <c r="L1793" s="5">
        <v>3.0</v>
      </c>
      <c r="M1793" s="7">
        <f t="shared" si="5"/>
        <v>0.09</v>
      </c>
    </row>
    <row r="1794">
      <c r="A1794" s="5" t="s">
        <v>4599</v>
      </c>
      <c r="B1794" s="5" t="s">
        <v>4600</v>
      </c>
      <c r="C1794" s="5" t="s">
        <v>1899</v>
      </c>
      <c r="D1794" s="5" t="s">
        <v>4601</v>
      </c>
      <c r="E1794" s="5" t="s">
        <v>1764</v>
      </c>
      <c r="F1794" s="5" t="s">
        <v>152</v>
      </c>
      <c r="G1794" s="6">
        <v>0.85</v>
      </c>
      <c r="H1794" s="5" t="s">
        <v>2376</v>
      </c>
      <c r="I1794" s="5" t="s">
        <v>20</v>
      </c>
      <c r="J1794" s="5">
        <v>2010.0</v>
      </c>
      <c r="K1794" s="8">
        <v>46083.0</v>
      </c>
      <c r="L1794" s="5">
        <v>3.0</v>
      </c>
      <c r="M1794" s="7">
        <f t="shared" si="5"/>
        <v>2.55</v>
      </c>
    </row>
    <row r="1795">
      <c r="A1795" s="5" t="s">
        <v>4602</v>
      </c>
      <c r="B1795" s="5" t="s">
        <v>2626</v>
      </c>
      <c r="C1795" s="5" t="s">
        <v>297</v>
      </c>
      <c r="D1795" s="5" t="s">
        <v>4603</v>
      </c>
      <c r="E1795" s="5" t="s">
        <v>1840</v>
      </c>
      <c r="F1795" s="5" t="s">
        <v>152</v>
      </c>
      <c r="G1795" s="6">
        <v>0.06</v>
      </c>
      <c r="H1795" s="5" t="s">
        <v>2174</v>
      </c>
      <c r="I1795" s="5" t="s">
        <v>20</v>
      </c>
      <c r="J1795" s="5">
        <v>2021.0</v>
      </c>
      <c r="K1795" s="8">
        <v>46144.0</v>
      </c>
      <c r="L1795" s="5">
        <v>2.0</v>
      </c>
      <c r="M1795" s="7">
        <f t="shared" si="5"/>
        <v>0.12</v>
      </c>
    </row>
    <row r="1796">
      <c r="A1796" s="5" t="s">
        <v>4604</v>
      </c>
      <c r="B1796" s="5" t="s">
        <v>4605</v>
      </c>
      <c r="C1796" s="5" t="s">
        <v>1951</v>
      </c>
      <c r="D1796" s="5" t="s">
        <v>4606</v>
      </c>
      <c r="E1796" s="5" t="s">
        <v>715</v>
      </c>
      <c r="F1796" s="5" t="s">
        <v>152</v>
      </c>
      <c r="G1796" s="6">
        <v>0.3</v>
      </c>
      <c r="H1796" s="5" t="s">
        <v>2376</v>
      </c>
      <c r="I1796" s="5" t="s">
        <v>20</v>
      </c>
      <c r="J1796" s="5">
        <v>2010.0</v>
      </c>
      <c r="K1796" s="5" t="s">
        <v>752</v>
      </c>
      <c r="L1796" s="5">
        <v>3.0</v>
      </c>
      <c r="M1796" s="7">
        <f t="shared" si="5"/>
        <v>0.9</v>
      </c>
    </row>
    <row r="1797">
      <c r="A1797" s="5" t="s">
        <v>4607</v>
      </c>
      <c r="B1797" s="5" t="s">
        <v>2415</v>
      </c>
      <c r="C1797" s="5" t="s">
        <v>297</v>
      </c>
      <c r="D1797" s="5" t="s">
        <v>4608</v>
      </c>
      <c r="E1797" s="5" t="s">
        <v>1746</v>
      </c>
      <c r="F1797" s="5" t="s">
        <v>152</v>
      </c>
      <c r="G1797" s="6">
        <v>0.06</v>
      </c>
      <c r="H1797" s="5" t="s">
        <v>2177</v>
      </c>
      <c r="I1797" s="5" t="s">
        <v>20</v>
      </c>
      <c r="J1797" s="5">
        <v>2018.0</v>
      </c>
      <c r="K1797" s="8">
        <v>46023.0</v>
      </c>
      <c r="L1797" s="5">
        <v>4.0</v>
      </c>
      <c r="M1797" s="7">
        <f t="shared" si="5"/>
        <v>0.24</v>
      </c>
    </row>
    <row r="1798">
      <c r="A1798" s="5" t="s">
        <v>4609</v>
      </c>
      <c r="B1798" s="5" t="s">
        <v>4610</v>
      </c>
      <c r="C1798" s="5" t="s">
        <v>297</v>
      </c>
      <c r="D1798" s="5" t="s">
        <v>4611</v>
      </c>
      <c r="E1798" s="5" t="s">
        <v>715</v>
      </c>
      <c r="F1798" s="5" t="s">
        <v>152</v>
      </c>
      <c r="G1798" s="6">
        <v>0.06</v>
      </c>
      <c r="H1798" s="5" t="s">
        <v>1711</v>
      </c>
      <c r="I1798" s="5" t="s">
        <v>20</v>
      </c>
      <c r="J1798" s="5">
        <v>2019.0</v>
      </c>
      <c r="K1798" s="8">
        <v>46023.0</v>
      </c>
      <c r="L1798" s="5">
        <v>1.0</v>
      </c>
      <c r="M1798" s="7">
        <f t="shared" si="5"/>
        <v>0.06</v>
      </c>
    </row>
    <row r="1799">
      <c r="A1799" s="5" t="s">
        <v>4612</v>
      </c>
      <c r="B1799" s="5" t="s">
        <v>3471</v>
      </c>
      <c r="C1799" s="5" t="s">
        <v>297</v>
      </c>
      <c r="D1799" s="5" t="s">
        <v>4613</v>
      </c>
      <c r="E1799" s="5" t="s">
        <v>2430</v>
      </c>
      <c r="F1799" s="5" t="s">
        <v>152</v>
      </c>
      <c r="G1799" s="6">
        <v>0.06</v>
      </c>
      <c r="H1799" s="5" t="s">
        <v>2646</v>
      </c>
      <c r="I1799" s="5" t="s">
        <v>20</v>
      </c>
      <c r="J1799" s="5">
        <v>2013.0</v>
      </c>
      <c r="K1799" s="8">
        <v>46114.0</v>
      </c>
      <c r="L1799" s="5">
        <v>1.0</v>
      </c>
      <c r="M1799" s="7">
        <f t="shared" si="5"/>
        <v>0.06</v>
      </c>
    </row>
    <row r="1800">
      <c r="A1800" s="5" t="s">
        <v>4614</v>
      </c>
      <c r="B1800" s="5" t="s">
        <v>4615</v>
      </c>
      <c r="C1800" s="5" t="s">
        <v>2140</v>
      </c>
      <c r="D1800" s="5" t="s">
        <v>4616</v>
      </c>
      <c r="E1800" s="5" t="s">
        <v>1782</v>
      </c>
      <c r="F1800" s="5" t="s">
        <v>152</v>
      </c>
      <c r="G1800" s="6">
        <v>0.06</v>
      </c>
      <c r="H1800" s="5" t="s">
        <v>1676</v>
      </c>
      <c r="I1800" s="5" t="s">
        <v>20</v>
      </c>
      <c r="J1800" s="5">
        <v>2012.0</v>
      </c>
      <c r="K1800" s="8">
        <v>46056.0</v>
      </c>
      <c r="L1800" s="5">
        <v>1.0</v>
      </c>
      <c r="M1800" s="7">
        <f t="shared" si="5"/>
        <v>0.06</v>
      </c>
    </row>
    <row r="1801">
      <c r="A1801" s="5" t="s">
        <v>4617</v>
      </c>
      <c r="B1801" s="5" t="s">
        <v>4618</v>
      </c>
      <c r="C1801" s="5" t="s">
        <v>297</v>
      </c>
      <c r="D1801" s="5" t="s">
        <v>4619</v>
      </c>
      <c r="E1801" s="5" t="s">
        <v>1746</v>
      </c>
      <c r="F1801" s="5" t="s">
        <v>152</v>
      </c>
      <c r="G1801" s="6">
        <v>0.06</v>
      </c>
      <c r="H1801" s="5" t="s">
        <v>2376</v>
      </c>
      <c r="I1801" s="5" t="s">
        <v>20</v>
      </c>
      <c r="J1801" s="5">
        <v>2010.0</v>
      </c>
      <c r="K1801" s="8">
        <v>46024.0</v>
      </c>
      <c r="L1801" s="5">
        <v>1.0</v>
      </c>
      <c r="M1801" s="7">
        <f t="shared" si="5"/>
        <v>0.06</v>
      </c>
    </row>
    <row r="1802">
      <c r="A1802" s="5" t="s">
        <v>4620</v>
      </c>
      <c r="B1802" s="5" t="s">
        <v>4621</v>
      </c>
      <c r="C1802" s="5" t="s">
        <v>297</v>
      </c>
      <c r="D1802" s="5" t="s">
        <v>4622</v>
      </c>
      <c r="E1802" s="5" t="s">
        <v>1782</v>
      </c>
      <c r="F1802" s="5" t="s">
        <v>152</v>
      </c>
      <c r="G1802" s="6">
        <v>0.06</v>
      </c>
      <c r="H1802" s="5" t="s">
        <v>4623</v>
      </c>
      <c r="I1802" s="5" t="s">
        <v>20</v>
      </c>
      <c r="J1802" s="5">
        <v>2014.0</v>
      </c>
      <c r="K1802" s="8">
        <v>46113.0</v>
      </c>
      <c r="L1802" s="5">
        <v>1.0</v>
      </c>
      <c r="M1802" s="7">
        <f t="shared" si="5"/>
        <v>0.06</v>
      </c>
    </row>
    <row r="1803">
      <c r="A1803" s="5" t="s">
        <v>4624</v>
      </c>
      <c r="B1803" s="5" t="s">
        <v>4625</v>
      </c>
      <c r="C1803" s="5" t="s">
        <v>297</v>
      </c>
      <c r="D1803" s="5" t="s">
        <v>4626</v>
      </c>
      <c r="E1803" s="5" t="s">
        <v>1782</v>
      </c>
      <c r="F1803" s="5" t="s">
        <v>152</v>
      </c>
      <c r="G1803" s="6">
        <v>0.07</v>
      </c>
      <c r="H1803" s="5" t="s">
        <v>2504</v>
      </c>
      <c r="I1803" s="5" t="s">
        <v>20</v>
      </c>
      <c r="J1803" s="5">
        <v>2015.0</v>
      </c>
      <c r="K1803" s="8">
        <v>46024.0</v>
      </c>
      <c r="L1803" s="5">
        <v>1.0</v>
      </c>
      <c r="M1803" s="7">
        <f t="shared" si="5"/>
        <v>0.07</v>
      </c>
    </row>
    <row r="1804">
      <c r="A1804" s="5" t="s">
        <v>4627</v>
      </c>
      <c r="B1804" s="5" t="s">
        <v>3471</v>
      </c>
      <c r="C1804" s="5" t="s">
        <v>1899</v>
      </c>
      <c r="D1804" s="5" t="s">
        <v>4628</v>
      </c>
      <c r="E1804" s="5" t="s">
        <v>2430</v>
      </c>
      <c r="F1804" s="5" t="s">
        <v>152</v>
      </c>
      <c r="G1804" s="6">
        <v>0.5</v>
      </c>
      <c r="H1804" s="5" t="s">
        <v>2192</v>
      </c>
      <c r="I1804" s="5" t="s">
        <v>20</v>
      </c>
      <c r="J1804" s="5">
        <v>2016.0</v>
      </c>
      <c r="K1804" s="8">
        <v>46116.0</v>
      </c>
      <c r="L1804" s="5">
        <v>1.0</v>
      </c>
      <c r="M1804" s="7">
        <f t="shared" si="5"/>
        <v>0.5</v>
      </c>
    </row>
    <row r="1805">
      <c r="A1805" s="5" t="s">
        <v>4629</v>
      </c>
      <c r="B1805" s="5" t="s">
        <v>4630</v>
      </c>
      <c r="C1805" s="5" t="s">
        <v>297</v>
      </c>
      <c r="D1805" s="5" t="s">
        <v>4631</v>
      </c>
      <c r="E1805" s="5" t="s">
        <v>715</v>
      </c>
      <c r="F1805" s="5" t="s">
        <v>152</v>
      </c>
      <c r="G1805" s="6">
        <v>0.03</v>
      </c>
      <c r="H1805" s="5" t="s">
        <v>2244</v>
      </c>
      <c r="I1805" s="5" t="s">
        <v>20</v>
      </c>
      <c r="J1805" s="5">
        <v>2014.0</v>
      </c>
      <c r="K1805" s="8">
        <v>46054.0</v>
      </c>
      <c r="L1805" s="5">
        <v>1.0</v>
      </c>
      <c r="M1805" s="7">
        <f t="shared" si="5"/>
        <v>0.03</v>
      </c>
    </row>
    <row r="1806">
      <c r="A1806" s="5" t="s">
        <v>4632</v>
      </c>
      <c r="B1806" s="5" t="s">
        <v>4633</v>
      </c>
      <c r="C1806" s="5" t="s">
        <v>297</v>
      </c>
      <c r="D1806" s="5" t="s">
        <v>4634</v>
      </c>
      <c r="E1806" s="5" t="s">
        <v>4635</v>
      </c>
      <c r="F1806" s="5" t="s">
        <v>152</v>
      </c>
      <c r="G1806" s="6">
        <v>0.07</v>
      </c>
      <c r="H1806" s="5" t="s">
        <v>299</v>
      </c>
      <c r="I1806" s="5" t="s">
        <v>20</v>
      </c>
      <c r="J1806" s="5">
        <v>2026.0</v>
      </c>
      <c r="K1806" s="8">
        <v>46054.0</v>
      </c>
      <c r="L1806" s="5">
        <v>1.0</v>
      </c>
      <c r="M1806" s="7">
        <f t="shared" si="5"/>
        <v>0.07</v>
      </c>
    </row>
    <row r="1807">
      <c r="A1807" s="5" t="s">
        <v>4636</v>
      </c>
      <c r="B1807" s="5" t="s">
        <v>2319</v>
      </c>
      <c r="C1807" s="5" t="s">
        <v>297</v>
      </c>
      <c r="D1807" s="5" t="s">
        <v>4637</v>
      </c>
      <c r="E1807" s="5" t="s">
        <v>715</v>
      </c>
      <c r="F1807" s="5" t="s">
        <v>152</v>
      </c>
      <c r="G1807" s="6">
        <v>0.08</v>
      </c>
      <c r="H1807" s="5" t="s">
        <v>2504</v>
      </c>
      <c r="I1807" s="5" t="s">
        <v>20</v>
      </c>
      <c r="J1807" s="5">
        <v>2015.0</v>
      </c>
      <c r="K1807" s="5" t="s">
        <v>1736</v>
      </c>
      <c r="L1807" s="5">
        <v>1.0</v>
      </c>
      <c r="M1807" s="7">
        <f t="shared" si="5"/>
        <v>0.08</v>
      </c>
    </row>
    <row r="1808">
      <c r="A1808" s="5" t="s">
        <v>4638</v>
      </c>
      <c r="B1808" s="5" t="s">
        <v>3309</v>
      </c>
      <c r="C1808" s="5" t="s">
        <v>297</v>
      </c>
      <c r="D1808" s="5" t="s">
        <v>4639</v>
      </c>
      <c r="E1808" s="5" t="s">
        <v>1782</v>
      </c>
      <c r="F1808" s="5" t="s">
        <v>152</v>
      </c>
      <c r="G1808" s="6">
        <v>0.05</v>
      </c>
      <c r="H1808" s="5" t="s">
        <v>2995</v>
      </c>
      <c r="I1808" s="5" t="s">
        <v>20</v>
      </c>
      <c r="J1808" s="5">
        <v>2013.0</v>
      </c>
      <c r="K1808" s="8">
        <v>46113.0</v>
      </c>
      <c r="L1808" s="5">
        <v>1.0</v>
      </c>
      <c r="M1808" s="7">
        <f t="shared" si="5"/>
        <v>0.05</v>
      </c>
    </row>
    <row r="1809">
      <c r="A1809" s="5" t="s">
        <v>4640</v>
      </c>
      <c r="B1809" s="5" t="s">
        <v>3299</v>
      </c>
      <c r="C1809" s="5" t="s">
        <v>1899</v>
      </c>
      <c r="D1809" s="5" t="s">
        <v>4641</v>
      </c>
      <c r="E1809" s="5" t="s">
        <v>1782</v>
      </c>
      <c r="F1809" s="5" t="s">
        <v>152</v>
      </c>
      <c r="G1809" s="6">
        <v>10.7</v>
      </c>
      <c r="H1809" s="5" t="s">
        <v>2174</v>
      </c>
      <c r="I1809" s="5" t="s">
        <v>31</v>
      </c>
      <c r="J1809" s="5">
        <v>2021.0</v>
      </c>
      <c r="K1809" s="8">
        <v>46083.0</v>
      </c>
      <c r="L1809" s="5">
        <v>1.0</v>
      </c>
      <c r="M1809" s="7">
        <f t="shared" si="5"/>
        <v>10.7</v>
      </c>
    </row>
    <row r="1810">
      <c r="A1810" s="5" t="s">
        <v>4642</v>
      </c>
      <c r="B1810" s="5" t="s">
        <v>2415</v>
      </c>
      <c r="C1810" s="5" t="s">
        <v>1899</v>
      </c>
      <c r="D1810" s="5" t="s">
        <v>4643</v>
      </c>
      <c r="E1810" s="5" t="s">
        <v>1758</v>
      </c>
      <c r="F1810" s="5" t="s">
        <v>152</v>
      </c>
      <c r="G1810" s="6">
        <v>0.12</v>
      </c>
      <c r="H1810" s="5" t="s">
        <v>2774</v>
      </c>
      <c r="I1810" s="5" t="s">
        <v>20</v>
      </c>
      <c r="J1810" s="5">
        <v>2015.0</v>
      </c>
      <c r="K1810" s="8">
        <v>46085.0</v>
      </c>
      <c r="L1810" s="5">
        <v>1.0</v>
      </c>
      <c r="M1810" s="7">
        <f t="shared" si="5"/>
        <v>0.12</v>
      </c>
    </row>
    <row r="1811">
      <c r="A1811" s="5" t="s">
        <v>4644</v>
      </c>
      <c r="B1811" s="5" t="s">
        <v>4645</v>
      </c>
      <c r="C1811" s="5" t="s">
        <v>297</v>
      </c>
      <c r="D1811" s="5" t="s">
        <v>4646</v>
      </c>
      <c r="E1811" s="5" t="s">
        <v>1764</v>
      </c>
      <c r="F1811" s="5" t="s">
        <v>152</v>
      </c>
      <c r="G1811" s="6">
        <v>0.03</v>
      </c>
      <c r="H1811" s="5" t="s">
        <v>2624</v>
      </c>
      <c r="I1811" s="5" t="s">
        <v>20</v>
      </c>
      <c r="J1811" s="5">
        <v>2019.0</v>
      </c>
      <c r="K1811" s="8">
        <v>46084.0</v>
      </c>
      <c r="L1811" s="5">
        <v>1.0</v>
      </c>
      <c r="M1811" s="7">
        <f t="shared" si="5"/>
        <v>0.03</v>
      </c>
    </row>
    <row r="1812">
      <c r="A1812" s="5" t="s">
        <v>4647</v>
      </c>
      <c r="B1812" s="5" t="s">
        <v>3309</v>
      </c>
      <c r="C1812" s="5" t="s">
        <v>297</v>
      </c>
      <c r="D1812" s="5" t="s">
        <v>4648</v>
      </c>
      <c r="E1812" s="5" t="s">
        <v>1746</v>
      </c>
      <c r="F1812" s="5" t="s">
        <v>152</v>
      </c>
      <c r="G1812" s="6">
        <v>0.06</v>
      </c>
      <c r="H1812" s="5" t="s">
        <v>1992</v>
      </c>
      <c r="I1812" s="5" t="s">
        <v>20</v>
      </c>
      <c r="J1812" s="5">
        <v>2011.0</v>
      </c>
      <c r="K1812" s="8">
        <v>46054.0</v>
      </c>
      <c r="L1812" s="5">
        <v>1.0</v>
      </c>
      <c r="M1812" s="7">
        <f t="shared" si="5"/>
        <v>0.06</v>
      </c>
    </row>
    <row r="1813">
      <c r="A1813" s="5" t="s">
        <v>4649</v>
      </c>
      <c r="B1813" s="5" t="s">
        <v>2495</v>
      </c>
      <c r="C1813" s="5" t="s">
        <v>297</v>
      </c>
      <c r="D1813" s="5" t="s">
        <v>4650</v>
      </c>
      <c r="E1813" s="5" t="s">
        <v>1840</v>
      </c>
      <c r="F1813" s="5" t="s">
        <v>152</v>
      </c>
      <c r="G1813" s="6">
        <v>0.06</v>
      </c>
      <c r="H1813" s="5" t="s">
        <v>2504</v>
      </c>
      <c r="I1813" s="5" t="s">
        <v>20</v>
      </c>
      <c r="J1813" s="5">
        <v>2015.0</v>
      </c>
      <c r="K1813" s="8">
        <v>46115.0</v>
      </c>
      <c r="L1813" s="5">
        <v>3.0</v>
      </c>
      <c r="M1813" s="7">
        <f t="shared" si="5"/>
        <v>0.18</v>
      </c>
    </row>
    <row r="1814">
      <c r="A1814" s="5" t="s">
        <v>4651</v>
      </c>
      <c r="B1814" s="5" t="s">
        <v>4652</v>
      </c>
      <c r="C1814" s="5" t="s">
        <v>297</v>
      </c>
      <c r="D1814" s="5" t="s">
        <v>4653</v>
      </c>
      <c r="E1814" s="5" t="s">
        <v>1746</v>
      </c>
      <c r="F1814" s="5" t="s">
        <v>152</v>
      </c>
      <c r="G1814" s="6">
        <v>0.04</v>
      </c>
      <c r="H1814" s="5" t="s">
        <v>2188</v>
      </c>
      <c r="I1814" s="5" t="s">
        <v>20</v>
      </c>
      <c r="J1814" s="5">
        <v>2022.0</v>
      </c>
      <c r="K1814" s="8">
        <v>46023.0</v>
      </c>
      <c r="L1814" s="5">
        <v>3.0</v>
      </c>
      <c r="M1814" s="7">
        <f t="shared" si="5"/>
        <v>0.12</v>
      </c>
    </row>
    <row r="1815">
      <c r="A1815" s="5" t="s">
        <v>4654</v>
      </c>
      <c r="B1815" s="5" t="s">
        <v>2480</v>
      </c>
      <c r="C1815" s="5" t="s">
        <v>297</v>
      </c>
      <c r="E1815" s="5" t="s">
        <v>1746</v>
      </c>
      <c r="F1815" s="5" t="s">
        <v>152</v>
      </c>
      <c r="G1815" s="6">
        <v>0.05</v>
      </c>
      <c r="H1815" s="5" t="s">
        <v>2504</v>
      </c>
      <c r="I1815" s="5" t="s">
        <v>20</v>
      </c>
      <c r="J1815" s="5">
        <v>2015.0</v>
      </c>
      <c r="K1815" s="8">
        <v>46025.0</v>
      </c>
      <c r="L1815" s="5">
        <v>1.0</v>
      </c>
      <c r="M1815" s="7">
        <f t="shared" si="5"/>
        <v>0.05</v>
      </c>
    </row>
    <row r="1816">
      <c r="A1816" s="5" t="s">
        <v>4655</v>
      </c>
      <c r="B1816" s="5" t="s">
        <v>2415</v>
      </c>
      <c r="C1816" s="5" t="s">
        <v>297</v>
      </c>
      <c r="D1816" s="5" t="s">
        <v>4656</v>
      </c>
      <c r="E1816" s="5" t="s">
        <v>1840</v>
      </c>
      <c r="F1816" s="5" t="s">
        <v>152</v>
      </c>
      <c r="G1816" s="6">
        <v>0.05</v>
      </c>
      <c r="H1816" s="5" t="s">
        <v>2008</v>
      </c>
      <c r="I1816" s="5" t="s">
        <v>20</v>
      </c>
      <c r="J1816" s="5">
        <v>2013.0</v>
      </c>
      <c r="K1816" s="8">
        <v>46145.0</v>
      </c>
      <c r="L1816" s="5">
        <v>1.0</v>
      </c>
      <c r="M1816" s="7">
        <f t="shared" si="5"/>
        <v>0.05</v>
      </c>
    </row>
    <row r="1817">
      <c r="A1817" s="5" t="s">
        <v>4657</v>
      </c>
      <c r="B1817" s="5" t="s">
        <v>2512</v>
      </c>
      <c r="C1817" s="5" t="s">
        <v>297</v>
      </c>
      <c r="D1817" s="5" t="s">
        <v>4658</v>
      </c>
      <c r="E1817" s="5" t="s">
        <v>1840</v>
      </c>
      <c r="F1817" s="5" t="s">
        <v>152</v>
      </c>
      <c r="G1817" s="6">
        <v>0.03</v>
      </c>
      <c r="H1817" s="5" t="s">
        <v>2515</v>
      </c>
      <c r="I1817" s="5" t="s">
        <v>20</v>
      </c>
      <c r="J1817" s="5">
        <v>2018.0</v>
      </c>
      <c r="K1817" s="8">
        <v>46144.0</v>
      </c>
      <c r="L1817" s="5">
        <v>1.0</v>
      </c>
      <c r="M1817" s="7">
        <f t="shared" si="5"/>
        <v>0.03</v>
      </c>
    </row>
    <row r="1818">
      <c r="A1818" s="5" t="s">
        <v>4659</v>
      </c>
      <c r="B1818" s="5" t="s">
        <v>2055</v>
      </c>
      <c r="C1818" s="5" t="s">
        <v>1951</v>
      </c>
      <c r="D1818" s="5" t="s">
        <v>4660</v>
      </c>
      <c r="E1818" s="5" t="s">
        <v>1805</v>
      </c>
      <c r="F1818" s="5" t="s">
        <v>152</v>
      </c>
      <c r="G1818" s="6">
        <v>0.09</v>
      </c>
      <c r="H1818" s="5" t="s">
        <v>2573</v>
      </c>
      <c r="I1818" s="5" t="s">
        <v>20</v>
      </c>
      <c r="J1818" s="5">
        <v>2012.0</v>
      </c>
      <c r="K1818" s="8">
        <v>46116.0</v>
      </c>
      <c r="L1818" s="5">
        <v>4.0</v>
      </c>
      <c r="M1818" s="7">
        <f t="shared" si="5"/>
        <v>0.36</v>
      </c>
    </row>
    <row r="1819">
      <c r="A1819" s="5" t="s">
        <v>4661</v>
      </c>
      <c r="B1819" s="5" t="s">
        <v>4662</v>
      </c>
      <c r="C1819" s="5" t="s">
        <v>297</v>
      </c>
      <c r="D1819" s="5" t="s">
        <v>4663</v>
      </c>
      <c r="E1819" s="5" t="s">
        <v>1746</v>
      </c>
      <c r="F1819" s="5" t="s">
        <v>152</v>
      </c>
      <c r="G1819" s="6">
        <v>0.06</v>
      </c>
      <c r="H1819" s="5" t="s">
        <v>1997</v>
      </c>
      <c r="I1819" s="5" t="s">
        <v>20</v>
      </c>
      <c r="J1819" s="5">
        <v>2016.0</v>
      </c>
      <c r="K1819" s="8">
        <v>46055.0</v>
      </c>
      <c r="L1819" s="5">
        <v>1.0</v>
      </c>
      <c r="M1819" s="7">
        <f t="shared" si="5"/>
        <v>0.06</v>
      </c>
    </row>
    <row r="1820">
      <c r="A1820" s="5" t="s">
        <v>4664</v>
      </c>
      <c r="B1820" s="5" t="s">
        <v>2415</v>
      </c>
      <c r="C1820" s="5" t="s">
        <v>297</v>
      </c>
      <c r="D1820" s="5" t="s">
        <v>4665</v>
      </c>
      <c r="E1820" s="5" t="s">
        <v>1746</v>
      </c>
      <c r="F1820" s="5" t="s">
        <v>152</v>
      </c>
      <c r="G1820" s="6">
        <v>0.02</v>
      </c>
      <c r="H1820" s="5" t="s">
        <v>2624</v>
      </c>
      <c r="I1820" s="5" t="s">
        <v>20</v>
      </c>
      <c r="J1820" s="5">
        <v>2019.0</v>
      </c>
      <c r="K1820" s="8">
        <v>46055.0</v>
      </c>
      <c r="L1820" s="5">
        <v>1.0</v>
      </c>
      <c r="M1820" s="7">
        <f t="shared" si="5"/>
        <v>0.02</v>
      </c>
    </row>
    <row r="1821">
      <c r="A1821" s="5" t="s">
        <v>4666</v>
      </c>
      <c r="B1821" s="5" t="s">
        <v>2667</v>
      </c>
      <c r="C1821" s="5" t="s">
        <v>297</v>
      </c>
      <c r="E1821" s="5" t="s">
        <v>2430</v>
      </c>
      <c r="F1821" s="5" t="s">
        <v>152</v>
      </c>
      <c r="G1821" s="6">
        <v>0.05</v>
      </c>
      <c r="H1821" s="5" t="s">
        <v>2995</v>
      </c>
      <c r="I1821" s="5" t="s">
        <v>20</v>
      </c>
      <c r="J1821" s="5">
        <v>2013.0</v>
      </c>
      <c r="K1821" s="8">
        <v>46145.0</v>
      </c>
      <c r="L1821" s="5">
        <v>2.0</v>
      </c>
      <c r="M1821" s="7">
        <f t="shared" si="5"/>
        <v>0.1</v>
      </c>
    </row>
    <row r="1822">
      <c r="A1822" s="5" t="s">
        <v>4667</v>
      </c>
      <c r="B1822" s="5" t="s">
        <v>4605</v>
      </c>
      <c r="C1822" s="5" t="s">
        <v>1951</v>
      </c>
      <c r="D1822" s="5" t="s">
        <v>4668</v>
      </c>
      <c r="E1822" s="5" t="s">
        <v>1814</v>
      </c>
      <c r="F1822" s="5" t="s">
        <v>152</v>
      </c>
      <c r="G1822" s="6">
        <v>0.43</v>
      </c>
      <c r="H1822" s="5" t="s">
        <v>2751</v>
      </c>
      <c r="I1822" s="5" t="s">
        <v>20</v>
      </c>
      <c r="J1822" s="5">
        <v>2009.0</v>
      </c>
      <c r="K1822" s="8">
        <v>46023.0</v>
      </c>
      <c r="L1822" s="5">
        <v>3.0</v>
      </c>
      <c r="M1822" s="7">
        <f t="shared" si="5"/>
        <v>1.29</v>
      </c>
    </row>
    <row r="1823">
      <c r="A1823" s="5" t="s">
        <v>4669</v>
      </c>
      <c r="B1823" s="5" t="s">
        <v>3138</v>
      </c>
      <c r="C1823" s="5" t="s">
        <v>297</v>
      </c>
      <c r="D1823" s="5" t="s">
        <v>4670</v>
      </c>
      <c r="E1823" s="5" t="s">
        <v>1805</v>
      </c>
      <c r="F1823" s="5" t="s">
        <v>152</v>
      </c>
      <c r="G1823" s="6">
        <v>0.2</v>
      </c>
      <c r="H1823" s="5" t="s">
        <v>2802</v>
      </c>
      <c r="I1823" s="5" t="s">
        <v>31</v>
      </c>
      <c r="J1823" s="5">
        <v>2026.0</v>
      </c>
      <c r="K1823" s="8">
        <v>46178.0</v>
      </c>
      <c r="L1823" s="5">
        <v>1.0</v>
      </c>
      <c r="M1823" s="7">
        <f t="shared" si="5"/>
        <v>0.2</v>
      </c>
    </row>
    <row r="1824">
      <c r="A1824" s="5" t="s">
        <v>4671</v>
      </c>
      <c r="B1824" s="5" t="s">
        <v>2415</v>
      </c>
      <c r="C1824" s="5" t="s">
        <v>1951</v>
      </c>
      <c r="D1824" s="5" t="s">
        <v>4672</v>
      </c>
      <c r="E1824" s="5" t="s">
        <v>715</v>
      </c>
      <c r="F1824" s="5" t="s">
        <v>152</v>
      </c>
      <c r="G1824" s="6">
        <v>1.6</v>
      </c>
      <c r="H1824" s="5" t="s">
        <v>1647</v>
      </c>
      <c r="I1824" s="5" t="s">
        <v>31</v>
      </c>
      <c r="J1824" s="5">
        <v>2018.0</v>
      </c>
      <c r="K1824" s="8">
        <v>46023.0</v>
      </c>
      <c r="L1824" s="5">
        <v>1.0</v>
      </c>
      <c r="M1824" s="7">
        <f t="shared" si="5"/>
        <v>1.6</v>
      </c>
    </row>
    <row r="1825">
      <c r="A1825" s="5" t="s">
        <v>4673</v>
      </c>
      <c r="B1825" s="5" t="s">
        <v>4674</v>
      </c>
      <c r="C1825" s="5" t="s">
        <v>1899</v>
      </c>
      <c r="D1825" s="5" t="s">
        <v>4675</v>
      </c>
      <c r="E1825" s="5" t="s">
        <v>1758</v>
      </c>
      <c r="F1825" s="5" t="s">
        <v>152</v>
      </c>
      <c r="G1825" s="6">
        <v>0.45</v>
      </c>
      <c r="H1825" s="5" t="s">
        <v>2646</v>
      </c>
      <c r="I1825" s="5" t="s">
        <v>20</v>
      </c>
      <c r="J1825" s="5">
        <v>2013.0</v>
      </c>
      <c r="K1825" s="8">
        <v>46084.0</v>
      </c>
      <c r="L1825" s="5">
        <v>1.0</v>
      </c>
      <c r="M1825" s="7">
        <f t="shared" si="5"/>
        <v>0.45</v>
      </c>
    </row>
    <row r="1826">
      <c r="A1826" s="5" t="s">
        <v>4676</v>
      </c>
      <c r="B1826" s="5" t="s">
        <v>4677</v>
      </c>
      <c r="C1826" s="5" t="s">
        <v>297</v>
      </c>
      <c r="D1826" s="5" t="s">
        <v>4678</v>
      </c>
      <c r="E1826" s="5" t="s">
        <v>1782</v>
      </c>
      <c r="F1826" s="5" t="s">
        <v>152</v>
      </c>
      <c r="G1826" s="6">
        <v>0.14</v>
      </c>
      <c r="H1826" s="5" t="s">
        <v>2153</v>
      </c>
      <c r="I1826" s="5" t="s">
        <v>20</v>
      </c>
      <c r="J1826" s="5">
        <v>2013.0</v>
      </c>
      <c r="K1826" s="8">
        <v>46055.0</v>
      </c>
      <c r="L1826" s="5">
        <v>1.0</v>
      </c>
      <c r="M1826" s="7">
        <f t="shared" si="5"/>
        <v>0.14</v>
      </c>
    </row>
    <row r="1827">
      <c r="A1827" s="5" t="s">
        <v>4679</v>
      </c>
      <c r="B1827" s="5" t="s">
        <v>2626</v>
      </c>
      <c r="C1827" s="5" t="s">
        <v>297</v>
      </c>
      <c r="D1827" s="5" t="s">
        <v>3656</v>
      </c>
      <c r="E1827" s="5" t="s">
        <v>1887</v>
      </c>
      <c r="F1827" s="5" t="s">
        <v>152</v>
      </c>
      <c r="G1827" s="6">
        <v>0.05</v>
      </c>
      <c r="H1827" s="5" t="s">
        <v>1992</v>
      </c>
      <c r="I1827" s="5" t="s">
        <v>20</v>
      </c>
      <c r="J1827" s="5">
        <v>2011.0</v>
      </c>
      <c r="K1827" s="8">
        <v>46083.0</v>
      </c>
      <c r="L1827" s="5">
        <v>1.0</v>
      </c>
      <c r="M1827" s="7">
        <f t="shared" si="5"/>
        <v>0.05</v>
      </c>
    </row>
    <row r="1828">
      <c r="A1828" s="5" t="s">
        <v>4680</v>
      </c>
      <c r="B1828" s="5" t="s">
        <v>2080</v>
      </c>
      <c r="C1828" s="5" t="s">
        <v>297</v>
      </c>
      <c r="D1828" s="5" t="s">
        <v>4681</v>
      </c>
      <c r="E1828" s="5" t="s">
        <v>2430</v>
      </c>
      <c r="F1828" s="5" t="s">
        <v>152</v>
      </c>
      <c r="G1828" s="6">
        <v>0.03</v>
      </c>
      <c r="H1828" s="5" t="s">
        <v>2244</v>
      </c>
      <c r="I1828" s="5" t="s">
        <v>20</v>
      </c>
      <c r="J1828" s="5">
        <v>2014.0</v>
      </c>
      <c r="K1828" s="8">
        <v>46113.0</v>
      </c>
      <c r="L1828" s="5">
        <v>1.0</v>
      </c>
      <c r="M1828" s="7">
        <f t="shared" si="5"/>
        <v>0.03</v>
      </c>
    </row>
    <row r="1829">
      <c r="A1829" s="5" t="s">
        <v>4682</v>
      </c>
      <c r="B1829" s="5" t="s">
        <v>380</v>
      </c>
      <c r="C1829" s="5" t="s">
        <v>297</v>
      </c>
      <c r="D1829" s="5" t="s">
        <v>4683</v>
      </c>
      <c r="E1829" s="5" t="s">
        <v>1814</v>
      </c>
      <c r="F1829" s="5" t="s">
        <v>152</v>
      </c>
      <c r="G1829" s="6">
        <v>0.08</v>
      </c>
      <c r="H1829" s="5" t="s">
        <v>2646</v>
      </c>
      <c r="I1829" s="5" t="s">
        <v>20</v>
      </c>
      <c r="J1829" s="5">
        <v>2013.0</v>
      </c>
      <c r="L1829" s="5">
        <v>3.0</v>
      </c>
      <c r="M1829" s="7">
        <f t="shared" si="5"/>
        <v>0.24</v>
      </c>
    </row>
    <row r="1830">
      <c r="A1830" s="5" t="s">
        <v>4684</v>
      </c>
      <c r="B1830" s="5" t="s">
        <v>380</v>
      </c>
      <c r="C1830" s="5" t="s">
        <v>297</v>
      </c>
      <c r="D1830" s="5" t="s">
        <v>4685</v>
      </c>
      <c r="E1830" s="5" t="s">
        <v>1746</v>
      </c>
      <c r="F1830" s="5" t="s">
        <v>152</v>
      </c>
      <c r="G1830" s="6">
        <v>0.05</v>
      </c>
      <c r="H1830" s="5" t="s">
        <v>2995</v>
      </c>
      <c r="I1830" s="5" t="s">
        <v>20</v>
      </c>
      <c r="J1830" s="5">
        <v>2013.0</v>
      </c>
      <c r="L1830" s="5">
        <v>1.0</v>
      </c>
      <c r="M1830" s="7">
        <f t="shared" si="5"/>
        <v>0.05</v>
      </c>
    </row>
    <row r="1831">
      <c r="A1831" s="5" t="s">
        <v>4686</v>
      </c>
      <c r="B1831" s="5" t="s">
        <v>380</v>
      </c>
      <c r="C1831" s="5" t="s">
        <v>297</v>
      </c>
      <c r="D1831" s="5" t="s">
        <v>4687</v>
      </c>
      <c r="E1831" s="5" t="s">
        <v>715</v>
      </c>
      <c r="F1831" s="5" t="s">
        <v>152</v>
      </c>
      <c r="G1831" s="6">
        <v>0.05</v>
      </c>
      <c r="H1831" s="5" t="s">
        <v>2646</v>
      </c>
      <c r="I1831" s="5" t="s">
        <v>20</v>
      </c>
      <c r="J1831" s="5">
        <v>2013.0</v>
      </c>
      <c r="L1831" s="5">
        <v>1.0</v>
      </c>
      <c r="M1831" s="7">
        <f t="shared" si="5"/>
        <v>0.05</v>
      </c>
    </row>
    <row r="1832">
      <c r="A1832" s="5" t="s">
        <v>4688</v>
      </c>
      <c r="B1832" s="5" t="s">
        <v>380</v>
      </c>
      <c r="C1832" s="5" t="s">
        <v>297</v>
      </c>
      <c r="D1832" s="5" t="s">
        <v>4689</v>
      </c>
      <c r="E1832" s="5" t="s">
        <v>1782</v>
      </c>
      <c r="F1832" s="5" t="s">
        <v>152</v>
      </c>
      <c r="G1832" s="6">
        <v>0.3</v>
      </c>
      <c r="H1832" s="5" t="s">
        <v>2177</v>
      </c>
      <c r="I1832" s="5" t="s">
        <v>31</v>
      </c>
      <c r="J1832" s="5">
        <v>2018.0</v>
      </c>
      <c r="L1832" s="5">
        <v>1.0</v>
      </c>
      <c r="M1832" s="7">
        <f t="shared" si="5"/>
        <v>0.3</v>
      </c>
    </row>
    <row r="1833">
      <c r="A1833" s="5" t="s">
        <v>4690</v>
      </c>
      <c r="B1833" s="5" t="s">
        <v>380</v>
      </c>
      <c r="C1833" s="5" t="s">
        <v>297</v>
      </c>
      <c r="D1833" s="5" t="s">
        <v>4691</v>
      </c>
      <c r="E1833" s="5" t="s">
        <v>1746</v>
      </c>
      <c r="F1833" s="5" t="s">
        <v>152</v>
      </c>
      <c r="G1833" s="6">
        <v>0.1</v>
      </c>
      <c r="H1833" s="5" t="s">
        <v>1714</v>
      </c>
      <c r="I1833" s="5" t="s">
        <v>20</v>
      </c>
      <c r="J1833" s="5">
        <v>2022.0</v>
      </c>
      <c r="L1833" s="5">
        <v>1.0</v>
      </c>
      <c r="M1833" s="7">
        <f t="shared" si="5"/>
        <v>0.1</v>
      </c>
    </row>
    <row r="1834">
      <c r="A1834" s="5" t="s">
        <v>4692</v>
      </c>
      <c r="B1834" s="5" t="s">
        <v>380</v>
      </c>
      <c r="C1834" s="5" t="s">
        <v>297</v>
      </c>
      <c r="D1834" s="5" t="s">
        <v>4693</v>
      </c>
      <c r="E1834" s="5" t="s">
        <v>1782</v>
      </c>
      <c r="F1834" s="5" t="s">
        <v>152</v>
      </c>
      <c r="G1834" s="6">
        <v>0.06</v>
      </c>
      <c r="H1834" s="5" t="s">
        <v>2636</v>
      </c>
      <c r="I1834" s="5" t="s">
        <v>20</v>
      </c>
      <c r="J1834" s="5">
        <v>2006.0</v>
      </c>
      <c r="L1834" s="5">
        <v>1.0</v>
      </c>
      <c r="M1834" s="7">
        <f t="shared" si="5"/>
        <v>0.06</v>
      </c>
    </row>
    <row r="1835">
      <c r="A1835" s="5" t="s">
        <v>4694</v>
      </c>
      <c r="B1835" s="5" t="s">
        <v>380</v>
      </c>
      <c r="C1835" s="5" t="s">
        <v>297</v>
      </c>
      <c r="D1835" s="5" t="s">
        <v>4695</v>
      </c>
      <c r="E1835" s="5" t="s">
        <v>1746</v>
      </c>
      <c r="F1835" s="5" t="s">
        <v>152</v>
      </c>
      <c r="G1835" s="6">
        <v>0.05</v>
      </c>
      <c r="H1835" s="5" t="s">
        <v>2573</v>
      </c>
      <c r="I1835" s="5" t="s">
        <v>20</v>
      </c>
      <c r="J1835" s="5">
        <v>2012.0</v>
      </c>
      <c r="L1835" s="5">
        <v>1.0</v>
      </c>
      <c r="M1835" s="7">
        <f t="shared" si="5"/>
        <v>0.05</v>
      </c>
    </row>
    <row r="1836">
      <c r="A1836" s="5" t="s">
        <v>4696</v>
      </c>
      <c r="B1836" s="5" t="s">
        <v>380</v>
      </c>
      <c r="C1836" s="5" t="s">
        <v>297</v>
      </c>
      <c r="D1836" s="5" t="s">
        <v>4697</v>
      </c>
      <c r="E1836" s="5" t="s">
        <v>2448</v>
      </c>
      <c r="F1836" s="5" t="s">
        <v>152</v>
      </c>
      <c r="G1836" s="6">
        <v>0.05</v>
      </c>
      <c r="H1836" s="5" t="s">
        <v>1676</v>
      </c>
      <c r="I1836" s="5" t="s">
        <v>20</v>
      </c>
      <c r="J1836" s="5">
        <v>2012.0</v>
      </c>
      <c r="L1836" s="5">
        <v>1.0</v>
      </c>
      <c r="M1836" s="7">
        <f t="shared" si="5"/>
        <v>0.05</v>
      </c>
    </row>
    <row r="1837">
      <c r="A1837" s="5" t="s">
        <v>4698</v>
      </c>
      <c r="B1837" s="5" t="s">
        <v>380</v>
      </c>
      <c r="C1837" s="5" t="s">
        <v>297</v>
      </c>
      <c r="D1837" s="5" t="s">
        <v>4699</v>
      </c>
      <c r="E1837" s="5" t="s">
        <v>1746</v>
      </c>
      <c r="F1837" s="5" t="s">
        <v>152</v>
      </c>
      <c r="G1837" s="6">
        <v>0.05</v>
      </c>
      <c r="H1837" s="5" t="s">
        <v>2624</v>
      </c>
      <c r="I1837" s="5" t="s">
        <v>20</v>
      </c>
      <c r="J1837" s="5">
        <v>2019.0</v>
      </c>
      <c r="L1837" s="5">
        <v>2.0</v>
      </c>
      <c r="M1837" s="7">
        <f t="shared" si="5"/>
        <v>0.1</v>
      </c>
    </row>
    <row r="1838">
      <c r="A1838" s="5" t="s">
        <v>4700</v>
      </c>
      <c r="B1838" s="5" t="s">
        <v>380</v>
      </c>
      <c r="C1838" s="5" t="s">
        <v>297</v>
      </c>
      <c r="D1838" s="5" t="s">
        <v>4701</v>
      </c>
      <c r="E1838" s="5" t="s">
        <v>1746</v>
      </c>
      <c r="F1838" s="5" t="s">
        <v>152</v>
      </c>
      <c r="G1838" s="6">
        <v>0.4</v>
      </c>
      <c r="H1838" s="5" t="s">
        <v>1637</v>
      </c>
      <c r="I1838" s="5" t="s">
        <v>20</v>
      </c>
      <c r="J1838" s="5">
        <v>2005.0</v>
      </c>
      <c r="L1838" s="5">
        <v>3.0</v>
      </c>
      <c r="M1838" s="7">
        <f t="shared" si="5"/>
        <v>1.2</v>
      </c>
    </row>
    <row r="1839">
      <c r="A1839" s="5" t="s">
        <v>4702</v>
      </c>
      <c r="B1839" s="5" t="s">
        <v>380</v>
      </c>
      <c r="C1839" s="5" t="s">
        <v>297</v>
      </c>
      <c r="D1839" s="5" t="s">
        <v>4703</v>
      </c>
      <c r="E1839" s="5" t="s">
        <v>1746</v>
      </c>
      <c r="F1839" s="5" t="s">
        <v>152</v>
      </c>
      <c r="G1839" s="6">
        <v>0.08</v>
      </c>
      <c r="H1839" s="5" t="s">
        <v>1992</v>
      </c>
      <c r="I1839" s="5" t="s">
        <v>20</v>
      </c>
      <c r="J1839" s="5">
        <v>2011.0</v>
      </c>
      <c r="L1839" s="5">
        <v>4.0</v>
      </c>
      <c r="M1839" s="7">
        <f t="shared" si="5"/>
        <v>0.32</v>
      </c>
    </row>
    <row r="1840">
      <c r="A1840" s="5" t="s">
        <v>4704</v>
      </c>
      <c r="B1840" s="5" t="s">
        <v>1946</v>
      </c>
      <c r="C1840" s="5" t="s">
        <v>297</v>
      </c>
      <c r="D1840" s="5" t="s">
        <v>4705</v>
      </c>
      <c r="E1840" s="5" t="s">
        <v>1746</v>
      </c>
      <c r="F1840" s="5" t="s">
        <v>152</v>
      </c>
      <c r="G1840" s="6">
        <v>0.09</v>
      </c>
      <c r="H1840" s="5" t="s">
        <v>3482</v>
      </c>
      <c r="I1840" s="5" t="s">
        <v>20</v>
      </c>
      <c r="J1840" s="5">
        <v>2023.0</v>
      </c>
      <c r="L1840" s="5">
        <v>1.0</v>
      </c>
      <c r="M1840" s="7">
        <f t="shared" si="5"/>
        <v>0.09</v>
      </c>
    </row>
    <row r="1841">
      <c r="A1841" s="5" t="s">
        <v>4706</v>
      </c>
      <c r="B1841" s="5" t="s">
        <v>2060</v>
      </c>
      <c r="C1841" s="5" t="s">
        <v>1899</v>
      </c>
      <c r="D1841" s="5" t="s">
        <v>4707</v>
      </c>
      <c r="E1841" s="5" t="s">
        <v>2430</v>
      </c>
      <c r="F1841" s="5" t="s">
        <v>152</v>
      </c>
      <c r="G1841" s="6">
        <v>0.38</v>
      </c>
      <c r="H1841" s="5" t="s">
        <v>2475</v>
      </c>
      <c r="I1841" s="5" t="s">
        <v>20</v>
      </c>
      <c r="J1841" s="5">
        <v>2012.0</v>
      </c>
      <c r="L1841" s="5">
        <v>1.0</v>
      </c>
      <c r="M1841" s="7">
        <f t="shared" si="5"/>
        <v>0.38</v>
      </c>
    </row>
    <row r="1842">
      <c r="A1842" s="5" t="s">
        <v>4708</v>
      </c>
      <c r="B1842" s="5" t="s">
        <v>380</v>
      </c>
      <c r="C1842" s="5" t="s">
        <v>297</v>
      </c>
      <c r="D1842" s="5" t="s">
        <v>4709</v>
      </c>
      <c r="E1842" s="5" t="s">
        <v>1746</v>
      </c>
      <c r="F1842" s="5" t="s">
        <v>152</v>
      </c>
      <c r="G1842" s="6">
        <v>0.3</v>
      </c>
      <c r="H1842" s="5" t="s">
        <v>1667</v>
      </c>
      <c r="I1842" s="5" t="s">
        <v>31</v>
      </c>
      <c r="J1842" s="5">
        <v>2018.0</v>
      </c>
      <c r="L1842" s="5">
        <v>1.0</v>
      </c>
      <c r="M1842" s="7">
        <f t="shared" si="5"/>
        <v>0.3</v>
      </c>
    </row>
    <row r="1843">
      <c r="A1843" s="5" t="s">
        <v>4710</v>
      </c>
      <c r="B1843" s="5" t="s">
        <v>2060</v>
      </c>
      <c r="C1843" s="5" t="s">
        <v>297</v>
      </c>
      <c r="D1843" s="5" t="s">
        <v>4711</v>
      </c>
      <c r="E1843" s="5" t="s">
        <v>1840</v>
      </c>
      <c r="F1843" s="5" t="s">
        <v>152</v>
      </c>
      <c r="G1843" s="6">
        <v>0.05</v>
      </c>
      <c r="H1843" s="5" t="s">
        <v>2008</v>
      </c>
      <c r="I1843" s="5" t="s">
        <v>20</v>
      </c>
      <c r="J1843" s="5">
        <v>2013.0</v>
      </c>
      <c r="L1843" s="5">
        <v>1.0</v>
      </c>
      <c r="M1843" s="7">
        <f t="shared" si="5"/>
        <v>0.05</v>
      </c>
    </row>
    <row r="1844">
      <c r="A1844" s="5" t="s">
        <v>4712</v>
      </c>
      <c r="B1844" s="5" t="s">
        <v>380</v>
      </c>
      <c r="C1844" s="5" t="s">
        <v>297</v>
      </c>
      <c r="D1844" s="5" t="s">
        <v>4713</v>
      </c>
      <c r="E1844" s="5" t="s">
        <v>1746</v>
      </c>
      <c r="F1844" s="5" t="s">
        <v>152</v>
      </c>
      <c r="G1844" s="6">
        <v>0.05</v>
      </c>
      <c r="H1844" s="5" t="s">
        <v>2008</v>
      </c>
      <c r="I1844" s="5" t="s">
        <v>20</v>
      </c>
      <c r="J1844" s="5">
        <v>2013.0</v>
      </c>
      <c r="L1844" s="5">
        <v>1.0</v>
      </c>
      <c r="M1844" s="7">
        <f t="shared" si="5"/>
        <v>0.05</v>
      </c>
    </row>
    <row r="1845">
      <c r="A1845" s="5" t="s">
        <v>4714</v>
      </c>
      <c r="B1845" s="5" t="s">
        <v>380</v>
      </c>
      <c r="C1845" s="5" t="s">
        <v>297</v>
      </c>
      <c r="D1845" s="5" t="s">
        <v>4715</v>
      </c>
      <c r="E1845" s="5" t="s">
        <v>1782</v>
      </c>
      <c r="F1845" s="5" t="s">
        <v>152</v>
      </c>
      <c r="G1845" s="6">
        <v>0.05</v>
      </c>
      <c r="H1845" s="5" t="s">
        <v>2995</v>
      </c>
      <c r="I1845" s="5" t="s">
        <v>20</v>
      </c>
      <c r="J1845" s="5">
        <v>2013.0</v>
      </c>
      <c r="L1845" s="5">
        <v>1.0</v>
      </c>
      <c r="M1845" s="7">
        <f t="shared" si="5"/>
        <v>0.05</v>
      </c>
    </row>
    <row r="1846">
      <c r="A1846" s="5" t="s">
        <v>4716</v>
      </c>
      <c r="B1846" s="5" t="s">
        <v>380</v>
      </c>
      <c r="C1846" s="5" t="s">
        <v>297</v>
      </c>
      <c r="D1846" s="5" t="s">
        <v>4717</v>
      </c>
      <c r="E1846" s="5" t="s">
        <v>715</v>
      </c>
      <c r="F1846" s="5" t="s">
        <v>152</v>
      </c>
      <c r="G1846" s="6">
        <v>0.05</v>
      </c>
      <c r="H1846" s="5" t="s">
        <v>2573</v>
      </c>
      <c r="I1846" s="5" t="s">
        <v>20</v>
      </c>
      <c r="J1846" s="5">
        <v>2012.0</v>
      </c>
      <c r="L1846" s="5">
        <v>1.0</v>
      </c>
      <c r="M1846" s="7">
        <f t="shared" si="5"/>
        <v>0.05</v>
      </c>
    </row>
    <row r="1847">
      <c r="A1847" s="5" t="s">
        <v>4718</v>
      </c>
      <c r="B1847" s="5" t="s">
        <v>380</v>
      </c>
      <c r="C1847" s="5" t="s">
        <v>297</v>
      </c>
      <c r="D1847" s="5" t="s">
        <v>4719</v>
      </c>
      <c r="E1847" s="5" t="s">
        <v>1782</v>
      </c>
      <c r="F1847" s="5" t="s">
        <v>152</v>
      </c>
      <c r="G1847" s="6">
        <v>0.07</v>
      </c>
      <c r="H1847" s="5" t="s">
        <v>3427</v>
      </c>
      <c r="I1847" s="5" t="s">
        <v>20</v>
      </c>
      <c r="J1847" s="5">
        <v>2004.0</v>
      </c>
      <c r="L1847" s="5">
        <v>1.0</v>
      </c>
      <c r="M1847" s="7">
        <f t="shared" si="5"/>
        <v>0.07</v>
      </c>
    </row>
    <row r="1848">
      <c r="A1848" s="5" t="s">
        <v>4720</v>
      </c>
      <c r="B1848" s="5" t="s">
        <v>380</v>
      </c>
      <c r="C1848" s="5" t="s">
        <v>297</v>
      </c>
      <c r="D1848" s="5" t="s">
        <v>4721</v>
      </c>
      <c r="E1848" s="5" t="s">
        <v>4722</v>
      </c>
      <c r="F1848" s="5" t="s">
        <v>152</v>
      </c>
      <c r="G1848" s="6">
        <v>2.48</v>
      </c>
      <c r="H1848" s="5" t="s">
        <v>1684</v>
      </c>
      <c r="I1848" s="5" t="s">
        <v>20</v>
      </c>
      <c r="J1848" s="5">
        <v>2015.0</v>
      </c>
      <c r="L1848" s="5">
        <v>4.0</v>
      </c>
      <c r="M1848" s="7">
        <f t="shared" si="5"/>
        <v>9.92</v>
      </c>
    </row>
    <row r="1849">
      <c r="A1849" s="5" t="s">
        <v>4723</v>
      </c>
      <c r="B1849" s="5" t="s">
        <v>380</v>
      </c>
      <c r="C1849" s="5" t="s">
        <v>297</v>
      </c>
      <c r="D1849" s="5" t="s">
        <v>4724</v>
      </c>
      <c r="E1849" s="5" t="s">
        <v>1782</v>
      </c>
      <c r="F1849" s="5" t="s">
        <v>152</v>
      </c>
      <c r="G1849" s="6">
        <v>3.15</v>
      </c>
      <c r="H1849" s="5" t="s">
        <v>1967</v>
      </c>
      <c r="I1849" s="5" t="s">
        <v>20</v>
      </c>
      <c r="J1849" s="5">
        <v>2022.0</v>
      </c>
      <c r="L1849" s="5">
        <v>1.0</v>
      </c>
      <c r="M1849" s="7">
        <f t="shared" si="5"/>
        <v>3.15</v>
      </c>
    </row>
    <row r="1850">
      <c r="A1850" s="5" t="s">
        <v>4725</v>
      </c>
      <c r="B1850" s="5" t="s">
        <v>2060</v>
      </c>
      <c r="C1850" s="5" t="s">
        <v>297</v>
      </c>
      <c r="D1850" s="5" t="s">
        <v>3245</v>
      </c>
      <c r="E1850" s="5" t="s">
        <v>1746</v>
      </c>
      <c r="F1850" s="5" t="s">
        <v>152</v>
      </c>
      <c r="G1850" s="6">
        <v>0.23</v>
      </c>
      <c r="H1850" s="5" t="s">
        <v>4726</v>
      </c>
      <c r="I1850" s="5" t="s">
        <v>20</v>
      </c>
      <c r="J1850" s="5">
        <v>2012.0</v>
      </c>
      <c r="L1850" s="5">
        <v>1.0</v>
      </c>
      <c r="M1850" s="7">
        <f t="shared" si="5"/>
        <v>0.23</v>
      </c>
    </row>
    <row r="1851">
      <c r="A1851" s="5" t="s">
        <v>4725</v>
      </c>
      <c r="B1851" s="5" t="s">
        <v>2060</v>
      </c>
      <c r="C1851" s="5" t="s">
        <v>297</v>
      </c>
      <c r="D1851" s="5" t="s">
        <v>3245</v>
      </c>
      <c r="E1851" s="5" t="s">
        <v>1746</v>
      </c>
      <c r="F1851" s="5" t="s">
        <v>152</v>
      </c>
      <c r="G1851" s="6">
        <v>0.23</v>
      </c>
      <c r="H1851" s="5" t="s">
        <v>4726</v>
      </c>
      <c r="I1851" s="5" t="s">
        <v>20</v>
      </c>
      <c r="J1851" s="5">
        <v>2012.0</v>
      </c>
      <c r="L1851" s="5">
        <v>1.0</v>
      </c>
      <c r="M1851" s="7">
        <f t="shared" si="5"/>
        <v>0.23</v>
      </c>
    </row>
    <row r="1852">
      <c r="A1852" s="5" t="s">
        <v>4725</v>
      </c>
      <c r="B1852" s="5" t="s">
        <v>2060</v>
      </c>
      <c r="C1852" s="5" t="s">
        <v>297</v>
      </c>
      <c r="D1852" s="5" t="s">
        <v>3245</v>
      </c>
      <c r="E1852" s="5" t="s">
        <v>1746</v>
      </c>
      <c r="F1852" s="5" t="s">
        <v>152</v>
      </c>
      <c r="G1852" s="6">
        <v>0.23</v>
      </c>
      <c r="H1852" s="5" t="s">
        <v>4726</v>
      </c>
      <c r="I1852" s="5" t="s">
        <v>20</v>
      </c>
      <c r="J1852" s="5">
        <v>2012.0</v>
      </c>
      <c r="L1852" s="5">
        <v>1.0</v>
      </c>
      <c r="M1852" s="7">
        <f t="shared" si="5"/>
        <v>0.23</v>
      </c>
    </row>
    <row r="1853">
      <c r="A1853" s="5" t="s">
        <v>4725</v>
      </c>
      <c r="B1853" s="5" t="s">
        <v>2060</v>
      </c>
      <c r="C1853" s="5" t="s">
        <v>297</v>
      </c>
      <c r="D1853" s="5" t="s">
        <v>3245</v>
      </c>
      <c r="E1853" s="5" t="s">
        <v>1746</v>
      </c>
      <c r="F1853" s="5" t="s">
        <v>152</v>
      </c>
      <c r="G1853" s="6">
        <v>0.2</v>
      </c>
      <c r="H1853" s="5" t="s">
        <v>4727</v>
      </c>
      <c r="I1853" s="5" t="s">
        <v>20</v>
      </c>
      <c r="J1853" s="5">
        <v>2020.0</v>
      </c>
      <c r="L1853" s="5">
        <v>1.0</v>
      </c>
      <c r="M1853" s="7">
        <f t="shared" si="5"/>
        <v>0.2</v>
      </c>
    </row>
    <row r="1854">
      <c r="A1854" s="5" t="s">
        <v>4725</v>
      </c>
      <c r="B1854" s="5" t="s">
        <v>2060</v>
      </c>
      <c r="C1854" s="5" t="s">
        <v>297</v>
      </c>
      <c r="D1854" s="5" t="s">
        <v>3245</v>
      </c>
      <c r="E1854" s="5" t="s">
        <v>1746</v>
      </c>
      <c r="F1854" s="5" t="s">
        <v>152</v>
      </c>
      <c r="G1854" s="6">
        <v>0.12</v>
      </c>
      <c r="H1854" s="5" t="s">
        <v>4728</v>
      </c>
      <c r="I1854" s="5" t="s">
        <v>20</v>
      </c>
      <c r="J1854" s="5">
        <v>2020.0</v>
      </c>
      <c r="L1854" s="5">
        <v>1.0</v>
      </c>
      <c r="M1854" s="7">
        <f t="shared" si="5"/>
        <v>0.12</v>
      </c>
    </row>
    <row r="1855">
      <c r="A1855" s="5" t="s">
        <v>4729</v>
      </c>
      <c r="B1855" s="5" t="s">
        <v>380</v>
      </c>
      <c r="C1855" s="5" t="s">
        <v>297</v>
      </c>
      <c r="D1855" s="5" t="s">
        <v>4730</v>
      </c>
      <c r="E1855" s="5" t="s">
        <v>715</v>
      </c>
      <c r="F1855" s="5" t="s">
        <v>152</v>
      </c>
      <c r="G1855" s="6">
        <v>0.18</v>
      </c>
      <c r="H1855" s="5" t="s">
        <v>2177</v>
      </c>
      <c r="I1855" s="5" t="s">
        <v>20</v>
      </c>
      <c r="J1855" s="5">
        <v>2018.0</v>
      </c>
      <c r="L1855" s="5">
        <v>1.0</v>
      </c>
      <c r="M1855" s="7">
        <f t="shared" si="5"/>
        <v>0.18</v>
      </c>
    </row>
    <row r="1856">
      <c r="A1856" s="5" t="s">
        <v>4731</v>
      </c>
      <c r="B1856" s="5" t="s">
        <v>380</v>
      </c>
      <c r="C1856" s="5" t="s">
        <v>297</v>
      </c>
      <c r="D1856" s="5" t="s">
        <v>4732</v>
      </c>
      <c r="E1856" s="5" t="s">
        <v>1746</v>
      </c>
      <c r="F1856" s="5" t="s">
        <v>152</v>
      </c>
      <c r="G1856" s="6">
        <v>2.84</v>
      </c>
      <c r="H1856" s="5" t="s">
        <v>4733</v>
      </c>
      <c r="I1856" s="5" t="s">
        <v>20</v>
      </c>
      <c r="J1856" s="5">
        <v>2007.0</v>
      </c>
      <c r="L1856" s="5">
        <v>1.0</v>
      </c>
      <c r="M1856" s="7">
        <f t="shared" si="5"/>
        <v>2.84</v>
      </c>
    </row>
    <row r="1857">
      <c r="A1857" s="5" t="s">
        <v>4734</v>
      </c>
      <c r="B1857" s="5" t="s">
        <v>612</v>
      </c>
      <c r="C1857" s="5" t="s">
        <v>297</v>
      </c>
      <c r="D1857" s="5" t="s">
        <v>4735</v>
      </c>
      <c r="E1857" s="5" t="s">
        <v>1746</v>
      </c>
      <c r="F1857" s="5" t="s">
        <v>152</v>
      </c>
      <c r="G1857" s="6">
        <v>0.07</v>
      </c>
      <c r="H1857" s="5" t="s">
        <v>1634</v>
      </c>
      <c r="I1857" s="5" t="s">
        <v>20</v>
      </c>
      <c r="J1857" s="5">
        <v>2024.0</v>
      </c>
      <c r="L1857" s="5">
        <v>1.0</v>
      </c>
      <c r="M1857" s="7">
        <f t="shared" si="5"/>
        <v>0.07</v>
      </c>
    </row>
    <row r="1858">
      <c r="A1858" s="5" t="s">
        <v>4736</v>
      </c>
      <c r="B1858" s="5" t="s">
        <v>380</v>
      </c>
      <c r="C1858" s="5" t="s">
        <v>1899</v>
      </c>
      <c r="D1858" s="5" t="s">
        <v>4737</v>
      </c>
      <c r="E1858" s="5" t="s">
        <v>4327</v>
      </c>
      <c r="F1858" s="5" t="s">
        <v>88</v>
      </c>
      <c r="G1858" s="6">
        <v>0.09</v>
      </c>
      <c r="H1858" s="5" t="s">
        <v>2579</v>
      </c>
      <c r="I1858" s="5" t="s">
        <v>20</v>
      </c>
      <c r="J1858" s="5">
        <v>2004.0</v>
      </c>
      <c r="L1858" s="5">
        <v>1.0</v>
      </c>
      <c r="M1858" s="7">
        <f t="shared" si="5"/>
        <v>0.09</v>
      </c>
    </row>
    <row r="1859">
      <c r="A1859" s="5" t="s">
        <v>4738</v>
      </c>
      <c r="B1859" s="5" t="s">
        <v>380</v>
      </c>
      <c r="C1859" s="5" t="s">
        <v>1951</v>
      </c>
      <c r="D1859" s="5" t="s">
        <v>4739</v>
      </c>
      <c r="E1859" s="5" t="s">
        <v>2448</v>
      </c>
      <c r="F1859" s="5" t="s">
        <v>152</v>
      </c>
      <c r="G1859" s="6">
        <v>0.09</v>
      </c>
      <c r="H1859" s="5" t="s">
        <v>3097</v>
      </c>
      <c r="I1859" s="5" t="s">
        <v>20</v>
      </c>
      <c r="J1859" s="5">
        <v>2015.0</v>
      </c>
      <c r="L1859" s="5">
        <v>1.0</v>
      </c>
      <c r="M1859" s="7">
        <f t="shared" si="5"/>
        <v>0.09</v>
      </c>
    </row>
    <row r="1860">
      <c r="A1860" s="5" t="s">
        <v>4740</v>
      </c>
      <c r="B1860" s="5" t="s">
        <v>380</v>
      </c>
      <c r="C1860" s="5" t="s">
        <v>297</v>
      </c>
      <c r="D1860" s="5" t="s">
        <v>4741</v>
      </c>
      <c r="E1860" s="5" t="s">
        <v>715</v>
      </c>
      <c r="F1860" s="5" t="s">
        <v>152</v>
      </c>
      <c r="G1860" s="6">
        <v>0.09</v>
      </c>
      <c r="H1860" s="5" t="s">
        <v>2693</v>
      </c>
      <c r="I1860" s="5" t="s">
        <v>20</v>
      </c>
      <c r="J1860" s="5">
        <v>2010.0</v>
      </c>
      <c r="L1860" s="5">
        <v>1.0</v>
      </c>
      <c r="M1860" s="7">
        <f t="shared" si="5"/>
        <v>0.09</v>
      </c>
    </row>
    <row r="1861">
      <c r="A1861" s="5" t="s">
        <v>4742</v>
      </c>
      <c r="B1861" s="5" t="s">
        <v>612</v>
      </c>
      <c r="C1861" s="5" t="s">
        <v>297</v>
      </c>
      <c r="D1861" s="5" t="s">
        <v>4743</v>
      </c>
      <c r="E1861" s="5" t="s">
        <v>715</v>
      </c>
      <c r="F1861" s="5" t="s">
        <v>152</v>
      </c>
      <c r="G1861" s="6">
        <v>0.19</v>
      </c>
      <c r="H1861" s="5" t="s">
        <v>1961</v>
      </c>
      <c r="I1861" s="5" t="s">
        <v>31</v>
      </c>
      <c r="J1861" s="5">
        <v>2024.0</v>
      </c>
      <c r="L1861" s="5">
        <v>2.0</v>
      </c>
      <c r="M1861" s="7">
        <f t="shared" si="5"/>
        <v>0.38</v>
      </c>
    </row>
    <row r="1862">
      <c r="A1862" s="5" t="s">
        <v>4744</v>
      </c>
      <c r="B1862" s="5" t="s">
        <v>1946</v>
      </c>
      <c r="C1862" s="5" t="s">
        <v>1951</v>
      </c>
      <c r="D1862" s="5" t="s">
        <v>4745</v>
      </c>
      <c r="E1862" s="5" t="s">
        <v>1782</v>
      </c>
      <c r="F1862" s="5" t="s">
        <v>152</v>
      </c>
      <c r="G1862" s="6">
        <v>0.75</v>
      </c>
      <c r="H1862" s="5" t="s">
        <v>2177</v>
      </c>
      <c r="I1862" s="5" t="s">
        <v>31</v>
      </c>
      <c r="J1862" s="5">
        <v>2018.0</v>
      </c>
      <c r="L1862" s="5">
        <v>1.0</v>
      </c>
      <c r="M1862" s="7">
        <f t="shared" si="5"/>
        <v>0.75</v>
      </c>
    </row>
    <row r="1863">
      <c r="A1863" s="5" t="s">
        <v>4746</v>
      </c>
      <c r="B1863" s="5" t="s">
        <v>2016</v>
      </c>
      <c r="C1863" s="5" t="s">
        <v>297</v>
      </c>
      <c r="D1863" s="5" t="s">
        <v>4747</v>
      </c>
      <c r="E1863" s="5" t="s">
        <v>715</v>
      </c>
      <c r="F1863" s="5" t="s">
        <v>152</v>
      </c>
      <c r="G1863" s="6">
        <v>1.48</v>
      </c>
      <c r="H1863" s="5" t="s">
        <v>2793</v>
      </c>
      <c r="I1863" s="5" t="s">
        <v>20</v>
      </c>
      <c r="J1863" s="5">
        <v>2009.0</v>
      </c>
      <c r="L1863" s="5">
        <v>2.0</v>
      </c>
      <c r="M1863" s="7">
        <f t="shared" si="5"/>
        <v>2.96</v>
      </c>
    </row>
    <row r="1864">
      <c r="A1864" s="5" t="s">
        <v>4684</v>
      </c>
      <c r="B1864" s="5" t="s">
        <v>380</v>
      </c>
      <c r="C1864" s="5" t="s">
        <v>297</v>
      </c>
      <c r="D1864" s="5" t="s">
        <v>4685</v>
      </c>
      <c r="E1864" s="5" t="s">
        <v>1746</v>
      </c>
      <c r="F1864" s="5" t="s">
        <v>152</v>
      </c>
      <c r="G1864" s="6">
        <v>0.35</v>
      </c>
      <c r="H1864" s="5" t="s">
        <v>3685</v>
      </c>
      <c r="I1864" s="5" t="s">
        <v>31</v>
      </c>
      <c r="J1864" s="5">
        <v>2022.0</v>
      </c>
      <c r="L1864" s="5">
        <v>2.0</v>
      </c>
      <c r="M1864" s="7">
        <f t="shared" si="5"/>
        <v>0.7</v>
      </c>
    </row>
    <row r="1865">
      <c r="A1865" s="5" t="s">
        <v>4748</v>
      </c>
      <c r="B1865" s="5" t="s">
        <v>612</v>
      </c>
      <c r="C1865" s="5" t="s">
        <v>297</v>
      </c>
      <c r="D1865" s="5" t="s">
        <v>4749</v>
      </c>
      <c r="E1865" s="5" t="s">
        <v>1746</v>
      </c>
      <c r="F1865" s="5" t="s">
        <v>152</v>
      </c>
      <c r="G1865" s="7"/>
      <c r="H1865" s="5" t="s">
        <v>2802</v>
      </c>
      <c r="I1865" s="5" t="s">
        <v>31</v>
      </c>
      <c r="J1865" s="5">
        <v>2026.0</v>
      </c>
      <c r="L1865" s="5">
        <v>1.0</v>
      </c>
      <c r="M1865" s="7">
        <f t="shared" si="5"/>
        <v>0</v>
      </c>
    </row>
    <row r="1866">
      <c r="A1866" s="5" t="s">
        <v>4750</v>
      </c>
      <c r="B1866" s="5" t="s">
        <v>380</v>
      </c>
      <c r="C1866" s="5" t="s">
        <v>297</v>
      </c>
      <c r="D1866" s="5" t="s">
        <v>4751</v>
      </c>
      <c r="E1866" s="5" t="s">
        <v>1782</v>
      </c>
      <c r="F1866" s="5" t="s">
        <v>152</v>
      </c>
      <c r="G1866" s="6">
        <v>0.02</v>
      </c>
      <c r="H1866" s="5" t="s">
        <v>2624</v>
      </c>
      <c r="I1866" s="5" t="s">
        <v>20</v>
      </c>
      <c r="J1866" s="5">
        <v>2019.0</v>
      </c>
      <c r="L1866" s="5">
        <v>2.0</v>
      </c>
      <c r="M1866" s="7">
        <f t="shared" si="5"/>
        <v>0.04</v>
      </c>
    </row>
    <row r="1867">
      <c r="A1867" s="5" t="s">
        <v>4752</v>
      </c>
      <c r="B1867" s="5" t="s">
        <v>380</v>
      </c>
      <c r="C1867" s="5" t="s">
        <v>297</v>
      </c>
      <c r="D1867" s="5" t="s">
        <v>4753</v>
      </c>
      <c r="E1867" s="5" t="s">
        <v>1782</v>
      </c>
      <c r="F1867" s="5" t="s">
        <v>152</v>
      </c>
      <c r="G1867" s="6">
        <v>0.2</v>
      </c>
      <c r="H1867" s="5" t="s">
        <v>3236</v>
      </c>
      <c r="I1867" s="5" t="s">
        <v>20</v>
      </c>
      <c r="J1867" s="5">
        <v>2016.0</v>
      </c>
      <c r="L1867" s="5">
        <v>2.0</v>
      </c>
      <c r="M1867" s="7">
        <f t="shared" si="5"/>
        <v>0.4</v>
      </c>
    </row>
    <row r="1868">
      <c r="A1868" s="5" t="s">
        <v>4754</v>
      </c>
      <c r="B1868" s="5" t="s">
        <v>2016</v>
      </c>
      <c r="C1868" s="5" t="s">
        <v>297</v>
      </c>
      <c r="D1868" s="5" t="s">
        <v>4755</v>
      </c>
      <c r="E1868" s="5" t="s">
        <v>1782</v>
      </c>
      <c r="F1868" s="5" t="s">
        <v>152</v>
      </c>
      <c r="G1868" s="6">
        <v>0.05</v>
      </c>
      <c r="H1868" s="5" t="s">
        <v>2376</v>
      </c>
      <c r="I1868" s="5" t="s">
        <v>20</v>
      </c>
      <c r="J1868" s="5">
        <v>2010.0</v>
      </c>
      <c r="L1868" s="5">
        <v>1.0</v>
      </c>
      <c r="M1868" s="7">
        <f t="shared" si="5"/>
        <v>0.05</v>
      </c>
    </row>
    <row r="1869">
      <c r="A1869" s="5" t="s">
        <v>4756</v>
      </c>
      <c r="B1869" s="5" t="s">
        <v>4757</v>
      </c>
      <c r="C1869" s="5" t="s">
        <v>1951</v>
      </c>
      <c r="D1869" s="5" t="s">
        <v>4566</v>
      </c>
      <c r="E1869" s="5" t="s">
        <v>1782</v>
      </c>
      <c r="F1869" s="5" t="s">
        <v>152</v>
      </c>
      <c r="G1869" s="6">
        <v>0.1</v>
      </c>
      <c r="H1869" s="5" t="s">
        <v>3946</v>
      </c>
      <c r="I1869" s="5" t="s">
        <v>20</v>
      </c>
      <c r="J1869" s="5">
        <v>2007.0</v>
      </c>
      <c r="L1869" s="5">
        <v>1.0</v>
      </c>
      <c r="M1869" s="7">
        <f t="shared" si="5"/>
        <v>0.1</v>
      </c>
    </row>
    <row r="1870">
      <c r="A1870" s="5" t="s">
        <v>4758</v>
      </c>
      <c r="B1870" s="5" t="s">
        <v>2060</v>
      </c>
      <c r="C1870" s="5" t="s">
        <v>297</v>
      </c>
      <c r="D1870" s="5" t="s">
        <v>4759</v>
      </c>
      <c r="E1870" s="5" t="s">
        <v>715</v>
      </c>
      <c r="F1870" s="5" t="s">
        <v>152</v>
      </c>
      <c r="G1870" s="6">
        <v>0.08</v>
      </c>
      <c r="H1870" s="5" t="s">
        <v>3833</v>
      </c>
      <c r="I1870" s="5" t="s">
        <v>20</v>
      </c>
      <c r="J1870" s="5">
        <v>2016.0</v>
      </c>
      <c r="L1870" s="5">
        <v>2.0</v>
      </c>
      <c r="M1870" s="7">
        <f t="shared" si="5"/>
        <v>0.16</v>
      </c>
    </row>
    <row r="1871">
      <c r="A1871" s="5" t="s">
        <v>4760</v>
      </c>
      <c r="B1871" s="5" t="s">
        <v>380</v>
      </c>
      <c r="C1871" s="5" t="s">
        <v>297</v>
      </c>
      <c r="D1871" s="5" t="s">
        <v>4761</v>
      </c>
      <c r="E1871" s="5" t="s">
        <v>1764</v>
      </c>
      <c r="F1871" s="5" t="s">
        <v>152</v>
      </c>
      <c r="G1871" s="6">
        <v>0.41</v>
      </c>
      <c r="H1871" s="5" t="s">
        <v>3946</v>
      </c>
      <c r="I1871" s="5" t="s">
        <v>20</v>
      </c>
      <c r="J1871" s="5">
        <v>2007.0</v>
      </c>
      <c r="L1871" s="5">
        <v>2.0</v>
      </c>
      <c r="M1871" s="7">
        <f t="shared" si="5"/>
        <v>0.82</v>
      </c>
    </row>
    <row r="1872">
      <c r="A1872" s="5" t="s">
        <v>4762</v>
      </c>
      <c r="B1872" s="5" t="s">
        <v>2080</v>
      </c>
      <c r="C1872" s="5" t="s">
        <v>297</v>
      </c>
      <c r="D1872" s="5" t="s">
        <v>4763</v>
      </c>
      <c r="E1872" s="5" t="s">
        <v>1840</v>
      </c>
      <c r="F1872" s="5" t="s">
        <v>152</v>
      </c>
      <c r="G1872" s="6">
        <v>0.05</v>
      </c>
      <c r="H1872" s="5" t="s">
        <v>2995</v>
      </c>
      <c r="I1872" s="5" t="s">
        <v>20</v>
      </c>
      <c r="J1872" s="5">
        <v>2013.0</v>
      </c>
      <c r="K1872" s="8">
        <v>46056.0</v>
      </c>
      <c r="L1872" s="5">
        <v>1.0</v>
      </c>
      <c r="M1872" s="7">
        <f t="shared" si="5"/>
        <v>0.05</v>
      </c>
    </row>
    <row r="1873">
      <c r="A1873" s="5" t="s">
        <v>4764</v>
      </c>
      <c r="B1873" s="5" t="s">
        <v>2063</v>
      </c>
      <c r="C1873" s="5" t="s">
        <v>297</v>
      </c>
      <c r="E1873" s="5" t="s">
        <v>1764</v>
      </c>
      <c r="F1873" s="5" t="s">
        <v>152</v>
      </c>
      <c r="G1873" s="6">
        <v>0.03</v>
      </c>
      <c r="H1873" s="5" t="s">
        <v>2471</v>
      </c>
      <c r="I1873" s="5" t="s">
        <v>20</v>
      </c>
      <c r="J1873" s="5">
        <v>2017.0</v>
      </c>
      <c r="K1873" s="8">
        <v>46144.0</v>
      </c>
      <c r="L1873" s="5">
        <v>2.0</v>
      </c>
      <c r="M1873" s="7">
        <f t="shared" si="5"/>
        <v>0.06</v>
      </c>
    </row>
    <row r="1874">
      <c r="A1874" s="5" t="s">
        <v>4765</v>
      </c>
      <c r="B1874" s="5" t="s">
        <v>4766</v>
      </c>
      <c r="C1874" s="5" t="s">
        <v>297</v>
      </c>
      <c r="D1874" s="5" t="s">
        <v>4767</v>
      </c>
      <c r="E1874" s="5" t="s">
        <v>1764</v>
      </c>
      <c r="F1874" s="5" t="s">
        <v>152</v>
      </c>
      <c r="G1874" s="6">
        <v>0.05</v>
      </c>
      <c r="H1874" s="5" t="s">
        <v>1676</v>
      </c>
      <c r="I1874" s="5" t="s">
        <v>20</v>
      </c>
      <c r="J1874" s="5">
        <v>2012.0</v>
      </c>
      <c r="K1874" s="8">
        <v>46144.0</v>
      </c>
      <c r="L1874" s="5">
        <v>1.0</v>
      </c>
      <c r="M1874" s="7">
        <f t="shared" si="5"/>
        <v>0.05</v>
      </c>
    </row>
    <row r="1875">
      <c r="A1875" s="5" t="s">
        <v>4768</v>
      </c>
      <c r="B1875" s="5" t="s">
        <v>3493</v>
      </c>
      <c r="C1875" s="5" t="s">
        <v>1899</v>
      </c>
      <c r="D1875" s="5" t="s">
        <v>4769</v>
      </c>
      <c r="E1875" s="5" t="s">
        <v>1782</v>
      </c>
      <c r="F1875" s="5" t="s">
        <v>152</v>
      </c>
      <c r="G1875" s="6">
        <v>2.0</v>
      </c>
      <c r="H1875" s="5" t="s">
        <v>2188</v>
      </c>
      <c r="I1875" s="5" t="s">
        <v>20</v>
      </c>
      <c r="J1875" s="5">
        <v>2022.0</v>
      </c>
      <c r="K1875" s="8">
        <v>46056.0</v>
      </c>
      <c r="L1875" s="5">
        <v>1.0</v>
      </c>
      <c r="M1875" s="7">
        <f t="shared" si="5"/>
        <v>2</v>
      </c>
    </row>
    <row r="1876">
      <c r="A1876" s="5" t="s">
        <v>4770</v>
      </c>
      <c r="B1876" s="5" t="s">
        <v>2063</v>
      </c>
      <c r="C1876" s="5" t="s">
        <v>297</v>
      </c>
      <c r="D1876" s="5" t="s">
        <v>4771</v>
      </c>
      <c r="E1876" s="5" t="s">
        <v>1746</v>
      </c>
      <c r="F1876" s="5" t="s">
        <v>152</v>
      </c>
      <c r="G1876" s="6">
        <v>0.03</v>
      </c>
      <c r="H1876" s="5" t="s">
        <v>2471</v>
      </c>
      <c r="I1876" s="5" t="s">
        <v>20</v>
      </c>
      <c r="J1876" s="5">
        <v>2017.0</v>
      </c>
      <c r="K1876" s="8">
        <v>46055.0</v>
      </c>
      <c r="L1876" s="5">
        <v>3.0</v>
      </c>
      <c r="M1876" s="7">
        <f t="shared" si="5"/>
        <v>0.09</v>
      </c>
    </row>
    <row r="1877">
      <c r="A1877" s="5" t="s">
        <v>4772</v>
      </c>
      <c r="B1877" s="5" t="s">
        <v>4773</v>
      </c>
      <c r="C1877" s="5" t="s">
        <v>297</v>
      </c>
      <c r="D1877" s="5" t="s">
        <v>4774</v>
      </c>
      <c r="E1877" s="5" t="s">
        <v>1764</v>
      </c>
      <c r="F1877" s="5" t="s">
        <v>152</v>
      </c>
      <c r="G1877" s="6">
        <v>0.03</v>
      </c>
      <c r="H1877" s="5" t="s">
        <v>1707</v>
      </c>
      <c r="I1877" s="5" t="s">
        <v>20</v>
      </c>
      <c r="J1877" s="5">
        <v>2016.0</v>
      </c>
      <c r="K1877" s="8">
        <v>46114.0</v>
      </c>
      <c r="L1877" s="5">
        <v>2.0</v>
      </c>
      <c r="M1877" s="7">
        <f t="shared" si="5"/>
        <v>0.06</v>
      </c>
    </row>
    <row r="1878">
      <c r="A1878" s="5" t="s">
        <v>4775</v>
      </c>
      <c r="B1878" s="5" t="s">
        <v>4776</v>
      </c>
      <c r="C1878" s="5" t="s">
        <v>297</v>
      </c>
      <c r="E1878" s="5" t="s">
        <v>1746</v>
      </c>
      <c r="F1878" s="5" t="s">
        <v>152</v>
      </c>
      <c r="G1878" s="6">
        <v>0.03</v>
      </c>
      <c r="H1878" s="5" t="s">
        <v>2551</v>
      </c>
      <c r="I1878" s="5" t="s">
        <v>20</v>
      </c>
      <c r="J1878" s="5">
        <v>2014.0</v>
      </c>
      <c r="K1878" s="8">
        <v>46025.0</v>
      </c>
      <c r="L1878" s="5">
        <v>1.0</v>
      </c>
      <c r="M1878" s="7">
        <f t="shared" si="5"/>
        <v>0.03</v>
      </c>
    </row>
    <row r="1879">
      <c r="A1879" s="5" t="s">
        <v>4777</v>
      </c>
      <c r="B1879" s="5" t="s">
        <v>4582</v>
      </c>
      <c r="C1879" s="5" t="s">
        <v>297</v>
      </c>
      <c r="E1879" s="5" t="s">
        <v>1746</v>
      </c>
      <c r="F1879" s="5" t="s">
        <v>152</v>
      </c>
      <c r="G1879" s="6">
        <v>0.06</v>
      </c>
      <c r="H1879" s="5" t="s">
        <v>2793</v>
      </c>
      <c r="I1879" s="5" t="s">
        <v>20</v>
      </c>
      <c r="J1879" s="5">
        <v>2009.0</v>
      </c>
      <c r="K1879" s="8">
        <v>46055.0</v>
      </c>
      <c r="L1879" s="5">
        <v>1.0</v>
      </c>
      <c r="M1879" s="7">
        <f t="shared" si="5"/>
        <v>0.06</v>
      </c>
    </row>
    <row r="1880">
      <c r="A1880" s="5" t="s">
        <v>4778</v>
      </c>
      <c r="B1880" s="5" t="s">
        <v>2667</v>
      </c>
      <c r="C1880" s="5" t="s">
        <v>1899</v>
      </c>
      <c r="D1880" s="5" t="s">
        <v>4779</v>
      </c>
      <c r="E1880" s="5" t="s">
        <v>1758</v>
      </c>
      <c r="F1880" s="5" t="s">
        <v>152</v>
      </c>
      <c r="G1880" s="6">
        <v>0.1</v>
      </c>
      <c r="H1880" s="5" t="s">
        <v>2995</v>
      </c>
      <c r="I1880" s="5" t="s">
        <v>20</v>
      </c>
      <c r="J1880" s="5">
        <v>2013.0</v>
      </c>
      <c r="K1880" s="8">
        <v>46145.0</v>
      </c>
      <c r="L1880" s="5">
        <v>1.0</v>
      </c>
      <c r="M1880" s="7">
        <f t="shared" si="5"/>
        <v>0.1</v>
      </c>
    </row>
    <row r="1881">
      <c r="A1881" s="5" t="s">
        <v>4780</v>
      </c>
      <c r="B1881" s="5" t="s">
        <v>3309</v>
      </c>
      <c r="C1881" s="5" t="s">
        <v>297</v>
      </c>
      <c r="D1881" s="5" t="s">
        <v>4781</v>
      </c>
      <c r="E1881" s="5" t="s">
        <v>1746</v>
      </c>
      <c r="F1881" s="5" t="s">
        <v>152</v>
      </c>
      <c r="G1881" s="6">
        <v>0.32</v>
      </c>
      <c r="H1881" s="5" t="s">
        <v>1958</v>
      </c>
      <c r="I1881" s="5" t="s">
        <v>20</v>
      </c>
      <c r="J1881" s="5">
        <v>2021.0</v>
      </c>
      <c r="K1881" s="8">
        <v>46082.0</v>
      </c>
      <c r="L1881" s="5">
        <v>1.0</v>
      </c>
      <c r="M1881" s="7">
        <f t="shared" si="5"/>
        <v>0.32</v>
      </c>
    </row>
    <row r="1882">
      <c r="A1882" s="5" t="s">
        <v>4780</v>
      </c>
      <c r="B1882" s="5" t="s">
        <v>3309</v>
      </c>
      <c r="C1882" s="5" t="s">
        <v>297</v>
      </c>
      <c r="D1882" s="5" t="s">
        <v>4781</v>
      </c>
      <c r="E1882" s="5" t="s">
        <v>1746</v>
      </c>
      <c r="F1882" s="5" t="s">
        <v>152</v>
      </c>
      <c r="G1882" s="6">
        <v>0.49</v>
      </c>
      <c r="H1882" s="5" t="s">
        <v>1967</v>
      </c>
      <c r="I1882" s="5" t="s">
        <v>20</v>
      </c>
      <c r="J1882" s="5">
        <v>2022.0</v>
      </c>
      <c r="K1882" s="8">
        <v>46082.0</v>
      </c>
      <c r="L1882" s="5">
        <v>2.0</v>
      </c>
      <c r="M1882" s="7">
        <f t="shared" si="5"/>
        <v>0.98</v>
      </c>
    </row>
    <row r="1883">
      <c r="A1883" s="5" t="s">
        <v>4782</v>
      </c>
      <c r="B1883" s="5" t="s">
        <v>4582</v>
      </c>
      <c r="C1883" s="5" t="s">
        <v>297</v>
      </c>
      <c r="E1883" s="5" t="s">
        <v>715</v>
      </c>
      <c r="F1883" s="5" t="s">
        <v>152</v>
      </c>
      <c r="G1883" s="6">
        <v>0.8</v>
      </c>
      <c r="H1883" s="5" t="s">
        <v>2177</v>
      </c>
      <c r="I1883" s="5" t="s">
        <v>31</v>
      </c>
      <c r="J1883" s="5">
        <v>2018.0</v>
      </c>
      <c r="K1883" s="8">
        <v>46024.0</v>
      </c>
      <c r="L1883" s="5">
        <v>1.0</v>
      </c>
      <c r="M1883" s="7">
        <f t="shared" si="5"/>
        <v>0.8</v>
      </c>
    </row>
    <row r="1884">
      <c r="A1884" s="5" t="s">
        <v>4783</v>
      </c>
      <c r="B1884" s="5" t="s">
        <v>4784</v>
      </c>
      <c r="C1884" s="5" t="s">
        <v>1899</v>
      </c>
      <c r="D1884" s="5" t="s">
        <v>4785</v>
      </c>
      <c r="E1884" s="5" t="s">
        <v>1764</v>
      </c>
      <c r="F1884" s="5" t="s">
        <v>152</v>
      </c>
      <c r="G1884" s="6">
        <v>0.49</v>
      </c>
      <c r="H1884" s="5" t="s">
        <v>1667</v>
      </c>
      <c r="I1884" s="5" t="s">
        <v>20</v>
      </c>
      <c r="J1884" s="5">
        <v>2018.0</v>
      </c>
      <c r="K1884" s="8">
        <v>46055.0</v>
      </c>
      <c r="L1884" s="5">
        <v>1.0</v>
      </c>
      <c r="M1884" s="7">
        <f t="shared" si="5"/>
        <v>0.49</v>
      </c>
    </row>
    <row r="1885">
      <c r="A1885" s="5" t="s">
        <v>4786</v>
      </c>
      <c r="B1885" s="5" t="s">
        <v>2506</v>
      </c>
      <c r="C1885" s="5" t="s">
        <v>297</v>
      </c>
      <c r="D1885" s="5" t="s">
        <v>4787</v>
      </c>
      <c r="E1885" s="5" t="s">
        <v>715</v>
      </c>
      <c r="F1885" s="5" t="s">
        <v>152</v>
      </c>
      <c r="G1885" s="6">
        <v>0.08</v>
      </c>
      <c r="H1885" s="5" t="s">
        <v>1679</v>
      </c>
      <c r="I1885" s="5" t="s">
        <v>20</v>
      </c>
      <c r="J1885" s="5">
        <v>2008.0</v>
      </c>
      <c r="K1885" s="5" t="s">
        <v>752</v>
      </c>
      <c r="L1885" s="5">
        <v>1.0</v>
      </c>
      <c r="M1885" s="7">
        <f t="shared" si="5"/>
        <v>0.08</v>
      </c>
    </row>
    <row r="1886">
      <c r="A1886" s="5" t="s">
        <v>4788</v>
      </c>
      <c r="B1886" s="5" t="s">
        <v>2055</v>
      </c>
      <c r="C1886" s="5" t="s">
        <v>1951</v>
      </c>
      <c r="D1886" s="5" t="s">
        <v>4789</v>
      </c>
      <c r="E1886" s="5" t="s">
        <v>2448</v>
      </c>
      <c r="F1886" s="5" t="s">
        <v>152</v>
      </c>
      <c r="G1886" s="6">
        <v>0.08</v>
      </c>
      <c r="H1886" s="5" t="s">
        <v>1644</v>
      </c>
      <c r="I1886" s="5" t="s">
        <v>20</v>
      </c>
      <c r="J1886" s="5">
        <v>2019.0</v>
      </c>
      <c r="K1886" s="8">
        <v>46115.0</v>
      </c>
      <c r="L1886" s="5">
        <v>1.0</v>
      </c>
      <c r="M1886" s="7">
        <f t="shared" si="5"/>
        <v>0.08</v>
      </c>
    </row>
    <row r="1887">
      <c r="A1887" s="5" t="s">
        <v>4790</v>
      </c>
      <c r="B1887" s="5" t="s">
        <v>3309</v>
      </c>
      <c r="C1887" s="5" t="s">
        <v>1951</v>
      </c>
      <c r="D1887" s="5" t="s">
        <v>4791</v>
      </c>
      <c r="E1887" s="5" t="s">
        <v>1782</v>
      </c>
      <c r="F1887" s="5" t="s">
        <v>152</v>
      </c>
      <c r="G1887" s="6">
        <v>0.06</v>
      </c>
      <c r="H1887" s="5" t="s">
        <v>1644</v>
      </c>
      <c r="I1887" s="5" t="s">
        <v>20</v>
      </c>
      <c r="J1887" s="5">
        <v>2019.0</v>
      </c>
      <c r="K1887" s="8">
        <v>46024.0</v>
      </c>
      <c r="L1887" s="5">
        <v>1.0</v>
      </c>
      <c r="M1887" s="7">
        <f t="shared" si="5"/>
        <v>0.06</v>
      </c>
    </row>
    <row r="1888">
      <c r="A1888" s="5" t="s">
        <v>4792</v>
      </c>
      <c r="B1888" s="5" t="s">
        <v>4793</v>
      </c>
      <c r="C1888" s="5" t="s">
        <v>1899</v>
      </c>
      <c r="D1888" s="5" t="s">
        <v>4794</v>
      </c>
      <c r="E1888" s="5" t="s">
        <v>1764</v>
      </c>
      <c r="F1888" s="5" t="s">
        <v>152</v>
      </c>
      <c r="G1888" s="6">
        <v>0.24</v>
      </c>
      <c r="H1888" s="5" t="s">
        <v>3097</v>
      </c>
      <c r="I1888" s="5" t="s">
        <v>20</v>
      </c>
      <c r="J1888" s="5">
        <v>2015.0</v>
      </c>
      <c r="K1888" s="5" t="s">
        <v>1258</v>
      </c>
      <c r="L1888" s="5">
        <v>1.0</v>
      </c>
      <c r="M1888" s="7">
        <f t="shared" si="5"/>
        <v>0.24</v>
      </c>
    </row>
    <row r="1889">
      <c r="A1889" s="5" t="s">
        <v>4795</v>
      </c>
      <c r="B1889" s="5" t="s">
        <v>2495</v>
      </c>
      <c r="C1889" s="5" t="s">
        <v>297</v>
      </c>
      <c r="D1889" s="5" t="s">
        <v>4796</v>
      </c>
      <c r="E1889" s="5" t="s">
        <v>1797</v>
      </c>
      <c r="F1889" s="5" t="s">
        <v>152</v>
      </c>
      <c r="G1889" s="6">
        <v>0.09</v>
      </c>
      <c r="H1889" s="5" t="s">
        <v>1704</v>
      </c>
      <c r="I1889" s="5" t="s">
        <v>20</v>
      </c>
      <c r="J1889" s="5">
        <v>2008.0</v>
      </c>
      <c r="K1889" s="8">
        <v>46147.0</v>
      </c>
      <c r="L1889" s="5">
        <v>1.0</v>
      </c>
      <c r="M1889" s="7">
        <f t="shared" si="5"/>
        <v>0.09</v>
      </c>
    </row>
    <row r="1890">
      <c r="A1890" s="5" t="s">
        <v>4797</v>
      </c>
      <c r="B1890" s="5" t="s">
        <v>4798</v>
      </c>
      <c r="C1890" s="5" t="s">
        <v>297</v>
      </c>
      <c r="D1890" s="5" t="s">
        <v>4799</v>
      </c>
      <c r="E1890" s="5" t="s">
        <v>715</v>
      </c>
      <c r="F1890" s="5" t="s">
        <v>152</v>
      </c>
      <c r="G1890" s="6">
        <v>0.05</v>
      </c>
      <c r="H1890" s="5" t="s">
        <v>3491</v>
      </c>
      <c r="I1890" s="5" t="s">
        <v>20</v>
      </c>
      <c r="J1890" s="5">
        <v>2012.0</v>
      </c>
      <c r="K1890" s="8">
        <v>46023.0</v>
      </c>
      <c r="L1890" s="5">
        <v>1.0</v>
      </c>
      <c r="M1890" s="7">
        <f t="shared" si="5"/>
        <v>0.05</v>
      </c>
    </row>
    <row r="1891">
      <c r="A1891" s="5" t="s">
        <v>4800</v>
      </c>
      <c r="B1891" s="5" t="s">
        <v>2512</v>
      </c>
      <c r="C1891" s="5" t="s">
        <v>297</v>
      </c>
      <c r="E1891" s="5" t="s">
        <v>1764</v>
      </c>
      <c r="F1891" s="5" t="s">
        <v>152</v>
      </c>
      <c r="G1891" s="6">
        <v>0.03</v>
      </c>
      <c r="H1891" s="5" t="s">
        <v>2562</v>
      </c>
      <c r="I1891" s="5" t="s">
        <v>20</v>
      </c>
      <c r="J1891" s="5">
        <v>2017.0</v>
      </c>
      <c r="K1891" s="8">
        <v>46204.0</v>
      </c>
      <c r="L1891" s="5">
        <v>1.0</v>
      </c>
      <c r="M1891" s="7">
        <f t="shared" si="5"/>
        <v>0.03</v>
      </c>
    </row>
    <row r="1892">
      <c r="A1892" s="5" t="s">
        <v>4801</v>
      </c>
      <c r="B1892" s="5" t="s">
        <v>4582</v>
      </c>
      <c r="C1892" s="5" t="s">
        <v>297</v>
      </c>
      <c r="D1892" s="5" t="s">
        <v>4802</v>
      </c>
      <c r="E1892" s="5" t="s">
        <v>1746</v>
      </c>
      <c r="F1892" s="5" t="s">
        <v>152</v>
      </c>
      <c r="G1892" s="6">
        <v>0.05</v>
      </c>
      <c r="H1892" s="5" t="s">
        <v>2005</v>
      </c>
      <c r="I1892" s="5" t="s">
        <v>20</v>
      </c>
      <c r="J1892" s="5">
        <v>2020.0</v>
      </c>
      <c r="K1892" s="8">
        <v>46024.0</v>
      </c>
      <c r="L1892" s="5">
        <v>2.0</v>
      </c>
      <c r="M1892" s="7">
        <f t="shared" si="5"/>
        <v>0.1</v>
      </c>
    </row>
    <row r="1893">
      <c r="A1893" s="5" t="s">
        <v>4803</v>
      </c>
      <c r="B1893" s="5" t="s">
        <v>2446</v>
      </c>
      <c r="C1893" s="5" t="s">
        <v>297</v>
      </c>
      <c r="D1893" s="5" t="s">
        <v>4804</v>
      </c>
      <c r="E1893" s="5" t="s">
        <v>1840</v>
      </c>
      <c r="F1893" s="5" t="s">
        <v>152</v>
      </c>
      <c r="G1893" s="6">
        <v>0.05</v>
      </c>
      <c r="H1893" s="5" t="s">
        <v>2504</v>
      </c>
      <c r="I1893" s="5" t="s">
        <v>20</v>
      </c>
      <c r="J1893" s="5">
        <v>2015.0</v>
      </c>
      <c r="K1893" s="8">
        <v>46083.0</v>
      </c>
      <c r="L1893" s="5">
        <v>1.0</v>
      </c>
      <c r="M1893" s="7">
        <f t="shared" si="5"/>
        <v>0.05</v>
      </c>
    </row>
    <row r="1894">
      <c r="A1894" s="5" t="s">
        <v>4805</v>
      </c>
      <c r="B1894" s="5" t="s">
        <v>2019</v>
      </c>
      <c r="C1894" s="5" t="s">
        <v>297</v>
      </c>
      <c r="D1894" s="5" t="s">
        <v>4806</v>
      </c>
      <c r="E1894" s="5" t="s">
        <v>1782</v>
      </c>
      <c r="F1894" s="5" t="s">
        <v>152</v>
      </c>
      <c r="G1894" s="6">
        <v>0.05</v>
      </c>
      <c r="H1894" s="5" t="s">
        <v>2005</v>
      </c>
      <c r="I1894" s="5" t="s">
        <v>20</v>
      </c>
      <c r="J1894" s="5">
        <v>2020.0</v>
      </c>
      <c r="K1894" s="8">
        <v>46055.0</v>
      </c>
      <c r="L1894" s="5">
        <v>1.0</v>
      </c>
      <c r="M1894" s="7">
        <f t="shared" si="5"/>
        <v>0.05</v>
      </c>
    </row>
    <row r="1895">
      <c r="A1895" s="5" t="s">
        <v>4807</v>
      </c>
      <c r="B1895" s="5" t="s">
        <v>2019</v>
      </c>
      <c r="C1895" s="5" t="s">
        <v>297</v>
      </c>
      <c r="D1895" s="5" t="s">
        <v>3656</v>
      </c>
      <c r="E1895" s="5" t="s">
        <v>715</v>
      </c>
      <c r="F1895" s="5" t="s">
        <v>152</v>
      </c>
      <c r="G1895" s="6">
        <v>0.03</v>
      </c>
      <c r="H1895" s="5" t="s">
        <v>2557</v>
      </c>
      <c r="I1895" s="5" t="s">
        <v>20</v>
      </c>
      <c r="J1895" s="5">
        <v>2018.0</v>
      </c>
      <c r="K1895" s="8">
        <v>46054.0</v>
      </c>
      <c r="L1895" s="5">
        <v>2.0</v>
      </c>
      <c r="M1895" s="7">
        <f t="shared" si="5"/>
        <v>0.06</v>
      </c>
    </row>
    <row r="1896">
      <c r="A1896" s="5" t="s">
        <v>4808</v>
      </c>
      <c r="B1896" s="5" t="s">
        <v>4809</v>
      </c>
      <c r="C1896" s="5" t="s">
        <v>297</v>
      </c>
      <c r="D1896" s="5" t="s">
        <v>4810</v>
      </c>
      <c r="E1896" s="5" t="s">
        <v>1764</v>
      </c>
      <c r="F1896" s="5" t="s">
        <v>152</v>
      </c>
      <c r="G1896" s="6">
        <v>0.05</v>
      </c>
      <c r="H1896" s="5" t="s">
        <v>1714</v>
      </c>
      <c r="I1896" s="5" t="s">
        <v>20</v>
      </c>
      <c r="J1896" s="5">
        <v>2022.0</v>
      </c>
      <c r="K1896" s="8">
        <v>46083.0</v>
      </c>
      <c r="L1896" s="5">
        <v>3.0</v>
      </c>
      <c r="M1896" s="7">
        <f t="shared" si="5"/>
        <v>0.15</v>
      </c>
    </row>
    <row r="1897">
      <c r="A1897" s="5" t="s">
        <v>4811</v>
      </c>
      <c r="B1897" s="5" t="s">
        <v>1835</v>
      </c>
      <c r="C1897" s="5" t="s">
        <v>297</v>
      </c>
      <c r="D1897" s="5" t="s">
        <v>4812</v>
      </c>
      <c r="E1897" s="5" t="s">
        <v>1746</v>
      </c>
      <c r="F1897" s="5" t="s">
        <v>152</v>
      </c>
      <c r="G1897" s="6">
        <v>0.15</v>
      </c>
      <c r="H1897" s="5" t="s">
        <v>2221</v>
      </c>
      <c r="I1897" s="5" t="s">
        <v>20</v>
      </c>
      <c r="J1897" s="5">
        <v>2024.0</v>
      </c>
      <c r="K1897" s="8">
        <v>46023.0</v>
      </c>
      <c r="L1897" s="5">
        <v>3.0</v>
      </c>
      <c r="M1897" s="7">
        <f t="shared" si="5"/>
        <v>0.45</v>
      </c>
    </row>
    <row r="1898">
      <c r="A1898" s="5" t="s">
        <v>4813</v>
      </c>
      <c r="B1898" s="5" t="s">
        <v>4814</v>
      </c>
      <c r="C1898" s="5" t="s">
        <v>297</v>
      </c>
      <c r="E1898" s="5" t="s">
        <v>1746</v>
      </c>
      <c r="F1898" s="5" t="s">
        <v>152</v>
      </c>
      <c r="G1898" s="6">
        <v>0.05</v>
      </c>
      <c r="H1898" s="5" t="s">
        <v>2995</v>
      </c>
      <c r="I1898" s="5" t="s">
        <v>20</v>
      </c>
      <c r="J1898" s="5">
        <v>2013.0</v>
      </c>
      <c r="K1898" s="8">
        <v>46055.0</v>
      </c>
      <c r="L1898" s="5">
        <v>3.0</v>
      </c>
      <c r="M1898" s="7">
        <f t="shared" si="5"/>
        <v>0.15</v>
      </c>
    </row>
    <row r="1899">
      <c r="A1899" s="5" t="s">
        <v>4815</v>
      </c>
      <c r="B1899" s="5" t="s">
        <v>3296</v>
      </c>
      <c r="C1899" s="5" t="s">
        <v>297</v>
      </c>
      <c r="D1899" s="5" t="s">
        <v>4816</v>
      </c>
      <c r="E1899" s="5" t="s">
        <v>715</v>
      </c>
      <c r="F1899" s="5" t="s">
        <v>152</v>
      </c>
      <c r="G1899" s="6">
        <v>0.05</v>
      </c>
      <c r="H1899" s="5" t="s">
        <v>2174</v>
      </c>
      <c r="I1899" s="5" t="s">
        <v>20</v>
      </c>
      <c r="J1899" s="5">
        <v>2021.0</v>
      </c>
      <c r="K1899" s="8">
        <v>46054.0</v>
      </c>
      <c r="L1899" s="5">
        <v>2.0</v>
      </c>
      <c r="M1899" s="7">
        <f t="shared" si="5"/>
        <v>0.1</v>
      </c>
    </row>
    <row r="1900">
      <c r="A1900" s="5" t="s">
        <v>4817</v>
      </c>
      <c r="B1900" s="5" t="s">
        <v>4582</v>
      </c>
      <c r="C1900" s="5" t="s">
        <v>297</v>
      </c>
      <c r="D1900" s="5" t="s">
        <v>4818</v>
      </c>
      <c r="E1900" s="5" t="s">
        <v>715</v>
      </c>
      <c r="F1900" s="5" t="s">
        <v>152</v>
      </c>
      <c r="G1900" s="6">
        <v>0.06</v>
      </c>
      <c r="H1900" s="5" t="s">
        <v>2624</v>
      </c>
      <c r="I1900" s="5" t="s">
        <v>20</v>
      </c>
      <c r="J1900" s="5">
        <v>2019.0</v>
      </c>
      <c r="K1900" s="8">
        <v>46023.0</v>
      </c>
      <c r="L1900" s="5">
        <v>1.0</v>
      </c>
      <c r="M1900" s="7">
        <f t="shared" si="5"/>
        <v>0.06</v>
      </c>
    </row>
    <row r="1901">
      <c r="A1901" s="5" t="s">
        <v>4819</v>
      </c>
      <c r="B1901" s="5" t="s">
        <v>1954</v>
      </c>
      <c r="C1901" s="5" t="s">
        <v>297</v>
      </c>
      <c r="D1901" s="5" t="s">
        <v>4820</v>
      </c>
      <c r="E1901" s="5" t="s">
        <v>715</v>
      </c>
      <c r="F1901" s="5" t="s">
        <v>152</v>
      </c>
      <c r="G1901" s="6">
        <v>0.05</v>
      </c>
      <c r="H1901" s="5" t="s">
        <v>2460</v>
      </c>
      <c r="I1901" s="5" t="s">
        <v>20</v>
      </c>
      <c r="J1901" s="5">
        <v>2024.0</v>
      </c>
      <c r="L1901" s="5">
        <v>2.0</v>
      </c>
      <c r="M1901" s="7">
        <f t="shared" si="5"/>
        <v>0.1</v>
      </c>
    </row>
    <row r="1902">
      <c r="A1902" s="5" t="s">
        <v>4821</v>
      </c>
      <c r="B1902" s="5" t="s">
        <v>4822</v>
      </c>
      <c r="C1902" s="5" t="s">
        <v>297</v>
      </c>
      <c r="E1902" s="5" t="s">
        <v>1746</v>
      </c>
      <c r="F1902" s="5" t="s">
        <v>152</v>
      </c>
      <c r="G1902" s="6">
        <v>0.05</v>
      </c>
      <c r="H1902" s="5" t="s">
        <v>3833</v>
      </c>
      <c r="I1902" s="5" t="s">
        <v>20</v>
      </c>
      <c r="J1902" s="5">
        <v>2016.0</v>
      </c>
      <c r="K1902" s="8">
        <v>46025.0</v>
      </c>
      <c r="L1902" s="5">
        <v>3.0</v>
      </c>
      <c r="M1902" s="7">
        <f t="shared" si="5"/>
        <v>0.15</v>
      </c>
    </row>
    <row r="1903">
      <c r="A1903" s="5" t="s">
        <v>4823</v>
      </c>
      <c r="B1903" s="5" t="s">
        <v>2019</v>
      </c>
      <c r="C1903" s="5" t="s">
        <v>297</v>
      </c>
      <c r="D1903" s="5" t="s">
        <v>4824</v>
      </c>
      <c r="E1903" s="5" t="s">
        <v>715</v>
      </c>
      <c r="F1903" s="5" t="s">
        <v>152</v>
      </c>
      <c r="G1903" s="6">
        <v>0.13</v>
      </c>
      <c r="H1903" s="5" t="s">
        <v>2221</v>
      </c>
      <c r="I1903" s="5" t="s">
        <v>20</v>
      </c>
      <c r="J1903" s="5">
        <v>2024.0</v>
      </c>
      <c r="K1903" s="8">
        <v>46023.0</v>
      </c>
      <c r="L1903" s="5">
        <v>3.0</v>
      </c>
      <c r="M1903" s="7">
        <f t="shared" si="5"/>
        <v>0.39</v>
      </c>
    </row>
    <row r="1904">
      <c r="A1904" s="5" t="s">
        <v>4825</v>
      </c>
      <c r="B1904" s="5" t="s">
        <v>2674</v>
      </c>
      <c r="C1904" s="5" t="s">
        <v>297</v>
      </c>
      <c r="D1904" s="5" t="s">
        <v>4826</v>
      </c>
      <c r="E1904" s="5" t="s">
        <v>2448</v>
      </c>
      <c r="F1904" s="5" t="s">
        <v>152</v>
      </c>
      <c r="G1904" s="6">
        <v>0.05</v>
      </c>
      <c r="H1904" s="5" t="s">
        <v>1679</v>
      </c>
      <c r="I1904" s="5" t="s">
        <v>20</v>
      </c>
      <c r="J1904" s="5">
        <v>2008.0</v>
      </c>
      <c r="K1904" s="8">
        <v>46145.0</v>
      </c>
      <c r="L1904" s="5">
        <v>2.0</v>
      </c>
      <c r="M1904" s="7">
        <f t="shared" si="5"/>
        <v>0.1</v>
      </c>
    </row>
    <row r="1905">
      <c r="A1905" s="5" t="s">
        <v>4827</v>
      </c>
      <c r="B1905" s="5" t="s">
        <v>1946</v>
      </c>
      <c r="C1905" s="5" t="s">
        <v>1899</v>
      </c>
      <c r="D1905" s="5" t="s">
        <v>4828</v>
      </c>
      <c r="E1905" s="5" t="s">
        <v>1764</v>
      </c>
      <c r="F1905" s="5" t="s">
        <v>152</v>
      </c>
      <c r="G1905" s="6">
        <v>1.19</v>
      </c>
      <c r="H1905" s="5" t="s">
        <v>4829</v>
      </c>
      <c r="I1905" s="5" t="s">
        <v>20</v>
      </c>
      <c r="J1905" s="5">
        <v>2019.0</v>
      </c>
      <c r="L1905" s="5">
        <v>1.0</v>
      </c>
      <c r="M1905" s="7">
        <f t="shared" si="5"/>
        <v>1.19</v>
      </c>
    </row>
    <row r="1906">
      <c r="A1906" s="5" t="s">
        <v>4830</v>
      </c>
      <c r="B1906" s="5" t="s">
        <v>2016</v>
      </c>
      <c r="C1906" s="5" t="s">
        <v>297</v>
      </c>
      <c r="D1906" s="5" t="s">
        <v>4831</v>
      </c>
      <c r="E1906" s="5" t="s">
        <v>1840</v>
      </c>
      <c r="F1906" s="5" t="s">
        <v>152</v>
      </c>
      <c r="G1906" s="6">
        <v>0.05</v>
      </c>
      <c r="H1906" s="5" t="s">
        <v>1676</v>
      </c>
      <c r="I1906" s="5" t="s">
        <v>20</v>
      </c>
      <c r="J1906" s="5">
        <v>2012.0</v>
      </c>
      <c r="L1906" s="5">
        <v>1.0</v>
      </c>
      <c r="M1906" s="7">
        <f t="shared" si="5"/>
        <v>0.05</v>
      </c>
    </row>
    <row r="1907">
      <c r="A1907" s="5" t="s">
        <v>4832</v>
      </c>
      <c r="B1907" s="5" t="s">
        <v>2108</v>
      </c>
      <c r="C1907" s="5" t="s">
        <v>1899</v>
      </c>
      <c r="D1907" s="5" t="s">
        <v>4833</v>
      </c>
      <c r="E1907" s="5" t="s">
        <v>1782</v>
      </c>
      <c r="F1907" s="5" t="s">
        <v>152</v>
      </c>
      <c r="G1907" s="6">
        <v>0.28</v>
      </c>
      <c r="H1907" s="5" t="s">
        <v>2774</v>
      </c>
      <c r="I1907" s="5" t="s">
        <v>20</v>
      </c>
      <c r="J1907" s="5">
        <v>2015.0</v>
      </c>
      <c r="K1907" s="8">
        <v>46024.0</v>
      </c>
      <c r="L1907" s="5">
        <v>1.0</v>
      </c>
      <c r="M1907" s="7">
        <f t="shared" si="5"/>
        <v>0.28</v>
      </c>
    </row>
    <row r="1908">
      <c r="A1908" s="5" t="s">
        <v>4834</v>
      </c>
      <c r="B1908" s="5" t="s">
        <v>4835</v>
      </c>
      <c r="C1908" s="5" t="s">
        <v>297</v>
      </c>
      <c r="D1908" s="5" t="s">
        <v>4836</v>
      </c>
      <c r="E1908" s="5" t="s">
        <v>1764</v>
      </c>
      <c r="F1908" s="5" t="s">
        <v>152</v>
      </c>
      <c r="G1908" s="6">
        <v>0.06</v>
      </c>
      <c r="H1908" s="5" t="s">
        <v>1714</v>
      </c>
      <c r="I1908" s="5" t="s">
        <v>20</v>
      </c>
      <c r="J1908" s="5">
        <v>2022.0</v>
      </c>
      <c r="K1908" s="8">
        <v>46114.0</v>
      </c>
      <c r="L1908" s="5">
        <v>1.0</v>
      </c>
      <c r="M1908" s="7">
        <f t="shared" si="5"/>
        <v>0.06</v>
      </c>
    </row>
    <row r="1909">
      <c r="A1909" s="5" t="s">
        <v>4837</v>
      </c>
      <c r="B1909" s="5" t="s">
        <v>4838</v>
      </c>
      <c r="C1909" s="5" t="s">
        <v>297</v>
      </c>
      <c r="D1909" s="5" t="s">
        <v>4839</v>
      </c>
      <c r="E1909" s="5" t="s">
        <v>1746</v>
      </c>
      <c r="F1909" s="5" t="s">
        <v>152</v>
      </c>
      <c r="G1909" s="6">
        <v>0.06</v>
      </c>
      <c r="H1909" s="5" t="s">
        <v>1714</v>
      </c>
      <c r="I1909" s="5" t="s">
        <v>20</v>
      </c>
      <c r="J1909" s="5">
        <v>2022.0</v>
      </c>
      <c r="K1909" s="8">
        <v>46055.0</v>
      </c>
      <c r="L1909" s="5">
        <v>1.0</v>
      </c>
      <c r="M1909" s="7">
        <f t="shared" si="5"/>
        <v>0.06</v>
      </c>
    </row>
    <row r="1910">
      <c r="A1910" s="5" t="s">
        <v>4840</v>
      </c>
      <c r="B1910" s="5" t="s">
        <v>2016</v>
      </c>
      <c r="C1910" s="5" t="s">
        <v>297</v>
      </c>
      <c r="D1910" s="5" t="s">
        <v>4841</v>
      </c>
      <c r="E1910" s="5" t="s">
        <v>1782</v>
      </c>
      <c r="F1910" s="5" t="s">
        <v>152</v>
      </c>
      <c r="G1910" s="6">
        <v>0.1</v>
      </c>
      <c r="H1910" s="5" t="s">
        <v>1714</v>
      </c>
      <c r="I1910" s="5" t="s">
        <v>20</v>
      </c>
      <c r="J1910" s="5">
        <v>2022.0</v>
      </c>
      <c r="L1910" s="5">
        <v>1.0</v>
      </c>
      <c r="M1910" s="7">
        <f t="shared" si="5"/>
        <v>0.1</v>
      </c>
    </row>
    <row r="1911">
      <c r="A1911" s="5" t="s">
        <v>4842</v>
      </c>
      <c r="B1911" s="5" t="s">
        <v>380</v>
      </c>
      <c r="C1911" s="5" t="s">
        <v>297</v>
      </c>
      <c r="D1911" s="5" t="s">
        <v>4843</v>
      </c>
      <c r="E1911" s="5" t="s">
        <v>1746</v>
      </c>
      <c r="F1911" s="5" t="s">
        <v>152</v>
      </c>
      <c r="G1911" s="6">
        <v>1.08</v>
      </c>
      <c r="H1911" s="5" t="s">
        <v>1622</v>
      </c>
      <c r="I1911" s="5" t="s">
        <v>20</v>
      </c>
      <c r="J1911" s="5">
        <v>2022.0</v>
      </c>
      <c r="L1911" s="5">
        <v>1.0</v>
      </c>
      <c r="M1911" s="7">
        <f t="shared" si="5"/>
        <v>1.08</v>
      </c>
    </row>
    <row r="1912">
      <c r="A1912" s="5" t="s">
        <v>4844</v>
      </c>
      <c r="B1912" s="5" t="s">
        <v>380</v>
      </c>
      <c r="C1912" s="5" t="s">
        <v>297</v>
      </c>
      <c r="D1912" s="5" t="s">
        <v>4845</v>
      </c>
      <c r="E1912" s="5" t="s">
        <v>715</v>
      </c>
      <c r="F1912" s="5" t="s">
        <v>152</v>
      </c>
      <c r="G1912" s="6">
        <v>0.06</v>
      </c>
      <c r="H1912" s="5" t="s">
        <v>1714</v>
      </c>
      <c r="I1912" s="5" t="s">
        <v>20</v>
      </c>
      <c r="J1912" s="5">
        <v>2022.0</v>
      </c>
      <c r="L1912" s="5">
        <v>1.0</v>
      </c>
      <c r="M1912" s="7">
        <f t="shared" si="5"/>
        <v>0.06</v>
      </c>
    </row>
    <row r="1913">
      <c r="A1913" s="5" t="s">
        <v>4846</v>
      </c>
      <c r="B1913" s="5" t="s">
        <v>4847</v>
      </c>
      <c r="C1913" s="5" t="s">
        <v>297</v>
      </c>
      <c r="D1913" s="5" t="s">
        <v>4848</v>
      </c>
      <c r="E1913" s="5" t="s">
        <v>1746</v>
      </c>
      <c r="F1913" s="5" t="s">
        <v>152</v>
      </c>
      <c r="G1913" s="6">
        <v>0.06</v>
      </c>
      <c r="H1913" s="5" t="s">
        <v>1714</v>
      </c>
      <c r="I1913" s="5" t="s">
        <v>20</v>
      </c>
      <c r="J1913" s="5">
        <v>2022.0</v>
      </c>
      <c r="K1913" s="8">
        <v>46024.0</v>
      </c>
      <c r="L1913" s="5">
        <v>1.0</v>
      </c>
      <c r="M1913" s="7">
        <f t="shared" si="5"/>
        <v>0.06</v>
      </c>
    </row>
    <row r="1914">
      <c r="A1914" s="5" t="s">
        <v>4849</v>
      </c>
      <c r="B1914" s="5" t="s">
        <v>1816</v>
      </c>
      <c r="C1914" s="5" t="s">
        <v>1951</v>
      </c>
      <c r="D1914" s="5" t="s">
        <v>4850</v>
      </c>
      <c r="F1914" s="5" t="s">
        <v>80</v>
      </c>
      <c r="G1914" s="6">
        <v>0.24</v>
      </c>
      <c r="H1914" s="5" t="s">
        <v>4851</v>
      </c>
      <c r="I1914" s="5" t="s">
        <v>20</v>
      </c>
      <c r="J1914" s="5">
        <v>2025.0</v>
      </c>
      <c r="L1914" s="5">
        <v>1.0</v>
      </c>
      <c r="M1914" s="7">
        <f t="shared" si="5"/>
        <v>0.24</v>
      </c>
    </row>
    <row r="1915">
      <c r="A1915" s="5" t="s">
        <v>4852</v>
      </c>
      <c r="B1915" s="5" t="s">
        <v>1816</v>
      </c>
      <c r="C1915" s="5" t="s">
        <v>1899</v>
      </c>
      <c r="D1915" s="5" t="s">
        <v>4853</v>
      </c>
      <c r="F1915" s="5" t="s">
        <v>152</v>
      </c>
      <c r="G1915" s="6">
        <v>40.0</v>
      </c>
      <c r="H1915" s="5" t="s">
        <v>4851</v>
      </c>
      <c r="I1915" s="5" t="s">
        <v>20</v>
      </c>
      <c r="J1915" s="5">
        <v>2025.0</v>
      </c>
      <c r="L1915" s="5">
        <v>1.0</v>
      </c>
      <c r="M1915" s="7">
        <f t="shared" si="5"/>
        <v>40</v>
      </c>
    </row>
    <row r="1916">
      <c r="A1916" s="5" t="s">
        <v>4854</v>
      </c>
      <c r="B1916" s="5" t="s">
        <v>1816</v>
      </c>
      <c r="C1916" s="5" t="s">
        <v>297</v>
      </c>
      <c r="D1916" s="5" t="s">
        <v>4855</v>
      </c>
      <c r="F1916" s="5" t="s">
        <v>3119</v>
      </c>
      <c r="G1916" s="6">
        <v>0.14</v>
      </c>
      <c r="H1916" s="5" t="s">
        <v>4851</v>
      </c>
      <c r="I1916" s="5" t="s">
        <v>20</v>
      </c>
      <c r="J1916" s="5">
        <v>2025.0</v>
      </c>
      <c r="L1916" s="5">
        <v>1.0</v>
      </c>
      <c r="M1916" s="7">
        <f t="shared" si="5"/>
        <v>0.14</v>
      </c>
    </row>
    <row r="1917">
      <c r="A1917" s="5" t="s">
        <v>4856</v>
      </c>
      <c r="B1917" s="5" t="s">
        <v>1816</v>
      </c>
      <c r="C1917" s="5" t="s">
        <v>297</v>
      </c>
      <c r="D1917" s="5" t="s">
        <v>4857</v>
      </c>
      <c r="F1917" s="5" t="s">
        <v>3194</v>
      </c>
      <c r="G1917" s="6">
        <v>0.15</v>
      </c>
      <c r="H1917" s="5" t="s">
        <v>4851</v>
      </c>
      <c r="I1917" s="5" t="s">
        <v>20</v>
      </c>
      <c r="J1917" s="5">
        <v>2025.0</v>
      </c>
      <c r="L1917" s="5">
        <v>1.0</v>
      </c>
      <c r="M1917" s="7">
        <f t="shared" si="5"/>
        <v>0.15</v>
      </c>
    </row>
    <row r="1918">
      <c r="A1918" s="5" t="s">
        <v>4858</v>
      </c>
      <c r="B1918" s="5" t="s">
        <v>1816</v>
      </c>
      <c r="C1918" s="5" t="s">
        <v>297</v>
      </c>
      <c r="D1918" s="5" t="s">
        <v>4859</v>
      </c>
      <c r="F1918" s="5" t="s">
        <v>3113</v>
      </c>
      <c r="G1918" s="6">
        <v>0.1</v>
      </c>
      <c r="H1918" s="5" t="s">
        <v>4851</v>
      </c>
      <c r="I1918" s="5" t="s">
        <v>20</v>
      </c>
      <c r="J1918" s="5">
        <v>2025.0</v>
      </c>
      <c r="L1918" s="5">
        <v>1.0</v>
      </c>
      <c r="M1918" s="7">
        <f t="shared" si="5"/>
        <v>0.1</v>
      </c>
    </row>
    <row r="1919">
      <c r="A1919" s="5" t="s">
        <v>4860</v>
      </c>
      <c r="B1919" s="5" t="s">
        <v>1816</v>
      </c>
      <c r="C1919" s="5" t="s">
        <v>297</v>
      </c>
      <c r="D1919" s="5" t="s">
        <v>4861</v>
      </c>
      <c r="F1919" s="5" t="s">
        <v>3189</v>
      </c>
      <c r="G1919" s="6">
        <v>0.27</v>
      </c>
      <c r="H1919" s="5" t="s">
        <v>4851</v>
      </c>
      <c r="I1919" s="5" t="s">
        <v>31</v>
      </c>
      <c r="J1919" s="5">
        <v>2025.0</v>
      </c>
      <c r="L1919" s="5">
        <v>1.0</v>
      </c>
      <c r="M1919" s="7">
        <f t="shared" si="5"/>
        <v>0.27</v>
      </c>
    </row>
    <row r="1920">
      <c r="A1920" s="5" t="s">
        <v>4862</v>
      </c>
      <c r="B1920" s="5" t="s">
        <v>677</v>
      </c>
      <c r="C1920" s="5" t="s">
        <v>1951</v>
      </c>
      <c r="D1920" s="5" t="s">
        <v>4863</v>
      </c>
      <c r="E1920" s="5" t="s">
        <v>1271</v>
      </c>
      <c r="F1920" s="5" t="s">
        <v>80</v>
      </c>
      <c r="G1920" s="6">
        <v>0.1</v>
      </c>
      <c r="H1920" s="5" t="s">
        <v>4851</v>
      </c>
      <c r="I1920" s="5" t="s">
        <v>20</v>
      </c>
      <c r="J1920" s="5">
        <v>2025.0</v>
      </c>
      <c r="L1920" s="5">
        <v>1.0</v>
      </c>
      <c r="M1920" s="7">
        <f t="shared" si="5"/>
        <v>0.1</v>
      </c>
    </row>
    <row r="1921">
      <c r="A1921" s="5" t="s">
        <v>4864</v>
      </c>
      <c r="B1921" s="5" t="s">
        <v>556</v>
      </c>
      <c r="C1921" s="5" t="s">
        <v>297</v>
      </c>
      <c r="D1921" s="5" t="s">
        <v>4865</v>
      </c>
      <c r="E1921" s="5" t="s">
        <v>1034</v>
      </c>
      <c r="F1921" s="5" t="s">
        <v>80</v>
      </c>
      <c r="G1921" s="6">
        <v>0.49</v>
      </c>
      <c r="H1921" s="5" t="s">
        <v>4851</v>
      </c>
      <c r="I1921" s="5" t="s">
        <v>20</v>
      </c>
      <c r="J1921" s="5">
        <v>2025.0</v>
      </c>
      <c r="L1921" s="5">
        <v>2.0</v>
      </c>
      <c r="M1921" s="7">
        <f t="shared" si="5"/>
        <v>0.98</v>
      </c>
    </row>
    <row r="1922">
      <c r="A1922" s="5" t="s">
        <v>4866</v>
      </c>
      <c r="B1922" s="5" t="s">
        <v>677</v>
      </c>
      <c r="C1922" s="5" t="s">
        <v>297</v>
      </c>
      <c r="D1922" s="5" t="s">
        <v>4867</v>
      </c>
      <c r="E1922" s="5" t="s">
        <v>1037</v>
      </c>
      <c r="F1922" s="5" t="s">
        <v>80</v>
      </c>
      <c r="G1922" s="6">
        <v>0.04</v>
      </c>
      <c r="H1922" s="5" t="s">
        <v>4851</v>
      </c>
      <c r="I1922" s="5" t="s">
        <v>20</v>
      </c>
      <c r="J1922" s="5">
        <v>2025.0</v>
      </c>
      <c r="L1922" s="5">
        <v>2.0</v>
      </c>
      <c r="M1922" s="7">
        <f t="shared" si="5"/>
        <v>0.08</v>
      </c>
    </row>
    <row r="1923">
      <c r="A1923" s="5" t="s">
        <v>4868</v>
      </c>
      <c r="B1923" s="5" t="s">
        <v>4869</v>
      </c>
      <c r="C1923" s="5" t="s">
        <v>297</v>
      </c>
      <c r="D1923" s="5" t="s">
        <v>4870</v>
      </c>
      <c r="E1923" s="5" t="s">
        <v>1037</v>
      </c>
      <c r="F1923" s="5" t="s">
        <v>80</v>
      </c>
      <c r="G1923" s="6">
        <v>0.17</v>
      </c>
      <c r="H1923" s="5" t="s">
        <v>4851</v>
      </c>
      <c r="I1923" s="5" t="s">
        <v>20</v>
      </c>
      <c r="J1923" s="5">
        <v>2025.0</v>
      </c>
      <c r="L1923" s="5">
        <v>1.0</v>
      </c>
      <c r="M1923" s="7">
        <f t="shared" si="5"/>
        <v>0.17</v>
      </c>
    </row>
    <row r="1924">
      <c r="A1924" s="5" t="s">
        <v>4868</v>
      </c>
      <c r="B1924" s="5" t="s">
        <v>4869</v>
      </c>
      <c r="C1924" s="5" t="s">
        <v>297</v>
      </c>
      <c r="D1924" s="5" t="s">
        <v>4870</v>
      </c>
      <c r="E1924" s="5" t="s">
        <v>1037</v>
      </c>
      <c r="F1924" s="5" t="s">
        <v>80</v>
      </c>
      <c r="G1924" s="6">
        <v>0.4</v>
      </c>
      <c r="H1924" s="5" t="s">
        <v>4851</v>
      </c>
      <c r="I1924" s="5" t="s">
        <v>31</v>
      </c>
      <c r="J1924" s="5">
        <v>2025.0</v>
      </c>
      <c r="L1924" s="5">
        <v>1.0</v>
      </c>
      <c r="M1924" s="7">
        <f t="shared" si="5"/>
        <v>0.4</v>
      </c>
    </row>
    <row r="1925">
      <c r="A1925" s="5" t="s">
        <v>4871</v>
      </c>
      <c r="B1925" s="5" t="s">
        <v>4872</v>
      </c>
      <c r="C1925" s="5" t="s">
        <v>1951</v>
      </c>
      <c r="D1925" s="5" t="s">
        <v>4873</v>
      </c>
      <c r="E1925" s="5" t="s">
        <v>1037</v>
      </c>
      <c r="F1925" s="5" t="s">
        <v>80</v>
      </c>
      <c r="G1925" s="6">
        <v>0.47</v>
      </c>
      <c r="H1925" s="5" t="s">
        <v>4851</v>
      </c>
      <c r="I1925" s="5" t="s">
        <v>31</v>
      </c>
      <c r="J1925" s="5">
        <v>2025.0</v>
      </c>
      <c r="L1925" s="5">
        <v>1.0</v>
      </c>
      <c r="M1925" s="7">
        <f t="shared" si="5"/>
        <v>0.47</v>
      </c>
    </row>
    <row r="1926">
      <c r="A1926" s="5" t="s">
        <v>4874</v>
      </c>
      <c r="B1926" s="5" t="s">
        <v>677</v>
      </c>
      <c r="C1926" s="5" t="s">
        <v>1951</v>
      </c>
      <c r="D1926" s="5" t="s">
        <v>4875</v>
      </c>
      <c r="E1926" s="5" t="s">
        <v>2032</v>
      </c>
      <c r="F1926" s="5" t="s">
        <v>80</v>
      </c>
      <c r="G1926" s="6">
        <v>0.1</v>
      </c>
      <c r="H1926" s="5" t="s">
        <v>4851</v>
      </c>
      <c r="I1926" s="5" t="s">
        <v>20</v>
      </c>
      <c r="J1926" s="5">
        <v>2025.0</v>
      </c>
      <c r="L1926" s="5">
        <v>1.0</v>
      </c>
      <c r="M1926" s="7">
        <f t="shared" si="5"/>
        <v>0.1</v>
      </c>
    </row>
    <row r="1927">
      <c r="A1927" s="5" t="s">
        <v>4876</v>
      </c>
      <c r="B1927" s="5" t="s">
        <v>4877</v>
      </c>
      <c r="C1927" s="5" t="s">
        <v>1951</v>
      </c>
      <c r="D1927" s="5" t="s">
        <v>4878</v>
      </c>
      <c r="E1927" s="5" t="s">
        <v>1034</v>
      </c>
      <c r="F1927" s="5" t="s">
        <v>80</v>
      </c>
      <c r="G1927" s="6">
        <v>0.06</v>
      </c>
      <c r="H1927" s="5" t="s">
        <v>4851</v>
      </c>
      <c r="I1927" s="5" t="s">
        <v>20</v>
      </c>
      <c r="J1927" s="5">
        <v>2025.0</v>
      </c>
      <c r="K1927" s="8">
        <v>46116.0</v>
      </c>
      <c r="L1927" s="5">
        <v>1.0</v>
      </c>
      <c r="M1927" s="7">
        <f t="shared" si="5"/>
        <v>0.06</v>
      </c>
    </row>
    <row r="1928">
      <c r="A1928" s="5" t="s">
        <v>4879</v>
      </c>
      <c r="B1928" s="5" t="s">
        <v>4880</v>
      </c>
      <c r="C1928" s="5" t="s">
        <v>1951</v>
      </c>
      <c r="D1928" s="5" t="s">
        <v>4881</v>
      </c>
      <c r="E1928" s="5" t="s">
        <v>1859</v>
      </c>
      <c r="F1928" s="5" t="s">
        <v>280</v>
      </c>
      <c r="G1928" s="6">
        <v>0.4</v>
      </c>
      <c r="H1928" s="5" t="s">
        <v>4851</v>
      </c>
      <c r="I1928" s="5" t="s">
        <v>31</v>
      </c>
      <c r="J1928" s="5">
        <v>2025.0</v>
      </c>
      <c r="K1928" s="5" t="s">
        <v>566</v>
      </c>
      <c r="L1928" s="5">
        <v>1.0</v>
      </c>
      <c r="M1928" s="7">
        <f t="shared" si="5"/>
        <v>0.4</v>
      </c>
    </row>
    <row r="1929">
      <c r="A1929" s="5" t="s">
        <v>4882</v>
      </c>
      <c r="B1929" s="5" t="s">
        <v>4872</v>
      </c>
      <c r="C1929" s="5" t="s">
        <v>297</v>
      </c>
      <c r="D1929" s="5" t="s">
        <v>4883</v>
      </c>
      <c r="E1929" s="5" t="s">
        <v>1782</v>
      </c>
      <c r="F1929" s="5" t="s">
        <v>152</v>
      </c>
      <c r="G1929" s="6">
        <v>0.1</v>
      </c>
      <c r="H1929" s="5" t="s">
        <v>4851</v>
      </c>
      <c r="I1929" s="5" t="s">
        <v>20</v>
      </c>
      <c r="J1929" s="5">
        <v>2025.0</v>
      </c>
      <c r="L1929" s="5">
        <v>2.0</v>
      </c>
      <c r="M1929" s="7">
        <f t="shared" si="5"/>
        <v>0.2</v>
      </c>
    </row>
    <row r="1930">
      <c r="A1930" s="5" t="s">
        <v>4884</v>
      </c>
      <c r="B1930" s="5" t="s">
        <v>4885</v>
      </c>
      <c r="C1930" s="5" t="s">
        <v>297</v>
      </c>
      <c r="D1930" s="5" t="s">
        <v>4886</v>
      </c>
      <c r="E1930" s="5" t="s">
        <v>2430</v>
      </c>
      <c r="F1930" s="5" t="s">
        <v>152</v>
      </c>
      <c r="G1930" s="6">
        <v>0.03</v>
      </c>
      <c r="H1930" s="5" t="s">
        <v>4851</v>
      </c>
      <c r="I1930" s="5" t="s">
        <v>20</v>
      </c>
      <c r="J1930" s="5">
        <v>2025.0</v>
      </c>
      <c r="K1930" s="8">
        <v>46145.0</v>
      </c>
      <c r="L1930" s="5">
        <v>2.0</v>
      </c>
      <c r="M1930" s="7">
        <f t="shared" si="5"/>
        <v>0.06</v>
      </c>
    </row>
    <row r="1931">
      <c r="A1931" s="5" t="s">
        <v>4887</v>
      </c>
      <c r="B1931" s="5" t="s">
        <v>4888</v>
      </c>
      <c r="C1931" s="5" t="s">
        <v>297</v>
      </c>
      <c r="D1931" s="5" t="s">
        <v>4889</v>
      </c>
      <c r="E1931" s="5" t="s">
        <v>715</v>
      </c>
      <c r="F1931" s="5" t="s">
        <v>152</v>
      </c>
      <c r="G1931" s="6">
        <v>0.04</v>
      </c>
      <c r="H1931" s="5" t="s">
        <v>4851</v>
      </c>
      <c r="I1931" s="5" t="s">
        <v>20</v>
      </c>
      <c r="J1931" s="5">
        <v>2025.0</v>
      </c>
      <c r="K1931" s="8">
        <v>46023.0</v>
      </c>
      <c r="L1931" s="5">
        <v>5.0</v>
      </c>
      <c r="M1931" s="7">
        <f t="shared" si="5"/>
        <v>0.2</v>
      </c>
    </row>
    <row r="1932">
      <c r="A1932" s="5" t="s">
        <v>4890</v>
      </c>
      <c r="B1932" s="5" t="s">
        <v>4891</v>
      </c>
      <c r="C1932" s="5" t="s">
        <v>297</v>
      </c>
      <c r="D1932" s="5" t="s">
        <v>4892</v>
      </c>
      <c r="E1932" s="5" t="s">
        <v>1782</v>
      </c>
      <c r="F1932" s="5" t="s">
        <v>152</v>
      </c>
      <c r="G1932" s="6">
        <v>0.05</v>
      </c>
      <c r="H1932" s="5" t="s">
        <v>4851</v>
      </c>
      <c r="I1932" s="5" t="s">
        <v>20</v>
      </c>
      <c r="J1932" s="5">
        <v>2025.0</v>
      </c>
      <c r="K1932" s="8">
        <v>46055.0</v>
      </c>
      <c r="L1932" s="5">
        <v>2.0</v>
      </c>
      <c r="M1932" s="7">
        <f t="shared" si="5"/>
        <v>0.1</v>
      </c>
    </row>
    <row r="1933">
      <c r="A1933" s="5" t="s">
        <v>4893</v>
      </c>
      <c r="B1933" s="5" t="s">
        <v>4872</v>
      </c>
      <c r="C1933" s="5" t="s">
        <v>1951</v>
      </c>
      <c r="D1933" s="5" t="s">
        <v>4894</v>
      </c>
      <c r="E1933" s="5" t="s">
        <v>715</v>
      </c>
      <c r="F1933" s="5" t="s">
        <v>152</v>
      </c>
      <c r="G1933" s="6">
        <v>0.25</v>
      </c>
      <c r="H1933" s="5" t="s">
        <v>4851</v>
      </c>
      <c r="I1933" s="5" t="s">
        <v>20</v>
      </c>
      <c r="J1933" s="5">
        <v>2025.0</v>
      </c>
      <c r="L1933" s="5">
        <v>1.0</v>
      </c>
      <c r="M1933" s="7">
        <f t="shared" si="5"/>
        <v>0.25</v>
      </c>
    </row>
    <row r="1934">
      <c r="A1934" s="5" t="s">
        <v>4895</v>
      </c>
      <c r="B1934" s="5" t="s">
        <v>2827</v>
      </c>
      <c r="C1934" s="5" t="s">
        <v>297</v>
      </c>
      <c r="D1934" s="5" t="s">
        <v>4896</v>
      </c>
      <c r="E1934" s="5" t="s">
        <v>1746</v>
      </c>
      <c r="F1934" s="5" t="s">
        <v>152</v>
      </c>
      <c r="G1934" s="6">
        <v>0.05</v>
      </c>
      <c r="H1934" s="5" t="s">
        <v>4851</v>
      </c>
      <c r="I1934" s="5" t="s">
        <v>20</v>
      </c>
      <c r="J1934" s="5">
        <v>2025.0</v>
      </c>
      <c r="L1934" s="5">
        <v>1.0</v>
      </c>
      <c r="M1934" s="7">
        <f t="shared" si="5"/>
        <v>0.05</v>
      </c>
    </row>
    <row r="1935">
      <c r="A1935" s="5" t="s">
        <v>4897</v>
      </c>
      <c r="B1935" s="5" t="s">
        <v>4898</v>
      </c>
      <c r="C1935" s="5" t="s">
        <v>1951</v>
      </c>
      <c r="D1935" s="5" t="s">
        <v>4899</v>
      </c>
      <c r="E1935" s="5" t="s">
        <v>1746</v>
      </c>
      <c r="F1935" s="5" t="s">
        <v>152</v>
      </c>
      <c r="G1935" s="6">
        <v>0.15</v>
      </c>
      <c r="H1935" s="5" t="s">
        <v>4851</v>
      </c>
      <c r="I1935" s="5" t="s">
        <v>20</v>
      </c>
      <c r="J1935" s="5">
        <v>2025.0</v>
      </c>
      <c r="K1935" s="8">
        <v>46055.0</v>
      </c>
      <c r="L1935" s="5">
        <v>1.0</v>
      </c>
      <c r="M1935" s="7">
        <f t="shared" si="5"/>
        <v>0.15</v>
      </c>
    </row>
    <row r="1936">
      <c r="A1936" s="5" t="s">
        <v>4900</v>
      </c>
      <c r="B1936" s="5" t="s">
        <v>677</v>
      </c>
      <c r="C1936" s="5" t="s">
        <v>1951</v>
      </c>
      <c r="D1936" s="5" t="s">
        <v>4901</v>
      </c>
      <c r="E1936" s="5" t="s">
        <v>1782</v>
      </c>
      <c r="F1936" s="5" t="s">
        <v>152</v>
      </c>
      <c r="G1936" s="6">
        <v>0.15</v>
      </c>
      <c r="H1936" s="5" t="s">
        <v>4851</v>
      </c>
      <c r="I1936" s="5" t="s">
        <v>20</v>
      </c>
      <c r="J1936" s="5">
        <v>2025.0</v>
      </c>
      <c r="L1936" s="5">
        <v>1.0</v>
      </c>
      <c r="M1936" s="7">
        <f t="shared" si="5"/>
        <v>0.15</v>
      </c>
    </row>
    <row r="1937">
      <c r="A1937" s="5" t="s">
        <v>4902</v>
      </c>
      <c r="B1937" s="5" t="s">
        <v>4903</v>
      </c>
      <c r="C1937" s="5" t="s">
        <v>1899</v>
      </c>
      <c r="D1937" s="5" t="s">
        <v>4904</v>
      </c>
      <c r="E1937" s="5" t="s">
        <v>715</v>
      </c>
      <c r="F1937" s="5" t="s">
        <v>152</v>
      </c>
      <c r="G1937" s="6">
        <v>2.0</v>
      </c>
      <c r="H1937" s="5" t="s">
        <v>4851</v>
      </c>
      <c r="I1937" s="5" t="s">
        <v>20</v>
      </c>
      <c r="J1937" s="5">
        <v>2025.0</v>
      </c>
      <c r="K1937" s="8">
        <v>46023.0</v>
      </c>
      <c r="L1937" s="5">
        <v>1.0</v>
      </c>
      <c r="M1937" s="7">
        <f t="shared" si="5"/>
        <v>2</v>
      </c>
    </row>
    <row r="1938">
      <c r="A1938" s="5" t="s">
        <v>4902</v>
      </c>
      <c r="B1938" s="5" t="s">
        <v>4903</v>
      </c>
      <c r="C1938" s="5" t="s">
        <v>1899</v>
      </c>
      <c r="D1938" s="5" t="s">
        <v>4904</v>
      </c>
      <c r="E1938" s="5" t="s">
        <v>715</v>
      </c>
      <c r="F1938" s="5" t="s">
        <v>152</v>
      </c>
      <c r="G1938" s="6">
        <v>6.89</v>
      </c>
      <c r="H1938" s="5" t="s">
        <v>4905</v>
      </c>
      <c r="I1938" s="5" t="s">
        <v>31</v>
      </c>
      <c r="J1938" s="5">
        <v>2025.0</v>
      </c>
      <c r="K1938" s="8">
        <v>46023.0</v>
      </c>
      <c r="L1938" s="5">
        <v>1.0</v>
      </c>
      <c r="M1938" s="7">
        <f t="shared" si="5"/>
        <v>6.89</v>
      </c>
    </row>
    <row r="1939">
      <c r="A1939" s="5" t="s">
        <v>4906</v>
      </c>
      <c r="B1939" s="5" t="s">
        <v>4907</v>
      </c>
      <c r="C1939" s="5" t="s">
        <v>1951</v>
      </c>
      <c r="D1939" s="5" t="s">
        <v>4908</v>
      </c>
      <c r="E1939" s="5" t="s">
        <v>1840</v>
      </c>
      <c r="F1939" s="5" t="s">
        <v>152</v>
      </c>
      <c r="G1939" s="6">
        <v>0.15</v>
      </c>
      <c r="H1939" s="5" t="s">
        <v>4851</v>
      </c>
      <c r="I1939" s="5" t="s">
        <v>20</v>
      </c>
      <c r="J1939" s="5">
        <v>2025.0</v>
      </c>
      <c r="K1939" s="8">
        <v>46116.0</v>
      </c>
      <c r="L1939" s="5">
        <v>1.0</v>
      </c>
      <c r="M1939" s="7">
        <f t="shared" si="5"/>
        <v>0.15</v>
      </c>
    </row>
    <row r="1940">
      <c r="A1940" s="5" t="s">
        <v>4909</v>
      </c>
      <c r="B1940" s="5" t="s">
        <v>4910</v>
      </c>
      <c r="C1940" s="5" t="s">
        <v>1951</v>
      </c>
      <c r="D1940" s="5" t="s">
        <v>4911</v>
      </c>
      <c r="E1940" s="5" t="s">
        <v>1764</v>
      </c>
      <c r="F1940" s="5" t="s">
        <v>152</v>
      </c>
      <c r="G1940" s="6">
        <v>0.15</v>
      </c>
      <c r="H1940" s="5" t="s">
        <v>4851</v>
      </c>
      <c r="I1940" s="5" t="s">
        <v>20</v>
      </c>
      <c r="J1940" s="5">
        <v>2025.0</v>
      </c>
      <c r="K1940" s="8">
        <v>46056.0</v>
      </c>
      <c r="L1940" s="5">
        <v>1.0</v>
      </c>
      <c r="M1940" s="7">
        <f t="shared" si="5"/>
        <v>0.15</v>
      </c>
    </row>
    <row r="1941">
      <c r="A1941" s="5" t="s">
        <v>4912</v>
      </c>
      <c r="B1941" s="5" t="s">
        <v>4913</v>
      </c>
      <c r="C1941" s="5" t="s">
        <v>297</v>
      </c>
      <c r="D1941" s="5" t="s">
        <v>4914</v>
      </c>
      <c r="E1941" s="5" t="s">
        <v>1746</v>
      </c>
      <c r="F1941" s="5" t="s">
        <v>152</v>
      </c>
      <c r="G1941" s="6">
        <v>0.07</v>
      </c>
      <c r="H1941" s="5" t="s">
        <v>4851</v>
      </c>
      <c r="I1941" s="5" t="s">
        <v>20</v>
      </c>
      <c r="J1941" s="5">
        <v>2025.0</v>
      </c>
      <c r="K1941" s="8">
        <v>46054.0</v>
      </c>
      <c r="L1941" s="5">
        <v>1.0</v>
      </c>
      <c r="M1941" s="7">
        <f t="shared" si="5"/>
        <v>0.07</v>
      </c>
    </row>
    <row r="1942">
      <c r="A1942" s="5" t="s">
        <v>4915</v>
      </c>
      <c r="B1942" s="5" t="s">
        <v>4916</v>
      </c>
      <c r="C1942" s="5" t="s">
        <v>297</v>
      </c>
      <c r="D1942" s="5" t="s">
        <v>4917</v>
      </c>
      <c r="E1942" s="5" t="s">
        <v>1764</v>
      </c>
      <c r="F1942" s="5" t="s">
        <v>152</v>
      </c>
      <c r="G1942" s="6">
        <v>0.08</v>
      </c>
      <c r="H1942" s="5" t="s">
        <v>4851</v>
      </c>
      <c r="I1942" s="5" t="s">
        <v>20</v>
      </c>
      <c r="J1942" s="5">
        <v>2025.0</v>
      </c>
      <c r="K1942" s="8">
        <v>46084.0</v>
      </c>
      <c r="L1942" s="5">
        <v>1.0</v>
      </c>
      <c r="M1942" s="7">
        <f t="shared" si="5"/>
        <v>0.08</v>
      </c>
    </row>
    <row r="1943">
      <c r="A1943" s="5" t="s">
        <v>4918</v>
      </c>
      <c r="B1943" s="5" t="s">
        <v>4898</v>
      </c>
      <c r="C1943" s="5" t="s">
        <v>297</v>
      </c>
      <c r="D1943" s="5" t="s">
        <v>4919</v>
      </c>
      <c r="E1943" s="5" t="s">
        <v>1782</v>
      </c>
      <c r="F1943" s="5" t="s">
        <v>152</v>
      </c>
      <c r="G1943" s="6">
        <v>0.1</v>
      </c>
      <c r="H1943" s="5" t="s">
        <v>4851</v>
      </c>
      <c r="I1943" s="5" t="s">
        <v>20</v>
      </c>
      <c r="J1943" s="5">
        <v>2025.0</v>
      </c>
      <c r="K1943" s="8">
        <v>46084.0</v>
      </c>
      <c r="L1943" s="5">
        <v>1.0</v>
      </c>
      <c r="M1943" s="7">
        <f t="shared" si="5"/>
        <v>0.1</v>
      </c>
    </row>
    <row r="1944">
      <c r="A1944" s="5" t="s">
        <v>4920</v>
      </c>
      <c r="B1944" s="5" t="s">
        <v>4872</v>
      </c>
      <c r="C1944" s="5" t="s">
        <v>297</v>
      </c>
      <c r="D1944" s="5" t="s">
        <v>4921</v>
      </c>
      <c r="E1944" s="5" t="s">
        <v>715</v>
      </c>
      <c r="F1944" s="5" t="s">
        <v>152</v>
      </c>
      <c r="G1944" s="6">
        <v>0.06</v>
      </c>
      <c r="H1944" s="5" t="s">
        <v>4851</v>
      </c>
      <c r="I1944" s="5" t="s">
        <v>20</v>
      </c>
      <c r="J1944" s="5">
        <v>2025.0</v>
      </c>
      <c r="L1944" s="5">
        <v>1.0</v>
      </c>
      <c r="M1944" s="7">
        <f t="shared" si="5"/>
        <v>0.06</v>
      </c>
    </row>
    <row r="1945">
      <c r="A1945" s="5" t="s">
        <v>4922</v>
      </c>
      <c r="B1945" s="5" t="s">
        <v>4872</v>
      </c>
      <c r="C1945" s="5" t="s">
        <v>1951</v>
      </c>
      <c r="D1945" s="5" t="s">
        <v>4923</v>
      </c>
      <c r="E1945" s="5" t="s">
        <v>1782</v>
      </c>
      <c r="F1945" s="5" t="s">
        <v>152</v>
      </c>
      <c r="G1945" s="6">
        <v>0.1</v>
      </c>
      <c r="H1945" s="5" t="s">
        <v>4851</v>
      </c>
      <c r="I1945" s="5" t="s">
        <v>20</v>
      </c>
      <c r="J1945" s="5">
        <v>2025.0</v>
      </c>
      <c r="L1945" s="5">
        <v>1.0</v>
      </c>
      <c r="M1945" s="7">
        <f t="shared" si="5"/>
        <v>0.1</v>
      </c>
    </row>
    <row r="1946">
      <c r="A1946" s="5" t="s">
        <v>4924</v>
      </c>
      <c r="B1946" s="5" t="s">
        <v>4872</v>
      </c>
      <c r="C1946" s="5" t="s">
        <v>1951</v>
      </c>
      <c r="D1946" s="5" t="s">
        <v>4925</v>
      </c>
      <c r="E1946" s="5" t="s">
        <v>1746</v>
      </c>
      <c r="F1946" s="5" t="s">
        <v>152</v>
      </c>
      <c r="G1946" s="6">
        <v>0.22</v>
      </c>
      <c r="H1946" s="5" t="s">
        <v>4851</v>
      </c>
      <c r="I1946" s="5" t="s">
        <v>20</v>
      </c>
      <c r="J1946" s="5">
        <v>2025.0</v>
      </c>
      <c r="L1946" s="5">
        <v>1.0</v>
      </c>
      <c r="M1946" s="7">
        <f t="shared" si="5"/>
        <v>0.22</v>
      </c>
    </row>
    <row r="1947">
      <c r="A1947" s="5" t="s">
        <v>4926</v>
      </c>
      <c r="B1947" s="5" t="s">
        <v>4916</v>
      </c>
      <c r="C1947" s="5" t="s">
        <v>1951</v>
      </c>
      <c r="D1947" s="5" t="s">
        <v>4927</v>
      </c>
      <c r="E1947" s="5" t="s">
        <v>1746</v>
      </c>
      <c r="F1947" s="5" t="s">
        <v>152</v>
      </c>
      <c r="G1947" s="6">
        <v>0.2</v>
      </c>
      <c r="H1947" s="5" t="s">
        <v>4851</v>
      </c>
      <c r="I1947" s="5" t="s">
        <v>20</v>
      </c>
      <c r="J1947" s="5">
        <v>2025.0</v>
      </c>
      <c r="K1947" s="8">
        <v>46023.0</v>
      </c>
      <c r="L1947" s="5">
        <v>1.0</v>
      </c>
      <c r="M1947" s="7">
        <f t="shared" si="5"/>
        <v>0.2</v>
      </c>
    </row>
    <row r="1948">
      <c r="A1948" s="5" t="s">
        <v>4928</v>
      </c>
      <c r="B1948" s="5" t="s">
        <v>612</v>
      </c>
      <c r="C1948" s="5" t="s">
        <v>297</v>
      </c>
      <c r="D1948" s="5" t="s">
        <v>4929</v>
      </c>
      <c r="E1948" s="5" t="s">
        <v>1746</v>
      </c>
      <c r="F1948" s="5" t="s">
        <v>152</v>
      </c>
      <c r="G1948" s="6">
        <v>0.05</v>
      </c>
      <c r="H1948" s="5" t="s">
        <v>4851</v>
      </c>
      <c r="I1948" s="5" t="s">
        <v>20</v>
      </c>
      <c r="J1948" s="5">
        <v>2025.0</v>
      </c>
      <c r="L1948" s="5">
        <v>3.0</v>
      </c>
      <c r="M1948" s="7">
        <f t="shared" si="5"/>
        <v>0.15</v>
      </c>
    </row>
    <row r="1949">
      <c r="A1949" s="5" t="s">
        <v>4930</v>
      </c>
      <c r="B1949" s="5" t="s">
        <v>4907</v>
      </c>
      <c r="C1949" s="5" t="s">
        <v>1951</v>
      </c>
      <c r="D1949" s="5" t="s">
        <v>4931</v>
      </c>
      <c r="E1949" s="5" t="s">
        <v>4932</v>
      </c>
      <c r="F1949" s="5" t="s">
        <v>3189</v>
      </c>
      <c r="G1949" s="6">
        <v>0.54</v>
      </c>
      <c r="H1949" s="5" t="s">
        <v>4851</v>
      </c>
      <c r="I1949" s="5" t="s">
        <v>31</v>
      </c>
      <c r="J1949" s="5">
        <v>2025.0</v>
      </c>
      <c r="K1949" s="8">
        <v>46114.0</v>
      </c>
      <c r="L1949" s="5">
        <v>1.0</v>
      </c>
      <c r="M1949" s="7">
        <f t="shared" si="5"/>
        <v>0.54</v>
      </c>
    </row>
    <row r="1950">
      <c r="A1950" s="5" t="s">
        <v>4933</v>
      </c>
      <c r="B1950" s="5" t="s">
        <v>4934</v>
      </c>
      <c r="C1950" s="5" t="s">
        <v>297</v>
      </c>
      <c r="D1950" s="5" t="s">
        <v>4935</v>
      </c>
      <c r="E1950" s="5" t="s">
        <v>4936</v>
      </c>
      <c r="F1950" s="5" t="s">
        <v>3189</v>
      </c>
      <c r="G1950" s="6">
        <v>0.05</v>
      </c>
      <c r="H1950" s="5" t="s">
        <v>4851</v>
      </c>
      <c r="I1950" s="5" t="s">
        <v>20</v>
      </c>
      <c r="J1950" s="5">
        <v>2025.0</v>
      </c>
      <c r="K1950" s="8">
        <v>46084.0</v>
      </c>
      <c r="L1950" s="5">
        <v>1.0</v>
      </c>
      <c r="M1950" s="7">
        <f t="shared" si="5"/>
        <v>0.05</v>
      </c>
    </row>
    <row r="1951">
      <c r="A1951" s="5" t="s">
        <v>4937</v>
      </c>
      <c r="B1951" s="5" t="s">
        <v>4938</v>
      </c>
      <c r="C1951" s="5" t="s">
        <v>297</v>
      </c>
      <c r="D1951" s="5" t="s">
        <v>4939</v>
      </c>
      <c r="E1951" s="5" t="s">
        <v>4940</v>
      </c>
      <c r="F1951" s="5" t="s">
        <v>1616</v>
      </c>
      <c r="G1951" s="6">
        <v>0.05</v>
      </c>
      <c r="H1951" s="5" t="s">
        <v>4851</v>
      </c>
      <c r="I1951" s="5" t="s">
        <v>20</v>
      </c>
      <c r="J1951" s="5">
        <v>2025.0</v>
      </c>
      <c r="K1951" s="8">
        <v>46025.0</v>
      </c>
      <c r="L1951" s="5">
        <v>4.0</v>
      </c>
      <c r="M1951" s="7">
        <f t="shared" si="5"/>
        <v>0.2</v>
      </c>
    </row>
    <row r="1952">
      <c r="A1952" s="5" t="s">
        <v>4937</v>
      </c>
      <c r="B1952" s="5" t="s">
        <v>4938</v>
      </c>
      <c r="C1952" s="5" t="s">
        <v>297</v>
      </c>
      <c r="D1952" s="5" t="s">
        <v>4939</v>
      </c>
      <c r="E1952" s="5" t="s">
        <v>4940</v>
      </c>
      <c r="F1952" s="5" t="s">
        <v>1616</v>
      </c>
      <c r="G1952" s="6">
        <v>0.25</v>
      </c>
      <c r="H1952" s="5" t="s">
        <v>4851</v>
      </c>
      <c r="I1952" s="5" t="s">
        <v>31</v>
      </c>
      <c r="J1952" s="5">
        <v>2025.0</v>
      </c>
      <c r="K1952" s="8">
        <v>46025.0</v>
      </c>
      <c r="L1952" s="5">
        <v>1.0</v>
      </c>
      <c r="M1952" s="7">
        <f t="shared" si="5"/>
        <v>0.25</v>
      </c>
    </row>
    <row r="1953">
      <c r="A1953" s="5" t="s">
        <v>4941</v>
      </c>
      <c r="B1953" s="5" t="s">
        <v>4942</v>
      </c>
      <c r="C1953" s="5" t="s">
        <v>1951</v>
      </c>
      <c r="D1953" s="5" t="s">
        <v>4943</v>
      </c>
      <c r="E1953" s="5" t="s">
        <v>4944</v>
      </c>
      <c r="F1953" s="5" t="s">
        <v>1616</v>
      </c>
      <c r="G1953" s="6">
        <v>0.15</v>
      </c>
      <c r="H1953" s="5" t="s">
        <v>4851</v>
      </c>
      <c r="I1953" s="5" t="s">
        <v>20</v>
      </c>
      <c r="J1953" s="5">
        <v>2025.0</v>
      </c>
      <c r="K1953" s="8">
        <v>46083.0</v>
      </c>
      <c r="L1953" s="5">
        <v>1.0</v>
      </c>
      <c r="M1953" s="7">
        <f t="shared" si="5"/>
        <v>0.15</v>
      </c>
    </row>
    <row r="1954">
      <c r="A1954" s="5" t="s">
        <v>4945</v>
      </c>
      <c r="B1954" s="5" t="s">
        <v>4907</v>
      </c>
      <c r="C1954" s="5" t="s">
        <v>1899</v>
      </c>
      <c r="D1954" s="5" t="s">
        <v>4946</v>
      </c>
      <c r="E1954" s="5" t="s">
        <v>4947</v>
      </c>
      <c r="F1954" s="5" t="s">
        <v>4948</v>
      </c>
      <c r="G1954" s="6">
        <v>2.38</v>
      </c>
      <c r="H1954" s="5" t="s">
        <v>4851</v>
      </c>
      <c r="I1954" s="5" t="s">
        <v>20</v>
      </c>
      <c r="J1954" s="5">
        <v>2025.0</v>
      </c>
      <c r="K1954" s="8">
        <v>46084.0</v>
      </c>
      <c r="L1954" s="5">
        <v>1.0</v>
      </c>
      <c r="M1954" s="7">
        <f t="shared" si="5"/>
        <v>2.38</v>
      </c>
    </row>
    <row r="1955">
      <c r="A1955" s="5" t="s">
        <v>4949</v>
      </c>
      <c r="B1955" s="5" t="s">
        <v>4950</v>
      </c>
      <c r="C1955" s="5" t="s">
        <v>1899</v>
      </c>
      <c r="D1955" s="5" t="s">
        <v>4951</v>
      </c>
      <c r="E1955" s="5" t="s">
        <v>4952</v>
      </c>
      <c r="F1955" s="5" t="s">
        <v>4948</v>
      </c>
      <c r="G1955" s="6">
        <v>4.5</v>
      </c>
      <c r="H1955" s="5" t="s">
        <v>4851</v>
      </c>
      <c r="I1955" s="5" t="s">
        <v>20</v>
      </c>
      <c r="J1955" s="5">
        <v>2025.0</v>
      </c>
      <c r="K1955" s="8">
        <v>46084.0</v>
      </c>
      <c r="L1955" s="5">
        <v>1.0</v>
      </c>
      <c r="M1955" s="7">
        <f t="shared" si="5"/>
        <v>4.5</v>
      </c>
    </row>
    <row r="1956">
      <c r="A1956" s="5" t="s">
        <v>4953</v>
      </c>
      <c r="B1956" s="5" t="s">
        <v>4954</v>
      </c>
      <c r="C1956" s="5" t="s">
        <v>1899</v>
      </c>
      <c r="D1956" s="5" t="s">
        <v>4955</v>
      </c>
      <c r="E1956" s="5" t="s">
        <v>3455</v>
      </c>
      <c r="F1956" s="5" t="s">
        <v>3456</v>
      </c>
      <c r="G1956" s="6">
        <v>1.19</v>
      </c>
      <c r="H1956" s="5" t="s">
        <v>4851</v>
      </c>
      <c r="I1956" s="5" t="s">
        <v>20</v>
      </c>
      <c r="J1956" s="5">
        <v>2025.0</v>
      </c>
      <c r="K1956" s="8">
        <v>46147.0</v>
      </c>
      <c r="L1956" s="5">
        <v>1.0</v>
      </c>
      <c r="M1956" s="7">
        <f t="shared" si="5"/>
        <v>1.19</v>
      </c>
    </row>
    <row r="1957">
      <c r="A1957" s="5" t="s">
        <v>4956</v>
      </c>
      <c r="B1957" s="5" t="s">
        <v>4907</v>
      </c>
      <c r="C1957" s="5" t="s">
        <v>1899</v>
      </c>
      <c r="D1957" s="5" t="s">
        <v>4957</v>
      </c>
      <c r="E1957" s="5" t="s">
        <v>4958</v>
      </c>
      <c r="F1957" s="5" t="s">
        <v>3198</v>
      </c>
      <c r="G1957" s="6">
        <v>0.99</v>
      </c>
      <c r="H1957" s="5" t="s">
        <v>4851</v>
      </c>
      <c r="I1957" s="5" t="s">
        <v>20</v>
      </c>
      <c r="J1957" s="5">
        <v>2025.0</v>
      </c>
      <c r="K1957" s="8">
        <v>46115.0</v>
      </c>
      <c r="L1957" s="5">
        <v>1.0</v>
      </c>
      <c r="M1957" s="7">
        <f t="shared" si="5"/>
        <v>0.99</v>
      </c>
    </row>
    <row r="1958">
      <c r="A1958" s="5" t="s">
        <v>4959</v>
      </c>
      <c r="B1958" s="5" t="s">
        <v>387</v>
      </c>
      <c r="C1958" s="5" t="s">
        <v>1951</v>
      </c>
      <c r="D1958" s="5" t="s">
        <v>4960</v>
      </c>
      <c r="E1958" s="5" t="s">
        <v>2302</v>
      </c>
      <c r="F1958" s="5" t="s">
        <v>18</v>
      </c>
      <c r="G1958" s="6">
        <v>0.03</v>
      </c>
      <c r="H1958" s="5" t="s">
        <v>4851</v>
      </c>
      <c r="I1958" s="5" t="s">
        <v>20</v>
      </c>
      <c r="J1958" s="5">
        <v>2025.0</v>
      </c>
      <c r="L1958" s="5">
        <v>2.0</v>
      </c>
      <c r="M1958" s="7">
        <f t="shared" si="5"/>
        <v>0.06</v>
      </c>
    </row>
    <row r="1959">
      <c r="A1959" s="5" t="s">
        <v>4961</v>
      </c>
      <c r="B1959" s="5" t="s">
        <v>4962</v>
      </c>
      <c r="C1959" s="5" t="s">
        <v>297</v>
      </c>
      <c r="D1959" s="5" t="s">
        <v>4963</v>
      </c>
      <c r="E1959" s="5" t="s">
        <v>4964</v>
      </c>
      <c r="F1959" s="5" t="s">
        <v>3194</v>
      </c>
      <c r="G1959" s="6">
        <v>0.06</v>
      </c>
      <c r="H1959" s="5" t="s">
        <v>4851</v>
      </c>
      <c r="I1959" s="5" t="s">
        <v>20</v>
      </c>
      <c r="J1959" s="5">
        <v>2025.0</v>
      </c>
      <c r="K1959" s="8">
        <v>46144.0</v>
      </c>
      <c r="L1959" s="5">
        <v>1.0</v>
      </c>
      <c r="M1959" s="7">
        <f t="shared" si="5"/>
        <v>0.06</v>
      </c>
    </row>
    <row r="1960">
      <c r="A1960" s="5" t="s">
        <v>4965</v>
      </c>
      <c r="B1960" s="5" t="s">
        <v>4966</v>
      </c>
      <c r="C1960" s="5" t="s">
        <v>1951</v>
      </c>
      <c r="D1960" s="5" t="s">
        <v>4967</v>
      </c>
      <c r="E1960" s="5" t="s">
        <v>4968</v>
      </c>
      <c r="F1960" s="5" t="s">
        <v>3194</v>
      </c>
      <c r="G1960" s="6">
        <v>0.15</v>
      </c>
      <c r="H1960" s="5" t="s">
        <v>4851</v>
      </c>
      <c r="I1960" s="5" t="s">
        <v>20</v>
      </c>
      <c r="J1960" s="5">
        <v>2025.0</v>
      </c>
      <c r="K1960" s="8">
        <v>46025.0</v>
      </c>
      <c r="L1960" s="5">
        <v>1.0</v>
      </c>
      <c r="M1960" s="7">
        <f t="shared" si="5"/>
        <v>0.15</v>
      </c>
    </row>
    <row r="1961">
      <c r="A1961" s="5" t="s">
        <v>4969</v>
      </c>
      <c r="B1961" s="5" t="s">
        <v>4916</v>
      </c>
      <c r="C1961" s="5" t="s">
        <v>1951</v>
      </c>
      <c r="D1961" s="5" t="s">
        <v>4970</v>
      </c>
      <c r="E1961" s="5" t="s">
        <v>4971</v>
      </c>
      <c r="F1961" s="5" t="s">
        <v>3194</v>
      </c>
      <c r="G1961" s="6">
        <v>0.15</v>
      </c>
      <c r="H1961" s="5" t="s">
        <v>4851</v>
      </c>
      <c r="I1961" s="5" t="s">
        <v>20</v>
      </c>
      <c r="J1961" s="5">
        <v>2025.0</v>
      </c>
      <c r="K1961" s="8">
        <v>46145.0</v>
      </c>
      <c r="L1961" s="5">
        <v>1.0</v>
      </c>
      <c r="M1961" s="7">
        <f t="shared" si="5"/>
        <v>0.15</v>
      </c>
    </row>
    <row r="1962">
      <c r="A1962" s="5" t="s">
        <v>4972</v>
      </c>
      <c r="B1962" s="5" t="s">
        <v>4973</v>
      </c>
      <c r="C1962" s="5" t="s">
        <v>1951</v>
      </c>
      <c r="D1962" s="5" t="s">
        <v>4974</v>
      </c>
      <c r="E1962" s="5" t="s">
        <v>2400</v>
      </c>
      <c r="F1962" s="5" t="s">
        <v>3202</v>
      </c>
      <c r="G1962" s="6">
        <v>0.24</v>
      </c>
      <c r="H1962" s="5" t="s">
        <v>4851</v>
      </c>
      <c r="I1962" s="5" t="s">
        <v>20</v>
      </c>
      <c r="J1962" s="5">
        <v>2025.0</v>
      </c>
      <c r="K1962" s="5" t="s">
        <v>719</v>
      </c>
      <c r="L1962" s="5">
        <v>1.0</v>
      </c>
      <c r="M1962" s="7">
        <f t="shared" si="5"/>
        <v>0.24</v>
      </c>
    </row>
    <row r="1963">
      <c r="A1963" s="5" t="s">
        <v>4975</v>
      </c>
      <c r="B1963" s="5" t="s">
        <v>4907</v>
      </c>
      <c r="C1963" s="5" t="s">
        <v>1899</v>
      </c>
      <c r="D1963" s="5" t="s">
        <v>4976</v>
      </c>
      <c r="E1963" s="5" t="s">
        <v>3402</v>
      </c>
      <c r="F1963" s="5" t="s">
        <v>3202</v>
      </c>
      <c r="G1963" s="6">
        <v>1.69</v>
      </c>
      <c r="H1963" s="5" t="s">
        <v>4851</v>
      </c>
      <c r="I1963" s="5" t="s">
        <v>20</v>
      </c>
      <c r="J1963" s="5">
        <v>2025.0</v>
      </c>
      <c r="K1963" s="8">
        <v>46023.0</v>
      </c>
      <c r="L1963" s="5">
        <v>1.0</v>
      </c>
      <c r="M1963" s="7">
        <f t="shared" si="5"/>
        <v>1.69</v>
      </c>
    </row>
    <row r="1964">
      <c r="A1964" s="5" t="s">
        <v>4977</v>
      </c>
      <c r="B1964" s="5" t="s">
        <v>4978</v>
      </c>
      <c r="C1964" s="5" t="s">
        <v>1951</v>
      </c>
      <c r="D1964" s="5" t="s">
        <v>4979</v>
      </c>
      <c r="E1964" s="5" t="s">
        <v>4980</v>
      </c>
      <c r="F1964" s="5" t="s">
        <v>3202</v>
      </c>
      <c r="G1964" s="6">
        <v>0.17</v>
      </c>
      <c r="H1964" s="5" t="s">
        <v>4851</v>
      </c>
      <c r="I1964" s="5" t="s">
        <v>20</v>
      </c>
      <c r="J1964" s="5">
        <v>2025.0</v>
      </c>
      <c r="K1964" s="5" t="s">
        <v>89</v>
      </c>
      <c r="L1964" s="5">
        <v>1.0</v>
      </c>
      <c r="M1964" s="7">
        <f t="shared" si="5"/>
        <v>0.17</v>
      </c>
    </row>
    <row r="1965">
      <c r="A1965" s="5" t="s">
        <v>4981</v>
      </c>
      <c r="B1965" s="5" t="s">
        <v>4872</v>
      </c>
      <c r="C1965" s="5" t="s">
        <v>297</v>
      </c>
      <c r="D1965" s="5" t="s">
        <v>4982</v>
      </c>
      <c r="E1965" s="5" t="s">
        <v>4983</v>
      </c>
      <c r="F1965" s="5" t="s">
        <v>3202</v>
      </c>
      <c r="G1965" s="6">
        <v>6.27</v>
      </c>
      <c r="H1965" s="5" t="s">
        <v>4851</v>
      </c>
      <c r="I1965" s="5" t="s">
        <v>20</v>
      </c>
      <c r="J1965" s="5">
        <v>2025.0</v>
      </c>
      <c r="L1965" s="5">
        <v>2.0</v>
      </c>
      <c r="M1965" s="7">
        <f t="shared" si="5"/>
        <v>12.54</v>
      </c>
    </row>
    <row r="1966">
      <c r="A1966" s="5" t="s">
        <v>4984</v>
      </c>
      <c r="B1966" s="5" t="s">
        <v>4907</v>
      </c>
      <c r="C1966" s="5" t="s">
        <v>1951</v>
      </c>
      <c r="D1966" s="5" t="s">
        <v>4985</v>
      </c>
      <c r="E1966" s="5" t="s">
        <v>4986</v>
      </c>
      <c r="F1966" s="5" t="s">
        <v>3113</v>
      </c>
      <c r="G1966" s="6">
        <v>0.15</v>
      </c>
      <c r="H1966" s="5" t="s">
        <v>4851</v>
      </c>
      <c r="I1966" s="5" t="s">
        <v>20</v>
      </c>
      <c r="J1966" s="5">
        <v>2025.0</v>
      </c>
      <c r="K1966" s="5" t="s">
        <v>3399</v>
      </c>
      <c r="L1966" s="5">
        <v>2.0</v>
      </c>
      <c r="M1966" s="7">
        <f t="shared" si="5"/>
        <v>0.3</v>
      </c>
    </row>
    <row r="1967">
      <c r="A1967" s="5" t="s">
        <v>4987</v>
      </c>
      <c r="B1967" s="5" t="s">
        <v>593</v>
      </c>
      <c r="C1967" s="5" t="s">
        <v>297</v>
      </c>
      <c r="D1967" s="5" t="s">
        <v>4988</v>
      </c>
      <c r="E1967" s="5" t="s">
        <v>4989</v>
      </c>
      <c r="F1967" s="5" t="s">
        <v>3113</v>
      </c>
      <c r="G1967" s="6">
        <v>0.04</v>
      </c>
      <c r="H1967" s="5" t="s">
        <v>4851</v>
      </c>
      <c r="I1967" s="5" t="s">
        <v>20</v>
      </c>
      <c r="J1967" s="5">
        <v>2025.0</v>
      </c>
      <c r="K1967" s="8">
        <v>46115.0</v>
      </c>
      <c r="L1967" s="5">
        <v>3.0</v>
      </c>
      <c r="M1967" s="7">
        <f t="shared" si="5"/>
        <v>0.12</v>
      </c>
    </row>
    <row r="1968">
      <c r="A1968" s="5" t="s">
        <v>4990</v>
      </c>
      <c r="B1968" s="5" t="s">
        <v>4898</v>
      </c>
      <c r="C1968" s="5" t="s">
        <v>1951</v>
      </c>
      <c r="D1968" s="5" t="s">
        <v>4991</v>
      </c>
      <c r="E1968" s="5" t="s">
        <v>3112</v>
      </c>
      <c r="F1968" s="5" t="s">
        <v>3113</v>
      </c>
      <c r="G1968" s="6">
        <v>0.15</v>
      </c>
      <c r="H1968" s="5" t="s">
        <v>4851</v>
      </c>
      <c r="I1968" s="5" t="s">
        <v>20</v>
      </c>
      <c r="J1968" s="5">
        <v>2025.0</v>
      </c>
      <c r="K1968" s="8">
        <v>46083.0</v>
      </c>
      <c r="L1968" s="5">
        <v>1.0</v>
      </c>
      <c r="M1968" s="7">
        <f t="shared" si="5"/>
        <v>0.15</v>
      </c>
    </row>
    <row r="1969">
      <c r="A1969" s="5" t="s">
        <v>4992</v>
      </c>
      <c r="B1969" s="5" t="s">
        <v>4993</v>
      </c>
      <c r="C1969" s="5" t="s">
        <v>1899</v>
      </c>
      <c r="D1969" s="5" t="s">
        <v>4994</v>
      </c>
      <c r="E1969" s="5" t="s">
        <v>4995</v>
      </c>
      <c r="F1969" s="5" t="s">
        <v>3174</v>
      </c>
      <c r="G1969" s="6">
        <v>2.5</v>
      </c>
      <c r="H1969" s="5" t="s">
        <v>4851</v>
      </c>
      <c r="I1969" s="5" t="s">
        <v>31</v>
      </c>
      <c r="J1969" s="5">
        <v>2025.0</v>
      </c>
      <c r="K1969" s="8">
        <v>46116.0</v>
      </c>
      <c r="L1969" s="5">
        <v>1.0</v>
      </c>
      <c r="M1969" s="7">
        <f t="shared" si="5"/>
        <v>2.5</v>
      </c>
    </row>
    <row r="1970">
      <c r="A1970" s="5" t="s">
        <v>4996</v>
      </c>
      <c r="B1970" s="5" t="s">
        <v>4997</v>
      </c>
      <c r="C1970" s="5" t="s">
        <v>1951</v>
      </c>
      <c r="D1970" s="5" t="s">
        <v>4998</v>
      </c>
      <c r="E1970" s="5" t="s">
        <v>4999</v>
      </c>
      <c r="F1970" s="5" t="s">
        <v>3174</v>
      </c>
      <c r="G1970" s="6">
        <v>0.25</v>
      </c>
      <c r="H1970" s="5" t="s">
        <v>4851</v>
      </c>
      <c r="I1970" s="5" t="s">
        <v>31</v>
      </c>
      <c r="J1970" s="5">
        <v>2025.0</v>
      </c>
      <c r="K1970" s="8">
        <v>46084.0</v>
      </c>
      <c r="L1970" s="5">
        <v>1.0</v>
      </c>
      <c r="M1970" s="7">
        <f t="shared" si="5"/>
        <v>0.25</v>
      </c>
    </row>
    <row r="1971">
      <c r="A1971" s="5" t="s">
        <v>5000</v>
      </c>
      <c r="B1971" s="5" t="s">
        <v>5001</v>
      </c>
      <c r="C1971" s="5" t="s">
        <v>297</v>
      </c>
      <c r="D1971" s="5" t="s">
        <v>5002</v>
      </c>
      <c r="E1971" s="5" t="s">
        <v>5003</v>
      </c>
      <c r="F1971" s="5" t="s">
        <v>3174</v>
      </c>
      <c r="G1971" s="6">
        <v>0.04</v>
      </c>
      <c r="H1971" s="5" t="s">
        <v>4851</v>
      </c>
      <c r="I1971" s="5" t="s">
        <v>20</v>
      </c>
      <c r="J1971" s="5">
        <v>2025.0</v>
      </c>
      <c r="K1971" s="8">
        <v>46054.0</v>
      </c>
      <c r="L1971" s="5">
        <v>3.0</v>
      </c>
      <c r="M1971" s="7">
        <f t="shared" si="5"/>
        <v>0.12</v>
      </c>
    </row>
    <row r="1972">
      <c r="A1972" s="5" t="s">
        <v>5004</v>
      </c>
      <c r="B1972" s="5" t="s">
        <v>5005</v>
      </c>
      <c r="C1972" s="5" t="s">
        <v>297</v>
      </c>
      <c r="D1972" s="5" t="s">
        <v>5006</v>
      </c>
      <c r="E1972" s="5" t="s">
        <v>5007</v>
      </c>
      <c r="F1972" s="5" t="s">
        <v>3155</v>
      </c>
      <c r="G1972" s="6">
        <v>0.05</v>
      </c>
      <c r="H1972" s="5" t="s">
        <v>4851</v>
      </c>
      <c r="I1972" s="5" t="s">
        <v>20</v>
      </c>
      <c r="J1972" s="5">
        <v>2025.0</v>
      </c>
      <c r="K1972" s="8">
        <v>46083.0</v>
      </c>
      <c r="L1972" s="5">
        <v>2.0</v>
      </c>
      <c r="M1972" s="7">
        <f t="shared" si="5"/>
        <v>0.1</v>
      </c>
    </row>
    <row r="1973">
      <c r="A1973" s="5" t="s">
        <v>5008</v>
      </c>
      <c r="B1973" s="5" t="s">
        <v>5009</v>
      </c>
      <c r="C1973" s="5" t="s">
        <v>1951</v>
      </c>
      <c r="D1973" s="5" t="s">
        <v>5010</v>
      </c>
      <c r="E1973" s="5" t="s">
        <v>1373</v>
      </c>
      <c r="F1973" s="5" t="s">
        <v>3155</v>
      </c>
      <c r="G1973" s="6">
        <v>0.24</v>
      </c>
      <c r="H1973" s="5" t="s">
        <v>4851</v>
      </c>
      <c r="I1973" s="5" t="s">
        <v>20</v>
      </c>
      <c r="J1973" s="5">
        <v>2025.0</v>
      </c>
      <c r="K1973" s="8">
        <v>46083.0</v>
      </c>
      <c r="L1973" s="5">
        <v>1.0</v>
      </c>
      <c r="M1973" s="7">
        <f t="shared" si="5"/>
        <v>0.24</v>
      </c>
    </row>
    <row r="1974">
      <c r="A1974" s="5" t="s">
        <v>5011</v>
      </c>
      <c r="B1974" s="5" t="s">
        <v>593</v>
      </c>
      <c r="C1974" s="5" t="s">
        <v>297</v>
      </c>
      <c r="D1974" s="5" t="s">
        <v>5012</v>
      </c>
      <c r="E1974" s="5" t="s">
        <v>3122</v>
      </c>
      <c r="F1974" s="5" t="s">
        <v>3119</v>
      </c>
      <c r="G1974" s="6">
        <v>0.05</v>
      </c>
      <c r="H1974" s="5" t="s">
        <v>4851</v>
      </c>
      <c r="I1974" s="5" t="s">
        <v>20</v>
      </c>
      <c r="J1974" s="5">
        <v>2025.0</v>
      </c>
      <c r="K1974" s="8">
        <v>46083.0</v>
      </c>
      <c r="L1974" s="5">
        <v>4.0</v>
      </c>
      <c r="M1974" s="7">
        <f t="shared" si="5"/>
        <v>0.2</v>
      </c>
    </row>
    <row r="1975">
      <c r="A1975" s="5" t="s">
        <v>5013</v>
      </c>
      <c r="B1975" s="5" t="s">
        <v>5014</v>
      </c>
      <c r="C1975" s="5" t="s">
        <v>1951</v>
      </c>
      <c r="D1975" s="5" t="s">
        <v>5015</v>
      </c>
      <c r="E1975" s="5" t="s">
        <v>5016</v>
      </c>
      <c r="F1975" s="5" t="s">
        <v>3182</v>
      </c>
      <c r="G1975" s="6">
        <v>0.15</v>
      </c>
      <c r="H1975" s="5" t="s">
        <v>4851</v>
      </c>
      <c r="I1975" s="5" t="s">
        <v>20</v>
      </c>
      <c r="J1975" s="5">
        <v>2025.0</v>
      </c>
      <c r="K1975" s="8">
        <v>46084.0</v>
      </c>
      <c r="L1975" s="5">
        <v>1.0</v>
      </c>
      <c r="M1975" s="7">
        <f t="shared" si="5"/>
        <v>0.15</v>
      </c>
    </row>
    <row r="1976">
      <c r="A1976" s="5" t="s">
        <v>5017</v>
      </c>
      <c r="B1976" s="5" t="s">
        <v>5018</v>
      </c>
      <c r="C1976" s="5" t="s">
        <v>1899</v>
      </c>
      <c r="D1976" s="5" t="s">
        <v>5019</v>
      </c>
      <c r="E1976" s="5" t="s">
        <v>1492</v>
      </c>
      <c r="F1976" s="5" t="s">
        <v>3119</v>
      </c>
      <c r="G1976" s="6">
        <v>0.99</v>
      </c>
      <c r="H1976" s="5" t="s">
        <v>4851</v>
      </c>
      <c r="I1976" s="5" t="s">
        <v>20</v>
      </c>
      <c r="J1976" s="5">
        <v>2025.0</v>
      </c>
      <c r="K1976" s="8">
        <v>46083.0</v>
      </c>
      <c r="L1976" s="5">
        <v>1.0</v>
      </c>
      <c r="M1976" s="7">
        <f t="shared" si="5"/>
        <v>0.99</v>
      </c>
    </row>
    <row r="1977">
      <c r="A1977" s="5" t="s">
        <v>5020</v>
      </c>
      <c r="B1977" s="5" t="s">
        <v>4872</v>
      </c>
      <c r="C1977" s="5" t="s">
        <v>297</v>
      </c>
      <c r="D1977" s="5" t="s">
        <v>5021</v>
      </c>
      <c r="E1977" s="5" t="s">
        <v>2283</v>
      </c>
      <c r="F1977" s="5" t="s">
        <v>280</v>
      </c>
      <c r="G1977" s="6">
        <v>0.04</v>
      </c>
      <c r="H1977" s="5" t="s">
        <v>4851</v>
      </c>
      <c r="I1977" s="5" t="s">
        <v>20</v>
      </c>
      <c r="J1977" s="5">
        <v>2025.0</v>
      </c>
      <c r="L1977" s="5">
        <v>1.0</v>
      </c>
      <c r="M1977" s="7">
        <f t="shared" si="5"/>
        <v>0.04</v>
      </c>
    </row>
    <row r="1978">
      <c r="A1978" s="5" t="s">
        <v>5022</v>
      </c>
      <c r="B1978" s="5" t="s">
        <v>5023</v>
      </c>
      <c r="C1978" s="5" t="s">
        <v>297</v>
      </c>
      <c r="D1978" s="5" t="s">
        <v>5024</v>
      </c>
      <c r="E1978" s="5" t="s">
        <v>1856</v>
      </c>
      <c r="F1978" s="5" t="s">
        <v>280</v>
      </c>
      <c r="G1978" s="6">
        <v>0.06</v>
      </c>
      <c r="H1978" s="5" t="s">
        <v>4851</v>
      </c>
      <c r="I1978" s="5" t="s">
        <v>20</v>
      </c>
      <c r="J1978" s="5">
        <v>2025.0</v>
      </c>
      <c r="K1978" s="8">
        <v>46115.0</v>
      </c>
      <c r="L1978" s="5">
        <v>1.0</v>
      </c>
      <c r="M1978" s="7">
        <f t="shared" si="5"/>
        <v>0.06</v>
      </c>
    </row>
    <row r="1979">
      <c r="A1979" s="5" t="s">
        <v>5025</v>
      </c>
      <c r="B1979" s="5" t="s">
        <v>4877</v>
      </c>
      <c r="C1979" s="5" t="s">
        <v>1951</v>
      </c>
      <c r="D1979" s="5" t="s">
        <v>5026</v>
      </c>
      <c r="E1979" s="5" t="s">
        <v>1859</v>
      </c>
      <c r="F1979" s="5" t="s">
        <v>280</v>
      </c>
      <c r="G1979" s="6">
        <v>0.15</v>
      </c>
      <c r="H1979" s="5" t="s">
        <v>4851</v>
      </c>
      <c r="I1979" s="5" t="s">
        <v>20</v>
      </c>
      <c r="J1979" s="5">
        <v>2025.0</v>
      </c>
      <c r="K1979" s="8">
        <v>46116.0</v>
      </c>
      <c r="L1979" s="5">
        <v>1.0</v>
      </c>
      <c r="M1979" s="7">
        <f t="shared" si="5"/>
        <v>0.15</v>
      </c>
    </row>
    <row r="1980">
      <c r="A1980" s="5" t="s">
        <v>5027</v>
      </c>
      <c r="B1980" s="5" t="s">
        <v>5028</v>
      </c>
      <c r="C1980" s="5" t="s">
        <v>1951</v>
      </c>
      <c r="D1980" s="5" t="s">
        <v>5029</v>
      </c>
      <c r="E1980" s="5" t="s">
        <v>1859</v>
      </c>
      <c r="F1980" s="5" t="s">
        <v>280</v>
      </c>
      <c r="G1980" s="6">
        <v>0.09</v>
      </c>
      <c r="H1980" s="5" t="s">
        <v>4851</v>
      </c>
      <c r="I1980" s="5" t="s">
        <v>20</v>
      </c>
      <c r="J1980" s="5">
        <v>2025.0</v>
      </c>
      <c r="K1980" s="8">
        <v>46055.0</v>
      </c>
      <c r="L1980" s="5">
        <v>1.0</v>
      </c>
      <c r="M1980" s="7">
        <f t="shared" si="5"/>
        <v>0.09</v>
      </c>
    </row>
    <row r="1981">
      <c r="A1981" s="5" t="s">
        <v>5030</v>
      </c>
      <c r="B1981" s="5" t="s">
        <v>5031</v>
      </c>
      <c r="C1981" s="5" t="s">
        <v>1951</v>
      </c>
      <c r="D1981" s="5" t="s">
        <v>5032</v>
      </c>
      <c r="E1981" s="5" t="s">
        <v>1856</v>
      </c>
      <c r="F1981" s="5" t="s">
        <v>280</v>
      </c>
      <c r="G1981" s="6">
        <v>0.13</v>
      </c>
      <c r="H1981" s="5" t="s">
        <v>4851</v>
      </c>
      <c r="I1981" s="5" t="s">
        <v>20</v>
      </c>
      <c r="J1981" s="5">
        <v>2025.0</v>
      </c>
      <c r="K1981" s="8">
        <v>46055.0</v>
      </c>
      <c r="L1981" s="5">
        <v>1.0</v>
      </c>
      <c r="M1981" s="7">
        <f t="shared" si="5"/>
        <v>0.13</v>
      </c>
    </row>
    <row r="1982">
      <c r="A1982" s="5" t="s">
        <v>5033</v>
      </c>
      <c r="B1982" s="5" t="s">
        <v>4869</v>
      </c>
      <c r="C1982" s="5" t="s">
        <v>1951</v>
      </c>
      <c r="D1982" s="5" t="s">
        <v>5034</v>
      </c>
      <c r="E1982" s="5" t="s">
        <v>2844</v>
      </c>
      <c r="F1982" s="5" t="s">
        <v>280</v>
      </c>
      <c r="G1982" s="6">
        <v>0.15</v>
      </c>
      <c r="H1982" s="5" t="s">
        <v>4851</v>
      </c>
      <c r="I1982" s="5" t="s">
        <v>20</v>
      </c>
      <c r="J1982" s="5">
        <v>2025.0</v>
      </c>
      <c r="L1982" s="5">
        <v>1.0</v>
      </c>
      <c r="M1982" s="7">
        <f t="shared" si="5"/>
        <v>0.15</v>
      </c>
    </row>
    <row r="1983">
      <c r="A1983" s="5" t="s">
        <v>5035</v>
      </c>
      <c r="B1983" s="5" t="s">
        <v>387</v>
      </c>
      <c r="C1983" s="5" t="s">
        <v>297</v>
      </c>
      <c r="D1983" s="5" t="s">
        <v>5036</v>
      </c>
      <c r="E1983" s="5" t="s">
        <v>631</v>
      </c>
      <c r="F1983" s="5" t="s">
        <v>280</v>
      </c>
      <c r="G1983" s="6">
        <v>0.06</v>
      </c>
      <c r="H1983" s="5" t="s">
        <v>4851</v>
      </c>
      <c r="I1983" s="5" t="s">
        <v>20</v>
      </c>
      <c r="J1983" s="5">
        <v>2025.0</v>
      </c>
      <c r="L1983" s="5">
        <v>1.0</v>
      </c>
      <c r="M1983" s="7">
        <f t="shared" si="5"/>
        <v>0.06</v>
      </c>
    </row>
    <row r="1984">
      <c r="A1984" s="5" t="s">
        <v>5037</v>
      </c>
      <c r="B1984" s="5" t="s">
        <v>4621</v>
      </c>
      <c r="C1984" s="5" t="s">
        <v>1951</v>
      </c>
      <c r="D1984" s="5" t="s">
        <v>5038</v>
      </c>
      <c r="E1984" s="5" t="s">
        <v>2283</v>
      </c>
      <c r="F1984" s="5" t="s">
        <v>280</v>
      </c>
      <c r="G1984" s="6">
        <v>0.09</v>
      </c>
      <c r="H1984" s="5" t="s">
        <v>4851</v>
      </c>
      <c r="I1984" s="5" t="s">
        <v>20</v>
      </c>
      <c r="J1984" s="5">
        <v>2025.0</v>
      </c>
      <c r="K1984" s="8">
        <v>46055.0</v>
      </c>
      <c r="L1984" s="5">
        <v>1.0</v>
      </c>
      <c r="M1984" s="7">
        <f t="shared" si="5"/>
        <v>0.09</v>
      </c>
    </row>
    <row r="1985">
      <c r="A1985" s="5" t="s">
        <v>5039</v>
      </c>
      <c r="B1985" s="5" t="s">
        <v>5040</v>
      </c>
      <c r="C1985" s="5" t="s">
        <v>1951</v>
      </c>
      <c r="D1985" s="5" t="s">
        <v>5041</v>
      </c>
      <c r="E1985" s="5" t="s">
        <v>1859</v>
      </c>
      <c r="F1985" s="5" t="s">
        <v>280</v>
      </c>
      <c r="G1985" s="6">
        <v>0.06</v>
      </c>
      <c r="H1985" s="5" t="s">
        <v>4851</v>
      </c>
      <c r="I1985" s="5" t="s">
        <v>20</v>
      </c>
      <c r="J1985" s="5">
        <v>2025.0</v>
      </c>
      <c r="K1985" s="8">
        <v>46083.0</v>
      </c>
      <c r="L1985" s="5">
        <v>1.0</v>
      </c>
      <c r="M1985" s="7">
        <f t="shared" si="5"/>
        <v>0.06</v>
      </c>
    </row>
    <row r="1986">
      <c r="A1986" s="5" t="s">
        <v>5042</v>
      </c>
      <c r="B1986" s="5" t="s">
        <v>4891</v>
      </c>
      <c r="C1986" s="5" t="s">
        <v>297</v>
      </c>
      <c r="D1986" s="5" t="s">
        <v>5043</v>
      </c>
      <c r="E1986" s="5" t="s">
        <v>2283</v>
      </c>
      <c r="F1986" s="5" t="s">
        <v>280</v>
      </c>
      <c r="G1986" s="6">
        <v>0.05</v>
      </c>
      <c r="H1986" s="5" t="s">
        <v>4851</v>
      </c>
      <c r="I1986" s="5" t="s">
        <v>20</v>
      </c>
      <c r="J1986" s="5">
        <v>2025.0</v>
      </c>
      <c r="K1986" s="8">
        <v>46055.0</v>
      </c>
      <c r="L1986" s="5">
        <v>2.0</v>
      </c>
      <c r="M1986" s="7">
        <f t="shared" si="5"/>
        <v>0.1</v>
      </c>
    </row>
    <row r="1987">
      <c r="A1987" s="5" t="s">
        <v>5044</v>
      </c>
      <c r="B1987" s="5" t="s">
        <v>5045</v>
      </c>
      <c r="C1987" s="5" t="s">
        <v>297</v>
      </c>
      <c r="D1987" s="5" t="s">
        <v>5046</v>
      </c>
      <c r="E1987" s="5" t="s">
        <v>2290</v>
      </c>
      <c r="F1987" s="5" t="s">
        <v>280</v>
      </c>
      <c r="G1987" s="6">
        <v>0.04</v>
      </c>
      <c r="H1987" s="5" t="s">
        <v>4851</v>
      </c>
      <c r="I1987" s="5" t="s">
        <v>20</v>
      </c>
      <c r="J1987" s="5">
        <v>2025.0</v>
      </c>
      <c r="K1987" s="8">
        <v>46117.0</v>
      </c>
      <c r="L1987" s="5">
        <v>3.0</v>
      </c>
      <c r="M1987" s="7">
        <f t="shared" si="5"/>
        <v>0.12</v>
      </c>
    </row>
    <row r="1988">
      <c r="A1988" s="5" t="s">
        <v>5044</v>
      </c>
      <c r="B1988" s="5" t="s">
        <v>5045</v>
      </c>
      <c r="C1988" s="5" t="s">
        <v>297</v>
      </c>
      <c r="D1988" s="5" t="s">
        <v>5046</v>
      </c>
      <c r="E1988" s="5" t="s">
        <v>2290</v>
      </c>
      <c r="F1988" s="5" t="s">
        <v>280</v>
      </c>
      <c r="G1988" s="6">
        <v>0.22</v>
      </c>
      <c r="H1988" s="5" t="s">
        <v>4851</v>
      </c>
      <c r="I1988" s="5" t="s">
        <v>31</v>
      </c>
      <c r="J1988" s="5">
        <v>2025.0</v>
      </c>
      <c r="K1988" s="8">
        <v>46117.0</v>
      </c>
      <c r="L1988" s="5">
        <v>1.0</v>
      </c>
      <c r="M1988" s="7">
        <f t="shared" si="5"/>
        <v>0.22</v>
      </c>
    </row>
    <row r="1989">
      <c r="A1989" s="5" t="s">
        <v>5047</v>
      </c>
      <c r="B1989" s="5" t="s">
        <v>593</v>
      </c>
      <c r="C1989" s="5" t="s">
        <v>297</v>
      </c>
      <c r="D1989" s="5" t="s">
        <v>5048</v>
      </c>
      <c r="E1989" s="5" t="s">
        <v>631</v>
      </c>
      <c r="F1989" s="5" t="s">
        <v>280</v>
      </c>
      <c r="G1989" s="6">
        <v>0.06</v>
      </c>
      <c r="H1989" s="5" t="s">
        <v>4851</v>
      </c>
      <c r="I1989" s="5" t="s">
        <v>20</v>
      </c>
      <c r="J1989" s="5">
        <v>2025.0</v>
      </c>
      <c r="K1989" s="8">
        <v>46023.0</v>
      </c>
      <c r="L1989" s="5">
        <v>4.0</v>
      </c>
      <c r="M1989" s="7">
        <f t="shared" si="5"/>
        <v>0.24</v>
      </c>
    </row>
    <row r="1990">
      <c r="A1990" s="5" t="s">
        <v>5049</v>
      </c>
      <c r="B1990" s="5" t="s">
        <v>4814</v>
      </c>
      <c r="C1990" s="5" t="s">
        <v>297</v>
      </c>
      <c r="D1990" s="5" t="s">
        <v>5050</v>
      </c>
      <c r="E1990" s="5" t="s">
        <v>2283</v>
      </c>
      <c r="F1990" s="5" t="s">
        <v>280</v>
      </c>
      <c r="G1990" s="6">
        <v>0.05</v>
      </c>
      <c r="H1990" s="5" t="s">
        <v>4851</v>
      </c>
      <c r="I1990" s="5" t="s">
        <v>20</v>
      </c>
      <c r="J1990" s="5">
        <v>2025.0</v>
      </c>
      <c r="K1990" s="8">
        <v>46023.0</v>
      </c>
      <c r="L1990" s="5">
        <v>2.0</v>
      </c>
      <c r="M1990" s="7">
        <f t="shared" si="5"/>
        <v>0.1</v>
      </c>
    </row>
    <row r="1991">
      <c r="A1991" s="5" t="s">
        <v>5051</v>
      </c>
      <c r="B1991" s="5" t="s">
        <v>5052</v>
      </c>
      <c r="C1991" s="5" t="s">
        <v>297</v>
      </c>
      <c r="D1991" s="5" t="s">
        <v>5053</v>
      </c>
      <c r="E1991" s="5" t="s">
        <v>4258</v>
      </c>
      <c r="F1991" s="5" t="s">
        <v>280</v>
      </c>
      <c r="G1991" s="6">
        <v>0.04</v>
      </c>
      <c r="H1991" s="5" t="s">
        <v>4851</v>
      </c>
      <c r="I1991" s="5" t="s">
        <v>20</v>
      </c>
      <c r="J1991" s="5">
        <v>2025.0</v>
      </c>
      <c r="K1991" s="8">
        <v>46179.0</v>
      </c>
      <c r="L1991" s="5">
        <v>2.0</v>
      </c>
      <c r="M1991" s="7">
        <f t="shared" si="5"/>
        <v>0.08</v>
      </c>
    </row>
    <row r="1992">
      <c r="A1992" s="5" t="s">
        <v>5054</v>
      </c>
      <c r="B1992" s="5" t="s">
        <v>2827</v>
      </c>
      <c r="C1992" s="5" t="s">
        <v>297</v>
      </c>
      <c r="D1992" s="5" t="s">
        <v>5055</v>
      </c>
      <c r="E1992" s="5" t="s">
        <v>1859</v>
      </c>
      <c r="F1992" s="5" t="s">
        <v>280</v>
      </c>
      <c r="G1992" s="6">
        <v>0.05</v>
      </c>
      <c r="H1992" s="5" t="s">
        <v>4851</v>
      </c>
      <c r="I1992" s="5" t="s">
        <v>20</v>
      </c>
      <c r="J1992" s="5">
        <v>2025.0</v>
      </c>
      <c r="L1992" s="5">
        <v>3.0</v>
      </c>
      <c r="M1992" s="7">
        <f t="shared" si="5"/>
        <v>0.15</v>
      </c>
    </row>
    <row r="1993">
      <c r="A1993" s="5" t="s">
        <v>5056</v>
      </c>
      <c r="B1993" s="5" t="s">
        <v>5057</v>
      </c>
      <c r="C1993" s="5" t="s">
        <v>297</v>
      </c>
      <c r="D1993" s="5" t="s">
        <v>5058</v>
      </c>
      <c r="E1993" s="5" t="s">
        <v>1859</v>
      </c>
      <c r="F1993" s="5" t="s">
        <v>280</v>
      </c>
      <c r="G1993" s="6">
        <v>0.05</v>
      </c>
      <c r="H1993" s="5" t="s">
        <v>4851</v>
      </c>
      <c r="I1993" s="5" t="s">
        <v>20</v>
      </c>
      <c r="J1993" s="5">
        <v>2025.0</v>
      </c>
      <c r="K1993" s="8">
        <v>46056.0</v>
      </c>
      <c r="L1993" s="5">
        <v>3.0</v>
      </c>
      <c r="M1993" s="7">
        <f t="shared" si="5"/>
        <v>0.15</v>
      </c>
    </row>
    <row r="1994">
      <c r="A1994" s="5" t="s">
        <v>5059</v>
      </c>
      <c r="B1994" s="5" t="s">
        <v>5060</v>
      </c>
      <c r="C1994" s="5" t="s">
        <v>1951</v>
      </c>
      <c r="D1994" s="5" t="s">
        <v>5061</v>
      </c>
      <c r="E1994" s="5" t="s">
        <v>2283</v>
      </c>
      <c r="F1994" s="5" t="s">
        <v>280</v>
      </c>
      <c r="G1994" s="6">
        <v>0.09</v>
      </c>
      <c r="H1994" s="5" t="s">
        <v>4851</v>
      </c>
      <c r="I1994" s="5" t="s">
        <v>20</v>
      </c>
      <c r="J1994" s="5">
        <v>2025.0</v>
      </c>
      <c r="K1994" s="8">
        <v>46055.0</v>
      </c>
      <c r="L1994" s="5">
        <v>2.0</v>
      </c>
      <c r="M1994" s="7">
        <f t="shared" si="5"/>
        <v>0.18</v>
      </c>
    </row>
    <row r="1995">
      <c r="A1995" s="5" t="s">
        <v>5062</v>
      </c>
      <c r="B1995" s="5" t="s">
        <v>612</v>
      </c>
      <c r="C1995" s="5" t="s">
        <v>1951</v>
      </c>
      <c r="D1995" s="5" t="s">
        <v>5063</v>
      </c>
      <c r="E1995" s="5" t="s">
        <v>2283</v>
      </c>
      <c r="F1995" s="5" t="s">
        <v>280</v>
      </c>
      <c r="G1995" s="6">
        <v>0.07</v>
      </c>
      <c r="H1995" s="5" t="s">
        <v>4851</v>
      </c>
      <c r="I1995" s="5" t="s">
        <v>20</v>
      </c>
      <c r="J1995" s="5">
        <v>2025.0</v>
      </c>
      <c r="L1995" s="5">
        <v>2.0</v>
      </c>
      <c r="M1995" s="7">
        <f t="shared" si="5"/>
        <v>0.14</v>
      </c>
    </row>
    <row r="1996">
      <c r="A1996" s="5" t="s">
        <v>5064</v>
      </c>
      <c r="B1996" s="5" t="s">
        <v>5065</v>
      </c>
      <c r="C1996" s="5" t="s">
        <v>297</v>
      </c>
      <c r="D1996" s="5" t="s">
        <v>5066</v>
      </c>
      <c r="E1996" s="5" t="s">
        <v>2321</v>
      </c>
      <c r="F1996" s="5" t="s">
        <v>88</v>
      </c>
      <c r="G1996" s="6">
        <v>0.07</v>
      </c>
      <c r="H1996" s="5" t="s">
        <v>4851</v>
      </c>
      <c r="I1996" s="5" t="s">
        <v>20</v>
      </c>
      <c r="J1996" s="5">
        <v>2025.0</v>
      </c>
      <c r="K1996" s="8">
        <v>46055.0</v>
      </c>
      <c r="L1996" s="5">
        <v>1.0</v>
      </c>
      <c r="M1996" s="7">
        <f t="shared" si="5"/>
        <v>0.07</v>
      </c>
    </row>
    <row r="1997">
      <c r="A1997" s="5" t="s">
        <v>5067</v>
      </c>
      <c r="B1997" s="5" t="s">
        <v>5068</v>
      </c>
      <c r="C1997" s="5" t="s">
        <v>1951</v>
      </c>
      <c r="D1997" s="5" t="s">
        <v>5069</v>
      </c>
      <c r="E1997" s="5" t="s">
        <v>382</v>
      </c>
      <c r="F1997" s="5" t="s">
        <v>88</v>
      </c>
      <c r="G1997" s="6">
        <v>0.15</v>
      </c>
      <c r="H1997" s="5" t="s">
        <v>4851</v>
      </c>
      <c r="I1997" s="5" t="s">
        <v>20</v>
      </c>
      <c r="J1997" s="5">
        <v>2025.0</v>
      </c>
      <c r="K1997" s="8">
        <v>46024.0</v>
      </c>
      <c r="L1997" s="5">
        <v>1.0</v>
      </c>
      <c r="M1997" s="7">
        <f t="shared" si="5"/>
        <v>0.15</v>
      </c>
    </row>
    <row r="1998">
      <c r="A1998" s="5" t="s">
        <v>5070</v>
      </c>
      <c r="B1998" s="5" t="s">
        <v>387</v>
      </c>
      <c r="C1998" s="5" t="s">
        <v>1951</v>
      </c>
      <c r="D1998" s="5" t="s">
        <v>5071</v>
      </c>
      <c r="E1998" s="5" t="s">
        <v>4300</v>
      </c>
      <c r="F1998" s="5" t="s">
        <v>88</v>
      </c>
      <c r="G1998" s="6">
        <v>0.2</v>
      </c>
      <c r="H1998" s="5" t="s">
        <v>4851</v>
      </c>
      <c r="I1998" s="5" t="s">
        <v>20</v>
      </c>
      <c r="J1998" s="5">
        <v>2025.0</v>
      </c>
      <c r="L1998" s="5">
        <v>1.0</v>
      </c>
      <c r="M1998" s="7">
        <f t="shared" si="5"/>
        <v>0.2</v>
      </c>
    </row>
    <row r="1999">
      <c r="A1999" s="5" t="s">
        <v>5072</v>
      </c>
      <c r="B1999" s="5" t="s">
        <v>5073</v>
      </c>
      <c r="C1999" s="5" t="s">
        <v>1951</v>
      </c>
      <c r="D1999" s="5" t="s">
        <v>5074</v>
      </c>
      <c r="E1999" s="5" t="s">
        <v>2321</v>
      </c>
      <c r="F1999" s="5" t="s">
        <v>88</v>
      </c>
      <c r="G1999" s="6">
        <v>0.2</v>
      </c>
      <c r="H1999" s="5" t="s">
        <v>4851</v>
      </c>
      <c r="I1999" s="5" t="s">
        <v>20</v>
      </c>
      <c r="J1999" s="5">
        <v>2025.0</v>
      </c>
      <c r="L1999" s="5">
        <v>1.0</v>
      </c>
      <c r="M1999" s="7">
        <f t="shared" si="5"/>
        <v>0.2</v>
      </c>
    </row>
    <row r="2000">
      <c r="A2000" s="5" t="s">
        <v>5075</v>
      </c>
      <c r="B2000" s="5" t="s">
        <v>556</v>
      </c>
      <c r="C2000" s="5" t="s">
        <v>1951</v>
      </c>
      <c r="D2000" s="5" t="s">
        <v>5076</v>
      </c>
      <c r="E2000" s="5" t="s">
        <v>382</v>
      </c>
      <c r="F2000" s="5" t="s">
        <v>88</v>
      </c>
      <c r="G2000" s="6">
        <v>0.19</v>
      </c>
      <c r="H2000" s="5" t="s">
        <v>4851</v>
      </c>
      <c r="I2000" s="5" t="s">
        <v>20</v>
      </c>
      <c r="J2000" s="5">
        <v>2025.0</v>
      </c>
      <c r="L2000" s="5">
        <v>1.0</v>
      </c>
      <c r="M2000" s="7">
        <f t="shared" si="5"/>
        <v>0.19</v>
      </c>
    </row>
    <row r="2001">
      <c r="A2001" s="5" t="s">
        <v>5077</v>
      </c>
      <c r="B2001" s="5" t="s">
        <v>4916</v>
      </c>
      <c r="C2001" s="5" t="s">
        <v>297</v>
      </c>
      <c r="D2001" s="5" t="s">
        <v>5078</v>
      </c>
      <c r="E2001" s="5" t="s">
        <v>2324</v>
      </c>
      <c r="F2001" s="5" t="s">
        <v>88</v>
      </c>
      <c r="G2001" s="6">
        <v>0.05</v>
      </c>
      <c r="H2001" s="5" t="s">
        <v>4851</v>
      </c>
      <c r="I2001" s="5" t="s">
        <v>20</v>
      </c>
      <c r="J2001" s="5">
        <v>2025.0</v>
      </c>
      <c r="K2001" s="8">
        <v>46085.0</v>
      </c>
      <c r="L2001" s="5">
        <v>1.0</v>
      </c>
      <c r="M2001" s="7">
        <f t="shared" si="5"/>
        <v>0.05</v>
      </c>
    </row>
    <row r="2002">
      <c r="A2002" s="5" t="s">
        <v>5079</v>
      </c>
      <c r="B2002" s="5" t="s">
        <v>4978</v>
      </c>
      <c r="C2002" s="5" t="s">
        <v>1951</v>
      </c>
      <c r="D2002" s="5" t="s">
        <v>5080</v>
      </c>
      <c r="E2002" s="5" t="s">
        <v>382</v>
      </c>
      <c r="F2002" s="5" t="s">
        <v>88</v>
      </c>
      <c r="G2002" s="6">
        <v>0.15</v>
      </c>
      <c r="H2002" s="5" t="s">
        <v>4851</v>
      </c>
      <c r="I2002" s="5" t="s">
        <v>20</v>
      </c>
      <c r="J2002" s="5">
        <v>2025.0</v>
      </c>
      <c r="K2002" s="8">
        <v>46082.0</v>
      </c>
      <c r="L2002" s="5">
        <v>1.0</v>
      </c>
      <c r="M2002" s="7">
        <f t="shared" si="5"/>
        <v>0.15</v>
      </c>
    </row>
    <row r="2003">
      <c r="A2003" s="5" t="s">
        <v>5081</v>
      </c>
      <c r="B2003" s="5" t="s">
        <v>5082</v>
      </c>
      <c r="C2003" s="5" t="s">
        <v>1899</v>
      </c>
      <c r="D2003" s="5" t="s">
        <v>5083</v>
      </c>
      <c r="E2003" s="5" t="s">
        <v>2321</v>
      </c>
      <c r="F2003" s="5" t="s">
        <v>88</v>
      </c>
      <c r="G2003" s="6">
        <v>1.2</v>
      </c>
      <c r="H2003" s="5" t="s">
        <v>4851</v>
      </c>
      <c r="I2003" s="5" t="s">
        <v>20</v>
      </c>
      <c r="J2003" s="5">
        <v>2025.0</v>
      </c>
      <c r="K2003" s="8">
        <v>46024.0</v>
      </c>
      <c r="L2003" s="5">
        <v>1.0</v>
      </c>
      <c r="M2003" s="7">
        <f t="shared" si="5"/>
        <v>1.2</v>
      </c>
    </row>
    <row r="2004">
      <c r="A2004" s="5" t="s">
        <v>5084</v>
      </c>
      <c r="B2004" s="5" t="s">
        <v>5085</v>
      </c>
      <c r="C2004" s="5" t="s">
        <v>1951</v>
      </c>
      <c r="D2004" s="5" t="s">
        <v>5086</v>
      </c>
      <c r="E2004" s="5" t="s">
        <v>4321</v>
      </c>
      <c r="F2004" s="5" t="s">
        <v>88</v>
      </c>
      <c r="G2004" s="6">
        <v>0.15</v>
      </c>
      <c r="H2004" s="5" t="s">
        <v>4851</v>
      </c>
      <c r="I2004" s="5" t="s">
        <v>20</v>
      </c>
      <c r="J2004" s="5">
        <v>2025.0</v>
      </c>
      <c r="K2004" s="8">
        <v>46148.0</v>
      </c>
      <c r="L2004" s="5">
        <v>1.0</v>
      </c>
      <c r="M2004" s="7">
        <f t="shared" si="5"/>
        <v>0.15</v>
      </c>
    </row>
    <row r="2005">
      <c r="A2005" s="5" t="s">
        <v>5087</v>
      </c>
      <c r="B2005" s="5" t="s">
        <v>5088</v>
      </c>
      <c r="C2005" s="5" t="s">
        <v>297</v>
      </c>
      <c r="D2005" s="5" t="s">
        <v>5089</v>
      </c>
      <c r="E2005" s="5" t="s">
        <v>382</v>
      </c>
      <c r="F2005" s="5" t="s">
        <v>88</v>
      </c>
      <c r="G2005" s="6">
        <v>0.1</v>
      </c>
      <c r="H2005" s="5" t="s">
        <v>4851</v>
      </c>
      <c r="I2005" s="5" t="s">
        <v>20</v>
      </c>
      <c r="J2005" s="5">
        <v>2025.0</v>
      </c>
      <c r="K2005" s="8">
        <v>46054.0</v>
      </c>
      <c r="L2005" s="5">
        <v>1.0</v>
      </c>
      <c r="M2005" s="7">
        <f t="shared" si="5"/>
        <v>0.1</v>
      </c>
    </row>
    <row r="2006">
      <c r="A2006" s="5" t="s">
        <v>5090</v>
      </c>
      <c r="B2006" s="5" t="s">
        <v>4872</v>
      </c>
      <c r="C2006" s="5" t="s">
        <v>297</v>
      </c>
      <c r="D2006" s="5" t="s">
        <v>5091</v>
      </c>
      <c r="E2006" s="5" t="s">
        <v>382</v>
      </c>
      <c r="F2006" s="5" t="s">
        <v>88</v>
      </c>
      <c r="G2006" s="6">
        <v>0.1</v>
      </c>
      <c r="H2006" s="5" t="s">
        <v>4851</v>
      </c>
      <c r="I2006" s="5" t="s">
        <v>20</v>
      </c>
      <c r="J2006" s="5">
        <v>2025.0</v>
      </c>
      <c r="L2006" s="5">
        <v>1.0</v>
      </c>
      <c r="M2006" s="7">
        <f t="shared" si="5"/>
        <v>0.1</v>
      </c>
    </row>
    <row r="2007">
      <c r="A2007" s="5" t="s">
        <v>5092</v>
      </c>
      <c r="B2007" s="5" t="s">
        <v>4872</v>
      </c>
      <c r="C2007" s="5" t="s">
        <v>297</v>
      </c>
      <c r="D2007" s="5" t="s">
        <v>5093</v>
      </c>
      <c r="E2007" s="5" t="s">
        <v>917</v>
      </c>
      <c r="F2007" s="5" t="s">
        <v>88</v>
      </c>
      <c r="G2007" s="6">
        <v>0.1</v>
      </c>
      <c r="H2007" s="5" t="s">
        <v>4851</v>
      </c>
      <c r="I2007" s="5" t="s">
        <v>20</v>
      </c>
      <c r="J2007" s="5">
        <v>2025.0</v>
      </c>
      <c r="L2007" s="5">
        <v>1.0</v>
      </c>
      <c r="M2007" s="7">
        <f t="shared" si="5"/>
        <v>0.1</v>
      </c>
    </row>
    <row r="2008">
      <c r="A2008" s="5" t="s">
        <v>5094</v>
      </c>
      <c r="B2008" s="5" t="s">
        <v>4872</v>
      </c>
      <c r="C2008" s="5" t="s">
        <v>297</v>
      </c>
      <c r="D2008" s="5" t="s">
        <v>5095</v>
      </c>
      <c r="E2008" s="5" t="s">
        <v>2324</v>
      </c>
      <c r="F2008" s="5" t="s">
        <v>88</v>
      </c>
      <c r="G2008" s="6">
        <v>0.1</v>
      </c>
      <c r="H2008" s="5" t="s">
        <v>4851</v>
      </c>
      <c r="I2008" s="5" t="s">
        <v>20</v>
      </c>
      <c r="J2008" s="5">
        <v>2025.0</v>
      </c>
      <c r="L2008" s="5">
        <v>2.0</v>
      </c>
      <c r="M2008" s="7">
        <f t="shared" si="5"/>
        <v>0.2</v>
      </c>
    </row>
    <row r="2009">
      <c r="A2009" s="5" t="s">
        <v>5096</v>
      </c>
      <c r="B2009" s="5" t="s">
        <v>4872</v>
      </c>
      <c r="C2009" s="5" t="s">
        <v>1951</v>
      </c>
      <c r="D2009" s="5" t="s">
        <v>5097</v>
      </c>
      <c r="E2009" s="5" t="s">
        <v>382</v>
      </c>
      <c r="F2009" s="5" t="s">
        <v>88</v>
      </c>
      <c r="G2009" s="6">
        <v>5.7</v>
      </c>
      <c r="H2009" s="5" t="s">
        <v>4851</v>
      </c>
      <c r="I2009" s="5" t="s">
        <v>31</v>
      </c>
      <c r="J2009" s="5">
        <v>2025.0</v>
      </c>
      <c r="L2009" s="5">
        <v>1.0</v>
      </c>
      <c r="M2009" s="7">
        <f t="shared" si="5"/>
        <v>5.7</v>
      </c>
    </row>
    <row r="2010">
      <c r="A2010" s="5" t="s">
        <v>5098</v>
      </c>
      <c r="B2010" s="5" t="s">
        <v>4891</v>
      </c>
      <c r="C2010" s="5" t="s">
        <v>297</v>
      </c>
      <c r="D2010" s="5" t="s">
        <v>5099</v>
      </c>
      <c r="E2010" s="5" t="s">
        <v>2321</v>
      </c>
      <c r="F2010" s="5" t="s">
        <v>88</v>
      </c>
      <c r="G2010" s="6">
        <v>0.05</v>
      </c>
      <c r="H2010" s="5" t="s">
        <v>4851</v>
      </c>
      <c r="I2010" s="5" t="s">
        <v>20</v>
      </c>
      <c r="J2010" s="5">
        <v>2025.0</v>
      </c>
      <c r="K2010" s="8">
        <v>46055.0</v>
      </c>
      <c r="L2010" s="5">
        <v>3.0</v>
      </c>
      <c r="M2010" s="7">
        <f t="shared" si="5"/>
        <v>0.15</v>
      </c>
    </row>
    <row r="2011">
      <c r="A2011" s="5" t="s">
        <v>5100</v>
      </c>
      <c r="B2011" s="5" t="s">
        <v>4907</v>
      </c>
      <c r="C2011" s="5" t="s">
        <v>1951</v>
      </c>
      <c r="D2011" s="5" t="s">
        <v>5101</v>
      </c>
      <c r="E2011" s="5" t="s">
        <v>2321</v>
      </c>
      <c r="F2011" s="5" t="s">
        <v>88</v>
      </c>
      <c r="G2011" s="6">
        <v>0.2</v>
      </c>
      <c r="H2011" s="5" t="s">
        <v>4851</v>
      </c>
      <c r="I2011" s="5" t="s">
        <v>20</v>
      </c>
      <c r="J2011" s="5">
        <v>2025.0</v>
      </c>
      <c r="K2011" s="8">
        <v>46083.0</v>
      </c>
      <c r="L2011" s="5">
        <v>1.0</v>
      </c>
      <c r="M2011" s="7">
        <f t="shared" si="5"/>
        <v>0.2</v>
      </c>
    </row>
    <row r="2012">
      <c r="A2012" s="5" t="s">
        <v>5102</v>
      </c>
      <c r="B2012" s="5" t="s">
        <v>5103</v>
      </c>
      <c r="C2012" s="5" t="s">
        <v>297</v>
      </c>
      <c r="D2012" s="5" t="s">
        <v>5104</v>
      </c>
      <c r="E2012" s="5" t="s">
        <v>4327</v>
      </c>
      <c r="F2012" s="5" t="s">
        <v>88</v>
      </c>
      <c r="G2012" s="6">
        <v>0.05</v>
      </c>
      <c r="H2012" s="5" t="s">
        <v>4851</v>
      </c>
      <c r="I2012" s="5" t="s">
        <v>20</v>
      </c>
      <c r="J2012" s="5">
        <v>2025.0</v>
      </c>
      <c r="K2012" s="8">
        <v>46208.0</v>
      </c>
      <c r="L2012" s="5">
        <v>3.0</v>
      </c>
      <c r="M2012" s="7">
        <f t="shared" si="5"/>
        <v>0.15</v>
      </c>
    </row>
    <row r="2013">
      <c r="A2013" s="5" t="s">
        <v>5105</v>
      </c>
      <c r="B2013" s="5" t="s">
        <v>4869</v>
      </c>
      <c r="C2013" s="5" t="s">
        <v>297</v>
      </c>
      <c r="D2013" s="5" t="s">
        <v>5106</v>
      </c>
      <c r="E2013" s="5" t="s">
        <v>2330</v>
      </c>
      <c r="F2013" s="5" t="s">
        <v>88</v>
      </c>
      <c r="G2013" s="6">
        <v>0.33</v>
      </c>
      <c r="H2013" s="5" t="s">
        <v>4851</v>
      </c>
      <c r="I2013" s="5" t="s">
        <v>31</v>
      </c>
      <c r="J2013" s="5">
        <v>2025.0</v>
      </c>
      <c r="L2013" s="5">
        <v>1.0</v>
      </c>
      <c r="M2013" s="7">
        <f t="shared" si="5"/>
        <v>0.33</v>
      </c>
    </row>
    <row r="2014">
      <c r="A2014" s="5" t="s">
        <v>5107</v>
      </c>
      <c r="B2014" s="5" t="s">
        <v>2827</v>
      </c>
      <c r="C2014" s="5" t="s">
        <v>297</v>
      </c>
      <c r="D2014" s="5" t="s">
        <v>5108</v>
      </c>
      <c r="E2014" s="5" t="s">
        <v>917</v>
      </c>
      <c r="F2014" s="5" t="s">
        <v>88</v>
      </c>
      <c r="G2014" s="6">
        <v>0.05</v>
      </c>
      <c r="H2014" s="5" t="s">
        <v>4851</v>
      </c>
      <c r="I2014" s="5" t="s">
        <v>20</v>
      </c>
      <c r="J2014" s="5">
        <v>2025.0</v>
      </c>
      <c r="L2014" s="5">
        <v>2.0</v>
      </c>
      <c r="M2014" s="7">
        <f t="shared" si="5"/>
        <v>0.1</v>
      </c>
    </row>
    <row r="2015">
      <c r="A2015" s="5" t="s">
        <v>5109</v>
      </c>
      <c r="B2015" s="5" t="s">
        <v>2827</v>
      </c>
      <c r="C2015" s="5" t="s">
        <v>1951</v>
      </c>
      <c r="D2015" s="5" t="s">
        <v>5110</v>
      </c>
      <c r="E2015" s="5" t="s">
        <v>917</v>
      </c>
      <c r="F2015" s="5" t="s">
        <v>88</v>
      </c>
      <c r="G2015" s="6">
        <v>0.2</v>
      </c>
      <c r="H2015" s="5" t="s">
        <v>4851</v>
      </c>
      <c r="I2015" s="5" t="s">
        <v>20</v>
      </c>
      <c r="J2015" s="5">
        <v>2025.0</v>
      </c>
      <c r="L2015" s="5">
        <v>1.0</v>
      </c>
      <c r="M2015" s="7">
        <f t="shared" si="5"/>
        <v>0.2</v>
      </c>
    </row>
    <row r="2016">
      <c r="A2016" s="5" t="s">
        <v>5109</v>
      </c>
      <c r="B2016" s="5" t="s">
        <v>2827</v>
      </c>
      <c r="C2016" s="5" t="s">
        <v>1951</v>
      </c>
      <c r="D2016" s="5" t="s">
        <v>5110</v>
      </c>
      <c r="E2016" s="5" t="s">
        <v>917</v>
      </c>
      <c r="F2016" s="5" t="s">
        <v>88</v>
      </c>
      <c r="G2016" s="6">
        <v>0.25</v>
      </c>
      <c r="H2016" s="5" t="s">
        <v>4851</v>
      </c>
      <c r="I2016" s="5" t="s">
        <v>31</v>
      </c>
      <c r="J2016" s="5">
        <v>2025.0</v>
      </c>
      <c r="L2016" s="5">
        <v>1.0</v>
      </c>
      <c r="M2016" s="7">
        <f t="shared" si="5"/>
        <v>0.25</v>
      </c>
    </row>
    <row r="2017">
      <c r="A2017" s="5" t="s">
        <v>5111</v>
      </c>
      <c r="B2017" s="5" t="s">
        <v>387</v>
      </c>
      <c r="C2017" s="5" t="s">
        <v>1951</v>
      </c>
      <c r="D2017" s="5" t="s">
        <v>5112</v>
      </c>
      <c r="E2017" s="5" t="s">
        <v>2814</v>
      </c>
      <c r="F2017" s="5" t="s">
        <v>88</v>
      </c>
      <c r="G2017" s="6">
        <v>0.15</v>
      </c>
      <c r="H2017" s="5" t="s">
        <v>4851</v>
      </c>
      <c r="I2017" s="5" t="s">
        <v>20</v>
      </c>
      <c r="J2017" s="5">
        <v>2025.0</v>
      </c>
      <c r="L2017" s="5">
        <v>1.0</v>
      </c>
      <c r="M2017" s="7">
        <f t="shared" si="5"/>
        <v>0.15</v>
      </c>
    </row>
    <row r="2018">
      <c r="A2018" s="5" t="s">
        <v>5113</v>
      </c>
      <c r="B2018" s="5" t="s">
        <v>4898</v>
      </c>
      <c r="C2018" s="5" t="s">
        <v>1951</v>
      </c>
      <c r="D2018" s="5" t="s">
        <v>5114</v>
      </c>
      <c r="E2018" s="5" t="s">
        <v>2321</v>
      </c>
      <c r="F2018" s="5" t="s">
        <v>88</v>
      </c>
      <c r="G2018" s="6">
        <v>0.15</v>
      </c>
      <c r="H2018" s="5" t="s">
        <v>4851</v>
      </c>
      <c r="I2018" s="5" t="s">
        <v>20</v>
      </c>
      <c r="J2018" s="5">
        <v>2025.0</v>
      </c>
      <c r="K2018" s="8">
        <v>46083.0</v>
      </c>
      <c r="L2018" s="5">
        <v>1.0</v>
      </c>
      <c r="M2018" s="7">
        <f t="shared" si="5"/>
        <v>0.15</v>
      </c>
    </row>
    <row r="2019">
      <c r="A2019" s="5" t="s">
        <v>5115</v>
      </c>
      <c r="B2019" s="5" t="s">
        <v>5116</v>
      </c>
      <c r="C2019" s="5" t="s">
        <v>297</v>
      </c>
      <c r="D2019" s="5" t="s">
        <v>5117</v>
      </c>
      <c r="E2019" s="5" t="s">
        <v>382</v>
      </c>
      <c r="F2019" s="5" t="s">
        <v>88</v>
      </c>
      <c r="G2019" s="6">
        <v>0.1</v>
      </c>
      <c r="H2019" s="5" t="s">
        <v>4851</v>
      </c>
      <c r="I2019" s="5" t="s">
        <v>20</v>
      </c>
      <c r="J2019" s="5">
        <v>2025.0</v>
      </c>
      <c r="K2019" s="8">
        <v>46024.0</v>
      </c>
      <c r="L2019" s="5">
        <v>1.0</v>
      </c>
      <c r="M2019" s="7">
        <f t="shared" si="5"/>
        <v>0.1</v>
      </c>
    </row>
    <row r="2020">
      <c r="A2020" s="5" t="s">
        <v>5118</v>
      </c>
      <c r="B2020" s="5" t="s">
        <v>4872</v>
      </c>
      <c r="C2020" s="5" t="s">
        <v>297</v>
      </c>
      <c r="D2020" s="5" t="s">
        <v>5119</v>
      </c>
      <c r="E2020" s="5" t="s">
        <v>932</v>
      </c>
      <c r="F2020" s="5" t="s">
        <v>166</v>
      </c>
      <c r="G2020" s="6">
        <v>0.2</v>
      </c>
      <c r="H2020" s="5" t="s">
        <v>4851</v>
      </c>
      <c r="I2020" s="5" t="s">
        <v>20</v>
      </c>
      <c r="J2020" s="5">
        <v>2025.0</v>
      </c>
      <c r="L2020" s="5">
        <v>1.0</v>
      </c>
      <c r="M2020" s="7">
        <f t="shared" si="5"/>
        <v>0.2</v>
      </c>
    </row>
    <row r="2021">
      <c r="A2021" s="5" t="s">
        <v>5120</v>
      </c>
      <c r="B2021" s="5" t="s">
        <v>4913</v>
      </c>
      <c r="C2021" s="5" t="s">
        <v>297</v>
      </c>
      <c r="D2021" s="5" t="s">
        <v>5121</v>
      </c>
      <c r="E2021" s="5" t="s">
        <v>2346</v>
      </c>
      <c r="F2021" s="5" t="s">
        <v>166</v>
      </c>
      <c r="G2021" s="6">
        <v>0.06</v>
      </c>
      <c r="H2021" s="5" t="s">
        <v>4851</v>
      </c>
      <c r="I2021" s="5" t="s">
        <v>20</v>
      </c>
      <c r="J2021" s="5">
        <v>2025.0</v>
      </c>
      <c r="K2021" s="8">
        <v>46055.0</v>
      </c>
      <c r="L2021" s="5">
        <v>1.0</v>
      </c>
      <c r="M2021" s="7">
        <f t="shared" si="5"/>
        <v>0.06</v>
      </c>
    </row>
    <row r="2022">
      <c r="A2022" s="5" t="s">
        <v>5122</v>
      </c>
      <c r="B2022" s="5" t="s">
        <v>5123</v>
      </c>
      <c r="C2022" s="5" t="s">
        <v>297</v>
      </c>
      <c r="D2022" s="5" t="s">
        <v>5124</v>
      </c>
      <c r="E2022" s="5" t="s">
        <v>2346</v>
      </c>
      <c r="F2022" s="5" t="s">
        <v>166</v>
      </c>
      <c r="G2022" s="6">
        <v>0.09</v>
      </c>
      <c r="H2022" s="5" t="s">
        <v>4851</v>
      </c>
      <c r="I2022" s="5" t="s">
        <v>20</v>
      </c>
      <c r="J2022" s="5">
        <v>2025.0</v>
      </c>
      <c r="K2022" s="8">
        <v>46025.0</v>
      </c>
      <c r="L2022" s="5">
        <v>1.0</v>
      </c>
      <c r="M2022" s="7">
        <f t="shared" si="5"/>
        <v>0.09</v>
      </c>
    </row>
    <row r="2023">
      <c r="A2023" s="5" t="s">
        <v>5125</v>
      </c>
      <c r="B2023" s="5" t="s">
        <v>5126</v>
      </c>
      <c r="C2023" s="5" t="s">
        <v>1951</v>
      </c>
      <c r="D2023" s="5" t="s">
        <v>5127</v>
      </c>
      <c r="E2023" s="5" t="s">
        <v>2346</v>
      </c>
      <c r="F2023" s="5" t="s">
        <v>166</v>
      </c>
      <c r="G2023" s="6">
        <v>0.15</v>
      </c>
      <c r="H2023" s="5" t="s">
        <v>4851</v>
      </c>
      <c r="I2023" s="5" t="s">
        <v>20</v>
      </c>
      <c r="J2023" s="5">
        <v>2025.0</v>
      </c>
      <c r="K2023" s="8">
        <v>46082.0</v>
      </c>
      <c r="L2023" s="5">
        <v>1.0</v>
      </c>
      <c r="M2023" s="7">
        <f t="shared" si="5"/>
        <v>0.15</v>
      </c>
    </row>
    <row r="2024">
      <c r="A2024" s="5" t="s">
        <v>5128</v>
      </c>
      <c r="B2024" s="5" t="s">
        <v>4913</v>
      </c>
      <c r="C2024" s="5" t="s">
        <v>297</v>
      </c>
      <c r="D2024" s="5" t="s">
        <v>5129</v>
      </c>
      <c r="E2024" s="5" t="s">
        <v>2354</v>
      </c>
      <c r="F2024" s="5" t="s">
        <v>166</v>
      </c>
      <c r="G2024" s="6">
        <v>0.05</v>
      </c>
      <c r="H2024" s="5" t="s">
        <v>4851</v>
      </c>
      <c r="I2024" s="5" t="s">
        <v>20</v>
      </c>
      <c r="J2024" s="5">
        <v>2025.0</v>
      </c>
      <c r="K2024" s="8">
        <v>46024.0</v>
      </c>
      <c r="L2024" s="5">
        <v>2.0</v>
      </c>
      <c r="M2024" s="7">
        <f t="shared" si="5"/>
        <v>0.1</v>
      </c>
    </row>
    <row r="2025">
      <c r="A2025" s="5" t="s">
        <v>5130</v>
      </c>
      <c r="B2025" s="5" t="s">
        <v>593</v>
      </c>
      <c r="C2025" s="5" t="s">
        <v>297</v>
      </c>
      <c r="D2025" s="5" t="s">
        <v>5131</v>
      </c>
      <c r="E2025" s="5" t="s">
        <v>2369</v>
      </c>
      <c r="F2025" s="5" t="s">
        <v>166</v>
      </c>
      <c r="G2025" s="6">
        <v>0.06</v>
      </c>
      <c r="H2025" s="5" t="s">
        <v>4851</v>
      </c>
      <c r="I2025" s="5" t="s">
        <v>20</v>
      </c>
      <c r="J2025" s="5">
        <v>2025.0</v>
      </c>
      <c r="K2025" s="8">
        <v>46057.0</v>
      </c>
      <c r="L2025" s="5">
        <v>1.0</v>
      </c>
      <c r="M2025" s="7">
        <f t="shared" si="5"/>
        <v>0.06</v>
      </c>
    </row>
    <row r="2026">
      <c r="A2026" s="5" t="s">
        <v>5132</v>
      </c>
      <c r="B2026" s="5" t="s">
        <v>4877</v>
      </c>
      <c r="C2026" s="5" t="s">
        <v>1951</v>
      </c>
      <c r="D2026" s="5" t="s">
        <v>5133</v>
      </c>
      <c r="E2026" s="5" t="s">
        <v>2354</v>
      </c>
      <c r="F2026" s="5" t="s">
        <v>166</v>
      </c>
      <c r="G2026" s="6">
        <v>0.1</v>
      </c>
      <c r="H2026" s="5" t="s">
        <v>4851</v>
      </c>
      <c r="I2026" s="5" t="s">
        <v>20</v>
      </c>
      <c r="J2026" s="5">
        <v>2025.0</v>
      </c>
      <c r="K2026" s="8">
        <v>46085.0</v>
      </c>
      <c r="L2026" s="5">
        <v>1.0</v>
      </c>
      <c r="M2026" s="7">
        <f t="shared" si="5"/>
        <v>0.1</v>
      </c>
    </row>
    <row r="2027">
      <c r="A2027" s="5" t="s">
        <v>5134</v>
      </c>
      <c r="B2027" s="5" t="s">
        <v>5126</v>
      </c>
      <c r="C2027" s="5" t="s">
        <v>1951</v>
      </c>
      <c r="D2027" s="5" t="s">
        <v>5135</v>
      </c>
      <c r="E2027" s="5" t="s">
        <v>2369</v>
      </c>
      <c r="F2027" s="5" t="s">
        <v>166</v>
      </c>
      <c r="G2027" s="6">
        <v>0.2</v>
      </c>
      <c r="H2027" s="5" t="s">
        <v>4851</v>
      </c>
      <c r="I2027" s="5" t="s">
        <v>20</v>
      </c>
      <c r="J2027" s="5">
        <v>2025.0</v>
      </c>
      <c r="K2027" s="8">
        <v>46085.0</v>
      </c>
      <c r="L2027" s="5">
        <v>1.0</v>
      </c>
      <c r="M2027" s="7">
        <f t="shared" si="5"/>
        <v>0.2</v>
      </c>
    </row>
    <row r="2028">
      <c r="A2028" s="5" t="s">
        <v>5136</v>
      </c>
      <c r="B2028" s="5" t="s">
        <v>5137</v>
      </c>
      <c r="C2028" s="5" t="s">
        <v>1899</v>
      </c>
      <c r="D2028" s="5" t="s">
        <v>5138</v>
      </c>
      <c r="E2028" s="5" t="s">
        <v>2784</v>
      </c>
      <c r="F2028" s="5" t="s">
        <v>166</v>
      </c>
      <c r="G2028" s="6">
        <v>0.39</v>
      </c>
      <c r="H2028" s="5" t="s">
        <v>4851</v>
      </c>
      <c r="I2028" s="5" t="s">
        <v>20</v>
      </c>
      <c r="J2028" s="5">
        <v>2025.0</v>
      </c>
      <c r="K2028" s="8">
        <v>46116.0</v>
      </c>
      <c r="L2028" s="5">
        <v>1.0</v>
      </c>
      <c r="M2028" s="7">
        <f t="shared" si="5"/>
        <v>0.39</v>
      </c>
    </row>
    <row r="2029">
      <c r="A2029" s="5" t="s">
        <v>5139</v>
      </c>
      <c r="B2029" s="5" t="s">
        <v>4872</v>
      </c>
      <c r="C2029" s="5" t="s">
        <v>1951</v>
      </c>
      <c r="D2029" s="5" t="s">
        <v>5140</v>
      </c>
      <c r="E2029" s="5" t="s">
        <v>2354</v>
      </c>
      <c r="F2029" s="5" t="s">
        <v>166</v>
      </c>
      <c r="G2029" s="6">
        <v>0.23</v>
      </c>
      <c r="H2029" s="5" t="s">
        <v>4851</v>
      </c>
      <c r="I2029" s="5" t="s">
        <v>20</v>
      </c>
      <c r="J2029" s="5">
        <v>2025.0</v>
      </c>
      <c r="L2029" s="5">
        <v>1.0</v>
      </c>
      <c r="M2029" s="7">
        <f t="shared" si="5"/>
        <v>0.23</v>
      </c>
    </row>
    <row r="2030">
      <c r="A2030" s="5" t="s">
        <v>5141</v>
      </c>
      <c r="B2030" s="5" t="s">
        <v>387</v>
      </c>
      <c r="C2030" s="5" t="s">
        <v>1951</v>
      </c>
      <c r="D2030" s="5" t="s">
        <v>5142</v>
      </c>
      <c r="E2030" s="5" t="s">
        <v>932</v>
      </c>
      <c r="F2030" s="5" t="s">
        <v>166</v>
      </c>
      <c r="G2030" s="6">
        <v>0.15</v>
      </c>
      <c r="H2030" s="5" t="s">
        <v>4851</v>
      </c>
      <c r="I2030" s="5" t="s">
        <v>20</v>
      </c>
      <c r="J2030" s="5">
        <v>2025.0</v>
      </c>
      <c r="L2030" s="5">
        <v>1.0</v>
      </c>
      <c r="M2030" s="7">
        <f t="shared" si="5"/>
        <v>0.15</v>
      </c>
    </row>
    <row r="2031">
      <c r="A2031" s="5" t="s">
        <v>5143</v>
      </c>
      <c r="B2031" s="5" t="s">
        <v>5144</v>
      </c>
      <c r="C2031" s="5" t="s">
        <v>297</v>
      </c>
      <c r="D2031" s="5" t="s">
        <v>5145</v>
      </c>
      <c r="E2031" s="5" t="s">
        <v>2759</v>
      </c>
      <c r="F2031" s="5" t="s">
        <v>166</v>
      </c>
      <c r="G2031" s="6">
        <v>0.03</v>
      </c>
      <c r="H2031" s="5" t="s">
        <v>4851</v>
      </c>
      <c r="I2031" s="5" t="s">
        <v>20</v>
      </c>
      <c r="J2031" s="5">
        <v>2025.0</v>
      </c>
      <c r="K2031" s="8">
        <v>46147.0</v>
      </c>
      <c r="L2031" s="5">
        <v>2.0</v>
      </c>
      <c r="M2031" s="7">
        <f t="shared" si="5"/>
        <v>0.06</v>
      </c>
    </row>
    <row r="2032">
      <c r="A2032" s="5" t="s">
        <v>5146</v>
      </c>
      <c r="B2032" s="5" t="s">
        <v>5147</v>
      </c>
      <c r="C2032" s="5" t="s">
        <v>297</v>
      </c>
      <c r="D2032" s="5" t="s">
        <v>5148</v>
      </c>
      <c r="E2032" s="5" t="s">
        <v>2354</v>
      </c>
      <c r="F2032" s="5" t="s">
        <v>166</v>
      </c>
      <c r="G2032" s="6">
        <v>0.06</v>
      </c>
      <c r="H2032" s="5" t="s">
        <v>4851</v>
      </c>
      <c r="I2032" s="5" t="s">
        <v>20</v>
      </c>
      <c r="J2032" s="5">
        <v>2025.0</v>
      </c>
      <c r="K2032" s="8">
        <v>46055.0</v>
      </c>
      <c r="L2032" s="5">
        <v>3.0</v>
      </c>
      <c r="M2032" s="7">
        <f t="shared" si="5"/>
        <v>0.18</v>
      </c>
    </row>
    <row r="2033">
      <c r="A2033" s="5" t="s">
        <v>5149</v>
      </c>
      <c r="B2033" s="5" t="s">
        <v>593</v>
      </c>
      <c r="C2033" s="5" t="s">
        <v>297</v>
      </c>
      <c r="D2033" s="5" t="s">
        <v>5150</v>
      </c>
      <c r="E2033" s="5" t="s">
        <v>932</v>
      </c>
      <c r="F2033" s="5" t="s">
        <v>166</v>
      </c>
      <c r="G2033" s="6">
        <v>0.09</v>
      </c>
      <c r="H2033" s="5" t="s">
        <v>4851</v>
      </c>
      <c r="I2033" s="5" t="s">
        <v>20</v>
      </c>
      <c r="J2033" s="5">
        <v>2025.0</v>
      </c>
      <c r="K2033" s="8">
        <v>46054.0</v>
      </c>
      <c r="L2033" s="5">
        <v>3.0</v>
      </c>
      <c r="M2033" s="7">
        <f t="shared" si="5"/>
        <v>0.27</v>
      </c>
    </row>
    <row r="2034">
      <c r="A2034" s="5" t="s">
        <v>5151</v>
      </c>
      <c r="B2034" s="5" t="s">
        <v>4872</v>
      </c>
      <c r="C2034" s="5" t="s">
        <v>297</v>
      </c>
      <c r="D2034" s="5" t="s">
        <v>5152</v>
      </c>
      <c r="E2034" s="5" t="s">
        <v>2354</v>
      </c>
      <c r="F2034" s="5" t="s">
        <v>166</v>
      </c>
      <c r="G2034" s="6">
        <v>0.06</v>
      </c>
      <c r="H2034" s="5" t="s">
        <v>4851</v>
      </c>
      <c r="I2034" s="5" t="s">
        <v>20</v>
      </c>
      <c r="J2034" s="5">
        <v>2025.0</v>
      </c>
      <c r="L2034" s="5">
        <v>2.0</v>
      </c>
      <c r="M2034" s="7">
        <f t="shared" si="5"/>
        <v>0.12</v>
      </c>
    </row>
    <row r="2035">
      <c r="A2035" s="5" t="s">
        <v>5153</v>
      </c>
      <c r="B2035" s="5" t="s">
        <v>5154</v>
      </c>
      <c r="C2035" s="5" t="s">
        <v>1951</v>
      </c>
      <c r="D2035" s="5" t="s">
        <v>5155</v>
      </c>
      <c r="E2035" s="5" t="s">
        <v>2346</v>
      </c>
      <c r="F2035" s="5" t="s">
        <v>166</v>
      </c>
      <c r="G2035" s="6">
        <v>0.15</v>
      </c>
      <c r="H2035" s="5" t="s">
        <v>4851</v>
      </c>
      <c r="I2035" s="5" t="s">
        <v>20</v>
      </c>
      <c r="J2035" s="5">
        <v>2025.0</v>
      </c>
      <c r="K2035" s="8">
        <v>46055.0</v>
      </c>
      <c r="L2035" s="5">
        <v>1.0</v>
      </c>
      <c r="M2035" s="7">
        <f t="shared" si="5"/>
        <v>0.15</v>
      </c>
    </row>
    <row r="2036">
      <c r="A2036" s="5" t="s">
        <v>5156</v>
      </c>
      <c r="B2036" s="5" t="s">
        <v>5157</v>
      </c>
      <c r="C2036" s="5" t="s">
        <v>1951</v>
      </c>
      <c r="D2036" s="5" t="s">
        <v>5158</v>
      </c>
      <c r="E2036" s="5" t="s">
        <v>2346</v>
      </c>
      <c r="F2036" s="5" t="s">
        <v>166</v>
      </c>
      <c r="G2036" s="6">
        <v>0.14</v>
      </c>
      <c r="H2036" s="5" t="s">
        <v>4851</v>
      </c>
      <c r="I2036" s="5" t="s">
        <v>20</v>
      </c>
      <c r="J2036" s="5">
        <v>2025.0</v>
      </c>
      <c r="K2036" s="8">
        <v>46085.0</v>
      </c>
      <c r="L2036" s="5">
        <v>1.0</v>
      </c>
      <c r="M2036" s="7">
        <f t="shared" si="5"/>
        <v>0.14</v>
      </c>
    </row>
    <row r="2037">
      <c r="A2037" s="5" t="s">
        <v>5156</v>
      </c>
      <c r="B2037" s="5" t="s">
        <v>5157</v>
      </c>
      <c r="C2037" s="5" t="s">
        <v>1951</v>
      </c>
      <c r="D2037" s="5" t="s">
        <v>5158</v>
      </c>
      <c r="E2037" s="5" t="s">
        <v>2346</v>
      </c>
      <c r="F2037" s="5" t="s">
        <v>166</v>
      </c>
      <c r="G2037" s="6">
        <v>0.1</v>
      </c>
      <c r="H2037" s="5" t="s">
        <v>4851</v>
      </c>
      <c r="I2037" s="5" t="s">
        <v>31</v>
      </c>
      <c r="J2037" s="5">
        <v>2025.0</v>
      </c>
      <c r="K2037" s="8">
        <v>46085.0</v>
      </c>
      <c r="L2037" s="5">
        <v>1.0</v>
      </c>
      <c r="M2037" s="7">
        <f t="shared" si="5"/>
        <v>0.1</v>
      </c>
    </row>
    <row r="2038">
      <c r="A2038" s="5" t="s">
        <v>5159</v>
      </c>
      <c r="B2038" s="5" t="s">
        <v>5160</v>
      </c>
      <c r="C2038" s="5" t="s">
        <v>297</v>
      </c>
      <c r="D2038" s="5" t="s">
        <v>5161</v>
      </c>
      <c r="E2038" s="5" t="s">
        <v>2762</v>
      </c>
      <c r="F2038" s="5" t="s">
        <v>166</v>
      </c>
      <c r="G2038" s="6">
        <v>0.05</v>
      </c>
      <c r="H2038" s="5" t="s">
        <v>4851</v>
      </c>
      <c r="I2038" s="5" t="s">
        <v>20</v>
      </c>
      <c r="J2038" s="5">
        <v>2025.0</v>
      </c>
      <c r="K2038" s="8">
        <v>46178.0</v>
      </c>
      <c r="L2038" s="5">
        <v>1.0</v>
      </c>
      <c r="M2038" s="7">
        <f t="shared" si="5"/>
        <v>0.05</v>
      </c>
    </row>
    <row r="2039">
      <c r="A2039" s="5" t="s">
        <v>5162</v>
      </c>
      <c r="B2039" s="5" t="s">
        <v>5163</v>
      </c>
      <c r="C2039" s="5" t="s">
        <v>1951</v>
      </c>
      <c r="D2039" s="5" t="s">
        <v>5164</v>
      </c>
      <c r="E2039" s="5" t="s">
        <v>2354</v>
      </c>
      <c r="F2039" s="5" t="s">
        <v>166</v>
      </c>
      <c r="G2039" s="6">
        <v>0.15</v>
      </c>
      <c r="H2039" s="5" t="s">
        <v>4851</v>
      </c>
      <c r="I2039" s="5" t="s">
        <v>20</v>
      </c>
      <c r="J2039" s="5">
        <v>2025.0</v>
      </c>
      <c r="K2039" s="8">
        <v>46056.0</v>
      </c>
      <c r="L2039" s="5">
        <v>1.0</v>
      </c>
      <c r="M2039" s="7">
        <f t="shared" si="5"/>
        <v>0.15</v>
      </c>
    </row>
    <row r="2040">
      <c r="A2040" s="5" t="s">
        <v>5165</v>
      </c>
      <c r="B2040" s="5" t="s">
        <v>4869</v>
      </c>
      <c r="C2040" s="5" t="s">
        <v>1951</v>
      </c>
      <c r="D2040" s="5" t="s">
        <v>5166</v>
      </c>
      <c r="E2040" s="5" t="s">
        <v>2346</v>
      </c>
      <c r="F2040" s="5" t="s">
        <v>166</v>
      </c>
      <c r="G2040" s="6">
        <v>0.25</v>
      </c>
      <c r="H2040" s="5" t="s">
        <v>4851</v>
      </c>
      <c r="I2040" s="5" t="s">
        <v>20</v>
      </c>
      <c r="J2040" s="5">
        <v>2025.0</v>
      </c>
      <c r="L2040" s="5">
        <v>1.0</v>
      </c>
      <c r="M2040" s="7">
        <f t="shared" si="5"/>
        <v>0.25</v>
      </c>
    </row>
    <row r="2041">
      <c r="A2041" s="5" t="s">
        <v>5165</v>
      </c>
      <c r="B2041" s="5" t="s">
        <v>4869</v>
      </c>
      <c r="C2041" s="5" t="s">
        <v>1951</v>
      </c>
      <c r="D2041" s="5" t="s">
        <v>5166</v>
      </c>
      <c r="E2041" s="5" t="s">
        <v>2346</v>
      </c>
      <c r="F2041" s="5" t="s">
        <v>166</v>
      </c>
      <c r="G2041" s="6">
        <v>2.97</v>
      </c>
      <c r="H2041" s="5" t="s">
        <v>4851</v>
      </c>
      <c r="I2041" s="5" t="s">
        <v>31</v>
      </c>
      <c r="J2041" s="5">
        <v>2025.0</v>
      </c>
      <c r="L2041" s="5">
        <v>1.0</v>
      </c>
      <c r="M2041" s="7">
        <f t="shared" si="5"/>
        <v>2.97</v>
      </c>
    </row>
    <row r="2042">
      <c r="A2042" s="5" t="s">
        <v>5167</v>
      </c>
      <c r="B2042" s="5" t="s">
        <v>5168</v>
      </c>
      <c r="C2042" s="5" t="s">
        <v>297</v>
      </c>
      <c r="D2042" s="5" t="s">
        <v>5169</v>
      </c>
      <c r="E2042" s="5" t="s">
        <v>2507</v>
      </c>
      <c r="F2042" s="5" t="s">
        <v>18</v>
      </c>
      <c r="G2042" s="6">
        <v>0.12</v>
      </c>
      <c r="H2042" s="5" t="s">
        <v>4851</v>
      </c>
      <c r="I2042" s="5" t="s">
        <v>20</v>
      </c>
      <c r="J2042" s="5">
        <v>2025.0</v>
      </c>
      <c r="K2042" s="8">
        <v>46116.0</v>
      </c>
      <c r="L2042" s="5">
        <v>1.0</v>
      </c>
      <c r="M2042" s="7">
        <f t="shared" si="5"/>
        <v>0.12</v>
      </c>
    </row>
    <row r="2043">
      <c r="A2043" s="5" t="s">
        <v>5170</v>
      </c>
      <c r="B2043" s="5" t="s">
        <v>5171</v>
      </c>
      <c r="C2043" s="5" t="s">
        <v>297</v>
      </c>
      <c r="D2043" s="5" t="s">
        <v>5172</v>
      </c>
      <c r="E2043" s="5" t="s">
        <v>782</v>
      </c>
      <c r="F2043" s="5" t="s">
        <v>18</v>
      </c>
      <c r="G2043" s="6">
        <v>0.04</v>
      </c>
      <c r="H2043" s="5" t="s">
        <v>4851</v>
      </c>
      <c r="I2043" s="5" t="s">
        <v>20</v>
      </c>
      <c r="J2043" s="5">
        <v>2025.0</v>
      </c>
      <c r="K2043" s="5" t="s">
        <v>566</v>
      </c>
      <c r="L2043" s="5">
        <v>1.0</v>
      </c>
      <c r="M2043" s="7">
        <f t="shared" si="5"/>
        <v>0.04</v>
      </c>
    </row>
    <row r="2044">
      <c r="A2044" s="5" t="s">
        <v>5173</v>
      </c>
      <c r="B2044" s="5" t="s">
        <v>4869</v>
      </c>
      <c r="C2044" s="5" t="s">
        <v>1951</v>
      </c>
      <c r="D2044" s="5" t="s">
        <v>5174</v>
      </c>
      <c r="E2044" s="5" t="s">
        <v>1956</v>
      </c>
      <c r="F2044" s="5" t="s">
        <v>18</v>
      </c>
      <c r="G2044" s="6">
        <v>0.98</v>
      </c>
      <c r="H2044" s="5" t="s">
        <v>4851</v>
      </c>
      <c r="I2044" s="5" t="s">
        <v>20</v>
      </c>
      <c r="J2044" s="5">
        <v>2025.0</v>
      </c>
      <c r="L2044" s="5">
        <v>1.0</v>
      </c>
      <c r="M2044" s="7">
        <f t="shared" si="5"/>
        <v>0.98</v>
      </c>
    </row>
    <row r="2045">
      <c r="A2045" s="5" t="s">
        <v>5175</v>
      </c>
      <c r="B2045" s="5" t="s">
        <v>4872</v>
      </c>
      <c r="C2045" s="5" t="s">
        <v>297</v>
      </c>
      <c r="D2045" s="5" t="s">
        <v>5176</v>
      </c>
      <c r="E2045" s="5" t="s">
        <v>2298</v>
      </c>
      <c r="F2045" s="5" t="s">
        <v>18</v>
      </c>
      <c r="G2045" s="6">
        <v>0.13</v>
      </c>
      <c r="H2045" s="5" t="s">
        <v>4851</v>
      </c>
      <c r="I2045" s="5" t="s">
        <v>20</v>
      </c>
      <c r="J2045" s="5">
        <v>2025.0</v>
      </c>
      <c r="L2045" s="5">
        <v>1.0</v>
      </c>
      <c r="M2045" s="7">
        <f t="shared" si="5"/>
        <v>0.13</v>
      </c>
    </row>
    <row r="2046">
      <c r="A2046" s="5" t="s">
        <v>5177</v>
      </c>
      <c r="B2046" s="5" t="s">
        <v>5178</v>
      </c>
      <c r="C2046" s="5" t="s">
        <v>1899</v>
      </c>
      <c r="D2046" s="5" t="s">
        <v>5179</v>
      </c>
      <c r="E2046" s="5" t="s">
        <v>2302</v>
      </c>
      <c r="F2046" s="5" t="s">
        <v>18</v>
      </c>
      <c r="G2046" s="6">
        <v>0.95</v>
      </c>
      <c r="H2046" s="5" t="s">
        <v>4851</v>
      </c>
      <c r="I2046" s="5" t="s">
        <v>20</v>
      </c>
      <c r="J2046" s="5">
        <v>2025.0</v>
      </c>
      <c r="K2046" s="8">
        <v>46116.0</v>
      </c>
      <c r="L2046" s="5">
        <v>1.0</v>
      </c>
      <c r="M2046" s="7">
        <f t="shared" si="5"/>
        <v>0.95</v>
      </c>
    </row>
    <row r="2047">
      <c r="A2047" s="5" t="s">
        <v>5180</v>
      </c>
      <c r="B2047" s="5" t="s">
        <v>612</v>
      </c>
      <c r="C2047" s="5" t="s">
        <v>297</v>
      </c>
      <c r="D2047" s="5" t="s">
        <v>5181</v>
      </c>
      <c r="E2047" s="5" t="s">
        <v>1956</v>
      </c>
      <c r="F2047" s="5" t="s">
        <v>18</v>
      </c>
      <c r="G2047" s="6">
        <v>0.08</v>
      </c>
      <c r="H2047" s="5" t="s">
        <v>4851</v>
      </c>
      <c r="I2047" s="5" t="s">
        <v>20</v>
      </c>
      <c r="J2047" s="5">
        <v>2025.0</v>
      </c>
      <c r="L2047" s="5">
        <v>2.0</v>
      </c>
      <c r="M2047" s="7">
        <f t="shared" si="5"/>
        <v>0.16</v>
      </c>
    </row>
    <row r="2048">
      <c r="A2048" s="5" t="s">
        <v>5182</v>
      </c>
      <c r="B2048" s="5" t="s">
        <v>5183</v>
      </c>
      <c r="C2048" s="5" t="s">
        <v>297</v>
      </c>
      <c r="D2048" s="5" t="s">
        <v>5184</v>
      </c>
      <c r="E2048" s="5" t="s">
        <v>2298</v>
      </c>
      <c r="F2048" s="5" t="s">
        <v>18</v>
      </c>
      <c r="G2048" s="6">
        <v>0.08</v>
      </c>
      <c r="H2048" s="5" t="s">
        <v>4851</v>
      </c>
      <c r="I2048" s="5" t="s">
        <v>20</v>
      </c>
      <c r="J2048" s="5">
        <v>2025.0</v>
      </c>
      <c r="K2048" s="8">
        <v>46025.0</v>
      </c>
      <c r="L2048" s="5">
        <v>2.0</v>
      </c>
      <c r="M2048" s="7">
        <f t="shared" si="5"/>
        <v>0.16</v>
      </c>
    </row>
    <row r="2049">
      <c r="A2049" s="5" t="s">
        <v>5185</v>
      </c>
      <c r="B2049" s="5" t="s">
        <v>612</v>
      </c>
      <c r="C2049" s="5" t="s">
        <v>1951</v>
      </c>
      <c r="D2049" s="5" t="s">
        <v>5186</v>
      </c>
      <c r="E2049" s="5" t="s">
        <v>2298</v>
      </c>
      <c r="F2049" s="5" t="s">
        <v>18</v>
      </c>
      <c r="G2049" s="6">
        <v>0.12</v>
      </c>
      <c r="H2049" s="5" t="s">
        <v>4851</v>
      </c>
      <c r="I2049" s="5" t="s">
        <v>20</v>
      </c>
      <c r="J2049" s="5">
        <v>2025.0</v>
      </c>
      <c r="L2049" s="5">
        <v>2.0</v>
      </c>
      <c r="M2049" s="7">
        <f t="shared" si="5"/>
        <v>0.24</v>
      </c>
    </row>
    <row r="2050">
      <c r="A2050" s="5" t="s">
        <v>5187</v>
      </c>
      <c r="B2050" s="5" t="s">
        <v>4907</v>
      </c>
      <c r="C2050" s="5" t="s">
        <v>1951</v>
      </c>
      <c r="D2050" s="5" t="s">
        <v>5188</v>
      </c>
      <c r="E2050" s="5" t="s">
        <v>2298</v>
      </c>
      <c r="F2050" s="5" t="s">
        <v>18</v>
      </c>
      <c r="G2050" s="6">
        <v>0.2</v>
      </c>
      <c r="H2050" s="5" t="s">
        <v>4851</v>
      </c>
      <c r="I2050" s="5" t="s">
        <v>20</v>
      </c>
      <c r="J2050" s="5">
        <v>2025.0</v>
      </c>
      <c r="K2050" s="5" t="s">
        <v>719</v>
      </c>
      <c r="L2050" s="5">
        <v>2.0</v>
      </c>
      <c r="M2050" s="7">
        <f t="shared" si="5"/>
        <v>0.4</v>
      </c>
    </row>
    <row r="2051">
      <c r="A2051" s="5" t="s">
        <v>5189</v>
      </c>
      <c r="B2051" s="5" t="s">
        <v>5190</v>
      </c>
      <c r="C2051" s="5" t="s">
        <v>1951</v>
      </c>
      <c r="D2051" s="5" t="s">
        <v>5191</v>
      </c>
      <c r="E2051" s="5" t="s">
        <v>1956</v>
      </c>
      <c r="F2051" s="5" t="s">
        <v>18</v>
      </c>
      <c r="G2051" s="6">
        <v>0.15</v>
      </c>
      <c r="H2051" s="5" t="s">
        <v>4851</v>
      </c>
      <c r="I2051" s="5" t="s">
        <v>20</v>
      </c>
      <c r="J2051" s="5">
        <v>2025.0</v>
      </c>
      <c r="K2051" s="8">
        <v>46023.0</v>
      </c>
      <c r="L2051" s="5">
        <v>1.0</v>
      </c>
      <c r="M2051" s="7">
        <f t="shared" si="5"/>
        <v>0.15</v>
      </c>
    </row>
    <row r="2052">
      <c r="A2052" s="5" t="s">
        <v>5192</v>
      </c>
      <c r="B2052" s="5" t="s">
        <v>1756</v>
      </c>
      <c r="C2052" s="5" t="s">
        <v>1899</v>
      </c>
      <c r="D2052" s="5" t="s">
        <v>5193</v>
      </c>
      <c r="E2052" s="5" t="s">
        <v>2298</v>
      </c>
      <c r="F2052" s="5" t="s">
        <v>18</v>
      </c>
      <c r="G2052" s="6">
        <v>19.19</v>
      </c>
      <c r="H2052" s="5" t="s">
        <v>4851</v>
      </c>
      <c r="I2052" s="5" t="s">
        <v>20</v>
      </c>
      <c r="J2052" s="5">
        <v>2025.0</v>
      </c>
      <c r="L2052" s="5">
        <v>1.0</v>
      </c>
      <c r="M2052" s="7">
        <f t="shared" si="5"/>
        <v>19.19</v>
      </c>
    </row>
    <row r="2053">
      <c r="A2053" s="5" t="s">
        <v>5194</v>
      </c>
      <c r="B2053" s="5" t="s">
        <v>4898</v>
      </c>
      <c r="C2053" s="5" t="s">
        <v>297</v>
      </c>
      <c r="D2053" s="5" t="s">
        <v>5195</v>
      </c>
      <c r="E2053" s="5" t="s">
        <v>2298</v>
      </c>
      <c r="F2053" s="5" t="s">
        <v>18</v>
      </c>
      <c r="G2053" s="6">
        <v>0.04</v>
      </c>
      <c r="H2053" s="5" t="s">
        <v>4851</v>
      </c>
      <c r="I2053" s="5" t="s">
        <v>20</v>
      </c>
      <c r="J2053" s="5">
        <v>2025.0</v>
      </c>
      <c r="K2053" s="8">
        <v>46083.0</v>
      </c>
      <c r="L2053" s="5">
        <v>2.0</v>
      </c>
      <c r="M2053" s="7">
        <f t="shared" si="5"/>
        <v>0.08</v>
      </c>
    </row>
    <row r="2054">
      <c r="A2054" s="5" t="s">
        <v>5196</v>
      </c>
      <c r="B2054" s="5" t="s">
        <v>4898</v>
      </c>
      <c r="C2054" s="5" t="s">
        <v>1951</v>
      </c>
      <c r="D2054" s="5" t="s">
        <v>5197</v>
      </c>
      <c r="E2054" s="5" t="s">
        <v>2302</v>
      </c>
      <c r="F2054" s="5" t="s">
        <v>18</v>
      </c>
      <c r="G2054" s="6">
        <v>0.15</v>
      </c>
      <c r="H2054" s="5" t="s">
        <v>4851</v>
      </c>
      <c r="I2054" s="5" t="s">
        <v>20</v>
      </c>
      <c r="J2054" s="5">
        <v>2025.0</v>
      </c>
      <c r="K2054" s="8">
        <v>46055.0</v>
      </c>
      <c r="L2054" s="5">
        <v>1.0</v>
      </c>
      <c r="M2054" s="7">
        <f t="shared" si="5"/>
        <v>0.15</v>
      </c>
    </row>
    <row r="2055">
      <c r="A2055" s="5" t="s">
        <v>5198</v>
      </c>
      <c r="B2055" s="5" t="s">
        <v>5045</v>
      </c>
      <c r="C2055" s="5" t="s">
        <v>1951</v>
      </c>
      <c r="D2055" s="5" t="s">
        <v>5199</v>
      </c>
      <c r="E2055" s="5" t="s">
        <v>1956</v>
      </c>
      <c r="F2055" s="5" t="s">
        <v>18</v>
      </c>
      <c r="G2055" s="6">
        <v>0.24</v>
      </c>
      <c r="H2055" s="5" t="s">
        <v>4851</v>
      </c>
      <c r="I2055" s="5" t="s">
        <v>20</v>
      </c>
      <c r="J2055" s="5">
        <v>2025.0</v>
      </c>
      <c r="K2055" s="8">
        <v>46055.0</v>
      </c>
      <c r="L2055" s="5">
        <v>1.0</v>
      </c>
      <c r="M2055" s="7">
        <f t="shared" si="5"/>
        <v>0.24</v>
      </c>
    </row>
    <row r="2056">
      <c r="A2056" s="5" t="s">
        <v>5200</v>
      </c>
      <c r="B2056" s="5" t="s">
        <v>5201</v>
      </c>
      <c r="C2056" s="5" t="s">
        <v>297</v>
      </c>
      <c r="D2056" s="5" t="s">
        <v>5202</v>
      </c>
      <c r="E2056" s="5" t="s">
        <v>2514</v>
      </c>
      <c r="F2056" s="5" t="s">
        <v>18</v>
      </c>
      <c r="G2056" s="6">
        <v>0.04</v>
      </c>
      <c r="H2056" s="5" t="s">
        <v>4851</v>
      </c>
      <c r="I2056" s="5" t="s">
        <v>20</v>
      </c>
      <c r="J2056" s="5">
        <v>2025.0</v>
      </c>
      <c r="K2056" s="8">
        <v>46210.0</v>
      </c>
      <c r="L2056" s="5">
        <v>4.0</v>
      </c>
      <c r="M2056" s="7">
        <f t="shared" si="5"/>
        <v>0.16</v>
      </c>
    </row>
    <row r="2057">
      <c r="A2057" s="5" t="s">
        <v>5200</v>
      </c>
      <c r="B2057" s="5" t="s">
        <v>5201</v>
      </c>
      <c r="C2057" s="5" t="s">
        <v>297</v>
      </c>
      <c r="D2057" s="5" t="s">
        <v>5202</v>
      </c>
      <c r="E2057" s="5" t="s">
        <v>2514</v>
      </c>
      <c r="F2057" s="5" t="s">
        <v>18</v>
      </c>
      <c r="G2057" s="6">
        <v>0.34</v>
      </c>
      <c r="H2057" s="5" t="s">
        <v>4851</v>
      </c>
      <c r="I2057" s="5" t="s">
        <v>31</v>
      </c>
      <c r="J2057" s="5">
        <v>2025.0</v>
      </c>
      <c r="K2057" s="8">
        <v>46210.0</v>
      </c>
      <c r="L2057" s="5">
        <v>1.0</v>
      </c>
      <c r="M2057" s="7">
        <f t="shared" si="5"/>
        <v>0.34</v>
      </c>
    </row>
    <row r="2058">
      <c r="A2058" s="5" t="s">
        <v>5203</v>
      </c>
      <c r="B2058" s="5" t="s">
        <v>612</v>
      </c>
      <c r="C2058" s="5" t="s">
        <v>297</v>
      </c>
      <c r="D2058" s="5" t="s">
        <v>5204</v>
      </c>
      <c r="E2058" s="5" t="s">
        <v>782</v>
      </c>
      <c r="F2058" s="5" t="s">
        <v>18</v>
      </c>
      <c r="G2058" s="6">
        <v>0.08</v>
      </c>
      <c r="H2058" s="5" t="s">
        <v>4851</v>
      </c>
      <c r="I2058" s="5" t="s">
        <v>20</v>
      </c>
      <c r="J2058" s="5">
        <v>2025.0</v>
      </c>
      <c r="L2058" s="5">
        <v>3.0</v>
      </c>
      <c r="M2058" s="7">
        <f t="shared" si="5"/>
        <v>0.24</v>
      </c>
    </row>
    <row r="2059">
      <c r="A2059" s="5" t="s">
        <v>5203</v>
      </c>
      <c r="B2059" s="5" t="s">
        <v>612</v>
      </c>
      <c r="C2059" s="5" t="s">
        <v>297</v>
      </c>
      <c r="D2059" s="5" t="s">
        <v>5204</v>
      </c>
      <c r="E2059" s="5" t="s">
        <v>782</v>
      </c>
      <c r="F2059" s="5" t="s">
        <v>18</v>
      </c>
      <c r="G2059" s="6">
        <v>0.25</v>
      </c>
      <c r="H2059" s="5" t="s">
        <v>4851</v>
      </c>
      <c r="I2059" s="5" t="s">
        <v>31</v>
      </c>
      <c r="J2059" s="5">
        <v>2025.0</v>
      </c>
      <c r="L2059" s="5">
        <v>1.0</v>
      </c>
      <c r="M2059" s="7">
        <f t="shared" si="5"/>
        <v>0.25</v>
      </c>
    </row>
    <row r="2060">
      <c r="A2060" s="5" t="s">
        <v>5205</v>
      </c>
      <c r="B2060" s="5" t="s">
        <v>5206</v>
      </c>
      <c r="C2060" s="5" t="s">
        <v>297</v>
      </c>
      <c r="D2060" s="5" t="s">
        <v>5207</v>
      </c>
      <c r="E2060" s="5" t="s">
        <v>2302</v>
      </c>
      <c r="F2060" s="5" t="s">
        <v>18</v>
      </c>
      <c r="G2060" s="6">
        <v>0.06</v>
      </c>
      <c r="H2060" s="5" t="s">
        <v>4851</v>
      </c>
      <c r="I2060" s="5" t="s">
        <v>20</v>
      </c>
      <c r="J2060" s="5">
        <v>2025.0</v>
      </c>
      <c r="K2060" s="8">
        <v>46085.0</v>
      </c>
      <c r="L2060" s="5">
        <v>3.0</v>
      </c>
      <c r="M2060" s="7">
        <f t="shared" si="5"/>
        <v>0.18</v>
      </c>
    </row>
    <row r="2061">
      <c r="A2061" s="5" t="s">
        <v>5208</v>
      </c>
      <c r="B2061" s="5" t="s">
        <v>5045</v>
      </c>
      <c r="C2061" s="5" t="s">
        <v>297</v>
      </c>
      <c r="D2061" s="5" t="s">
        <v>5209</v>
      </c>
      <c r="E2061" s="5" t="s">
        <v>1956</v>
      </c>
      <c r="F2061" s="5" t="s">
        <v>18</v>
      </c>
      <c r="G2061" s="6">
        <v>0.19</v>
      </c>
      <c r="H2061" s="5" t="s">
        <v>4851</v>
      </c>
      <c r="I2061" s="5" t="s">
        <v>31</v>
      </c>
      <c r="J2061" s="5">
        <v>2025.0</v>
      </c>
      <c r="K2061" s="8">
        <v>46024.0</v>
      </c>
      <c r="L2061" s="5">
        <v>1.0</v>
      </c>
      <c r="M2061" s="7">
        <f t="shared" si="5"/>
        <v>0.19</v>
      </c>
    </row>
    <row r="2062">
      <c r="A2062" s="5" t="s">
        <v>5208</v>
      </c>
      <c r="B2062" s="5" t="s">
        <v>5045</v>
      </c>
      <c r="C2062" s="5" t="s">
        <v>297</v>
      </c>
      <c r="D2062" s="5" t="s">
        <v>5209</v>
      </c>
      <c r="E2062" s="5" t="s">
        <v>1956</v>
      </c>
      <c r="F2062" s="5" t="s">
        <v>18</v>
      </c>
      <c r="G2062" s="6">
        <v>0.1</v>
      </c>
      <c r="H2062" s="5" t="s">
        <v>4851</v>
      </c>
      <c r="I2062" s="5" t="s">
        <v>20</v>
      </c>
      <c r="J2062" s="5">
        <v>2025.0</v>
      </c>
      <c r="K2062" s="8">
        <v>46024.0</v>
      </c>
      <c r="L2062" s="5">
        <v>4.0</v>
      </c>
      <c r="M2062" s="7">
        <f t="shared" si="5"/>
        <v>0.4</v>
      </c>
    </row>
    <row r="2063">
      <c r="A2063" s="5" t="s">
        <v>5210</v>
      </c>
      <c r="B2063" s="5" t="s">
        <v>4869</v>
      </c>
      <c r="C2063" s="5" t="s">
        <v>1951</v>
      </c>
      <c r="D2063" s="5" t="s">
        <v>5211</v>
      </c>
      <c r="E2063" s="5" t="s">
        <v>782</v>
      </c>
      <c r="F2063" s="5" t="s">
        <v>18</v>
      </c>
      <c r="G2063" s="6">
        <v>0.2</v>
      </c>
      <c r="H2063" s="5" t="s">
        <v>4851</v>
      </c>
      <c r="I2063" s="5" t="s">
        <v>20</v>
      </c>
      <c r="J2063" s="5">
        <v>2025.0</v>
      </c>
      <c r="L2063" s="5">
        <v>1.0</v>
      </c>
      <c r="M2063" s="7">
        <f t="shared" si="5"/>
        <v>0.2</v>
      </c>
    </row>
    <row r="2064">
      <c r="A2064" s="5" t="s">
        <v>5212</v>
      </c>
      <c r="B2064" s="5" t="s">
        <v>5073</v>
      </c>
      <c r="C2064" s="5" t="s">
        <v>1951</v>
      </c>
      <c r="D2064" s="5" t="s">
        <v>5213</v>
      </c>
      <c r="E2064" s="5" t="s">
        <v>2302</v>
      </c>
      <c r="F2064" s="5" t="s">
        <v>18</v>
      </c>
      <c r="G2064" s="6">
        <v>0.1</v>
      </c>
      <c r="H2064" s="5" t="s">
        <v>4851</v>
      </c>
      <c r="I2064" s="5" t="s">
        <v>20</v>
      </c>
      <c r="J2064" s="5">
        <v>2025.0</v>
      </c>
      <c r="L2064" s="5">
        <v>1.0</v>
      </c>
      <c r="M2064" s="7">
        <f t="shared" si="5"/>
        <v>0.1</v>
      </c>
    </row>
    <row r="2065">
      <c r="A2065" s="5" t="s">
        <v>5214</v>
      </c>
      <c r="B2065" s="5" t="s">
        <v>5215</v>
      </c>
      <c r="C2065" s="5" t="s">
        <v>1951</v>
      </c>
      <c r="D2065" s="5" t="s">
        <v>5216</v>
      </c>
      <c r="E2065" s="5" t="s">
        <v>1956</v>
      </c>
      <c r="F2065" s="5" t="s">
        <v>18</v>
      </c>
      <c r="G2065" s="6">
        <v>0.2</v>
      </c>
      <c r="H2065" s="5" t="s">
        <v>4851</v>
      </c>
      <c r="I2065" s="5" t="s">
        <v>20</v>
      </c>
      <c r="J2065" s="5">
        <v>2025.0</v>
      </c>
      <c r="L2065" s="5">
        <v>1.0</v>
      </c>
      <c r="M2065" s="7">
        <f t="shared" si="5"/>
        <v>0.2</v>
      </c>
    </row>
    <row r="2066">
      <c r="A2066" s="5" t="s">
        <v>5217</v>
      </c>
      <c r="B2066" s="5" t="s">
        <v>5218</v>
      </c>
      <c r="C2066" s="5" t="s">
        <v>1951</v>
      </c>
      <c r="D2066" s="5" t="s">
        <v>5219</v>
      </c>
      <c r="E2066" s="5" t="s">
        <v>2514</v>
      </c>
      <c r="F2066" s="5" t="s">
        <v>18</v>
      </c>
      <c r="G2066" s="6">
        <v>0.15</v>
      </c>
      <c r="H2066" s="5" t="s">
        <v>4851</v>
      </c>
      <c r="I2066" s="5" t="s">
        <v>20</v>
      </c>
      <c r="J2066" s="5">
        <v>2025.0</v>
      </c>
      <c r="K2066" s="8">
        <v>46116.0</v>
      </c>
      <c r="L2066" s="5">
        <v>1.0</v>
      </c>
      <c r="M2066" s="7">
        <f t="shared" si="5"/>
        <v>0.15</v>
      </c>
    </row>
    <row r="2067">
      <c r="A2067" s="5" t="s">
        <v>5220</v>
      </c>
      <c r="B2067" s="5" t="s">
        <v>4891</v>
      </c>
      <c r="C2067" s="5" t="s">
        <v>297</v>
      </c>
      <c r="D2067" s="5" t="s">
        <v>5221</v>
      </c>
      <c r="E2067" s="5" t="s">
        <v>1956</v>
      </c>
      <c r="F2067" s="5" t="s">
        <v>18</v>
      </c>
      <c r="G2067" s="6">
        <v>0.04</v>
      </c>
      <c r="H2067" s="5" t="s">
        <v>4851</v>
      </c>
      <c r="I2067" s="5" t="s">
        <v>20</v>
      </c>
      <c r="J2067" s="5">
        <v>2025.0</v>
      </c>
      <c r="K2067" s="8">
        <v>46055.0</v>
      </c>
      <c r="L2067" s="5">
        <v>1.0</v>
      </c>
      <c r="M2067" s="7">
        <f t="shared" si="5"/>
        <v>0.04</v>
      </c>
    </row>
    <row r="2068">
      <c r="A2068" s="5" t="s">
        <v>5222</v>
      </c>
      <c r="B2068" s="5" t="s">
        <v>4954</v>
      </c>
      <c r="C2068" s="5" t="s">
        <v>1899</v>
      </c>
      <c r="D2068" s="5" t="s">
        <v>5223</v>
      </c>
      <c r="E2068" s="5" t="s">
        <v>2302</v>
      </c>
      <c r="F2068" s="5" t="s">
        <v>18</v>
      </c>
      <c r="G2068" s="6">
        <v>2.49</v>
      </c>
      <c r="H2068" s="5" t="s">
        <v>4851</v>
      </c>
      <c r="I2068" s="5" t="s">
        <v>20</v>
      </c>
      <c r="J2068" s="5">
        <v>2025.0</v>
      </c>
      <c r="K2068" s="8">
        <v>46055.0</v>
      </c>
      <c r="L2068" s="5">
        <v>1.0</v>
      </c>
      <c r="M2068" s="7">
        <f t="shared" si="5"/>
        <v>2.49</v>
      </c>
    </row>
    <row r="2069">
      <c r="A2069" s="5" t="s">
        <v>5224</v>
      </c>
      <c r="B2069" s="5" t="s">
        <v>4954</v>
      </c>
      <c r="C2069" s="5" t="s">
        <v>1951</v>
      </c>
      <c r="D2069" s="5" t="s">
        <v>5225</v>
      </c>
      <c r="E2069" s="5" t="s">
        <v>5226</v>
      </c>
      <c r="F2069" s="5" t="s">
        <v>18</v>
      </c>
      <c r="G2069" s="6">
        <v>0.2</v>
      </c>
      <c r="H2069" s="5" t="s">
        <v>4851</v>
      </c>
      <c r="I2069" s="5" t="s">
        <v>20</v>
      </c>
      <c r="J2069" s="5">
        <v>2025.0</v>
      </c>
      <c r="K2069" s="8">
        <v>46116.0</v>
      </c>
      <c r="L2069" s="5">
        <v>1.0</v>
      </c>
      <c r="M2069" s="7">
        <f t="shared" si="5"/>
        <v>0.2</v>
      </c>
    </row>
    <row r="2070">
      <c r="A2070" s="5" t="s">
        <v>5227</v>
      </c>
      <c r="B2070" s="5" t="s">
        <v>5228</v>
      </c>
      <c r="C2070" s="5" t="s">
        <v>297</v>
      </c>
      <c r="D2070" s="5" t="s">
        <v>5229</v>
      </c>
      <c r="E2070" s="5" t="s">
        <v>1859</v>
      </c>
      <c r="F2070" s="5" t="s">
        <v>280</v>
      </c>
      <c r="G2070" s="6">
        <v>0.02</v>
      </c>
      <c r="H2070" s="5" t="s">
        <v>2624</v>
      </c>
      <c r="I2070" s="5" t="s">
        <v>20</v>
      </c>
      <c r="J2070" s="5">
        <v>2019.0</v>
      </c>
      <c r="K2070" s="8">
        <v>46024.0</v>
      </c>
      <c r="L2070" s="5">
        <v>1.0</v>
      </c>
      <c r="M2070" s="7">
        <f t="shared" si="5"/>
        <v>0.02</v>
      </c>
    </row>
    <row r="2071">
      <c r="A2071" s="5" t="s">
        <v>5230</v>
      </c>
      <c r="B2071" s="5" t="s">
        <v>5231</v>
      </c>
      <c r="C2071" s="5" t="s">
        <v>1951</v>
      </c>
      <c r="E2071" s="5" t="s">
        <v>2290</v>
      </c>
      <c r="F2071" s="5" t="s">
        <v>280</v>
      </c>
      <c r="G2071" s="6">
        <v>0.02</v>
      </c>
      <c r="H2071" s="5" t="s">
        <v>5232</v>
      </c>
      <c r="I2071" s="5" t="s">
        <v>31</v>
      </c>
      <c r="J2071" s="5">
        <v>2023.0</v>
      </c>
      <c r="K2071" s="8">
        <v>46090.0</v>
      </c>
      <c r="L2071" s="5">
        <v>1.0</v>
      </c>
      <c r="M2071" s="7">
        <f t="shared" si="5"/>
        <v>0.02</v>
      </c>
    </row>
    <row r="2072">
      <c r="A2072" s="5" t="s">
        <v>5233</v>
      </c>
      <c r="B2072" s="5" t="s">
        <v>4110</v>
      </c>
      <c r="C2072" s="5" t="s">
        <v>1951</v>
      </c>
      <c r="D2072" s="5" t="s">
        <v>5234</v>
      </c>
      <c r="E2072" s="5" t="s">
        <v>5235</v>
      </c>
      <c r="F2072" s="5" t="s">
        <v>280</v>
      </c>
      <c r="G2072" s="6">
        <v>0.15</v>
      </c>
      <c r="H2072" s="5" t="s">
        <v>2188</v>
      </c>
      <c r="I2072" s="5" t="s">
        <v>20</v>
      </c>
      <c r="J2072" s="5">
        <v>2022.0</v>
      </c>
      <c r="K2072" s="8">
        <v>46117.0</v>
      </c>
      <c r="L2072" s="5">
        <v>1.0</v>
      </c>
      <c r="M2072" s="7">
        <f t="shared" si="5"/>
        <v>0.15</v>
      </c>
    </row>
    <row r="2073">
      <c r="A2073" s="5" t="s">
        <v>5236</v>
      </c>
      <c r="B2073" s="5" t="s">
        <v>3342</v>
      </c>
      <c r="C2073" s="5" t="s">
        <v>297</v>
      </c>
      <c r="D2073" s="5" t="s">
        <v>5237</v>
      </c>
      <c r="E2073" s="5" t="s">
        <v>1856</v>
      </c>
      <c r="F2073" s="5" t="s">
        <v>280</v>
      </c>
      <c r="G2073" s="6">
        <v>0.03</v>
      </c>
      <c r="H2073" s="5" t="s">
        <v>1644</v>
      </c>
      <c r="I2073" s="5" t="s">
        <v>20</v>
      </c>
      <c r="J2073" s="5">
        <v>2019.0</v>
      </c>
      <c r="K2073" s="8">
        <v>46084.0</v>
      </c>
      <c r="L2073" s="5">
        <v>1.0</v>
      </c>
      <c r="M2073" s="7">
        <f t="shared" si="5"/>
        <v>0.03</v>
      </c>
    </row>
    <row r="2074">
      <c r="A2074" s="5" t="s">
        <v>5238</v>
      </c>
      <c r="B2074" s="5" t="s">
        <v>5239</v>
      </c>
      <c r="C2074" s="5" t="s">
        <v>297</v>
      </c>
      <c r="D2074" s="5" t="s">
        <v>5240</v>
      </c>
      <c r="E2074" s="5" t="s">
        <v>1856</v>
      </c>
      <c r="F2074" s="5" t="s">
        <v>280</v>
      </c>
      <c r="G2074" s="6">
        <v>0.03</v>
      </c>
      <c r="H2074" s="5" t="s">
        <v>2478</v>
      </c>
      <c r="I2074" s="5" t="s">
        <v>20</v>
      </c>
      <c r="J2074" s="5">
        <v>2017.0</v>
      </c>
      <c r="K2074" s="8">
        <v>46057.0</v>
      </c>
      <c r="L2074" s="5">
        <v>1.0</v>
      </c>
      <c r="M2074" s="7">
        <f t="shared" si="5"/>
        <v>0.03</v>
      </c>
    </row>
    <row r="2075">
      <c r="A2075" s="5" t="s">
        <v>5241</v>
      </c>
      <c r="B2075" s="5" t="s">
        <v>4113</v>
      </c>
      <c r="C2075" s="5" t="s">
        <v>297</v>
      </c>
      <c r="D2075" s="5" t="s">
        <v>5242</v>
      </c>
      <c r="E2075" s="5" t="s">
        <v>2283</v>
      </c>
      <c r="F2075" s="5" t="s">
        <v>280</v>
      </c>
      <c r="G2075" s="6">
        <v>0.07</v>
      </c>
      <c r="H2075" s="5" t="s">
        <v>2579</v>
      </c>
      <c r="I2075" s="5" t="s">
        <v>20</v>
      </c>
      <c r="J2075" s="5">
        <v>2004.0</v>
      </c>
      <c r="K2075" s="8">
        <v>46024.0</v>
      </c>
      <c r="L2075" s="5">
        <v>1.0</v>
      </c>
      <c r="M2075" s="7">
        <f t="shared" si="5"/>
        <v>0.07</v>
      </c>
    </row>
    <row r="2076">
      <c r="A2076" s="5" t="s">
        <v>5243</v>
      </c>
      <c r="B2076" s="5" t="s">
        <v>2480</v>
      </c>
      <c r="C2076" s="5" t="s">
        <v>297</v>
      </c>
      <c r="D2076" s="5" t="s">
        <v>5244</v>
      </c>
      <c r="E2076" s="5" t="s">
        <v>1859</v>
      </c>
      <c r="F2076" s="5" t="s">
        <v>280</v>
      </c>
      <c r="G2076" s="6">
        <v>0.05</v>
      </c>
      <c r="H2076" s="5" t="s">
        <v>2008</v>
      </c>
      <c r="I2076" s="5" t="s">
        <v>20</v>
      </c>
      <c r="J2076" s="5">
        <v>2013.0</v>
      </c>
      <c r="K2076" s="8">
        <v>46055.0</v>
      </c>
      <c r="L2076" s="5">
        <v>1.0</v>
      </c>
      <c r="M2076" s="7">
        <f t="shared" si="5"/>
        <v>0.05</v>
      </c>
    </row>
    <row r="2077">
      <c r="A2077" s="5" t="s">
        <v>5245</v>
      </c>
      <c r="B2077" s="5" t="s">
        <v>5246</v>
      </c>
      <c r="C2077" s="5" t="s">
        <v>297</v>
      </c>
      <c r="D2077" s="5" t="s">
        <v>5247</v>
      </c>
      <c r="E2077" s="5" t="s">
        <v>1856</v>
      </c>
      <c r="F2077" s="5" t="s">
        <v>280</v>
      </c>
      <c r="G2077" s="6">
        <v>0.03</v>
      </c>
      <c r="H2077" s="5" t="s">
        <v>2504</v>
      </c>
      <c r="I2077" s="5" t="s">
        <v>20</v>
      </c>
      <c r="J2077" s="5">
        <v>2015.0</v>
      </c>
      <c r="K2077" s="8">
        <v>46083.0</v>
      </c>
      <c r="L2077" s="5">
        <v>1.0</v>
      </c>
      <c r="M2077" s="7">
        <f t="shared" si="5"/>
        <v>0.03</v>
      </c>
    </row>
    <row r="2078">
      <c r="A2078" s="5" t="s">
        <v>5248</v>
      </c>
      <c r="B2078" s="5" t="s">
        <v>5249</v>
      </c>
      <c r="C2078" s="5" t="s">
        <v>297</v>
      </c>
      <c r="D2078" s="5" t="s">
        <v>5250</v>
      </c>
      <c r="E2078" s="5" t="s">
        <v>3554</v>
      </c>
      <c r="F2078" s="5" t="s">
        <v>280</v>
      </c>
      <c r="G2078" s="6">
        <v>0.02</v>
      </c>
      <c r="H2078" s="5" t="s">
        <v>2624</v>
      </c>
      <c r="I2078" s="5" t="s">
        <v>20</v>
      </c>
      <c r="J2078" s="5">
        <v>2019.0</v>
      </c>
      <c r="K2078" s="8">
        <v>46146.0</v>
      </c>
      <c r="L2078" s="5">
        <v>1.0</v>
      </c>
      <c r="M2078" s="7">
        <f t="shared" si="5"/>
        <v>0.02</v>
      </c>
    </row>
    <row r="2079">
      <c r="A2079" s="5" t="s">
        <v>5251</v>
      </c>
      <c r="B2079" s="5" t="s">
        <v>5252</v>
      </c>
      <c r="C2079" s="5" t="s">
        <v>297</v>
      </c>
      <c r="D2079" s="5" t="s">
        <v>5253</v>
      </c>
      <c r="E2079" s="5" t="s">
        <v>3554</v>
      </c>
      <c r="F2079" s="5" t="s">
        <v>280</v>
      </c>
      <c r="G2079" s="6">
        <v>0.23</v>
      </c>
      <c r="H2079" s="5" t="s">
        <v>5254</v>
      </c>
      <c r="I2079" s="5" t="s">
        <v>31</v>
      </c>
      <c r="J2079" s="5">
        <v>2014.0</v>
      </c>
      <c r="K2079" s="8">
        <v>46086.0</v>
      </c>
      <c r="L2079" s="5">
        <v>2.0</v>
      </c>
      <c r="M2079" s="7">
        <f t="shared" si="5"/>
        <v>0.46</v>
      </c>
    </row>
    <row r="2080">
      <c r="A2080" s="5" t="s">
        <v>5255</v>
      </c>
      <c r="B2080" s="5" t="s">
        <v>5256</v>
      </c>
      <c r="C2080" s="5" t="s">
        <v>297</v>
      </c>
      <c r="D2080" s="5" t="s">
        <v>5257</v>
      </c>
      <c r="E2080" s="5" t="s">
        <v>1856</v>
      </c>
      <c r="F2080" s="5" t="s">
        <v>280</v>
      </c>
      <c r="G2080" s="6">
        <v>0.03</v>
      </c>
      <c r="H2080" s="5" t="s">
        <v>2603</v>
      </c>
      <c r="I2080" s="5" t="s">
        <v>20</v>
      </c>
      <c r="J2080" s="5">
        <v>2017.0</v>
      </c>
      <c r="K2080" s="8">
        <v>46055.0</v>
      </c>
      <c r="L2080" s="5">
        <v>1.0</v>
      </c>
      <c r="M2080" s="7">
        <f t="shared" si="5"/>
        <v>0.03</v>
      </c>
    </row>
    <row r="2081">
      <c r="A2081" s="5" t="s">
        <v>5258</v>
      </c>
      <c r="B2081" s="5" t="s">
        <v>5259</v>
      </c>
      <c r="C2081" s="5" t="s">
        <v>297</v>
      </c>
      <c r="D2081" s="5" t="s">
        <v>5260</v>
      </c>
      <c r="E2081" s="5" t="s">
        <v>2283</v>
      </c>
      <c r="F2081" s="5" t="s">
        <v>280</v>
      </c>
      <c r="G2081" s="6">
        <v>0.08</v>
      </c>
      <c r="H2081" s="5" t="s">
        <v>1679</v>
      </c>
      <c r="I2081" s="5" t="s">
        <v>20</v>
      </c>
      <c r="J2081" s="5">
        <v>2008.0</v>
      </c>
      <c r="K2081" s="8">
        <v>46024.0</v>
      </c>
      <c r="L2081" s="5">
        <v>1.0</v>
      </c>
      <c r="M2081" s="7">
        <f t="shared" si="5"/>
        <v>0.08</v>
      </c>
    </row>
    <row r="2082">
      <c r="A2082" s="5" t="s">
        <v>5261</v>
      </c>
      <c r="B2082" s="5" t="s">
        <v>1816</v>
      </c>
      <c r="C2082" s="5" t="s">
        <v>1951</v>
      </c>
      <c r="D2082" s="5" t="s">
        <v>5262</v>
      </c>
      <c r="F2082" s="5" t="s">
        <v>80</v>
      </c>
      <c r="G2082" s="6">
        <v>0.1</v>
      </c>
      <c r="H2082" s="5" t="s">
        <v>5263</v>
      </c>
      <c r="I2082" s="5" t="s">
        <v>20</v>
      </c>
      <c r="J2082" s="5">
        <v>2026.0</v>
      </c>
      <c r="L2082" s="5">
        <v>1.0</v>
      </c>
      <c r="M2082" s="7">
        <f t="shared" si="5"/>
        <v>0.1</v>
      </c>
    </row>
    <row r="2083">
      <c r="A2083" s="5" t="s">
        <v>5264</v>
      </c>
      <c r="B2083" s="5" t="s">
        <v>1816</v>
      </c>
      <c r="C2083" s="5" t="s">
        <v>297</v>
      </c>
      <c r="D2083" s="5" t="s">
        <v>5265</v>
      </c>
      <c r="F2083" s="5" t="s">
        <v>3182</v>
      </c>
      <c r="G2083" s="6">
        <v>0.15</v>
      </c>
      <c r="H2083" s="5" t="s">
        <v>5263</v>
      </c>
      <c r="I2083" s="5" t="s">
        <v>20</v>
      </c>
      <c r="J2083" s="5">
        <v>2026.0</v>
      </c>
      <c r="L2083" s="5">
        <v>1.0</v>
      </c>
      <c r="M2083" s="7">
        <f t="shared" si="5"/>
        <v>0.15</v>
      </c>
    </row>
    <row r="2084">
      <c r="A2084" s="5" t="s">
        <v>5266</v>
      </c>
      <c r="B2084" s="5" t="s">
        <v>1816</v>
      </c>
      <c r="C2084" s="5" t="s">
        <v>297</v>
      </c>
      <c r="D2084" s="5" t="s">
        <v>5267</v>
      </c>
      <c r="E2084" s="5">
        <v>0.14</v>
      </c>
      <c r="F2084" s="5" t="s">
        <v>3155</v>
      </c>
      <c r="G2084" s="7"/>
      <c r="H2084" s="5" t="s">
        <v>5263</v>
      </c>
      <c r="I2084" s="5" t="s">
        <v>20</v>
      </c>
      <c r="J2084" s="5">
        <v>2026.0</v>
      </c>
      <c r="L2084" s="5">
        <v>1.0</v>
      </c>
      <c r="M2084" s="7">
        <f t="shared" si="5"/>
        <v>0</v>
      </c>
    </row>
    <row r="2085">
      <c r="A2085" s="5" t="s">
        <v>5268</v>
      </c>
      <c r="B2085" s="5" t="s">
        <v>1816</v>
      </c>
      <c r="C2085" s="5" t="s">
        <v>297</v>
      </c>
      <c r="D2085" s="5" t="s">
        <v>5269</v>
      </c>
      <c r="F2085" s="5" t="s">
        <v>3202</v>
      </c>
      <c r="G2085" s="6">
        <v>0.13</v>
      </c>
      <c r="H2085" s="5" t="s">
        <v>5263</v>
      </c>
      <c r="I2085" s="5" t="s">
        <v>20</v>
      </c>
      <c r="J2085" s="5">
        <v>2026.0</v>
      </c>
      <c r="L2085" s="5">
        <v>1.0</v>
      </c>
      <c r="M2085" s="7">
        <f t="shared" si="5"/>
        <v>0.13</v>
      </c>
    </row>
    <row r="2086">
      <c r="A2086" s="5" t="s">
        <v>5270</v>
      </c>
      <c r="B2086" s="5" t="s">
        <v>1816</v>
      </c>
      <c r="C2086" s="5" t="s">
        <v>297</v>
      </c>
      <c r="D2086" s="5" t="s">
        <v>5271</v>
      </c>
      <c r="F2086" s="5" t="s">
        <v>1616</v>
      </c>
      <c r="G2086" s="6">
        <v>0.22</v>
      </c>
      <c r="H2086" s="5" t="s">
        <v>5263</v>
      </c>
      <c r="I2086" s="5" t="s">
        <v>31</v>
      </c>
      <c r="J2086" s="5">
        <v>2026.0</v>
      </c>
      <c r="L2086" s="5">
        <v>1.0</v>
      </c>
      <c r="M2086" s="7">
        <f t="shared" si="5"/>
        <v>0.22</v>
      </c>
    </row>
    <row r="2087">
      <c r="A2087" s="5" t="s">
        <v>5272</v>
      </c>
      <c r="B2087" s="5" t="s">
        <v>296</v>
      </c>
      <c r="C2087" s="5" t="s">
        <v>297</v>
      </c>
      <c r="D2087" s="5" t="s">
        <v>5273</v>
      </c>
      <c r="F2087" s="5" t="s">
        <v>80</v>
      </c>
      <c r="G2087" s="6">
        <v>0.24</v>
      </c>
      <c r="H2087" s="5" t="s">
        <v>5263</v>
      </c>
      <c r="I2087" s="5" t="s">
        <v>20</v>
      </c>
      <c r="J2087" s="5">
        <v>2026.0</v>
      </c>
      <c r="L2087" s="5">
        <v>1.0</v>
      </c>
      <c r="M2087" s="7">
        <f t="shared" si="5"/>
        <v>0.24</v>
      </c>
    </row>
    <row r="2088">
      <c r="A2088" s="5" t="s">
        <v>5272</v>
      </c>
      <c r="B2088" s="5" t="s">
        <v>296</v>
      </c>
      <c r="C2088" s="5" t="s">
        <v>297</v>
      </c>
      <c r="D2088" s="5" t="s">
        <v>5273</v>
      </c>
      <c r="F2088" s="5" t="s">
        <v>80</v>
      </c>
      <c r="G2088" s="6">
        <v>0.34</v>
      </c>
      <c r="H2088" s="5" t="s">
        <v>5263</v>
      </c>
      <c r="I2088" s="5" t="s">
        <v>31</v>
      </c>
      <c r="J2088" s="5">
        <v>2026.0</v>
      </c>
      <c r="L2088" s="5">
        <v>1.0</v>
      </c>
      <c r="M2088" s="7">
        <f t="shared" si="5"/>
        <v>0.34</v>
      </c>
    </row>
    <row r="2089">
      <c r="A2089" s="5" t="s">
        <v>5274</v>
      </c>
      <c r="B2089" s="5" t="s">
        <v>5275</v>
      </c>
      <c r="C2089" s="5" t="s">
        <v>1951</v>
      </c>
      <c r="D2089" s="5" t="s">
        <v>5276</v>
      </c>
      <c r="E2089" s="5" t="s">
        <v>1721</v>
      </c>
      <c r="F2089" s="5" t="s">
        <v>80</v>
      </c>
      <c r="G2089" s="6">
        <v>0.13</v>
      </c>
      <c r="H2089" s="5" t="s">
        <v>5263</v>
      </c>
      <c r="I2089" s="5" t="s">
        <v>20</v>
      </c>
      <c r="J2089" s="5">
        <v>2026.0</v>
      </c>
      <c r="K2089" s="8">
        <v>46083.0</v>
      </c>
      <c r="L2089" s="5">
        <v>2.0</v>
      </c>
      <c r="M2089" s="7">
        <f t="shared" si="5"/>
        <v>0.26</v>
      </c>
    </row>
    <row r="2090">
      <c r="A2090" s="5" t="s">
        <v>5277</v>
      </c>
      <c r="B2090" s="5" t="s">
        <v>1669</v>
      </c>
      <c r="C2090" s="5" t="s">
        <v>297</v>
      </c>
      <c r="D2090" s="5" t="s">
        <v>5278</v>
      </c>
      <c r="E2090" s="5" t="s">
        <v>1761</v>
      </c>
      <c r="F2090" s="5" t="s">
        <v>280</v>
      </c>
      <c r="G2090" s="6">
        <v>0.1</v>
      </c>
      <c r="H2090" s="5" t="s">
        <v>5263</v>
      </c>
      <c r="I2090" s="5" t="s">
        <v>20</v>
      </c>
      <c r="J2090" s="5">
        <v>2026.0</v>
      </c>
      <c r="L2090" s="5">
        <v>4.0</v>
      </c>
      <c r="M2090" s="7">
        <f t="shared" si="5"/>
        <v>0.4</v>
      </c>
    </row>
    <row r="2091">
      <c r="A2091" s="5" t="s">
        <v>5279</v>
      </c>
      <c r="B2091" s="5" t="s">
        <v>4877</v>
      </c>
      <c r="C2091" s="5" t="s">
        <v>1899</v>
      </c>
      <c r="D2091" s="5" t="s">
        <v>5280</v>
      </c>
      <c r="E2091" s="5" t="s">
        <v>1034</v>
      </c>
      <c r="F2091" s="5" t="s">
        <v>80</v>
      </c>
      <c r="G2091" s="6">
        <v>5.75</v>
      </c>
      <c r="H2091" s="5" t="s">
        <v>5263</v>
      </c>
      <c r="I2091" s="5" t="s">
        <v>31</v>
      </c>
      <c r="J2091" s="5">
        <v>2026.0</v>
      </c>
      <c r="K2091" s="8">
        <v>46116.0</v>
      </c>
      <c r="L2091" s="5">
        <v>1.0</v>
      </c>
      <c r="M2091" s="7">
        <f t="shared" si="5"/>
        <v>5.75</v>
      </c>
    </row>
    <row r="2092">
      <c r="A2092" s="5" t="s">
        <v>5281</v>
      </c>
      <c r="B2092" s="5" t="s">
        <v>4877</v>
      </c>
      <c r="C2092" s="5" t="s">
        <v>1951</v>
      </c>
      <c r="D2092" s="5" t="s">
        <v>5282</v>
      </c>
      <c r="E2092" s="5" t="s">
        <v>1683</v>
      </c>
      <c r="F2092" s="5" t="s">
        <v>80</v>
      </c>
      <c r="G2092" s="6">
        <v>0.13</v>
      </c>
      <c r="H2092" s="5" t="s">
        <v>5263</v>
      </c>
      <c r="I2092" s="5" t="s">
        <v>20</v>
      </c>
      <c r="J2092" s="5">
        <v>2026.0</v>
      </c>
      <c r="K2092" s="8">
        <v>46115.0</v>
      </c>
      <c r="L2092" s="5">
        <v>1.0</v>
      </c>
      <c r="M2092" s="7">
        <f t="shared" si="5"/>
        <v>0.13</v>
      </c>
    </row>
    <row r="2093">
      <c r="A2093" s="5" t="s">
        <v>5283</v>
      </c>
      <c r="B2093" s="5" t="s">
        <v>677</v>
      </c>
      <c r="C2093" s="5" t="s">
        <v>1951</v>
      </c>
      <c r="D2093" s="5" t="s">
        <v>5284</v>
      </c>
      <c r="E2093" s="5" t="s">
        <v>1271</v>
      </c>
      <c r="F2093" s="5" t="s">
        <v>80</v>
      </c>
      <c r="G2093" s="6">
        <v>0.25</v>
      </c>
      <c r="H2093" s="5" t="s">
        <v>5263</v>
      </c>
      <c r="I2093" s="5" t="s">
        <v>20</v>
      </c>
      <c r="J2093" s="5">
        <v>2026.0</v>
      </c>
      <c r="L2093" s="5">
        <v>3.0</v>
      </c>
      <c r="M2093" s="7">
        <f t="shared" si="5"/>
        <v>0.75</v>
      </c>
    </row>
    <row r="2094">
      <c r="A2094" s="5" t="s">
        <v>5285</v>
      </c>
      <c r="B2094" s="5" t="s">
        <v>1669</v>
      </c>
      <c r="C2094" s="5" t="s">
        <v>1951</v>
      </c>
      <c r="D2094" s="5" t="s">
        <v>5286</v>
      </c>
      <c r="E2094" s="5" t="s">
        <v>1037</v>
      </c>
      <c r="F2094" s="5" t="s">
        <v>5287</v>
      </c>
      <c r="G2094" s="6">
        <v>0.1</v>
      </c>
      <c r="H2094" s="5" t="s">
        <v>5263</v>
      </c>
      <c r="I2094" s="5" t="s">
        <v>20</v>
      </c>
      <c r="J2094" s="5">
        <v>2026.0</v>
      </c>
      <c r="L2094" s="5">
        <v>1.0</v>
      </c>
      <c r="M2094" s="7">
        <f t="shared" si="5"/>
        <v>0.1</v>
      </c>
    </row>
    <row r="2095">
      <c r="A2095" s="5" t="s">
        <v>5288</v>
      </c>
      <c r="B2095" s="5" t="s">
        <v>1669</v>
      </c>
      <c r="C2095" s="5" t="s">
        <v>297</v>
      </c>
      <c r="D2095" s="5" t="s">
        <v>5289</v>
      </c>
      <c r="E2095" s="5" t="s">
        <v>1037</v>
      </c>
      <c r="F2095" s="5" t="s">
        <v>80</v>
      </c>
      <c r="G2095" s="6">
        <v>0.1</v>
      </c>
      <c r="H2095" s="5" t="s">
        <v>5263</v>
      </c>
      <c r="I2095" s="5" t="s">
        <v>20</v>
      </c>
      <c r="J2095" s="5">
        <v>2026.0</v>
      </c>
      <c r="L2095" s="5">
        <v>2.0</v>
      </c>
      <c r="M2095" s="7">
        <f t="shared" si="5"/>
        <v>0.2</v>
      </c>
    </row>
    <row r="2096">
      <c r="A2096" s="5" t="s">
        <v>5290</v>
      </c>
      <c r="B2096" s="5" t="s">
        <v>5045</v>
      </c>
      <c r="C2096" s="5" t="s">
        <v>1951</v>
      </c>
      <c r="D2096" s="5" t="s">
        <v>5291</v>
      </c>
      <c r="E2096" s="5" t="s">
        <v>1956</v>
      </c>
      <c r="F2096" s="5" t="s">
        <v>18</v>
      </c>
      <c r="G2096" s="6">
        <v>0.13</v>
      </c>
      <c r="H2096" s="5" t="s">
        <v>5263</v>
      </c>
      <c r="I2096" s="5" t="s">
        <v>20</v>
      </c>
      <c r="J2096" s="5">
        <v>2026.0</v>
      </c>
      <c r="K2096" s="8">
        <v>46054.0</v>
      </c>
      <c r="L2096" s="5">
        <v>3.0</v>
      </c>
      <c r="M2096" s="7">
        <f t="shared" si="5"/>
        <v>0.39</v>
      </c>
    </row>
    <row r="2097">
      <c r="A2097" s="5" t="s">
        <v>5292</v>
      </c>
      <c r="B2097" s="5" t="s">
        <v>5293</v>
      </c>
      <c r="C2097" s="5" t="s">
        <v>297</v>
      </c>
      <c r="D2097" s="5" t="s">
        <v>5294</v>
      </c>
      <c r="E2097" s="5" t="s">
        <v>2514</v>
      </c>
      <c r="F2097" s="5" t="s">
        <v>18</v>
      </c>
      <c r="G2097" s="6">
        <v>0.1</v>
      </c>
      <c r="H2097" s="5" t="s">
        <v>5263</v>
      </c>
      <c r="I2097" s="5" t="s">
        <v>20</v>
      </c>
      <c r="J2097" s="5">
        <v>2026.0</v>
      </c>
      <c r="K2097" s="8">
        <v>46210.0</v>
      </c>
      <c r="L2097" s="5">
        <v>2.0</v>
      </c>
      <c r="M2097" s="7">
        <f t="shared" si="5"/>
        <v>0.2</v>
      </c>
    </row>
    <row r="2098">
      <c r="A2098" s="5" t="s">
        <v>5295</v>
      </c>
      <c r="B2098" s="5" t="s">
        <v>1756</v>
      </c>
      <c r="C2098" s="5" t="s">
        <v>1899</v>
      </c>
      <c r="D2098" s="5" t="s">
        <v>5296</v>
      </c>
      <c r="E2098" s="5" t="s">
        <v>2298</v>
      </c>
      <c r="F2098" s="5" t="s">
        <v>18</v>
      </c>
      <c r="G2098" s="6">
        <v>1.0</v>
      </c>
      <c r="H2098" s="5" t="s">
        <v>5263</v>
      </c>
      <c r="I2098" s="5" t="s">
        <v>20</v>
      </c>
      <c r="J2098" s="5">
        <v>2026.0</v>
      </c>
      <c r="L2098" s="5">
        <v>1.0</v>
      </c>
      <c r="M2098" s="7">
        <f t="shared" si="5"/>
        <v>1</v>
      </c>
    </row>
    <row r="2099">
      <c r="A2099" s="5" t="s">
        <v>5297</v>
      </c>
      <c r="B2099" s="5" t="s">
        <v>387</v>
      </c>
      <c r="C2099" s="5" t="s">
        <v>297</v>
      </c>
      <c r="D2099" s="5" t="s">
        <v>5298</v>
      </c>
      <c r="E2099" s="5" t="s">
        <v>2298</v>
      </c>
      <c r="F2099" s="5" t="s">
        <v>18</v>
      </c>
      <c r="G2099" s="6">
        <v>0.1</v>
      </c>
      <c r="H2099" s="5" t="s">
        <v>5263</v>
      </c>
      <c r="I2099" s="5" t="s">
        <v>20</v>
      </c>
      <c r="J2099" s="5">
        <v>2026.0</v>
      </c>
      <c r="L2099" s="5">
        <v>1.0</v>
      </c>
      <c r="M2099" s="7">
        <f t="shared" si="5"/>
        <v>0.1</v>
      </c>
    </row>
    <row r="2100">
      <c r="A2100" s="5" t="s">
        <v>5299</v>
      </c>
      <c r="B2100" s="5" t="s">
        <v>5300</v>
      </c>
      <c r="C2100" s="5" t="s">
        <v>1951</v>
      </c>
      <c r="D2100" s="5" t="s">
        <v>5301</v>
      </c>
      <c r="E2100" s="5" t="s">
        <v>2507</v>
      </c>
      <c r="F2100" s="5" t="s">
        <v>18</v>
      </c>
      <c r="G2100" s="6">
        <v>0.14</v>
      </c>
      <c r="H2100" s="5" t="s">
        <v>5263</v>
      </c>
      <c r="I2100" s="5" t="s">
        <v>20</v>
      </c>
      <c r="J2100" s="5">
        <v>2026.0</v>
      </c>
      <c r="K2100" s="8">
        <v>46147.0</v>
      </c>
      <c r="L2100" s="5">
        <v>1.0</v>
      </c>
      <c r="M2100" s="7">
        <f t="shared" si="5"/>
        <v>0.14</v>
      </c>
    </row>
    <row r="2101">
      <c r="A2101" s="5" t="s">
        <v>5302</v>
      </c>
      <c r="B2101" s="5" t="s">
        <v>1669</v>
      </c>
      <c r="C2101" s="5" t="s">
        <v>297</v>
      </c>
      <c r="D2101" s="5" t="s">
        <v>5303</v>
      </c>
      <c r="E2101" s="5" t="s">
        <v>782</v>
      </c>
      <c r="F2101" s="5" t="s">
        <v>18</v>
      </c>
      <c r="G2101" s="6">
        <v>0.1</v>
      </c>
      <c r="H2101" s="5" t="s">
        <v>5263</v>
      </c>
      <c r="I2101" s="5" t="s">
        <v>20</v>
      </c>
      <c r="J2101" s="5">
        <v>2026.0</v>
      </c>
      <c r="L2101" s="5">
        <v>1.0</v>
      </c>
      <c r="M2101" s="7">
        <f t="shared" si="5"/>
        <v>0.1</v>
      </c>
    </row>
    <row r="2102">
      <c r="A2102" s="5" t="s">
        <v>5304</v>
      </c>
      <c r="B2102" s="5" t="s">
        <v>387</v>
      </c>
      <c r="C2102" s="5" t="s">
        <v>1951</v>
      </c>
      <c r="D2102" s="5" t="s">
        <v>5305</v>
      </c>
      <c r="E2102" s="5" t="s">
        <v>2302</v>
      </c>
      <c r="F2102" s="5" t="s">
        <v>18</v>
      </c>
      <c r="G2102" s="6">
        <v>0.23</v>
      </c>
      <c r="H2102" s="5" t="s">
        <v>5263</v>
      </c>
      <c r="I2102" s="5" t="s">
        <v>20</v>
      </c>
      <c r="J2102" s="5">
        <v>2026.0</v>
      </c>
      <c r="L2102" s="5">
        <v>1.0</v>
      </c>
      <c r="M2102" s="7">
        <f t="shared" si="5"/>
        <v>0.23</v>
      </c>
    </row>
    <row r="2103">
      <c r="A2103" s="5" t="s">
        <v>5306</v>
      </c>
      <c r="B2103" s="5" t="s">
        <v>5307</v>
      </c>
      <c r="C2103" s="5" t="s">
        <v>297</v>
      </c>
      <c r="D2103" s="5" t="s">
        <v>5308</v>
      </c>
      <c r="E2103" s="5" t="s">
        <v>2302</v>
      </c>
      <c r="F2103" s="5" t="s">
        <v>18</v>
      </c>
      <c r="G2103" s="6">
        <v>0.1</v>
      </c>
      <c r="H2103" s="5" t="s">
        <v>5263</v>
      </c>
      <c r="I2103" s="5" t="s">
        <v>20</v>
      </c>
      <c r="J2103" s="5">
        <v>2026.0</v>
      </c>
      <c r="K2103" s="8">
        <v>46116.0</v>
      </c>
      <c r="L2103" s="5">
        <v>1.0</v>
      </c>
      <c r="M2103" s="7">
        <f t="shared" si="5"/>
        <v>0.1</v>
      </c>
    </row>
    <row r="2104">
      <c r="A2104" s="5" t="s">
        <v>5309</v>
      </c>
      <c r="B2104" s="5" t="s">
        <v>5310</v>
      </c>
      <c r="C2104" s="5" t="s">
        <v>297</v>
      </c>
      <c r="D2104" s="5" t="s">
        <v>5311</v>
      </c>
      <c r="E2104" s="5" t="s">
        <v>1956</v>
      </c>
      <c r="F2104" s="5" t="s">
        <v>18</v>
      </c>
      <c r="G2104" s="6">
        <v>0.05</v>
      </c>
      <c r="H2104" s="5" t="s">
        <v>5263</v>
      </c>
      <c r="I2104" s="5" t="s">
        <v>20</v>
      </c>
      <c r="J2104" s="5">
        <v>2026.0</v>
      </c>
      <c r="K2104" s="8">
        <v>46055.0</v>
      </c>
      <c r="L2104" s="5">
        <v>5.0</v>
      </c>
      <c r="M2104" s="7">
        <f t="shared" si="5"/>
        <v>0.25</v>
      </c>
    </row>
    <row r="2105">
      <c r="A2105" s="5" t="s">
        <v>5312</v>
      </c>
      <c r="B2105" s="5" t="s">
        <v>387</v>
      </c>
      <c r="C2105" s="5" t="s">
        <v>297</v>
      </c>
      <c r="D2105" s="5" t="s">
        <v>5313</v>
      </c>
      <c r="E2105" s="5" t="s">
        <v>782</v>
      </c>
      <c r="F2105" s="5" t="s">
        <v>18</v>
      </c>
      <c r="G2105" s="6">
        <v>0.1</v>
      </c>
      <c r="H2105" s="5" t="s">
        <v>5263</v>
      </c>
      <c r="I2105" s="5" t="s">
        <v>20</v>
      </c>
      <c r="J2105" s="5">
        <v>2026.0</v>
      </c>
      <c r="L2105" s="5">
        <v>4.0</v>
      </c>
      <c r="M2105" s="7">
        <f t="shared" si="5"/>
        <v>0.4</v>
      </c>
    </row>
    <row r="2106">
      <c r="A2106" s="5" t="s">
        <v>5314</v>
      </c>
      <c r="B2106" s="5" t="s">
        <v>5315</v>
      </c>
      <c r="C2106" s="5" t="s">
        <v>1951</v>
      </c>
      <c r="D2106" s="5" t="s">
        <v>5316</v>
      </c>
      <c r="E2106" s="5" t="s">
        <v>2298</v>
      </c>
      <c r="F2106" s="5" t="s">
        <v>18</v>
      </c>
      <c r="G2106" s="6">
        <v>0.1</v>
      </c>
      <c r="H2106" s="5" t="s">
        <v>5263</v>
      </c>
      <c r="I2106" s="5" t="s">
        <v>20</v>
      </c>
      <c r="J2106" s="5">
        <v>2026.0</v>
      </c>
      <c r="K2106" s="8">
        <v>46082.0</v>
      </c>
      <c r="L2106" s="5">
        <v>1.0</v>
      </c>
      <c r="M2106" s="7">
        <f t="shared" si="5"/>
        <v>0.1</v>
      </c>
    </row>
    <row r="2107">
      <c r="A2107" s="5" t="s">
        <v>5317</v>
      </c>
      <c r="B2107" s="5" t="s">
        <v>5318</v>
      </c>
      <c r="C2107" s="5" t="s">
        <v>1951</v>
      </c>
      <c r="D2107" s="5" t="s">
        <v>5319</v>
      </c>
      <c r="E2107" s="5" t="s">
        <v>2561</v>
      </c>
      <c r="F2107" s="5" t="s">
        <v>18</v>
      </c>
      <c r="G2107" s="6">
        <v>0.23</v>
      </c>
      <c r="H2107" s="5" t="s">
        <v>5263</v>
      </c>
      <c r="I2107" s="5" t="s">
        <v>20</v>
      </c>
      <c r="J2107" s="5">
        <v>2026.0</v>
      </c>
      <c r="K2107" s="8">
        <v>46116.0</v>
      </c>
      <c r="L2107" s="5">
        <v>1.0</v>
      </c>
      <c r="M2107" s="7">
        <f t="shared" si="5"/>
        <v>0.23</v>
      </c>
    </row>
    <row r="2108">
      <c r="A2108" s="5" t="s">
        <v>5320</v>
      </c>
      <c r="B2108" s="5" t="s">
        <v>5321</v>
      </c>
      <c r="C2108" s="5" t="s">
        <v>1951</v>
      </c>
      <c r="D2108" s="5" t="s">
        <v>5322</v>
      </c>
      <c r="E2108" s="5" t="s">
        <v>5323</v>
      </c>
      <c r="F2108" s="5" t="s">
        <v>18</v>
      </c>
      <c r="G2108" s="6">
        <v>0.1</v>
      </c>
      <c r="H2108" s="5" t="s">
        <v>5263</v>
      </c>
      <c r="I2108" s="5" t="s">
        <v>20</v>
      </c>
      <c r="J2108" s="5">
        <v>2026.0</v>
      </c>
      <c r="K2108" s="8">
        <v>46210.0</v>
      </c>
      <c r="L2108" s="5">
        <v>1.0</v>
      </c>
      <c r="M2108" s="7">
        <f t="shared" si="5"/>
        <v>0.1</v>
      </c>
    </row>
    <row r="2109">
      <c r="A2109" s="5" t="s">
        <v>5324</v>
      </c>
      <c r="B2109" s="5" t="s">
        <v>5325</v>
      </c>
      <c r="C2109" s="5" t="s">
        <v>297</v>
      </c>
      <c r="D2109" s="5" t="s">
        <v>5326</v>
      </c>
      <c r="E2109" s="5" t="s">
        <v>1956</v>
      </c>
      <c r="F2109" s="5" t="s">
        <v>18</v>
      </c>
      <c r="G2109" s="6">
        <v>0.1</v>
      </c>
      <c r="H2109" s="5" t="s">
        <v>5263</v>
      </c>
      <c r="I2109" s="5" t="s">
        <v>20</v>
      </c>
      <c r="J2109" s="5">
        <v>2026.0</v>
      </c>
      <c r="K2109" s="8">
        <v>46023.0</v>
      </c>
      <c r="L2109" s="5">
        <v>4.0</v>
      </c>
      <c r="M2109" s="7">
        <f t="shared" si="5"/>
        <v>0.4</v>
      </c>
    </row>
    <row r="2110">
      <c r="A2110" s="5" t="s">
        <v>5327</v>
      </c>
      <c r="B2110" s="5" t="s">
        <v>5328</v>
      </c>
      <c r="C2110" s="5" t="s">
        <v>297</v>
      </c>
      <c r="D2110" s="5" t="s">
        <v>5329</v>
      </c>
      <c r="E2110" s="5" t="s">
        <v>2507</v>
      </c>
      <c r="F2110" s="5" t="s">
        <v>18</v>
      </c>
      <c r="G2110" s="6">
        <v>0.05</v>
      </c>
      <c r="H2110" s="5" t="s">
        <v>5263</v>
      </c>
      <c r="I2110" s="5" t="s">
        <v>20</v>
      </c>
      <c r="J2110" s="5">
        <v>2026.0</v>
      </c>
      <c r="K2110" s="8">
        <v>46085.0</v>
      </c>
      <c r="L2110" s="5">
        <v>5.0</v>
      </c>
      <c r="M2110" s="7">
        <f t="shared" si="5"/>
        <v>0.25</v>
      </c>
    </row>
    <row r="2111">
      <c r="A2111" s="5" t="s">
        <v>5330</v>
      </c>
      <c r="B2111" s="5" t="s">
        <v>5331</v>
      </c>
      <c r="C2111" s="5" t="s">
        <v>1899</v>
      </c>
      <c r="D2111" s="5" t="s">
        <v>5332</v>
      </c>
      <c r="E2111" s="5" t="s">
        <v>2561</v>
      </c>
      <c r="F2111" s="5" t="s">
        <v>18</v>
      </c>
      <c r="G2111" s="6">
        <v>3.44</v>
      </c>
      <c r="H2111" s="5" t="s">
        <v>5263</v>
      </c>
      <c r="I2111" s="5" t="s">
        <v>20</v>
      </c>
      <c r="J2111" s="5">
        <v>2026.0</v>
      </c>
      <c r="K2111" s="8">
        <v>46117.0</v>
      </c>
      <c r="L2111" s="5">
        <v>1.0</v>
      </c>
      <c r="M2111" s="7">
        <f t="shared" si="5"/>
        <v>3.44</v>
      </c>
    </row>
    <row r="2112">
      <c r="A2112" s="5" t="s">
        <v>5333</v>
      </c>
      <c r="B2112" s="5" t="s">
        <v>612</v>
      </c>
      <c r="C2112" s="5" t="s">
        <v>297</v>
      </c>
      <c r="D2112" s="5" t="s">
        <v>5181</v>
      </c>
      <c r="E2112" s="5" t="s">
        <v>1956</v>
      </c>
      <c r="F2112" s="5" t="s">
        <v>18</v>
      </c>
      <c r="G2112" s="6">
        <v>0.1</v>
      </c>
      <c r="H2112" s="5" t="s">
        <v>5263</v>
      </c>
      <c r="I2112" s="5" t="s">
        <v>20</v>
      </c>
      <c r="J2112" s="5">
        <v>2026.0</v>
      </c>
      <c r="L2112" s="5">
        <v>4.0</v>
      </c>
      <c r="M2112" s="7">
        <f t="shared" si="5"/>
        <v>0.4</v>
      </c>
    </row>
    <row r="2113">
      <c r="A2113" s="5" t="s">
        <v>5334</v>
      </c>
      <c r="B2113" s="5" t="s">
        <v>677</v>
      </c>
      <c r="C2113" s="5" t="s">
        <v>1951</v>
      </c>
      <c r="D2113" s="5" t="s">
        <v>5335</v>
      </c>
      <c r="E2113" s="5" t="s">
        <v>2298</v>
      </c>
      <c r="F2113" s="5" t="s">
        <v>18</v>
      </c>
      <c r="G2113" s="6">
        <v>0.1</v>
      </c>
      <c r="H2113" s="5" t="s">
        <v>5263</v>
      </c>
      <c r="I2113" s="5" t="s">
        <v>20</v>
      </c>
      <c r="J2113" s="5">
        <v>2026.0</v>
      </c>
      <c r="L2113" s="5">
        <v>1.0</v>
      </c>
      <c r="M2113" s="7">
        <f t="shared" si="5"/>
        <v>0.1</v>
      </c>
    </row>
    <row r="2114">
      <c r="A2114" s="5" t="s">
        <v>5336</v>
      </c>
      <c r="B2114" s="5" t="s">
        <v>612</v>
      </c>
      <c r="C2114" s="5" t="s">
        <v>1951</v>
      </c>
      <c r="D2114" s="5" t="s">
        <v>5337</v>
      </c>
      <c r="E2114" s="5" t="s">
        <v>1956</v>
      </c>
      <c r="F2114" s="5" t="s">
        <v>18</v>
      </c>
      <c r="G2114" s="6">
        <v>0.1</v>
      </c>
      <c r="H2114" s="5" t="s">
        <v>5263</v>
      </c>
      <c r="I2114" s="5" t="s">
        <v>20</v>
      </c>
      <c r="J2114" s="5">
        <v>2026.0</v>
      </c>
      <c r="L2114" s="5">
        <v>2.0</v>
      </c>
      <c r="M2114" s="7">
        <f t="shared" si="5"/>
        <v>0.2</v>
      </c>
    </row>
    <row r="2115">
      <c r="A2115" s="5" t="s">
        <v>5338</v>
      </c>
      <c r="B2115" s="5" t="s">
        <v>5339</v>
      </c>
      <c r="C2115" s="5" t="s">
        <v>1899</v>
      </c>
      <c r="D2115" s="5" t="s">
        <v>5340</v>
      </c>
      <c r="E2115" s="5" t="s">
        <v>1761</v>
      </c>
      <c r="F2115" s="5" t="s">
        <v>280</v>
      </c>
      <c r="G2115" s="6">
        <v>8.29</v>
      </c>
      <c r="H2115" s="5" t="s">
        <v>5263</v>
      </c>
      <c r="I2115" s="5" t="s">
        <v>31</v>
      </c>
      <c r="J2115" s="5">
        <v>2026.0</v>
      </c>
      <c r="K2115" s="8">
        <v>46116.0</v>
      </c>
      <c r="L2115" s="5">
        <v>1.0</v>
      </c>
      <c r="M2115" s="7">
        <f t="shared" si="5"/>
        <v>8.29</v>
      </c>
    </row>
    <row r="2116">
      <c r="A2116" s="5" t="s">
        <v>5341</v>
      </c>
      <c r="B2116" s="5" t="s">
        <v>5342</v>
      </c>
      <c r="C2116" s="5" t="s">
        <v>297</v>
      </c>
      <c r="D2116" s="5" t="s">
        <v>5343</v>
      </c>
      <c r="E2116" s="5" t="s">
        <v>2290</v>
      </c>
      <c r="F2116" s="5" t="s">
        <v>280</v>
      </c>
      <c r="G2116" s="6">
        <v>0.04</v>
      </c>
      <c r="H2116" s="5" t="s">
        <v>5263</v>
      </c>
      <c r="I2116" s="5" t="s">
        <v>20</v>
      </c>
      <c r="J2116" s="5">
        <v>2026.0</v>
      </c>
      <c r="K2116" s="8">
        <v>46117.0</v>
      </c>
      <c r="L2116" s="5">
        <v>3.0</v>
      </c>
      <c r="M2116" s="7">
        <f t="shared" si="5"/>
        <v>0.12</v>
      </c>
    </row>
    <row r="2117">
      <c r="A2117" s="5" t="s">
        <v>5344</v>
      </c>
      <c r="B2117" s="5" t="s">
        <v>5345</v>
      </c>
      <c r="C2117" s="5" t="s">
        <v>1899</v>
      </c>
      <c r="D2117" s="5" t="s">
        <v>5346</v>
      </c>
      <c r="E2117" s="5" t="s">
        <v>3051</v>
      </c>
      <c r="F2117" s="5" t="s">
        <v>280</v>
      </c>
      <c r="G2117" s="6">
        <v>0.95</v>
      </c>
      <c r="H2117" s="5" t="s">
        <v>5263</v>
      </c>
      <c r="I2117" s="5" t="s">
        <v>20</v>
      </c>
      <c r="J2117" s="5">
        <v>2026.0</v>
      </c>
      <c r="K2117" s="8">
        <v>46182.0</v>
      </c>
      <c r="L2117" s="5">
        <v>1.0</v>
      </c>
      <c r="M2117" s="7">
        <f t="shared" si="5"/>
        <v>0.95</v>
      </c>
    </row>
    <row r="2118">
      <c r="A2118" s="5" t="s">
        <v>5347</v>
      </c>
      <c r="B2118" s="5" t="s">
        <v>612</v>
      </c>
      <c r="C2118" s="5" t="s">
        <v>297</v>
      </c>
      <c r="D2118" s="5" t="s">
        <v>5348</v>
      </c>
      <c r="E2118" s="5" t="s">
        <v>2283</v>
      </c>
      <c r="F2118" s="5" t="s">
        <v>280</v>
      </c>
      <c r="G2118" s="6">
        <v>0.1</v>
      </c>
      <c r="H2118" s="5" t="s">
        <v>5263</v>
      </c>
      <c r="I2118" s="5" t="s">
        <v>20</v>
      </c>
      <c r="J2118" s="5">
        <v>2026.0</v>
      </c>
      <c r="L2118" s="5">
        <v>3.0</v>
      </c>
      <c r="M2118" s="7">
        <f t="shared" si="5"/>
        <v>0.3</v>
      </c>
    </row>
    <row r="2119">
      <c r="A2119" s="5" t="s">
        <v>5349</v>
      </c>
      <c r="B2119" s="5" t="s">
        <v>5350</v>
      </c>
      <c r="C2119" s="5" t="s">
        <v>1951</v>
      </c>
      <c r="D2119" s="5" t="s">
        <v>5351</v>
      </c>
      <c r="E2119" s="5" t="s">
        <v>631</v>
      </c>
      <c r="F2119" s="5" t="s">
        <v>280</v>
      </c>
      <c r="G2119" s="6">
        <v>0.28</v>
      </c>
      <c r="H2119" s="5" t="s">
        <v>5263</v>
      </c>
      <c r="I2119" s="5" t="s">
        <v>20</v>
      </c>
      <c r="J2119" s="5">
        <v>2026.0</v>
      </c>
      <c r="K2119" s="8">
        <v>46023.0</v>
      </c>
      <c r="L2119" s="5">
        <v>1.0</v>
      </c>
      <c r="M2119" s="7">
        <f t="shared" si="5"/>
        <v>0.28</v>
      </c>
    </row>
    <row r="2120">
      <c r="A2120" s="5" t="s">
        <v>5352</v>
      </c>
      <c r="B2120" s="5" t="s">
        <v>5353</v>
      </c>
      <c r="C2120" s="5" t="s">
        <v>297</v>
      </c>
      <c r="D2120" s="5" t="s">
        <v>5354</v>
      </c>
      <c r="E2120" s="5" t="s">
        <v>1859</v>
      </c>
      <c r="F2120" s="5" t="s">
        <v>280</v>
      </c>
      <c r="G2120" s="6">
        <v>0.17</v>
      </c>
      <c r="H2120" s="5" t="s">
        <v>5263</v>
      </c>
      <c r="I2120" s="5" t="s">
        <v>20</v>
      </c>
      <c r="J2120" s="5">
        <v>2026.0</v>
      </c>
      <c r="K2120" s="8">
        <v>46025.0</v>
      </c>
      <c r="L2120" s="5">
        <v>2.0</v>
      </c>
      <c r="M2120" s="7">
        <f t="shared" si="5"/>
        <v>0.34</v>
      </c>
    </row>
    <row r="2121">
      <c r="A2121" s="5" t="s">
        <v>5355</v>
      </c>
      <c r="B2121" s="5" t="s">
        <v>5356</v>
      </c>
      <c r="C2121" s="5" t="s">
        <v>1899</v>
      </c>
      <c r="D2121" s="5" t="s">
        <v>5357</v>
      </c>
      <c r="E2121" s="5" t="s">
        <v>2384</v>
      </c>
      <c r="F2121" s="5" t="s">
        <v>280</v>
      </c>
      <c r="G2121" s="6">
        <v>0.9</v>
      </c>
      <c r="H2121" s="5" t="s">
        <v>5263</v>
      </c>
      <c r="I2121" s="5" t="s">
        <v>20</v>
      </c>
      <c r="J2121" s="5">
        <v>2026.0</v>
      </c>
      <c r="K2121" s="8">
        <v>46116.0</v>
      </c>
      <c r="L2121" s="5">
        <v>1.0</v>
      </c>
      <c r="M2121" s="7">
        <f t="shared" si="5"/>
        <v>0.9</v>
      </c>
    </row>
    <row r="2122">
      <c r="A2122" s="5" t="s">
        <v>5358</v>
      </c>
      <c r="B2122" s="5" t="s">
        <v>387</v>
      </c>
      <c r="C2122" s="5" t="s">
        <v>297</v>
      </c>
      <c r="D2122" s="5" t="s">
        <v>5359</v>
      </c>
      <c r="E2122" s="5" t="s">
        <v>1859</v>
      </c>
      <c r="F2122" s="5" t="s">
        <v>280</v>
      </c>
      <c r="G2122" s="6">
        <v>0.1</v>
      </c>
      <c r="H2122" s="5" t="s">
        <v>5263</v>
      </c>
      <c r="I2122" s="5" t="s">
        <v>20</v>
      </c>
      <c r="J2122" s="5">
        <v>2026.0</v>
      </c>
      <c r="L2122" s="5">
        <v>3.0</v>
      </c>
      <c r="M2122" s="7">
        <f t="shared" si="5"/>
        <v>0.3</v>
      </c>
    </row>
    <row r="2123">
      <c r="A2123" s="5" t="s">
        <v>5360</v>
      </c>
      <c r="B2123" s="5" t="s">
        <v>5361</v>
      </c>
      <c r="C2123" s="5" t="s">
        <v>297</v>
      </c>
      <c r="D2123" s="5" t="s">
        <v>5362</v>
      </c>
      <c r="E2123" s="5" t="s">
        <v>2283</v>
      </c>
      <c r="F2123" s="5" t="s">
        <v>280</v>
      </c>
      <c r="G2123" s="6">
        <v>0.1</v>
      </c>
      <c r="H2123" s="5" t="s">
        <v>5263</v>
      </c>
      <c r="I2123" s="5" t="s">
        <v>20</v>
      </c>
      <c r="J2123" s="5">
        <v>2026.0</v>
      </c>
      <c r="K2123" s="8">
        <v>46055.0</v>
      </c>
      <c r="L2123" s="5">
        <v>1.0</v>
      </c>
      <c r="M2123" s="7">
        <f t="shared" si="5"/>
        <v>0.1</v>
      </c>
    </row>
    <row r="2124">
      <c r="A2124" s="5" t="s">
        <v>5363</v>
      </c>
      <c r="B2124" s="5" t="s">
        <v>5364</v>
      </c>
      <c r="C2124" s="5" t="s">
        <v>1951</v>
      </c>
      <c r="D2124" s="5" t="s">
        <v>5365</v>
      </c>
      <c r="E2124" s="5" t="s">
        <v>2283</v>
      </c>
      <c r="F2124" s="5" t="s">
        <v>280</v>
      </c>
      <c r="G2124" s="6">
        <v>0.16</v>
      </c>
      <c r="H2124" s="5" t="s">
        <v>5263</v>
      </c>
      <c r="I2124" s="5" t="s">
        <v>20</v>
      </c>
      <c r="J2124" s="5">
        <v>2026.0</v>
      </c>
      <c r="K2124" s="8">
        <v>46055.0</v>
      </c>
      <c r="L2124" s="5">
        <v>2.0</v>
      </c>
      <c r="M2124" s="7">
        <f t="shared" si="5"/>
        <v>0.32</v>
      </c>
    </row>
    <row r="2125">
      <c r="A2125" s="5" t="s">
        <v>5366</v>
      </c>
      <c r="B2125" s="5" t="s">
        <v>677</v>
      </c>
      <c r="C2125" s="5" t="s">
        <v>1951</v>
      </c>
      <c r="D2125" s="5" t="s">
        <v>5367</v>
      </c>
      <c r="E2125" s="5" t="s">
        <v>2283</v>
      </c>
      <c r="F2125" s="5" t="s">
        <v>280</v>
      </c>
      <c r="G2125" s="6">
        <v>0.16</v>
      </c>
      <c r="H2125" s="5" t="s">
        <v>5263</v>
      </c>
      <c r="I2125" s="5" t="s">
        <v>20</v>
      </c>
      <c r="J2125" s="5">
        <v>2026.0</v>
      </c>
      <c r="L2125" s="5">
        <v>1.0</v>
      </c>
      <c r="M2125" s="7">
        <f t="shared" si="5"/>
        <v>0.16</v>
      </c>
    </row>
    <row r="2126">
      <c r="A2126" s="5" t="s">
        <v>5368</v>
      </c>
      <c r="B2126" s="5" t="s">
        <v>612</v>
      </c>
      <c r="C2126" s="5" t="s">
        <v>1951</v>
      </c>
      <c r="D2126" s="5" t="s">
        <v>5369</v>
      </c>
      <c r="E2126" s="5" t="s">
        <v>2283</v>
      </c>
      <c r="F2126" s="5" t="s">
        <v>280</v>
      </c>
      <c r="G2126" s="6">
        <v>0.2</v>
      </c>
      <c r="H2126" s="5" t="s">
        <v>5263</v>
      </c>
      <c r="I2126" s="5" t="s">
        <v>20</v>
      </c>
      <c r="J2126" s="5">
        <v>2026.0</v>
      </c>
      <c r="L2126" s="5">
        <v>1.0</v>
      </c>
      <c r="M2126" s="7">
        <f t="shared" si="5"/>
        <v>0.2</v>
      </c>
    </row>
    <row r="2127">
      <c r="A2127" s="5" t="s">
        <v>5370</v>
      </c>
      <c r="B2127" s="5" t="s">
        <v>5371</v>
      </c>
      <c r="C2127" s="5" t="s">
        <v>1951</v>
      </c>
      <c r="D2127" s="5" t="s">
        <v>5372</v>
      </c>
      <c r="E2127" s="5" t="s">
        <v>1856</v>
      </c>
      <c r="F2127" s="5" t="s">
        <v>280</v>
      </c>
      <c r="G2127" s="6">
        <v>0.11</v>
      </c>
      <c r="H2127" s="5" t="s">
        <v>5263</v>
      </c>
      <c r="I2127" s="5" t="s">
        <v>20</v>
      </c>
      <c r="J2127" s="5">
        <v>2026.0</v>
      </c>
      <c r="K2127" s="8">
        <v>46056.0</v>
      </c>
      <c r="L2127" s="5">
        <v>2.0</v>
      </c>
      <c r="M2127" s="7">
        <f t="shared" si="5"/>
        <v>0.22</v>
      </c>
    </row>
    <row r="2128">
      <c r="A2128" s="5" t="s">
        <v>5373</v>
      </c>
      <c r="B2128" s="5" t="s">
        <v>5374</v>
      </c>
      <c r="C2128" s="5" t="s">
        <v>297</v>
      </c>
      <c r="D2128" s="5" t="s">
        <v>5375</v>
      </c>
      <c r="E2128" s="5" t="s">
        <v>1859</v>
      </c>
      <c r="F2128" s="5" t="s">
        <v>280</v>
      </c>
      <c r="G2128" s="6">
        <v>0.1</v>
      </c>
      <c r="H2128" s="5" t="s">
        <v>5263</v>
      </c>
      <c r="I2128" s="5" t="s">
        <v>20</v>
      </c>
      <c r="J2128" s="5">
        <v>2026.0</v>
      </c>
      <c r="K2128" s="8">
        <v>46055.0</v>
      </c>
      <c r="L2128" s="5">
        <v>2.0</v>
      </c>
      <c r="M2128" s="7">
        <f t="shared" si="5"/>
        <v>0.2</v>
      </c>
    </row>
    <row r="2129">
      <c r="A2129" s="5" t="s">
        <v>5376</v>
      </c>
      <c r="B2129" s="5" t="s">
        <v>5377</v>
      </c>
      <c r="C2129" s="5" t="s">
        <v>297</v>
      </c>
      <c r="D2129" s="5" t="s">
        <v>5378</v>
      </c>
      <c r="E2129" s="5" t="s">
        <v>631</v>
      </c>
      <c r="F2129" s="5" t="s">
        <v>280</v>
      </c>
      <c r="G2129" s="6">
        <v>0.1</v>
      </c>
      <c r="H2129" s="5" t="s">
        <v>5263</v>
      </c>
      <c r="I2129" s="5" t="s">
        <v>20</v>
      </c>
      <c r="J2129" s="5">
        <v>2026.0</v>
      </c>
      <c r="K2129" s="8">
        <v>46023.0</v>
      </c>
      <c r="L2129" s="5">
        <v>3.0</v>
      </c>
      <c r="M2129" s="7">
        <f t="shared" si="5"/>
        <v>0.3</v>
      </c>
    </row>
    <row r="2130">
      <c r="A2130" s="5" t="s">
        <v>5376</v>
      </c>
      <c r="B2130" s="5" t="s">
        <v>5377</v>
      </c>
      <c r="C2130" s="5" t="s">
        <v>297</v>
      </c>
      <c r="D2130" s="5" t="s">
        <v>5378</v>
      </c>
      <c r="E2130" s="5" t="s">
        <v>631</v>
      </c>
      <c r="F2130" s="5" t="s">
        <v>280</v>
      </c>
      <c r="G2130" s="6">
        <v>0.2</v>
      </c>
      <c r="H2130" s="5" t="s">
        <v>5263</v>
      </c>
      <c r="I2130" s="5" t="s">
        <v>31</v>
      </c>
      <c r="J2130" s="5">
        <v>2026.0</v>
      </c>
      <c r="K2130" s="8">
        <v>46023.0</v>
      </c>
      <c r="L2130" s="5">
        <v>1.0</v>
      </c>
      <c r="M2130" s="7">
        <f t="shared" si="5"/>
        <v>0.2</v>
      </c>
    </row>
    <row r="2131">
      <c r="A2131" s="5" t="s">
        <v>5379</v>
      </c>
      <c r="B2131" s="5" t="s">
        <v>5380</v>
      </c>
      <c r="C2131" s="5" t="s">
        <v>297</v>
      </c>
      <c r="D2131" s="5" t="s">
        <v>5381</v>
      </c>
      <c r="E2131" s="5" t="s">
        <v>1856</v>
      </c>
      <c r="F2131" s="5" t="s">
        <v>280</v>
      </c>
      <c r="G2131" s="6">
        <v>0.1</v>
      </c>
      <c r="H2131" s="5" t="s">
        <v>5263</v>
      </c>
      <c r="I2131" s="5" t="s">
        <v>20</v>
      </c>
      <c r="J2131" s="5">
        <v>2026.0</v>
      </c>
      <c r="K2131" s="8">
        <v>46114.0</v>
      </c>
      <c r="L2131" s="5">
        <v>1.0</v>
      </c>
      <c r="M2131" s="7">
        <f t="shared" si="5"/>
        <v>0.1</v>
      </c>
    </row>
    <row r="2132">
      <c r="A2132" s="5" t="s">
        <v>5382</v>
      </c>
      <c r="B2132" s="5" t="s">
        <v>5215</v>
      </c>
      <c r="C2132" s="5" t="s">
        <v>2252</v>
      </c>
      <c r="D2132" s="5" t="s">
        <v>5383</v>
      </c>
      <c r="E2132" s="5" t="s">
        <v>4258</v>
      </c>
      <c r="F2132" s="5" t="s">
        <v>280</v>
      </c>
      <c r="G2132" s="6">
        <v>17.99</v>
      </c>
      <c r="H2132" s="5" t="s">
        <v>5263</v>
      </c>
      <c r="I2132" s="5" t="s">
        <v>20</v>
      </c>
      <c r="J2132" s="5">
        <v>2026.0</v>
      </c>
      <c r="L2132" s="5">
        <v>1.0</v>
      </c>
      <c r="M2132" s="7">
        <f t="shared" si="5"/>
        <v>17.99</v>
      </c>
    </row>
    <row r="2133">
      <c r="A2133" s="5" t="s">
        <v>5384</v>
      </c>
      <c r="B2133" s="5" t="s">
        <v>5353</v>
      </c>
      <c r="C2133" s="5" t="s">
        <v>1951</v>
      </c>
      <c r="D2133" s="5" t="s">
        <v>5385</v>
      </c>
      <c r="E2133" s="5" t="s">
        <v>2290</v>
      </c>
      <c r="F2133" s="5" t="s">
        <v>280</v>
      </c>
      <c r="G2133" s="6">
        <v>0.24</v>
      </c>
      <c r="H2133" s="5" t="s">
        <v>5263</v>
      </c>
      <c r="I2133" s="5" t="s">
        <v>20</v>
      </c>
      <c r="J2133" s="5">
        <v>2026.0</v>
      </c>
      <c r="K2133" s="8">
        <v>46118.0</v>
      </c>
      <c r="L2133" s="5">
        <v>1.0</v>
      </c>
      <c r="M2133" s="7">
        <f t="shared" si="5"/>
        <v>0.24</v>
      </c>
    </row>
    <row r="2134">
      <c r="A2134" s="5" t="s">
        <v>5386</v>
      </c>
      <c r="B2134" s="5" t="s">
        <v>5318</v>
      </c>
      <c r="C2134" s="5" t="s">
        <v>297</v>
      </c>
      <c r="D2134" s="5" t="s">
        <v>5387</v>
      </c>
      <c r="E2134" s="5" t="s">
        <v>2298</v>
      </c>
      <c r="F2134" s="5" t="s">
        <v>18</v>
      </c>
      <c r="G2134" s="6">
        <v>0.05</v>
      </c>
      <c r="H2134" s="5" t="s">
        <v>5263</v>
      </c>
      <c r="I2134" s="5" t="s">
        <v>20</v>
      </c>
      <c r="J2134" s="5">
        <v>2026.0</v>
      </c>
      <c r="K2134" s="8">
        <v>46084.0</v>
      </c>
      <c r="L2134" s="5">
        <v>2.0</v>
      </c>
      <c r="M2134" s="7">
        <f t="shared" si="5"/>
        <v>0.1</v>
      </c>
    </row>
    <row r="2135">
      <c r="G2135" s="7"/>
      <c r="M2135" s="7">
        <f t="shared" si="5"/>
        <v>0</v>
      </c>
    </row>
    <row r="2136">
      <c r="G2136" s="7"/>
      <c r="M2136" s="7">
        <f t="shared" si="5"/>
        <v>0</v>
      </c>
    </row>
    <row r="2137">
      <c r="G2137" s="7"/>
      <c r="M2137" s="7">
        <f t="shared" si="5"/>
        <v>0</v>
      </c>
    </row>
    <row r="2138">
      <c r="G2138" s="7"/>
      <c r="M2138" s="7">
        <f t="shared" si="5"/>
        <v>0</v>
      </c>
    </row>
    <row r="2139">
      <c r="G2139" s="7"/>
      <c r="M2139" s="7">
        <f t="shared" si="5"/>
        <v>0</v>
      </c>
    </row>
    <row r="2140">
      <c r="G2140" s="7"/>
      <c r="M2140" s="7">
        <f t="shared" si="5"/>
        <v>0</v>
      </c>
    </row>
    <row r="2141">
      <c r="G2141" s="7"/>
      <c r="M2141" s="7">
        <f t="shared" si="5"/>
        <v>0</v>
      </c>
    </row>
    <row r="2142">
      <c r="G2142" s="7"/>
      <c r="M2142" s="7">
        <f t="shared" si="5"/>
        <v>0</v>
      </c>
    </row>
    <row r="2143">
      <c r="G2143" s="7"/>
      <c r="M2143" s="7">
        <f t="shared" si="5"/>
        <v>0</v>
      </c>
    </row>
    <row r="2144">
      <c r="G2144" s="7"/>
      <c r="M2144" s="7">
        <f t="shared" si="5"/>
        <v>0</v>
      </c>
    </row>
    <row r="2145">
      <c r="G2145" s="7"/>
      <c r="M2145" s="7">
        <f t="shared" si="5"/>
        <v>0</v>
      </c>
    </row>
    <row r="2146">
      <c r="G2146" s="7"/>
      <c r="M2146" s="7">
        <f t="shared" si="5"/>
        <v>0</v>
      </c>
    </row>
    <row r="2147">
      <c r="G2147" s="7"/>
      <c r="M2147" s="7">
        <f t="shared" si="5"/>
        <v>0</v>
      </c>
    </row>
    <row r="2148">
      <c r="G2148" s="7"/>
      <c r="M2148" s="7">
        <f t="shared" si="5"/>
        <v>0</v>
      </c>
    </row>
    <row r="2149">
      <c r="G2149" s="7"/>
      <c r="M2149" s="7">
        <f t="shared" si="5"/>
        <v>0</v>
      </c>
    </row>
    <row r="2150">
      <c r="G2150" s="7"/>
      <c r="M2150" s="7">
        <f t="shared" si="5"/>
        <v>0</v>
      </c>
    </row>
    <row r="2151">
      <c r="G2151" s="7"/>
      <c r="M2151" s="7">
        <f t="shared" si="5"/>
        <v>0</v>
      </c>
    </row>
    <row r="2152">
      <c r="G2152" s="7"/>
      <c r="M2152" s="7">
        <f t="shared" si="5"/>
        <v>0</v>
      </c>
    </row>
    <row r="2153">
      <c r="G2153" s="7"/>
      <c r="M2153" s="7">
        <f t="shared" si="5"/>
        <v>0</v>
      </c>
    </row>
    <row r="2154">
      <c r="G2154" s="7"/>
      <c r="M2154" s="7">
        <f t="shared" si="5"/>
        <v>0</v>
      </c>
    </row>
    <row r="2155">
      <c r="G2155" s="7"/>
      <c r="M2155" s="7">
        <f t="shared" si="5"/>
        <v>0</v>
      </c>
    </row>
    <row r="2156">
      <c r="G2156" s="7"/>
      <c r="M2156" s="7">
        <f t="shared" si="5"/>
        <v>0</v>
      </c>
    </row>
    <row r="2157">
      <c r="G2157" s="7"/>
      <c r="M2157" s="7">
        <f t="shared" si="5"/>
        <v>0</v>
      </c>
    </row>
    <row r="2158">
      <c r="G2158" s="7"/>
      <c r="M2158" s="7">
        <f t="shared" si="5"/>
        <v>0</v>
      </c>
    </row>
    <row r="2159">
      <c r="G2159" s="7"/>
      <c r="M2159" s="7">
        <f t="shared" si="5"/>
        <v>0</v>
      </c>
    </row>
    <row r="2160">
      <c r="G2160" s="7"/>
      <c r="M2160" s="7">
        <f t="shared" si="5"/>
        <v>0</v>
      </c>
    </row>
    <row r="2161">
      <c r="G2161" s="7"/>
      <c r="M2161" s="7">
        <f t="shared" si="5"/>
        <v>0</v>
      </c>
    </row>
    <row r="2162">
      <c r="G2162" s="7"/>
      <c r="M2162" s="7">
        <f t="shared" si="5"/>
        <v>0</v>
      </c>
    </row>
    <row r="2163">
      <c r="G2163" s="7"/>
      <c r="M2163" s="7">
        <f t="shared" si="5"/>
        <v>0</v>
      </c>
    </row>
    <row r="2164">
      <c r="G2164" s="7"/>
      <c r="M2164" s="7">
        <f t="shared" si="5"/>
        <v>0</v>
      </c>
    </row>
    <row r="2165">
      <c r="G2165" s="7"/>
      <c r="M2165" s="7">
        <f t="shared" si="5"/>
        <v>0</v>
      </c>
    </row>
    <row r="2166">
      <c r="G2166" s="7"/>
      <c r="M2166" s="7">
        <f t="shared" si="5"/>
        <v>0</v>
      </c>
    </row>
    <row r="2167">
      <c r="G2167" s="7"/>
      <c r="M2167" s="7">
        <f t="shared" si="5"/>
        <v>0</v>
      </c>
    </row>
    <row r="2168">
      <c r="G2168" s="7"/>
      <c r="M2168" s="7">
        <f t="shared" si="5"/>
        <v>0</v>
      </c>
    </row>
    <row r="2169">
      <c r="G2169" s="7"/>
      <c r="M2169" s="7">
        <f t="shared" si="5"/>
        <v>0</v>
      </c>
    </row>
    <row r="2170">
      <c r="G2170" s="7"/>
      <c r="M2170" s="7">
        <f t="shared" si="5"/>
        <v>0</v>
      </c>
    </row>
    <row r="2171">
      <c r="G2171" s="7"/>
      <c r="M2171" s="7">
        <f t="shared" si="5"/>
        <v>0</v>
      </c>
    </row>
    <row r="2172">
      <c r="G2172" s="7"/>
      <c r="M2172" s="7">
        <f t="shared" si="5"/>
        <v>0</v>
      </c>
    </row>
    <row r="2173">
      <c r="G2173" s="7"/>
      <c r="M2173" s="7">
        <f t="shared" si="5"/>
        <v>0</v>
      </c>
    </row>
    <row r="2174">
      <c r="G2174" s="7"/>
      <c r="M2174" s="7">
        <f t="shared" si="5"/>
        <v>0</v>
      </c>
    </row>
    <row r="2175">
      <c r="G2175" s="7"/>
      <c r="M2175" s="7">
        <f t="shared" si="5"/>
        <v>0</v>
      </c>
    </row>
    <row r="2176">
      <c r="G2176" s="7"/>
      <c r="M2176" s="7">
        <f t="shared" si="5"/>
        <v>0</v>
      </c>
    </row>
    <row r="2177">
      <c r="G2177" s="7"/>
      <c r="M2177" s="7">
        <f t="shared" si="5"/>
        <v>0</v>
      </c>
    </row>
    <row r="2178">
      <c r="G2178" s="7"/>
      <c r="M2178" s="7">
        <f t="shared" si="5"/>
        <v>0</v>
      </c>
    </row>
    <row r="2179">
      <c r="G2179" s="7"/>
      <c r="M2179" s="7">
        <f t="shared" si="5"/>
        <v>0</v>
      </c>
    </row>
    <row r="2180">
      <c r="G2180" s="7"/>
      <c r="M2180" s="7">
        <f t="shared" si="5"/>
        <v>0</v>
      </c>
    </row>
    <row r="2181">
      <c r="G2181" s="7"/>
      <c r="M2181" s="7">
        <f t="shared" si="5"/>
        <v>0</v>
      </c>
    </row>
    <row r="2182">
      <c r="G2182" s="7"/>
      <c r="M2182" s="7">
        <f t="shared" si="5"/>
        <v>0</v>
      </c>
    </row>
    <row r="2183">
      <c r="G2183" s="7"/>
      <c r="M2183" s="7">
        <f t="shared" si="5"/>
        <v>0</v>
      </c>
    </row>
    <row r="2184">
      <c r="G2184" s="7"/>
      <c r="M2184" s="7">
        <f t="shared" si="5"/>
        <v>0</v>
      </c>
    </row>
    <row r="2185">
      <c r="G2185" s="7"/>
      <c r="M2185" s="7">
        <f t="shared" si="5"/>
        <v>0</v>
      </c>
    </row>
    <row r="2186">
      <c r="G2186" s="7"/>
      <c r="M2186" s="7">
        <f t="shared" si="5"/>
        <v>0</v>
      </c>
    </row>
    <row r="2187">
      <c r="G2187" s="7"/>
      <c r="M2187" s="7">
        <f t="shared" si="5"/>
        <v>0</v>
      </c>
    </row>
    <row r="2188">
      <c r="G2188" s="7"/>
      <c r="M2188" s="7">
        <f t="shared" si="5"/>
        <v>0</v>
      </c>
    </row>
    <row r="2189">
      <c r="G2189" s="7"/>
      <c r="M2189" s="7">
        <f t="shared" si="5"/>
        <v>0</v>
      </c>
    </row>
    <row r="2190">
      <c r="G2190" s="7"/>
      <c r="M2190" s="7">
        <f t="shared" si="5"/>
        <v>0</v>
      </c>
    </row>
    <row r="2191">
      <c r="G2191" s="7"/>
      <c r="M2191" s="7">
        <f t="shared" si="5"/>
        <v>0</v>
      </c>
    </row>
    <row r="2192">
      <c r="G2192" s="7"/>
      <c r="M2192" s="7">
        <f t="shared" si="5"/>
        <v>0</v>
      </c>
    </row>
    <row r="2193">
      <c r="G2193" s="7"/>
      <c r="M2193" s="7">
        <f t="shared" si="5"/>
        <v>0</v>
      </c>
    </row>
    <row r="2194">
      <c r="G2194" s="7"/>
      <c r="M2194" s="7">
        <f t="shared" si="5"/>
        <v>0</v>
      </c>
    </row>
    <row r="2195">
      <c r="G2195" s="7"/>
      <c r="M2195" s="7">
        <f t="shared" si="5"/>
        <v>0</v>
      </c>
    </row>
    <row r="2196">
      <c r="G2196" s="7"/>
      <c r="M2196" s="7">
        <f t="shared" si="5"/>
        <v>0</v>
      </c>
    </row>
    <row r="2197">
      <c r="G2197" s="7"/>
      <c r="M2197" s="7">
        <f t="shared" si="5"/>
        <v>0</v>
      </c>
    </row>
    <row r="2198">
      <c r="G2198" s="7"/>
      <c r="M2198" s="7">
        <f t="shared" si="5"/>
        <v>0</v>
      </c>
    </row>
    <row r="2199">
      <c r="G2199" s="7"/>
      <c r="M2199" s="7">
        <f t="shared" si="5"/>
        <v>0</v>
      </c>
    </row>
    <row r="2200">
      <c r="G2200" s="7"/>
      <c r="M2200" s="7">
        <f t="shared" si="5"/>
        <v>0</v>
      </c>
    </row>
    <row r="2201">
      <c r="G2201" s="7"/>
      <c r="M2201" s="7">
        <f t="shared" si="5"/>
        <v>0</v>
      </c>
    </row>
    <row r="2202">
      <c r="G2202" s="7"/>
      <c r="M2202" s="7">
        <f t="shared" si="5"/>
        <v>0</v>
      </c>
    </row>
    <row r="2203">
      <c r="G2203" s="7"/>
      <c r="M2203" s="7">
        <f t="shared" si="5"/>
        <v>0</v>
      </c>
    </row>
    <row r="2204">
      <c r="G2204" s="7"/>
      <c r="M2204" s="7">
        <f t="shared" si="5"/>
        <v>0</v>
      </c>
    </row>
    <row r="2205">
      <c r="G2205" s="7"/>
      <c r="M2205" s="7">
        <f t="shared" si="5"/>
        <v>0</v>
      </c>
    </row>
    <row r="2206">
      <c r="G2206" s="7"/>
      <c r="M2206" s="7">
        <f t="shared" si="5"/>
        <v>0</v>
      </c>
    </row>
    <row r="2207">
      <c r="G2207" s="7"/>
      <c r="M2207" s="7">
        <f t="shared" si="5"/>
        <v>0</v>
      </c>
    </row>
    <row r="2208">
      <c r="G2208" s="7"/>
      <c r="M2208" s="7">
        <f t="shared" si="5"/>
        <v>0</v>
      </c>
    </row>
    <row r="2209">
      <c r="G2209" s="7"/>
      <c r="M2209" s="7">
        <f t="shared" si="5"/>
        <v>0</v>
      </c>
    </row>
    <row r="2210">
      <c r="G2210" s="7"/>
      <c r="M2210" s="7">
        <f t="shared" si="5"/>
        <v>0</v>
      </c>
    </row>
    <row r="2211">
      <c r="G2211" s="7"/>
      <c r="M2211" s="7">
        <f t="shared" si="5"/>
        <v>0</v>
      </c>
    </row>
    <row r="2212">
      <c r="G2212" s="7"/>
      <c r="M2212" s="7">
        <f t="shared" si="5"/>
        <v>0</v>
      </c>
    </row>
    <row r="2213">
      <c r="G2213" s="7"/>
      <c r="M2213" s="7">
        <f t="shared" si="5"/>
        <v>0</v>
      </c>
    </row>
    <row r="2214">
      <c r="G2214" s="7"/>
      <c r="M2214" s="7">
        <f t="shared" si="5"/>
        <v>0</v>
      </c>
    </row>
    <row r="2215">
      <c r="G2215" s="7"/>
      <c r="M2215" s="7">
        <f t="shared" si="5"/>
        <v>0</v>
      </c>
    </row>
    <row r="2216">
      <c r="G2216" s="7"/>
      <c r="M2216" s="7">
        <f t="shared" si="5"/>
        <v>0</v>
      </c>
    </row>
    <row r="2217">
      <c r="G2217" s="7"/>
      <c r="M2217" s="7">
        <f t="shared" si="5"/>
        <v>0</v>
      </c>
    </row>
    <row r="2218">
      <c r="G2218" s="7"/>
      <c r="M2218" s="7">
        <f t="shared" si="5"/>
        <v>0</v>
      </c>
    </row>
    <row r="2219">
      <c r="G2219" s="7"/>
      <c r="M2219" s="7">
        <f t="shared" si="5"/>
        <v>0</v>
      </c>
    </row>
    <row r="2220">
      <c r="G2220" s="7"/>
      <c r="M2220" s="7">
        <f t="shared" si="5"/>
        <v>0</v>
      </c>
    </row>
    <row r="2221">
      <c r="G2221" s="7"/>
      <c r="M2221" s="7">
        <f t="shared" si="5"/>
        <v>0</v>
      </c>
    </row>
    <row r="2222">
      <c r="G2222" s="7"/>
      <c r="M2222" s="7">
        <f t="shared" si="5"/>
        <v>0</v>
      </c>
    </row>
    <row r="2223">
      <c r="G2223" s="7"/>
      <c r="M2223" s="7">
        <f t="shared" si="5"/>
        <v>0</v>
      </c>
    </row>
    <row r="2224">
      <c r="G2224" s="7"/>
      <c r="M2224" s="7">
        <f t="shared" si="5"/>
        <v>0</v>
      </c>
    </row>
    <row r="2225">
      <c r="G2225" s="7"/>
      <c r="M2225" s="7">
        <f t="shared" si="5"/>
        <v>0</v>
      </c>
    </row>
    <row r="2226">
      <c r="G2226" s="7"/>
      <c r="M2226" s="7">
        <f t="shared" si="5"/>
        <v>0</v>
      </c>
    </row>
    <row r="2227">
      <c r="G2227" s="7"/>
      <c r="M2227" s="7">
        <f t="shared" si="5"/>
        <v>0</v>
      </c>
    </row>
    <row r="2228">
      <c r="G2228" s="7"/>
      <c r="M2228" s="7">
        <f t="shared" si="5"/>
        <v>0</v>
      </c>
    </row>
    <row r="2229">
      <c r="G2229" s="7"/>
      <c r="M2229" s="7">
        <f t="shared" si="5"/>
        <v>0</v>
      </c>
    </row>
    <row r="2230">
      <c r="G2230" s="7"/>
      <c r="M2230" s="7">
        <f t="shared" si="5"/>
        <v>0</v>
      </c>
    </row>
    <row r="2231">
      <c r="G2231" s="7"/>
      <c r="M2231" s="7">
        <f t="shared" si="5"/>
        <v>0</v>
      </c>
    </row>
    <row r="2232">
      <c r="G2232" s="7"/>
      <c r="M2232" s="7">
        <f t="shared" si="5"/>
        <v>0</v>
      </c>
    </row>
    <row r="2233">
      <c r="G2233" s="7"/>
      <c r="M2233" s="7">
        <f t="shared" si="5"/>
        <v>0</v>
      </c>
    </row>
    <row r="2234">
      <c r="G2234" s="7"/>
      <c r="M2234" s="7">
        <f t="shared" si="5"/>
        <v>0</v>
      </c>
    </row>
    <row r="2235">
      <c r="G2235" s="7"/>
      <c r="M2235" s="7">
        <f t="shared" si="5"/>
        <v>0</v>
      </c>
    </row>
    <row r="2236">
      <c r="G2236" s="7"/>
      <c r="M2236" s="7">
        <f t="shared" si="5"/>
        <v>0</v>
      </c>
    </row>
    <row r="2237">
      <c r="G2237" s="7"/>
      <c r="M2237" s="7">
        <f t="shared" si="5"/>
        <v>0</v>
      </c>
    </row>
    <row r="2238">
      <c r="G2238" s="7"/>
      <c r="M2238" s="7">
        <f t="shared" si="5"/>
        <v>0</v>
      </c>
    </row>
    <row r="2239">
      <c r="G2239" s="7"/>
      <c r="M2239" s="7">
        <f t="shared" si="5"/>
        <v>0</v>
      </c>
    </row>
    <row r="2240">
      <c r="G2240" s="7"/>
      <c r="M2240" s="7">
        <f t="shared" si="5"/>
        <v>0</v>
      </c>
    </row>
    <row r="2241">
      <c r="G2241" s="7"/>
      <c r="M2241" s="7">
        <f t="shared" si="5"/>
        <v>0</v>
      </c>
    </row>
    <row r="2242">
      <c r="G2242" s="7"/>
      <c r="M2242" s="7">
        <f t="shared" si="5"/>
        <v>0</v>
      </c>
    </row>
    <row r="2243">
      <c r="G2243" s="7"/>
      <c r="M2243" s="7">
        <f t="shared" si="5"/>
        <v>0</v>
      </c>
    </row>
    <row r="2244">
      <c r="G2244" s="7"/>
      <c r="M2244" s="7">
        <f t="shared" si="5"/>
        <v>0</v>
      </c>
    </row>
    <row r="2245">
      <c r="G2245" s="7"/>
      <c r="M2245" s="7">
        <f t="shared" si="5"/>
        <v>0</v>
      </c>
    </row>
    <row r="2246">
      <c r="G2246" s="7"/>
      <c r="M2246" s="7">
        <f t="shared" si="5"/>
        <v>0</v>
      </c>
    </row>
    <row r="2247">
      <c r="G2247" s="7"/>
      <c r="M2247" s="7">
        <f t="shared" si="5"/>
        <v>0</v>
      </c>
    </row>
    <row r="2248">
      <c r="G2248" s="7"/>
      <c r="M2248" s="7">
        <f t="shared" si="5"/>
        <v>0</v>
      </c>
    </row>
    <row r="2249">
      <c r="G2249" s="7"/>
      <c r="M2249" s="7">
        <f t="shared" si="5"/>
        <v>0</v>
      </c>
    </row>
    <row r="2250">
      <c r="G2250" s="7"/>
      <c r="M2250" s="7">
        <f t="shared" si="5"/>
        <v>0</v>
      </c>
    </row>
    <row r="2251">
      <c r="G2251" s="7"/>
      <c r="M2251" s="7">
        <f t="shared" si="5"/>
        <v>0</v>
      </c>
    </row>
    <row r="2252">
      <c r="G2252" s="7"/>
      <c r="M2252" s="7">
        <f t="shared" si="5"/>
        <v>0</v>
      </c>
    </row>
    <row r="2253">
      <c r="G2253" s="7"/>
      <c r="M2253" s="7">
        <f t="shared" si="5"/>
        <v>0</v>
      </c>
    </row>
    <row r="2254">
      <c r="G2254" s="7"/>
      <c r="M2254" s="7">
        <f t="shared" si="5"/>
        <v>0</v>
      </c>
    </row>
    <row r="2255">
      <c r="G2255" s="7"/>
      <c r="M2255" s="7">
        <f t="shared" si="5"/>
        <v>0</v>
      </c>
    </row>
    <row r="2256">
      <c r="G2256" s="7"/>
      <c r="M2256" s="7">
        <f t="shared" si="5"/>
        <v>0</v>
      </c>
    </row>
    <row r="2257">
      <c r="G2257" s="7"/>
      <c r="M2257" s="7">
        <f t="shared" si="5"/>
        <v>0</v>
      </c>
    </row>
    <row r="2258">
      <c r="G2258" s="7"/>
      <c r="M2258" s="7">
        <f t="shared" si="5"/>
        <v>0</v>
      </c>
    </row>
    <row r="2259">
      <c r="G2259" s="7"/>
      <c r="M2259" s="7">
        <f t="shared" si="5"/>
        <v>0</v>
      </c>
    </row>
    <row r="2260">
      <c r="G2260" s="7"/>
      <c r="M2260" s="7">
        <f t="shared" si="5"/>
        <v>0</v>
      </c>
    </row>
    <row r="2261">
      <c r="G2261" s="7"/>
      <c r="M2261" s="7">
        <f t="shared" si="5"/>
        <v>0</v>
      </c>
    </row>
    <row r="2262">
      <c r="G2262" s="7"/>
      <c r="M2262" s="7">
        <f t="shared" si="5"/>
        <v>0</v>
      </c>
    </row>
    <row r="2263">
      <c r="G2263" s="7"/>
      <c r="M2263" s="7">
        <f t="shared" si="5"/>
        <v>0</v>
      </c>
    </row>
    <row r="2264">
      <c r="G2264" s="7"/>
      <c r="M2264" s="7">
        <f t="shared" si="5"/>
        <v>0</v>
      </c>
    </row>
    <row r="2265">
      <c r="G2265" s="7"/>
      <c r="M2265" s="7">
        <f t="shared" si="5"/>
        <v>0</v>
      </c>
    </row>
    <row r="2266">
      <c r="G2266" s="7"/>
      <c r="M2266" s="7">
        <f t="shared" si="5"/>
        <v>0</v>
      </c>
    </row>
    <row r="2267">
      <c r="G2267" s="7"/>
      <c r="M2267" s="7">
        <f t="shared" si="5"/>
        <v>0</v>
      </c>
    </row>
    <row r="2268">
      <c r="G2268" s="7"/>
      <c r="M2268" s="7">
        <f t="shared" si="5"/>
        <v>0</v>
      </c>
    </row>
    <row r="2269">
      <c r="G2269" s="7"/>
      <c r="M2269" s="7">
        <f t="shared" si="5"/>
        <v>0</v>
      </c>
    </row>
    <row r="2270">
      <c r="G2270" s="7"/>
      <c r="M2270" s="7">
        <f t="shared" si="5"/>
        <v>0</v>
      </c>
    </row>
    <row r="2271">
      <c r="G2271" s="7"/>
      <c r="M2271" s="7">
        <f t="shared" si="5"/>
        <v>0</v>
      </c>
    </row>
    <row r="2272">
      <c r="G2272" s="7"/>
      <c r="M2272" s="7">
        <f t="shared" si="5"/>
        <v>0</v>
      </c>
    </row>
    <row r="2273">
      <c r="G2273" s="7"/>
      <c r="M2273" s="7">
        <f t="shared" si="5"/>
        <v>0</v>
      </c>
    </row>
    <row r="2274">
      <c r="G2274" s="7"/>
      <c r="M2274" s="7">
        <f t="shared" si="5"/>
        <v>0</v>
      </c>
    </row>
    <row r="2275">
      <c r="G2275" s="7"/>
      <c r="M2275" s="7">
        <f t="shared" si="5"/>
        <v>0</v>
      </c>
    </row>
    <row r="2276">
      <c r="G2276" s="7"/>
      <c r="M2276" s="7">
        <f t="shared" si="5"/>
        <v>0</v>
      </c>
    </row>
    <row r="2277">
      <c r="G2277" s="7"/>
      <c r="M2277" s="7">
        <f t="shared" si="5"/>
        <v>0</v>
      </c>
    </row>
    <row r="2278">
      <c r="G2278" s="7"/>
      <c r="M2278" s="7">
        <f t="shared" si="5"/>
        <v>0</v>
      </c>
    </row>
    <row r="2279">
      <c r="G2279" s="7"/>
      <c r="M2279" s="7">
        <f t="shared" si="5"/>
        <v>0</v>
      </c>
    </row>
    <row r="2280">
      <c r="G2280" s="7"/>
      <c r="M2280" s="7">
        <f t="shared" si="5"/>
        <v>0</v>
      </c>
    </row>
    <row r="2281">
      <c r="G2281" s="7"/>
      <c r="M2281" s="7">
        <f t="shared" si="5"/>
        <v>0</v>
      </c>
    </row>
    <row r="2282">
      <c r="G2282" s="7"/>
      <c r="M2282" s="7">
        <f t="shared" si="5"/>
        <v>0</v>
      </c>
    </row>
    <row r="2283">
      <c r="G2283" s="7"/>
      <c r="M2283" s="7">
        <f t="shared" si="5"/>
        <v>0</v>
      </c>
    </row>
    <row r="2284">
      <c r="G2284" s="7"/>
      <c r="M2284" s="7">
        <f t="shared" si="5"/>
        <v>0</v>
      </c>
    </row>
    <row r="2285">
      <c r="G2285" s="7"/>
      <c r="M2285" s="7">
        <f t="shared" si="5"/>
        <v>0</v>
      </c>
    </row>
    <row r="2286">
      <c r="G2286" s="7"/>
      <c r="M2286" s="7">
        <f t="shared" si="5"/>
        <v>0</v>
      </c>
    </row>
    <row r="2287">
      <c r="G2287" s="7"/>
      <c r="M2287" s="7">
        <f t="shared" si="5"/>
        <v>0</v>
      </c>
    </row>
    <row r="2288">
      <c r="G2288" s="7"/>
      <c r="M2288" s="7">
        <f t="shared" si="5"/>
        <v>0</v>
      </c>
    </row>
    <row r="2289">
      <c r="G2289" s="7"/>
      <c r="M2289" s="7">
        <f t="shared" si="5"/>
        <v>0</v>
      </c>
    </row>
    <row r="2290">
      <c r="G2290" s="7"/>
      <c r="M2290" s="7">
        <f t="shared" si="5"/>
        <v>0</v>
      </c>
    </row>
    <row r="2291">
      <c r="G2291" s="7"/>
      <c r="M2291" s="7">
        <f t="shared" si="5"/>
        <v>0</v>
      </c>
    </row>
    <row r="2292">
      <c r="G2292" s="7"/>
      <c r="M2292" s="7">
        <f t="shared" si="5"/>
        <v>0</v>
      </c>
    </row>
    <row r="2293">
      <c r="G2293" s="7"/>
      <c r="M2293" s="7">
        <f t="shared" si="5"/>
        <v>0</v>
      </c>
    </row>
    <row r="2294">
      <c r="G2294" s="7"/>
      <c r="M2294" s="7">
        <f t="shared" si="5"/>
        <v>0</v>
      </c>
    </row>
    <row r="2295">
      <c r="G2295" s="7"/>
      <c r="M2295" s="7">
        <f t="shared" si="5"/>
        <v>0</v>
      </c>
    </row>
    <row r="2296">
      <c r="G2296" s="7"/>
      <c r="M2296" s="7">
        <f t="shared" si="5"/>
        <v>0</v>
      </c>
    </row>
    <row r="2297">
      <c r="G2297" s="7"/>
      <c r="M2297" s="7">
        <f t="shared" si="5"/>
        <v>0</v>
      </c>
    </row>
    <row r="2298">
      <c r="G2298" s="7"/>
      <c r="M2298" s="7">
        <f t="shared" si="5"/>
        <v>0</v>
      </c>
    </row>
    <row r="2299">
      <c r="G2299" s="7"/>
      <c r="M2299" s="7">
        <f t="shared" si="5"/>
        <v>0</v>
      </c>
    </row>
    <row r="2300">
      <c r="G2300" s="7"/>
      <c r="M2300" s="7">
        <f t="shared" si="5"/>
        <v>0</v>
      </c>
    </row>
    <row r="2301">
      <c r="G2301" s="7"/>
      <c r="M2301" s="7">
        <f t="shared" si="5"/>
        <v>0</v>
      </c>
    </row>
    <row r="2302">
      <c r="G2302" s="7"/>
      <c r="M2302" s="7">
        <f t="shared" si="5"/>
        <v>0</v>
      </c>
    </row>
    <row r="2303">
      <c r="G2303" s="7"/>
      <c r="M2303" s="7">
        <f t="shared" si="5"/>
        <v>0</v>
      </c>
    </row>
    <row r="2304">
      <c r="G2304" s="7"/>
      <c r="M2304" s="7">
        <f t="shared" si="5"/>
        <v>0</v>
      </c>
    </row>
    <row r="2305">
      <c r="G2305" s="7"/>
      <c r="M2305" s="7">
        <f t="shared" si="5"/>
        <v>0</v>
      </c>
    </row>
    <row r="2306">
      <c r="G2306" s="7"/>
      <c r="M2306" s="7">
        <f t="shared" si="5"/>
        <v>0</v>
      </c>
    </row>
    <row r="2307">
      <c r="G2307" s="7"/>
      <c r="M2307" s="7">
        <f t="shared" si="5"/>
        <v>0</v>
      </c>
    </row>
    <row r="2308">
      <c r="G2308" s="7"/>
      <c r="M2308" s="7">
        <f t="shared" si="5"/>
        <v>0</v>
      </c>
    </row>
    <row r="2309">
      <c r="G2309" s="7"/>
      <c r="M2309" s="7">
        <f t="shared" si="5"/>
        <v>0</v>
      </c>
    </row>
    <row r="2310">
      <c r="G2310" s="7"/>
      <c r="M2310" s="7">
        <f t="shared" si="5"/>
        <v>0</v>
      </c>
    </row>
    <row r="2311">
      <c r="G2311" s="7"/>
      <c r="M2311" s="7">
        <f t="shared" si="5"/>
        <v>0</v>
      </c>
    </row>
    <row r="2312">
      <c r="G2312" s="7"/>
      <c r="M2312" s="7">
        <f t="shared" si="5"/>
        <v>0</v>
      </c>
    </row>
    <row r="2313">
      <c r="G2313" s="7"/>
      <c r="M2313" s="7">
        <f t="shared" si="5"/>
        <v>0</v>
      </c>
    </row>
    <row r="2314">
      <c r="G2314" s="7"/>
      <c r="M2314" s="7">
        <f t="shared" si="5"/>
        <v>0</v>
      </c>
    </row>
    <row r="2315">
      <c r="G2315" s="7"/>
      <c r="M2315" s="7">
        <f t="shared" si="5"/>
        <v>0</v>
      </c>
    </row>
    <row r="2316">
      <c r="G2316" s="7"/>
      <c r="M2316" s="7">
        <f t="shared" si="5"/>
        <v>0</v>
      </c>
    </row>
    <row r="2317">
      <c r="G2317" s="7"/>
      <c r="M2317" s="7">
        <f t="shared" si="5"/>
        <v>0</v>
      </c>
    </row>
    <row r="2318">
      <c r="G2318" s="7"/>
      <c r="M2318" s="7">
        <f t="shared" si="5"/>
        <v>0</v>
      </c>
    </row>
    <row r="2319">
      <c r="G2319" s="7"/>
      <c r="M2319" s="7">
        <f t="shared" si="5"/>
        <v>0</v>
      </c>
    </row>
    <row r="2320">
      <c r="G2320" s="7"/>
      <c r="M2320" s="7">
        <f t="shared" si="5"/>
        <v>0</v>
      </c>
    </row>
    <row r="2321">
      <c r="G2321" s="7"/>
      <c r="M2321" s="7">
        <f t="shared" si="5"/>
        <v>0</v>
      </c>
    </row>
    <row r="2322">
      <c r="G2322" s="7"/>
      <c r="M2322" s="7">
        <f t="shared" si="5"/>
        <v>0</v>
      </c>
    </row>
    <row r="2323">
      <c r="G2323" s="7"/>
      <c r="M2323" s="7">
        <f t="shared" si="5"/>
        <v>0</v>
      </c>
    </row>
    <row r="2324">
      <c r="G2324" s="7"/>
      <c r="M2324" s="7">
        <f t="shared" si="5"/>
        <v>0</v>
      </c>
    </row>
    <row r="2325">
      <c r="G2325" s="7"/>
      <c r="M2325" s="7">
        <f t="shared" si="5"/>
        <v>0</v>
      </c>
    </row>
    <row r="2326">
      <c r="G2326" s="7"/>
      <c r="M2326" s="7">
        <f t="shared" si="5"/>
        <v>0</v>
      </c>
    </row>
    <row r="2327">
      <c r="G2327" s="7"/>
      <c r="M2327" s="7">
        <f t="shared" si="5"/>
        <v>0</v>
      </c>
    </row>
    <row r="2328">
      <c r="G2328" s="7"/>
      <c r="M2328" s="7">
        <f t="shared" si="5"/>
        <v>0</v>
      </c>
    </row>
    <row r="2329">
      <c r="G2329" s="7"/>
      <c r="M2329" s="7">
        <f t="shared" si="5"/>
        <v>0</v>
      </c>
    </row>
    <row r="2330">
      <c r="G2330" s="7"/>
      <c r="M2330" s="7">
        <f t="shared" si="5"/>
        <v>0</v>
      </c>
    </row>
    <row r="2331">
      <c r="G2331" s="7"/>
      <c r="M2331" s="7">
        <f t="shared" si="5"/>
        <v>0</v>
      </c>
    </row>
    <row r="2332">
      <c r="G2332" s="7"/>
      <c r="M2332" s="7">
        <f t="shared" si="5"/>
        <v>0</v>
      </c>
    </row>
    <row r="2333">
      <c r="G2333" s="7"/>
      <c r="M2333" s="7">
        <f t="shared" si="5"/>
        <v>0</v>
      </c>
    </row>
    <row r="2334">
      <c r="G2334" s="7"/>
      <c r="M2334" s="7">
        <f t="shared" si="5"/>
        <v>0</v>
      </c>
    </row>
    <row r="2335">
      <c r="G2335" s="7"/>
      <c r="M2335" s="7">
        <f t="shared" si="5"/>
        <v>0</v>
      </c>
    </row>
    <row r="2336">
      <c r="G2336" s="7"/>
      <c r="M2336" s="7">
        <f t="shared" si="5"/>
        <v>0</v>
      </c>
    </row>
    <row r="2337">
      <c r="G2337" s="7"/>
      <c r="M2337" s="7">
        <f t="shared" si="5"/>
        <v>0</v>
      </c>
    </row>
    <row r="2338">
      <c r="G2338" s="7"/>
      <c r="M2338" s="7">
        <f t="shared" si="5"/>
        <v>0</v>
      </c>
    </row>
    <row r="2339">
      <c r="G2339" s="7"/>
      <c r="M2339" s="7">
        <f t="shared" si="5"/>
        <v>0</v>
      </c>
    </row>
    <row r="2340">
      <c r="G2340" s="7"/>
      <c r="M2340" s="7">
        <f t="shared" si="5"/>
        <v>0</v>
      </c>
    </row>
    <row r="2341">
      <c r="G2341" s="7"/>
      <c r="M2341" s="7">
        <f t="shared" si="5"/>
        <v>0</v>
      </c>
    </row>
    <row r="2342">
      <c r="G2342" s="7"/>
      <c r="M2342" s="7">
        <f t="shared" si="5"/>
        <v>0</v>
      </c>
    </row>
    <row r="2343">
      <c r="G2343" s="7"/>
      <c r="M2343" s="7">
        <f t="shared" si="5"/>
        <v>0</v>
      </c>
    </row>
    <row r="2344">
      <c r="G2344" s="7"/>
      <c r="M2344" s="7">
        <f t="shared" si="5"/>
        <v>0</v>
      </c>
    </row>
    <row r="2345">
      <c r="G2345" s="7"/>
      <c r="M2345" s="7">
        <f t="shared" si="5"/>
        <v>0</v>
      </c>
    </row>
    <row r="2346">
      <c r="G2346" s="7"/>
      <c r="M2346" s="7">
        <f t="shared" si="5"/>
        <v>0</v>
      </c>
    </row>
    <row r="2347">
      <c r="G2347" s="7"/>
      <c r="M2347" s="7">
        <f t="shared" si="5"/>
        <v>0</v>
      </c>
    </row>
    <row r="2348">
      <c r="G2348" s="7"/>
      <c r="M2348" s="7">
        <f t="shared" si="5"/>
        <v>0</v>
      </c>
    </row>
    <row r="2349">
      <c r="G2349" s="7"/>
      <c r="M2349" s="7">
        <f t="shared" si="5"/>
        <v>0</v>
      </c>
    </row>
    <row r="2350">
      <c r="G2350" s="7"/>
      <c r="M2350" s="7">
        <f t="shared" si="5"/>
        <v>0</v>
      </c>
    </row>
    <row r="2351">
      <c r="G2351" s="7"/>
      <c r="M2351" s="7">
        <f t="shared" si="5"/>
        <v>0</v>
      </c>
    </row>
    <row r="2352">
      <c r="G2352" s="7"/>
      <c r="M2352" s="7">
        <f t="shared" si="5"/>
        <v>0</v>
      </c>
    </row>
    <row r="2353">
      <c r="G2353" s="7"/>
      <c r="M2353" s="7">
        <f t="shared" si="5"/>
        <v>0</v>
      </c>
    </row>
    <row r="2354">
      <c r="G2354" s="7"/>
      <c r="M2354" s="7">
        <f t="shared" si="5"/>
        <v>0</v>
      </c>
    </row>
    <row r="2355">
      <c r="G2355" s="7"/>
      <c r="M2355" s="7">
        <f t="shared" si="5"/>
        <v>0</v>
      </c>
    </row>
    <row r="2356">
      <c r="G2356" s="7"/>
      <c r="M2356" s="7">
        <f t="shared" si="5"/>
        <v>0</v>
      </c>
    </row>
    <row r="2357">
      <c r="G2357" s="7"/>
      <c r="M2357" s="7">
        <f t="shared" si="5"/>
        <v>0</v>
      </c>
    </row>
    <row r="2358">
      <c r="G2358" s="7"/>
      <c r="M2358" s="7">
        <f t="shared" si="5"/>
        <v>0</v>
      </c>
    </row>
    <row r="2359">
      <c r="G2359" s="7"/>
      <c r="M2359" s="7">
        <f t="shared" si="5"/>
        <v>0</v>
      </c>
    </row>
    <row r="2360">
      <c r="G2360" s="7"/>
      <c r="M2360" s="7">
        <f t="shared" si="5"/>
        <v>0</v>
      </c>
    </row>
    <row r="2361">
      <c r="G2361" s="7"/>
      <c r="M2361" s="7">
        <f t="shared" si="5"/>
        <v>0</v>
      </c>
    </row>
    <row r="2362">
      <c r="G2362" s="7"/>
      <c r="M2362" s="7">
        <f t="shared" si="5"/>
        <v>0</v>
      </c>
    </row>
    <row r="2363">
      <c r="G2363" s="7"/>
      <c r="M2363" s="7">
        <f t="shared" si="5"/>
        <v>0</v>
      </c>
    </row>
    <row r="2364">
      <c r="G2364" s="7"/>
      <c r="M2364" s="7">
        <f t="shared" si="5"/>
        <v>0</v>
      </c>
    </row>
    <row r="2365">
      <c r="G2365" s="7"/>
      <c r="M2365" s="7">
        <f t="shared" si="5"/>
        <v>0</v>
      </c>
    </row>
    <row r="2366">
      <c r="G2366" s="7"/>
      <c r="M2366" s="7">
        <f t="shared" si="5"/>
        <v>0</v>
      </c>
    </row>
    <row r="2367">
      <c r="G2367" s="7"/>
      <c r="M2367" s="7">
        <f t="shared" si="5"/>
        <v>0</v>
      </c>
    </row>
    <row r="2368">
      <c r="G2368" s="7"/>
      <c r="M2368" s="7">
        <f t="shared" si="5"/>
        <v>0</v>
      </c>
    </row>
    <row r="2369">
      <c r="G2369" s="7"/>
      <c r="M2369" s="7">
        <f t="shared" si="5"/>
        <v>0</v>
      </c>
    </row>
    <row r="2370">
      <c r="G2370" s="7"/>
      <c r="M2370" s="7">
        <f t="shared" si="5"/>
        <v>0</v>
      </c>
    </row>
    <row r="2371">
      <c r="G2371" s="7"/>
      <c r="M2371" s="7">
        <f t="shared" si="5"/>
        <v>0</v>
      </c>
    </row>
    <row r="2372">
      <c r="G2372" s="7"/>
      <c r="M2372" s="7">
        <f t="shared" si="5"/>
        <v>0</v>
      </c>
    </row>
    <row r="2373">
      <c r="G2373" s="7"/>
      <c r="M2373" s="7">
        <f t="shared" si="5"/>
        <v>0</v>
      </c>
    </row>
    <row r="2374">
      <c r="G2374" s="7"/>
      <c r="M2374" s="7">
        <f t="shared" si="5"/>
        <v>0</v>
      </c>
    </row>
    <row r="2375">
      <c r="G2375" s="7"/>
      <c r="M2375" s="7">
        <f t="shared" si="5"/>
        <v>0</v>
      </c>
    </row>
    <row r="2376">
      <c r="G2376" s="7"/>
      <c r="M2376" s="7">
        <f t="shared" si="5"/>
        <v>0</v>
      </c>
    </row>
    <row r="2377">
      <c r="G2377" s="7"/>
      <c r="M2377" s="7">
        <f t="shared" si="5"/>
        <v>0</v>
      </c>
    </row>
    <row r="2378">
      <c r="G2378" s="7"/>
      <c r="M2378" s="7">
        <f t="shared" si="5"/>
        <v>0</v>
      </c>
    </row>
    <row r="2379">
      <c r="G2379" s="7"/>
      <c r="M2379" s="7">
        <f t="shared" si="5"/>
        <v>0</v>
      </c>
    </row>
    <row r="2380">
      <c r="G2380" s="7"/>
      <c r="M2380" s="7">
        <f t="shared" si="5"/>
        <v>0</v>
      </c>
    </row>
    <row r="2381">
      <c r="G2381" s="7"/>
      <c r="M2381" s="7">
        <f t="shared" si="5"/>
        <v>0</v>
      </c>
    </row>
    <row r="2382">
      <c r="G2382" s="7"/>
      <c r="M2382" s="7">
        <f t="shared" si="5"/>
        <v>0</v>
      </c>
    </row>
    <row r="2383">
      <c r="G2383" s="7"/>
      <c r="M2383" s="7">
        <f t="shared" si="5"/>
        <v>0</v>
      </c>
    </row>
    <row r="2384">
      <c r="G2384" s="7"/>
      <c r="M2384" s="7">
        <f t="shared" si="5"/>
        <v>0</v>
      </c>
    </row>
    <row r="2385">
      <c r="G2385" s="7"/>
      <c r="M2385" s="7">
        <f t="shared" si="5"/>
        <v>0</v>
      </c>
    </row>
    <row r="2386">
      <c r="G2386" s="7"/>
      <c r="M2386" s="7">
        <f t="shared" si="5"/>
        <v>0</v>
      </c>
    </row>
    <row r="2387">
      <c r="G2387" s="7"/>
      <c r="M2387" s="7">
        <f t="shared" si="5"/>
        <v>0</v>
      </c>
    </row>
    <row r="2388">
      <c r="G2388" s="7"/>
      <c r="M2388" s="7">
        <f t="shared" si="5"/>
        <v>0</v>
      </c>
    </row>
    <row r="2389">
      <c r="G2389" s="7"/>
      <c r="M2389" s="7">
        <f t="shared" si="5"/>
        <v>0</v>
      </c>
    </row>
    <row r="2390">
      <c r="G2390" s="7"/>
      <c r="M2390" s="7">
        <f t="shared" si="5"/>
        <v>0</v>
      </c>
    </row>
    <row r="2391">
      <c r="G2391" s="7"/>
      <c r="M2391" s="7">
        <f t="shared" si="5"/>
        <v>0</v>
      </c>
    </row>
    <row r="2392">
      <c r="G2392" s="7"/>
      <c r="M2392" s="7">
        <f t="shared" si="5"/>
        <v>0</v>
      </c>
    </row>
    <row r="2393">
      <c r="G2393" s="7"/>
      <c r="M2393" s="7">
        <f t="shared" si="5"/>
        <v>0</v>
      </c>
    </row>
    <row r="2394">
      <c r="G2394" s="7"/>
      <c r="M2394" s="7">
        <f t="shared" si="5"/>
        <v>0</v>
      </c>
    </row>
    <row r="2395">
      <c r="G2395" s="7"/>
      <c r="M2395" s="7">
        <f t="shared" si="5"/>
        <v>0</v>
      </c>
    </row>
    <row r="2396">
      <c r="G2396" s="7"/>
      <c r="M2396" s="7">
        <f t="shared" si="5"/>
        <v>0</v>
      </c>
    </row>
    <row r="2397">
      <c r="G2397" s="7"/>
      <c r="M2397" s="7">
        <f t="shared" si="5"/>
        <v>0</v>
      </c>
    </row>
    <row r="2398">
      <c r="G2398" s="7"/>
      <c r="M2398" s="7">
        <f t="shared" si="5"/>
        <v>0</v>
      </c>
    </row>
    <row r="2399">
      <c r="G2399" s="7"/>
      <c r="M2399" s="7">
        <f t="shared" si="5"/>
        <v>0</v>
      </c>
    </row>
    <row r="2400">
      <c r="G2400" s="7"/>
      <c r="M2400" s="7">
        <f t="shared" si="5"/>
        <v>0</v>
      </c>
    </row>
    <row r="2401">
      <c r="G2401" s="7"/>
      <c r="M2401" s="7">
        <f t="shared" si="5"/>
        <v>0</v>
      </c>
    </row>
    <row r="2402">
      <c r="G2402" s="7"/>
      <c r="M2402" s="7">
        <f t="shared" si="5"/>
        <v>0</v>
      </c>
    </row>
    <row r="2403">
      <c r="G2403" s="7"/>
      <c r="M2403" s="7">
        <f t="shared" si="5"/>
        <v>0</v>
      </c>
    </row>
    <row r="2404">
      <c r="G2404" s="7"/>
      <c r="M2404" s="7">
        <f t="shared" si="5"/>
        <v>0</v>
      </c>
    </row>
    <row r="2405">
      <c r="G2405" s="7"/>
      <c r="M2405" s="7">
        <f t="shared" si="5"/>
        <v>0</v>
      </c>
    </row>
    <row r="2406">
      <c r="G2406" s="7"/>
      <c r="M2406" s="7">
        <f t="shared" si="5"/>
        <v>0</v>
      </c>
    </row>
    <row r="2407">
      <c r="G2407" s="7"/>
      <c r="M2407" s="7">
        <f t="shared" si="5"/>
        <v>0</v>
      </c>
    </row>
    <row r="2408">
      <c r="G2408" s="7"/>
      <c r="M2408" s="7">
        <f t="shared" si="5"/>
        <v>0</v>
      </c>
    </row>
    <row r="2409">
      <c r="G2409" s="7"/>
      <c r="M2409" s="7">
        <f t="shared" si="5"/>
        <v>0</v>
      </c>
    </row>
    <row r="2410">
      <c r="G2410" s="7"/>
      <c r="M2410" s="7">
        <f t="shared" si="5"/>
        <v>0</v>
      </c>
    </row>
    <row r="2411">
      <c r="G2411" s="7"/>
      <c r="M2411" s="7">
        <f t="shared" si="5"/>
        <v>0</v>
      </c>
    </row>
    <row r="2412">
      <c r="G2412" s="7"/>
      <c r="M2412" s="7">
        <f t="shared" si="5"/>
        <v>0</v>
      </c>
    </row>
    <row r="2413">
      <c r="G2413" s="7"/>
      <c r="M2413" s="7">
        <f t="shared" si="5"/>
        <v>0</v>
      </c>
    </row>
    <row r="2414">
      <c r="G2414" s="7"/>
      <c r="M2414" s="7">
        <f t="shared" si="5"/>
        <v>0</v>
      </c>
    </row>
    <row r="2415">
      <c r="G2415" s="7"/>
      <c r="M2415" s="7">
        <f t="shared" si="5"/>
        <v>0</v>
      </c>
    </row>
    <row r="2416">
      <c r="G2416" s="7"/>
      <c r="M2416" s="7">
        <f t="shared" si="5"/>
        <v>0</v>
      </c>
    </row>
    <row r="2417">
      <c r="G2417" s="7"/>
      <c r="M2417" s="7">
        <f t="shared" si="5"/>
        <v>0</v>
      </c>
    </row>
    <row r="2418">
      <c r="G2418" s="7"/>
      <c r="M2418" s="7">
        <f t="shared" si="5"/>
        <v>0</v>
      </c>
    </row>
    <row r="2419">
      <c r="G2419" s="7"/>
      <c r="M2419" s="7">
        <f t="shared" si="5"/>
        <v>0</v>
      </c>
    </row>
    <row r="2420">
      <c r="G2420" s="7"/>
      <c r="M2420" s="7">
        <f t="shared" si="5"/>
        <v>0</v>
      </c>
    </row>
    <row r="2421">
      <c r="G2421" s="7"/>
      <c r="M2421" s="7">
        <f t="shared" si="5"/>
        <v>0</v>
      </c>
    </row>
    <row r="2422">
      <c r="G2422" s="7"/>
      <c r="M2422" s="7">
        <f t="shared" si="5"/>
        <v>0</v>
      </c>
    </row>
    <row r="2423">
      <c r="G2423" s="7"/>
      <c r="M2423" s="7">
        <f t="shared" si="5"/>
        <v>0</v>
      </c>
    </row>
    <row r="2424">
      <c r="G2424" s="7"/>
      <c r="M2424" s="7">
        <f t="shared" si="5"/>
        <v>0</v>
      </c>
    </row>
    <row r="2425">
      <c r="G2425" s="7"/>
      <c r="M2425" s="7">
        <f t="shared" si="5"/>
        <v>0</v>
      </c>
    </row>
    <row r="2426">
      <c r="G2426" s="7"/>
      <c r="M2426" s="7">
        <f t="shared" si="5"/>
        <v>0</v>
      </c>
    </row>
    <row r="2427">
      <c r="G2427" s="7"/>
      <c r="M2427" s="7">
        <f t="shared" si="5"/>
        <v>0</v>
      </c>
    </row>
    <row r="2428">
      <c r="G2428" s="7"/>
      <c r="M2428" s="7">
        <f t="shared" si="5"/>
        <v>0</v>
      </c>
    </row>
    <row r="2429">
      <c r="G2429" s="7"/>
      <c r="M2429" s="7">
        <f t="shared" si="5"/>
        <v>0</v>
      </c>
    </row>
    <row r="2430">
      <c r="G2430" s="7"/>
      <c r="M2430" s="7">
        <f t="shared" si="5"/>
        <v>0</v>
      </c>
    </row>
    <row r="2431">
      <c r="G2431" s="7"/>
      <c r="M2431" s="7">
        <f t="shared" si="5"/>
        <v>0</v>
      </c>
    </row>
    <row r="2432">
      <c r="G2432" s="7"/>
      <c r="M2432" s="7">
        <f t="shared" si="5"/>
        <v>0</v>
      </c>
    </row>
    <row r="2433">
      <c r="G2433" s="7"/>
      <c r="M2433" s="7">
        <f t="shared" si="5"/>
        <v>0</v>
      </c>
    </row>
    <row r="2434">
      <c r="G2434" s="7"/>
      <c r="M2434" s="7">
        <f t="shared" si="5"/>
        <v>0</v>
      </c>
    </row>
    <row r="2435">
      <c r="G2435" s="7"/>
      <c r="M2435" s="7">
        <f t="shared" si="5"/>
        <v>0</v>
      </c>
    </row>
    <row r="2436">
      <c r="G2436" s="7"/>
      <c r="M2436" s="7">
        <f t="shared" si="5"/>
        <v>0</v>
      </c>
    </row>
    <row r="2437">
      <c r="G2437" s="7"/>
      <c r="M2437" s="7">
        <f t="shared" si="5"/>
        <v>0</v>
      </c>
    </row>
    <row r="2438">
      <c r="G2438" s="7"/>
      <c r="M2438" s="7">
        <f t="shared" si="5"/>
        <v>0</v>
      </c>
    </row>
    <row r="2439">
      <c r="G2439" s="7"/>
      <c r="M2439" s="7">
        <f t="shared" si="5"/>
        <v>0</v>
      </c>
    </row>
    <row r="2440">
      <c r="G2440" s="7"/>
      <c r="M2440" s="7">
        <f t="shared" si="5"/>
        <v>0</v>
      </c>
    </row>
    <row r="2441">
      <c r="G2441" s="7"/>
      <c r="M2441" s="7">
        <f t="shared" si="5"/>
        <v>0</v>
      </c>
    </row>
    <row r="2442">
      <c r="G2442" s="7"/>
      <c r="M2442" s="7">
        <f t="shared" si="5"/>
        <v>0</v>
      </c>
    </row>
    <row r="2443">
      <c r="G2443" s="7"/>
      <c r="M2443" s="7">
        <f t="shared" si="5"/>
        <v>0</v>
      </c>
    </row>
    <row r="2444">
      <c r="G2444" s="7"/>
      <c r="M2444" s="7">
        <f t="shared" si="5"/>
        <v>0</v>
      </c>
    </row>
    <row r="2445">
      <c r="G2445" s="7"/>
      <c r="M2445" s="7">
        <f t="shared" si="5"/>
        <v>0</v>
      </c>
    </row>
    <row r="2446">
      <c r="G2446" s="7"/>
      <c r="M2446" s="7">
        <f t="shared" si="5"/>
        <v>0</v>
      </c>
    </row>
    <row r="2447">
      <c r="G2447" s="7"/>
      <c r="M2447" s="7">
        <f t="shared" si="5"/>
        <v>0</v>
      </c>
    </row>
    <row r="2448">
      <c r="G2448" s="7"/>
      <c r="M2448" s="7">
        <f t="shared" si="5"/>
        <v>0</v>
      </c>
    </row>
    <row r="2449">
      <c r="G2449" s="7"/>
      <c r="M2449" s="7">
        <f t="shared" si="5"/>
        <v>0</v>
      </c>
    </row>
    <row r="2450">
      <c r="G2450" s="7"/>
      <c r="M2450" s="7">
        <f t="shared" si="5"/>
        <v>0</v>
      </c>
    </row>
    <row r="2451">
      <c r="G2451" s="7"/>
      <c r="M2451" s="7">
        <f t="shared" si="5"/>
        <v>0</v>
      </c>
    </row>
    <row r="2452">
      <c r="G2452" s="7"/>
      <c r="M2452" s="7">
        <f t="shared" si="5"/>
        <v>0</v>
      </c>
    </row>
    <row r="2453">
      <c r="G2453" s="7"/>
      <c r="M2453" s="7">
        <f t="shared" si="5"/>
        <v>0</v>
      </c>
    </row>
    <row r="2454">
      <c r="G2454" s="7"/>
      <c r="M2454" s="7">
        <f t="shared" si="5"/>
        <v>0</v>
      </c>
    </row>
    <row r="2455">
      <c r="G2455" s="7"/>
      <c r="M2455" s="7">
        <f t="shared" si="5"/>
        <v>0</v>
      </c>
    </row>
    <row r="2456">
      <c r="G2456" s="7"/>
      <c r="M2456" s="7">
        <f t="shared" si="5"/>
        <v>0</v>
      </c>
    </row>
    <row r="2457">
      <c r="G2457" s="7"/>
      <c r="M2457" s="7">
        <f t="shared" si="5"/>
        <v>0</v>
      </c>
    </row>
    <row r="2458">
      <c r="G2458" s="7"/>
      <c r="M2458" s="7">
        <f t="shared" si="5"/>
        <v>0</v>
      </c>
    </row>
    <row r="2459">
      <c r="G2459" s="7"/>
      <c r="M2459" s="7">
        <f t="shared" si="5"/>
        <v>0</v>
      </c>
    </row>
    <row r="2460">
      <c r="G2460" s="7"/>
      <c r="M2460" s="7">
        <f t="shared" si="5"/>
        <v>0</v>
      </c>
    </row>
    <row r="2461">
      <c r="G2461" s="7"/>
      <c r="M2461" s="7">
        <f t="shared" si="5"/>
        <v>0</v>
      </c>
    </row>
    <row r="2462">
      <c r="G2462" s="7"/>
      <c r="M2462" s="7">
        <f t="shared" si="5"/>
        <v>0</v>
      </c>
    </row>
    <row r="2463">
      <c r="G2463" s="7"/>
      <c r="M2463" s="7">
        <f t="shared" si="5"/>
        <v>0</v>
      </c>
    </row>
    <row r="2464">
      <c r="G2464" s="7"/>
      <c r="M2464" s="7">
        <f t="shared" si="5"/>
        <v>0</v>
      </c>
    </row>
    <row r="2465">
      <c r="G2465" s="7"/>
      <c r="M2465" s="7">
        <f t="shared" si="5"/>
        <v>0</v>
      </c>
    </row>
    <row r="2466">
      <c r="G2466" s="7"/>
      <c r="M2466" s="7">
        <f t="shared" si="5"/>
        <v>0</v>
      </c>
    </row>
    <row r="2467">
      <c r="G2467" s="7"/>
      <c r="M2467" s="7">
        <f t="shared" si="5"/>
        <v>0</v>
      </c>
    </row>
    <row r="2468">
      <c r="G2468" s="7"/>
      <c r="M2468" s="7">
        <f t="shared" si="5"/>
        <v>0</v>
      </c>
    </row>
    <row r="2469">
      <c r="G2469" s="7"/>
      <c r="M2469" s="7">
        <f t="shared" si="5"/>
        <v>0</v>
      </c>
    </row>
    <row r="2470">
      <c r="G2470" s="7"/>
      <c r="M2470" s="7">
        <f t="shared" si="5"/>
        <v>0</v>
      </c>
    </row>
    <row r="2471">
      <c r="G2471" s="7"/>
      <c r="M2471" s="7">
        <f t="shared" si="5"/>
        <v>0</v>
      </c>
    </row>
    <row r="2472">
      <c r="G2472" s="7"/>
      <c r="M2472" s="7">
        <f t="shared" si="5"/>
        <v>0</v>
      </c>
    </row>
    <row r="2473">
      <c r="G2473" s="7"/>
      <c r="M2473" s="7">
        <f t="shared" si="5"/>
        <v>0</v>
      </c>
    </row>
    <row r="2474">
      <c r="G2474" s="7"/>
      <c r="M2474" s="7">
        <f t="shared" si="5"/>
        <v>0</v>
      </c>
    </row>
    <row r="2475">
      <c r="G2475" s="7"/>
      <c r="M2475" s="7">
        <f t="shared" si="5"/>
        <v>0</v>
      </c>
    </row>
    <row r="2476">
      <c r="G2476" s="7"/>
      <c r="M2476" s="7">
        <f t="shared" si="5"/>
        <v>0</v>
      </c>
    </row>
    <row r="2477">
      <c r="G2477" s="7"/>
      <c r="M2477" s="7">
        <f t="shared" si="5"/>
        <v>0</v>
      </c>
    </row>
    <row r="2478">
      <c r="G2478" s="7"/>
      <c r="M2478" s="7">
        <f t="shared" si="5"/>
        <v>0</v>
      </c>
    </row>
    <row r="2479">
      <c r="G2479" s="7"/>
      <c r="M2479" s="7">
        <f t="shared" si="5"/>
        <v>0</v>
      </c>
    </row>
    <row r="2480">
      <c r="G2480" s="7"/>
      <c r="M2480" s="7">
        <f t="shared" si="5"/>
        <v>0</v>
      </c>
    </row>
    <row r="2481">
      <c r="G2481" s="7"/>
      <c r="M2481" s="7">
        <f t="shared" si="5"/>
        <v>0</v>
      </c>
    </row>
    <row r="2482">
      <c r="G2482" s="7"/>
      <c r="M2482" s="7">
        <f t="shared" si="5"/>
        <v>0</v>
      </c>
    </row>
    <row r="2483">
      <c r="G2483" s="7"/>
      <c r="M2483" s="7">
        <f t="shared" si="5"/>
        <v>0</v>
      </c>
    </row>
    <row r="2484">
      <c r="G2484" s="7"/>
      <c r="M2484" s="7">
        <f t="shared" si="5"/>
        <v>0</v>
      </c>
    </row>
    <row r="2485">
      <c r="G2485" s="7"/>
      <c r="M2485" s="7">
        <f t="shared" si="5"/>
        <v>0</v>
      </c>
    </row>
    <row r="2486">
      <c r="G2486" s="7"/>
      <c r="M2486" s="7">
        <f t="shared" si="5"/>
        <v>0</v>
      </c>
    </row>
    <row r="2487">
      <c r="G2487" s="7"/>
      <c r="M2487" s="7">
        <f t="shared" si="5"/>
        <v>0</v>
      </c>
    </row>
    <row r="2488">
      <c r="G2488" s="7"/>
      <c r="M2488" s="7">
        <f t="shared" si="5"/>
        <v>0</v>
      </c>
    </row>
    <row r="2489">
      <c r="G2489" s="7"/>
      <c r="M2489" s="7">
        <f t="shared" si="5"/>
        <v>0</v>
      </c>
    </row>
    <row r="2490">
      <c r="G2490" s="7"/>
      <c r="M2490" s="7">
        <f t="shared" si="5"/>
        <v>0</v>
      </c>
    </row>
    <row r="2491">
      <c r="G2491" s="7"/>
      <c r="M2491" s="7">
        <f t="shared" si="5"/>
        <v>0</v>
      </c>
    </row>
    <row r="2492">
      <c r="G2492" s="7"/>
      <c r="M2492" s="7">
        <f t="shared" si="5"/>
        <v>0</v>
      </c>
    </row>
    <row r="2493">
      <c r="G2493" s="7"/>
      <c r="M2493" s="7">
        <f t="shared" si="5"/>
        <v>0</v>
      </c>
    </row>
    <row r="2494">
      <c r="G2494" s="7"/>
      <c r="M2494" s="7">
        <f t="shared" si="5"/>
        <v>0</v>
      </c>
    </row>
    <row r="2495">
      <c r="G2495" s="7"/>
      <c r="M2495" s="7">
        <f t="shared" si="5"/>
        <v>0</v>
      </c>
    </row>
    <row r="2496">
      <c r="G2496" s="7"/>
      <c r="M2496" s="7">
        <f t="shared" si="5"/>
        <v>0</v>
      </c>
    </row>
    <row r="2497">
      <c r="G2497" s="7"/>
      <c r="M2497" s="7">
        <f t="shared" si="5"/>
        <v>0</v>
      </c>
    </row>
    <row r="2498">
      <c r="G2498" s="7"/>
      <c r="M2498" s="7">
        <f t="shared" si="5"/>
        <v>0</v>
      </c>
    </row>
    <row r="2499">
      <c r="G2499" s="7"/>
      <c r="M2499" s="7">
        <f t="shared" si="5"/>
        <v>0</v>
      </c>
    </row>
    <row r="2500">
      <c r="G2500" s="7"/>
      <c r="M2500" s="7">
        <f t="shared" si="5"/>
        <v>0</v>
      </c>
    </row>
    <row r="2501">
      <c r="G2501" s="7"/>
      <c r="M2501" s="7">
        <f t="shared" si="5"/>
        <v>0</v>
      </c>
    </row>
    <row r="2502">
      <c r="G2502" s="7"/>
      <c r="M2502" s="7">
        <f t="shared" si="5"/>
        <v>0</v>
      </c>
    </row>
    <row r="2503">
      <c r="G2503" s="7"/>
      <c r="M2503" s="7">
        <f t="shared" si="5"/>
        <v>0</v>
      </c>
    </row>
    <row r="2504">
      <c r="G2504" s="7"/>
      <c r="M2504" s="7">
        <f t="shared" si="5"/>
        <v>0</v>
      </c>
    </row>
    <row r="2505">
      <c r="G2505" s="7"/>
      <c r="M2505" s="7">
        <f t="shared" si="5"/>
        <v>0</v>
      </c>
    </row>
    <row r="2506">
      <c r="G2506" s="7"/>
      <c r="M2506" s="7">
        <f t="shared" si="5"/>
        <v>0</v>
      </c>
    </row>
    <row r="2507">
      <c r="G2507" s="7"/>
      <c r="M2507" s="7">
        <f t="shared" si="5"/>
        <v>0</v>
      </c>
    </row>
    <row r="2508">
      <c r="G2508" s="7"/>
      <c r="M2508" s="7">
        <f t="shared" si="5"/>
        <v>0</v>
      </c>
    </row>
    <row r="2509">
      <c r="G2509" s="7"/>
      <c r="M2509" s="7">
        <f t="shared" si="5"/>
        <v>0</v>
      </c>
    </row>
    <row r="2510">
      <c r="G2510" s="7"/>
      <c r="M2510" s="7">
        <f t="shared" si="5"/>
        <v>0</v>
      </c>
    </row>
    <row r="2511">
      <c r="G2511" s="7"/>
      <c r="M2511" s="7">
        <f t="shared" si="5"/>
        <v>0</v>
      </c>
    </row>
    <row r="2512">
      <c r="G2512" s="7"/>
      <c r="M2512" s="7">
        <f t="shared" si="5"/>
        <v>0</v>
      </c>
    </row>
    <row r="2513">
      <c r="G2513" s="7"/>
      <c r="M2513" s="7">
        <f t="shared" si="5"/>
        <v>0</v>
      </c>
    </row>
    <row r="2514">
      <c r="G2514" s="7"/>
      <c r="M2514" s="7">
        <f t="shared" si="5"/>
        <v>0</v>
      </c>
    </row>
    <row r="2515">
      <c r="G2515" s="7"/>
      <c r="M2515" s="7">
        <f t="shared" si="5"/>
        <v>0</v>
      </c>
    </row>
    <row r="2516">
      <c r="G2516" s="7"/>
      <c r="M2516" s="7">
        <f t="shared" si="5"/>
        <v>0</v>
      </c>
    </row>
    <row r="2517">
      <c r="G2517" s="7"/>
      <c r="M2517" s="7">
        <f t="shared" si="5"/>
        <v>0</v>
      </c>
    </row>
    <row r="2518">
      <c r="G2518" s="7"/>
      <c r="M2518" s="7">
        <f t="shared" si="5"/>
        <v>0</v>
      </c>
    </row>
    <row r="2519">
      <c r="G2519" s="7"/>
      <c r="M2519" s="7">
        <f t="shared" si="5"/>
        <v>0</v>
      </c>
    </row>
    <row r="2520">
      <c r="G2520" s="7"/>
      <c r="M2520" s="7">
        <f t="shared" si="5"/>
        <v>0</v>
      </c>
    </row>
    <row r="2521">
      <c r="G2521" s="7"/>
      <c r="M2521" s="7">
        <f t="shared" si="5"/>
        <v>0</v>
      </c>
    </row>
    <row r="2522">
      <c r="G2522" s="7"/>
      <c r="M2522" s="7">
        <f t="shared" si="5"/>
        <v>0</v>
      </c>
    </row>
    <row r="2523">
      <c r="G2523" s="7"/>
      <c r="M2523" s="7">
        <f t="shared" si="5"/>
        <v>0</v>
      </c>
    </row>
    <row r="2524">
      <c r="G2524" s="7"/>
      <c r="M2524" s="7">
        <f t="shared" si="5"/>
        <v>0</v>
      </c>
    </row>
    <row r="2525">
      <c r="G2525" s="7"/>
      <c r="M2525" s="7">
        <f t="shared" si="5"/>
        <v>0</v>
      </c>
    </row>
    <row r="2526">
      <c r="G2526" s="7"/>
      <c r="M2526" s="7">
        <f t="shared" si="5"/>
        <v>0</v>
      </c>
    </row>
    <row r="2527">
      <c r="G2527" s="7"/>
      <c r="M2527" s="7">
        <f t="shared" si="5"/>
        <v>0</v>
      </c>
    </row>
    <row r="2528">
      <c r="G2528" s="7"/>
      <c r="M2528" s="7">
        <f t="shared" si="5"/>
        <v>0</v>
      </c>
    </row>
    <row r="2529">
      <c r="G2529" s="7"/>
      <c r="M2529" s="7">
        <f t="shared" si="5"/>
        <v>0</v>
      </c>
    </row>
    <row r="2530">
      <c r="G2530" s="7"/>
      <c r="M2530" s="7">
        <f t="shared" si="5"/>
        <v>0</v>
      </c>
    </row>
    <row r="2531">
      <c r="G2531" s="7"/>
      <c r="M2531" s="7">
        <f t="shared" si="5"/>
        <v>0</v>
      </c>
    </row>
    <row r="2532">
      <c r="G2532" s="7"/>
      <c r="M2532" s="7">
        <f t="shared" si="5"/>
        <v>0</v>
      </c>
    </row>
    <row r="2533">
      <c r="G2533" s="7"/>
      <c r="M2533" s="7">
        <f t="shared" si="5"/>
        <v>0</v>
      </c>
    </row>
    <row r="2534">
      <c r="G2534" s="7"/>
      <c r="M2534" s="7">
        <f t="shared" si="5"/>
        <v>0</v>
      </c>
    </row>
    <row r="2535">
      <c r="G2535" s="7"/>
      <c r="M2535" s="7">
        <f t="shared" si="5"/>
        <v>0</v>
      </c>
    </row>
    <row r="2536">
      <c r="G2536" s="7"/>
      <c r="M2536" s="7">
        <f t="shared" si="5"/>
        <v>0</v>
      </c>
    </row>
    <row r="2537">
      <c r="G2537" s="7"/>
      <c r="M2537" s="7">
        <f t="shared" si="5"/>
        <v>0</v>
      </c>
    </row>
    <row r="2538">
      <c r="G2538" s="7"/>
      <c r="M2538" s="7">
        <f t="shared" si="5"/>
        <v>0</v>
      </c>
    </row>
    <row r="2539">
      <c r="G2539" s="7"/>
      <c r="M2539" s="7">
        <f t="shared" si="5"/>
        <v>0</v>
      </c>
    </row>
    <row r="2540">
      <c r="G2540" s="7"/>
      <c r="M2540" s="7">
        <f t="shared" si="5"/>
        <v>0</v>
      </c>
    </row>
    <row r="2541">
      <c r="G2541" s="7"/>
      <c r="M2541" s="7">
        <f t="shared" si="5"/>
        <v>0</v>
      </c>
    </row>
    <row r="2542">
      <c r="G2542" s="7"/>
      <c r="M2542" s="7">
        <f t="shared" si="5"/>
        <v>0</v>
      </c>
    </row>
    <row r="2543">
      <c r="G2543" s="7"/>
      <c r="M2543" s="7">
        <f t="shared" si="5"/>
        <v>0</v>
      </c>
    </row>
    <row r="2544">
      <c r="G2544" s="7"/>
      <c r="M2544" s="7">
        <f t="shared" si="5"/>
        <v>0</v>
      </c>
    </row>
    <row r="2545">
      <c r="G2545" s="7"/>
      <c r="M2545" s="7">
        <f t="shared" si="5"/>
        <v>0</v>
      </c>
    </row>
    <row r="2546">
      <c r="G2546" s="7"/>
      <c r="M2546" s="7">
        <f t="shared" si="5"/>
        <v>0</v>
      </c>
    </row>
    <row r="2547">
      <c r="G2547" s="7"/>
      <c r="M2547" s="7">
        <f t="shared" si="5"/>
        <v>0</v>
      </c>
    </row>
    <row r="2548">
      <c r="G2548" s="7"/>
      <c r="M2548" s="7">
        <f t="shared" si="5"/>
        <v>0</v>
      </c>
    </row>
    <row r="2549">
      <c r="G2549" s="7"/>
      <c r="M2549" s="7">
        <f t="shared" si="5"/>
        <v>0</v>
      </c>
    </row>
    <row r="2550">
      <c r="G2550" s="7"/>
      <c r="M2550" s="7">
        <f t="shared" si="5"/>
        <v>0</v>
      </c>
    </row>
    <row r="2551">
      <c r="G2551" s="7"/>
      <c r="M2551" s="7">
        <f t="shared" si="5"/>
        <v>0</v>
      </c>
    </row>
    <row r="2552">
      <c r="G2552" s="7"/>
      <c r="M2552" s="7">
        <f t="shared" si="5"/>
        <v>0</v>
      </c>
    </row>
    <row r="2553">
      <c r="G2553" s="7"/>
      <c r="M2553" s="7">
        <f t="shared" si="5"/>
        <v>0</v>
      </c>
    </row>
    <row r="2554">
      <c r="G2554" s="7"/>
      <c r="M2554" s="7">
        <f t="shared" si="5"/>
        <v>0</v>
      </c>
    </row>
    <row r="2555">
      <c r="G2555" s="7"/>
      <c r="M2555" s="7">
        <f t="shared" si="5"/>
        <v>0</v>
      </c>
    </row>
    <row r="2556">
      <c r="G2556" s="7"/>
      <c r="M2556" s="7">
        <f t="shared" si="5"/>
        <v>0</v>
      </c>
    </row>
    <row r="2557">
      <c r="G2557" s="7"/>
      <c r="M2557" s="7">
        <f t="shared" si="5"/>
        <v>0</v>
      </c>
    </row>
    <row r="2558">
      <c r="G2558" s="7"/>
      <c r="M2558" s="7">
        <f t="shared" si="5"/>
        <v>0</v>
      </c>
    </row>
    <row r="2559">
      <c r="G2559" s="7"/>
      <c r="M2559" s="7">
        <f t="shared" si="5"/>
        <v>0</v>
      </c>
    </row>
    <row r="2560">
      <c r="G2560" s="7"/>
      <c r="M2560" s="7">
        <f t="shared" si="5"/>
        <v>0</v>
      </c>
    </row>
    <row r="2561">
      <c r="G2561" s="7"/>
      <c r="M2561" s="7">
        <f t="shared" si="5"/>
        <v>0</v>
      </c>
    </row>
    <row r="2562">
      <c r="G2562" s="7"/>
      <c r="M2562" s="7">
        <f t="shared" si="5"/>
        <v>0</v>
      </c>
    </row>
    <row r="2563">
      <c r="G2563" s="7"/>
      <c r="M2563" s="7">
        <f t="shared" si="5"/>
        <v>0</v>
      </c>
    </row>
    <row r="2564">
      <c r="G2564" s="7"/>
      <c r="M2564" s="7">
        <f t="shared" si="5"/>
        <v>0</v>
      </c>
    </row>
    <row r="2565">
      <c r="G2565" s="7"/>
      <c r="M2565" s="7">
        <f t="shared" si="5"/>
        <v>0</v>
      </c>
    </row>
    <row r="2566">
      <c r="G2566" s="7"/>
      <c r="M2566" s="7">
        <f t="shared" si="5"/>
        <v>0</v>
      </c>
    </row>
    <row r="2567">
      <c r="G2567" s="7"/>
      <c r="M2567" s="7">
        <f t="shared" si="5"/>
        <v>0</v>
      </c>
    </row>
    <row r="2568">
      <c r="G2568" s="7"/>
      <c r="M2568" s="7">
        <f t="shared" si="5"/>
        <v>0</v>
      </c>
    </row>
    <row r="2569">
      <c r="G2569" s="7"/>
      <c r="M2569" s="7">
        <f t="shared" si="5"/>
        <v>0</v>
      </c>
    </row>
    <row r="2570">
      <c r="G2570" s="7"/>
      <c r="M2570" s="7">
        <f t="shared" si="5"/>
        <v>0</v>
      </c>
    </row>
    <row r="2571">
      <c r="G2571" s="7"/>
      <c r="M2571" s="7">
        <f t="shared" si="5"/>
        <v>0</v>
      </c>
    </row>
    <row r="2572">
      <c r="G2572" s="7"/>
      <c r="M2572" s="7">
        <f t="shared" si="5"/>
        <v>0</v>
      </c>
    </row>
    <row r="2573">
      <c r="G2573" s="7"/>
      <c r="M2573" s="7">
        <f t="shared" si="5"/>
        <v>0</v>
      </c>
    </row>
    <row r="2574">
      <c r="G2574" s="7"/>
      <c r="M2574" s="7">
        <f t="shared" si="5"/>
        <v>0</v>
      </c>
    </row>
    <row r="2575">
      <c r="G2575" s="7"/>
      <c r="M2575" s="7">
        <f t="shared" si="5"/>
        <v>0</v>
      </c>
    </row>
    <row r="2576">
      <c r="G2576" s="7"/>
      <c r="M2576" s="7">
        <f t="shared" si="5"/>
        <v>0</v>
      </c>
    </row>
    <row r="2577">
      <c r="G2577" s="7"/>
      <c r="M2577" s="7">
        <f t="shared" si="5"/>
        <v>0</v>
      </c>
    </row>
    <row r="2578">
      <c r="G2578" s="7"/>
      <c r="M2578" s="7">
        <f t="shared" si="5"/>
        <v>0</v>
      </c>
    </row>
    <row r="2579">
      <c r="G2579" s="7"/>
      <c r="M2579" s="7">
        <f t="shared" si="5"/>
        <v>0</v>
      </c>
    </row>
    <row r="2580">
      <c r="G2580" s="7"/>
      <c r="M2580" s="7">
        <f t="shared" si="5"/>
        <v>0</v>
      </c>
    </row>
    <row r="2581">
      <c r="G2581" s="7"/>
      <c r="M2581" s="7">
        <f t="shared" si="5"/>
        <v>0</v>
      </c>
    </row>
    <row r="2582">
      <c r="G2582" s="7"/>
      <c r="M2582" s="7">
        <f t="shared" si="5"/>
        <v>0</v>
      </c>
    </row>
    <row r="2583">
      <c r="G2583" s="7"/>
      <c r="M2583" s="7">
        <f t="shared" si="5"/>
        <v>0</v>
      </c>
    </row>
    <row r="2584">
      <c r="G2584" s="7"/>
      <c r="M2584" s="7">
        <f t="shared" si="5"/>
        <v>0</v>
      </c>
    </row>
    <row r="2585">
      <c r="G2585" s="7"/>
      <c r="M2585" s="7">
        <f t="shared" si="5"/>
        <v>0</v>
      </c>
    </row>
    <row r="2586">
      <c r="G2586" s="7"/>
      <c r="M2586" s="7">
        <f t="shared" si="5"/>
        <v>0</v>
      </c>
    </row>
    <row r="2587">
      <c r="G2587" s="7"/>
      <c r="M2587" s="7">
        <f t="shared" si="5"/>
        <v>0</v>
      </c>
    </row>
    <row r="2588">
      <c r="G2588" s="7"/>
      <c r="M2588" s="7">
        <f t="shared" si="5"/>
        <v>0</v>
      </c>
    </row>
    <row r="2589">
      <c r="G2589" s="7"/>
      <c r="M2589" s="7">
        <f t="shared" si="5"/>
        <v>0</v>
      </c>
    </row>
    <row r="2590">
      <c r="G2590" s="7"/>
      <c r="M2590" s="7">
        <f t="shared" si="5"/>
        <v>0</v>
      </c>
    </row>
    <row r="2591">
      <c r="G2591" s="7"/>
      <c r="M2591" s="7">
        <f t="shared" si="5"/>
        <v>0</v>
      </c>
    </row>
    <row r="2592">
      <c r="G2592" s="7"/>
      <c r="M2592" s="7">
        <f t="shared" si="5"/>
        <v>0</v>
      </c>
    </row>
    <row r="2593">
      <c r="G2593" s="7"/>
      <c r="M2593" s="7">
        <f t="shared" si="5"/>
        <v>0</v>
      </c>
    </row>
    <row r="2594">
      <c r="G2594" s="7"/>
      <c r="M2594" s="7">
        <f t="shared" si="5"/>
        <v>0</v>
      </c>
    </row>
    <row r="2595">
      <c r="G2595" s="7"/>
      <c r="M2595" s="7">
        <f t="shared" si="5"/>
        <v>0</v>
      </c>
    </row>
    <row r="2596">
      <c r="G2596" s="7"/>
      <c r="M2596" s="7">
        <f t="shared" si="5"/>
        <v>0</v>
      </c>
    </row>
    <row r="2597">
      <c r="G2597" s="7"/>
      <c r="M2597" s="7">
        <f t="shared" si="5"/>
        <v>0</v>
      </c>
    </row>
    <row r="2598">
      <c r="G2598" s="7"/>
      <c r="M2598" s="7">
        <f t="shared" si="5"/>
        <v>0</v>
      </c>
    </row>
    <row r="2599">
      <c r="G2599" s="7"/>
      <c r="M2599" s="7">
        <f t="shared" si="5"/>
        <v>0</v>
      </c>
    </row>
    <row r="2600">
      <c r="G2600" s="7"/>
      <c r="M2600" s="7">
        <f t="shared" si="5"/>
        <v>0</v>
      </c>
    </row>
    <row r="2601">
      <c r="G2601" s="7"/>
      <c r="M2601" s="7">
        <f t="shared" si="5"/>
        <v>0</v>
      </c>
    </row>
    <row r="2602">
      <c r="G2602" s="7"/>
      <c r="M2602" s="7">
        <f t="shared" si="5"/>
        <v>0</v>
      </c>
    </row>
    <row r="2603">
      <c r="G2603" s="7"/>
      <c r="M2603" s="7">
        <f t="shared" si="5"/>
        <v>0</v>
      </c>
    </row>
    <row r="2604">
      <c r="G2604" s="7"/>
      <c r="M2604" s="7">
        <f t="shared" si="5"/>
        <v>0</v>
      </c>
    </row>
    <row r="2605">
      <c r="G2605" s="7"/>
      <c r="M2605" s="7">
        <f t="shared" si="5"/>
        <v>0</v>
      </c>
    </row>
    <row r="2606">
      <c r="G2606" s="7"/>
      <c r="M2606" s="7">
        <f t="shared" si="5"/>
        <v>0</v>
      </c>
    </row>
    <row r="2607">
      <c r="G2607" s="7"/>
      <c r="M2607" s="7">
        <f t="shared" si="5"/>
        <v>0</v>
      </c>
    </row>
    <row r="2608">
      <c r="G2608" s="7"/>
      <c r="M2608" s="7">
        <f t="shared" si="5"/>
        <v>0</v>
      </c>
    </row>
    <row r="2609">
      <c r="G2609" s="7"/>
      <c r="M2609" s="7">
        <f t="shared" si="5"/>
        <v>0</v>
      </c>
    </row>
    <row r="2610">
      <c r="G2610" s="7"/>
      <c r="M2610" s="7">
        <f t="shared" si="5"/>
        <v>0</v>
      </c>
    </row>
    <row r="2611">
      <c r="G2611" s="7"/>
      <c r="M2611" s="7">
        <f t="shared" si="5"/>
        <v>0</v>
      </c>
    </row>
    <row r="2612">
      <c r="G2612" s="7"/>
      <c r="M2612" s="7">
        <f t="shared" si="5"/>
        <v>0</v>
      </c>
    </row>
    <row r="2613">
      <c r="G2613" s="7"/>
      <c r="M2613" s="7">
        <f t="shared" si="5"/>
        <v>0</v>
      </c>
    </row>
    <row r="2614">
      <c r="G2614" s="7"/>
      <c r="M2614" s="7">
        <f t="shared" si="5"/>
        <v>0</v>
      </c>
    </row>
    <row r="2615">
      <c r="G2615" s="7"/>
      <c r="M2615" s="7">
        <f t="shared" si="5"/>
        <v>0</v>
      </c>
    </row>
    <row r="2616">
      <c r="G2616" s="7"/>
      <c r="M2616" s="7">
        <f t="shared" si="5"/>
        <v>0</v>
      </c>
    </row>
    <row r="2617">
      <c r="G2617" s="7"/>
      <c r="M2617" s="7">
        <f t="shared" si="5"/>
        <v>0</v>
      </c>
    </row>
    <row r="2618">
      <c r="G2618" s="7"/>
      <c r="M2618" s="7">
        <f t="shared" si="5"/>
        <v>0</v>
      </c>
    </row>
    <row r="2619">
      <c r="G2619" s="7"/>
      <c r="M2619" s="7">
        <f t="shared" si="5"/>
        <v>0</v>
      </c>
    </row>
    <row r="2620">
      <c r="G2620" s="7"/>
      <c r="M2620" s="7">
        <f t="shared" si="5"/>
        <v>0</v>
      </c>
    </row>
    <row r="2621">
      <c r="G2621" s="7"/>
      <c r="M2621" s="7">
        <f t="shared" si="5"/>
        <v>0</v>
      </c>
    </row>
    <row r="2622">
      <c r="G2622" s="7"/>
      <c r="M2622" s="7">
        <f t="shared" si="5"/>
        <v>0</v>
      </c>
    </row>
    <row r="2623">
      <c r="G2623" s="7"/>
      <c r="M2623" s="7">
        <f t="shared" si="5"/>
        <v>0</v>
      </c>
    </row>
    <row r="2624">
      <c r="G2624" s="7"/>
      <c r="M2624" s="7">
        <f t="shared" si="5"/>
        <v>0</v>
      </c>
    </row>
    <row r="2625">
      <c r="G2625" s="7"/>
      <c r="M2625" s="7">
        <f t="shared" si="5"/>
        <v>0</v>
      </c>
    </row>
    <row r="2626">
      <c r="G2626" s="7"/>
      <c r="M2626" s="7">
        <f t="shared" si="5"/>
        <v>0</v>
      </c>
    </row>
    <row r="2627">
      <c r="G2627" s="7"/>
      <c r="M2627" s="7">
        <f t="shared" si="5"/>
        <v>0</v>
      </c>
    </row>
    <row r="2628">
      <c r="G2628" s="7"/>
      <c r="M2628" s="7">
        <f t="shared" si="5"/>
        <v>0</v>
      </c>
    </row>
    <row r="2629">
      <c r="G2629" s="7"/>
      <c r="M2629" s="7">
        <f t="shared" si="5"/>
        <v>0</v>
      </c>
    </row>
    <row r="2630">
      <c r="G2630" s="7"/>
      <c r="M2630" s="7">
        <f t="shared" si="5"/>
        <v>0</v>
      </c>
    </row>
    <row r="2631">
      <c r="G2631" s="7"/>
      <c r="M2631" s="7">
        <f t="shared" si="5"/>
        <v>0</v>
      </c>
    </row>
    <row r="2632">
      <c r="G2632" s="7"/>
      <c r="M2632" s="7">
        <f t="shared" si="5"/>
        <v>0</v>
      </c>
    </row>
    <row r="2633">
      <c r="G2633" s="7"/>
      <c r="M2633" s="7">
        <f t="shared" si="5"/>
        <v>0</v>
      </c>
    </row>
    <row r="2634">
      <c r="G2634" s="7"/>
      <c r="M2634" s="7">
        <f t="shared" si="5"/>
        <v>0</v>
      </c>
    </row>
    <row r="2635">
      <c r="G2635" s="7"/>
      <c r="M2635" s="7">
        <f t="shared" si="5"/>
        <v>0</v>
      </c>
    </row>
    <row r="2636">
      <c r="G2636" s="7"/>
      <c r="M2636" s="7">
        <f t="shared" si="5"/>
        <v>0</v>
      </c>
    </row>
    <row r="2637">
      <c r="G2637" s="7"/>
      <c r="M2637" s="7">
        <f t="shared" si="5"/>
        <v>0</v>
      </c>
    </row>
    <row r="2638">
      <c r="G2638" s="7"/>
      <c r="M2638" s="7">
        <f t="shared" si="5"/>
        <v>0</v>
      </c>
    </row>
    <row r="2639">
      <c r="G2639" s="7"/>
      <c r="M2639" s="7">
        <f t="shared" si="5"/>
        <v>0</v>
      </c>
    </row>
    <row r="2640">
      <c r="G2640" s="7"/>
      <c r="M2640" s="7">
        <f t="shared" si="5"/>
        <v>0</v>
      </c>
    </row>
    <row r="2641">
      <c r="G2641" s="7"/>
      <c r="M2641" s="7">
        <f t="shared" si="5"/>
        <v>0</v>
      </c>
    </row>
    <row r="2642">
      <c r="G2642" s="7"/>
      <c r="M2642" s="7">
        <f t="shared" si="5"/>
        <v>0</v>
      </c>
    </row>
    <row r="2643">
      <c r="G2643" s="7"/>
      <c r="M2643" s="7">
        <f t="shared" si="5"/>
        <v>0</v>
      </c>
    </row>
    <row r="2644">
      <c r="G2644" s="7"/>
      <c r="M2644" s="7">
        <f t="shared" si="5"/>
        <v>0</v>
      </c>
    </row>
    <row r="2645">
      <c r="G2645" s="7"/>
      <c r="M2645" s="7">
        <f t="shared" si="5"/>
        <v>0</v>
      </c>
    </row>
    <row r="2646">
      <c r="G2646" s="7"/>
      <c r="M2646" s="7">
        <f t="shared" si="5"/>
        <v>0</v>
      </c>
    </row>
    <row r="2647">
      <c r="G2647" s="7"/>
      <c r="M2647" s="7">
        <f t="shared" si="5"/>
        <v>0</v>
      </c>
    </row>
    <row r="2648">
      <c r="G2648" s="7"/>
      <c r="M2648" s="7">
        <f t="shared" si="5"/>
        <v>0</v>
      </c>
    </row>
    <row r="2649">
      <c r="G2649" s="7"/>
      <c r="M2649" s="7">
        <f t="shared" si="5"/>
        <v>0</v>
      </c>
    </row>
    <row r="2650">
      <c r="G2650" s="7"/>
      <c r="M2650" s="7">
        <f t="shared" si="5"/>
        <v>0</v>
      </c>
    </row>
    <row r="2651">
      <c r="G2651" s="7"/>
      <c r="M2651" s="7">
        <f t="shared" si="5"/>
        <v>0</v>
      </c>
    </row>
    <row r="2652">
      <c r="G2652" s="7"/>
      <c r="M2652" s="7">
        <f t="shared" si="5"/>
        <v>0</v>
      </c>
    </row>
    <row r="2653">
      <c r="G2653" s="7"/>
      <c r="M2653" s="7">
        <f t="shared" si="5"/>
        <v>0</v>
      </c>
    </row>
    <row r="2654">
      <c r="G2654" s="7"/>
      <c r="M2654" s="7">
        <f t="shared" si="5"/>
        <v>0</v>
      </c>
    </row>
    <row r="2655">
      <c r="G2655" s="7"/>
      <c r="M2655" s="7">
        <f t="shared" si="5"/>
        <v>0</v>
      </c>
    </row>
    <row r="2656">
      <c r="G2656" s="7"/>
      <c r="M2656" s="7">
        <f t="shared" si="5"/>
        <v>0</v>
      </c>
    </row>
    <row r="2657">
      <c r="G2657" s="7"/>
      <c r="M2657" s="7">
        <f t="shared" si="5"/>
        <v>0</v>
      </c>
    </row>
    <row r="2658">
      <c r="G2658" s="7"/>
      <c r="M2658" s="7">
        <f t="shared" si="5"/>
        <v>0</v>
      </c>
    </row>
    <row r="2659">
      <c r="G2659" s="7"/>
      <c r="M2659" s="7">
        <f t="shared" si="5"/>
        <v>0</v>
      </c>
    </row>
    <row r="2660">
      <c r="G2660" s="7"/>
      <c r="M2660" s="7">
        <f t="shared" si="5"/>
        <v>0</v>
      </c>
    </row>
    <row r="2661">
      <c r="G2661" s="7"/>
      <c r="M2661" s="7">
        <f t="shared" si="5"/>
        <v>0</v>
      </c>
    </row>
    <row r="2662">
      <c r="G2662" s="7"/>
      <c r="M2662" s="7">
        <f t="shared" si="5"/>
        <v>0</v>
      </c>
    </row>
    <row r="2663">
      <c r="G2663" s="7"/>
      <c r="M2663" s="7">
        <f t="shared" si="5"/>
        <v>0</v>
      </c>
    </row>
    <row r="2664">
      <c r="G2664" s="7"/>
      <c r="M2664" s="7">
        <f t="shared" si="5"/>
        <v>0</v>
      </c>
    </row>
    <row r="2665">
      <c r="G2665" s="7"/>
      <c r="M2665" s="7">
        <f t="shared" si="5"/>
        <v>0</v>
      </c>
    </row>
    <row r="2666">
      <c r="G2666" s="7"/>
      <c r="M2666" s="7">
        <f t="shared" si="5"/>
        <v>0</v>
      </c>
    </row>
    <row r="2667">
      <c r="G2667" s="7"/>
      <c r="M2667" s="7">
        <f t="shared" si="5"/>
        <v>0</v>
      </c>
    </row>
    <row r="2668">
      <c r="G2668" s="7"/>
      <c r="M2668" s="7">
        <f t="shared" si="5"/>
        <v>0</v>
      </c>
    </row>
    <row r="2669">
      <c r="G2669" s="7"/>
      <c r="M2669" s="7">
        <f t="shared" si="5"/>
        <v>0</v>
      </c>
    </row>
    <row r="2670">
      <c r="G2670" s="7"/>
      <c r="M2670" s="7">
        <f t="shared" si="5"/>
        <v>0</v>
      </c>
    </row>
    <row r="2671">
      <c r="G2671" s="7"/>
      <c r="M2671" s="7">
        <f t="shared" si="5"/>
        <v>0</v>
      </c>
    </row>
    <row r="2672">
      <c r="G2672" s="7"/>
      <c r="M2672" s="7">
        <f t="shared" si="5"/>
        <v>0</v>
      </c>
    </row>
    <row r="2673">
      <c r="G2673" s="7"/>
      <c r="M2673" s="7">
        <f t="shared" si="5"/>
        <v>0</v>
      </c>
    </row>
    <row r="2674">
      <c r="G2674" s="7"/>
      <c r="M2674" s="7">
        <f t="shared" si="5"/>
        <v>0</v>
      </c>
    </row>
    <row r="2675">
      <c r="G2675" s="7"/>
      <c r="M2675" s="7">
        <f t="shared" si="5"/>
        <v>0</v>
      </c>
    </row>
    <row r="2676">
      <c r="G2676" s="7"/>
      <c r="M2676" s="7">
        <f t="shared" si="5"/>
        <v>0</v>
      </c>
    </row>
    <row r="2677">
      <c r="G2677" s="7"/>
      <c r="M2677" s="7">
        <f t="shared" si="5"/>
        <v>0</v>
      </c>
    </row>
    <row r="2678">
      <c r="G2678" s="7"/>
      <c r="M2678" s="7">
        <f t="shared" si="5"/>
        <v>0</v>
      </c>
    </row>
    <row r="2679">
      <c r="G2679" s="7"/>
      <c r="M2679" s="7">
        <f t="shared" si="5"/>
        <v>0</v>
      </c>
    </row>
    <row r="2680">
      <c r="G2680" s="7"/>
      <c r="M2680" s="7">
        <f t="shared" si="5"/>
        <v>0</v>
      </c>
    </row>
    <row r="2681">
      <c r="G2681" s="7"/>
      <c r="M2681" s="7">
        <f t="shared" si="5"/>
        <v>0</v>
      </c>
    </row>
    <row r="2682">
      <c r="G2682" s="7"/>
      <c r="M2682" s="7">
        <f t="shared" si="5"/>
        <v>0</v>
      </c>
    </row>
    <row r="2683">
      <c r="G2683" s="7"/>
      <c r="M2683" s="7">
        <f t="shared" si="5"/>
        <v>0</v>
      </c>
    </row>
    <row r="2684">
      <c r="G2684" s="7"/>
      <c r="M2684" s="7">
        <f t="shared" si="5"/>
        <v>0</v>
      </c>
    </row>
    <row r="2685">
      <c r="G2685" s="7"/>
      <c r="M2685" s="7">
        <f t="shared" si="5"/>
        <v>0</v>
      </c>
    </row>
    <row r="2686">
      <c r="G2686" s="7"/>
      <c r="M2686" s="7">
        <f t="shared" si="5"/>
        <v>0</v>
      </c>
    </row>
    <row r="2687">
      <c r="G2687" s="7"/>
      <c r="M2687" s="7">
        <f t="shared" si="5"/>
        <v>0</v>
      </c>
    </row>
    <row r="2688">
      <c r="G2688" s="7"/>
      <c r="M2688" s="7">
        <f t="shared" si="5"/>
        <v>0</v>
      </c>
    </row>
    <row r="2689">
      <c r="G2689" s="7"/>
      <c r="M2689" s="7">
        <f t="shared" si="5"/>
        <v>0</v>
      </c>
    </row>
    <row r="2690">
      <c r="G2690" s="7"/>
      <c r="M2690" s="7">
        <f t="shared" si="5"/>
        <v>0</v>
      </c>
    </row>
    <row r="2691">
      <c r="G2691" s="7"/>
      <c r="M2691" s="7">
        <f t="shared" si="5"/>
        <v>0</v>
      </c>
    </row>
    <row r="2692">
      <c r="G2692" s="7"/>
      <c r="M2692" s="7">
        <f t="shared" si="5"/>
        <v>0</v>
      </c>
    </row>
    <row r="2693">
      <c r="G2693" s="7"/>
      <c r="M2693" s="7">
        <f t="shared" si="5"/>
        <v>0</v>
      </c>
    </row>
    <row r="2694">
      <c r="G2694" s="7"/>
      <c r="M2694" s="7">
        <f t="shared" si="5"/>
        <v>0</v>
      </c>
    </row>
    <row r="2695">
      <c r="G2695" s="7"/>
      <c r="M2695" s="7">
        <f t="shared" si="5"/>
        <v>0</v>
      </c>
    </row>
    <row r="2696">
      <c r="G2696" s="7"/>
      <c r="M2696" s="7">
        <f t="shared" si="5"/>
        <v>0</v>
      </c>
    </row>
    <row r="2697">
      <c r="G2697" s="7"/>
      <c r="M2697" s="7">
        <f t="shared" si="5"/>
        <v>0</v>
      </c>
    </row>
    <row r="2698">
      <c r="G2698" s="7"/>
      <c r="M2698" s="7">
        <f t="shared" si="5"/>
        <v>0</v>
      </c>
    </row>
    <row r="2699">
      <c r="G2699" s="7"/>
      <c r="M2699" s="7">
        <f t="shared" si="5"/>
        <v>0</v>
      </c>
    </row>
    <row r="2700">
      <c r="G2700" s="7"/>
      <c r="M2700" s="7">
        <f t="shared" si="5"/>
        <v>0</v>
      </c>
    </row>
    <row r="2701">
      <c r="G2701" s="7"/>
      <c r="M2701" s="7">
        <f t="shared" si="5"/>
        <v>0</v>
      </c>
    </row>
    <row r="2702">
      <c r="G2702" s="7"/>
      <c r="M2702" s="7">
        <f t="shared" si="5"/>
        <v>0</v>
      </c>
    </row>
    <row r="2703">
      <c r="G2703" s="7"/>
      <c r="M2703" s="7">
        <f t="shared" si="5"/>
        <v>0</v>
      </c>
    </row>
    <row r="2704">
      <c r="G2704" s="7"/>
      <c r="M2704" s="7">
        <f t="shared" si="5"/>
        <v>0</v>
      </c>
    </row>
    <row r="2705">
      <c r="G2705" s="7"/>
      <c r="M2705" s="7">
        <f t="shared" si="5"/>
        <v>0</v>
      </c>
    </row>
    <row r="2706">
      <c r="G2706" s="7"/>
      <c r="M2706" s="7">
        <f t="shared" si="5"/>
        <v>0</v>
      </c>
    </row>
    <row r="2707">
      <c r="G2707" s="7"/>
      <c r="M2707" s="7">
        <f t="shared" si="5"/>
        <v>0</v>
      </c>
    </row>
    <row r="2708">
      <c r="G2708" s="7"/>
      <c r="M2708" s="7">
        <f t="shared" si="5"/>
        <v>0</v>
      </c>
    </row>
    <row r="2709">
      <c r="G2709" s="7"/>
      <c r="M2709" s="7">
        <f t="shared" si="5"/>
        <v>0</v>
      </c>
    </row>
    <row r="2710">
      <c r="G2710" s="7"/>
      <c r="M2710" s="7">
        <f t="shared" si="5"/>
        <v>0</v>
      </c>
    </row>
    <row r="2711">
      <c r="G2711" s="7"/>
      <c r="M2711" s="7">
        <f t="shared" si="5"/>
        <v>0</v>
      </c>
    </row>
    <row r="2712">
      <c r="G2712" s="7"/>
      <c r="M2712" s="7">
        <f t="shared" si="5"/>
        <v>0</v>
      </c>
    </row>
    <row r="2713">
      <c r="G2713" s="7"/>
      <c r="M2713" s="7">
        <f t="shared" si="5"/>
        <v>0</v>
      </c>
    </row>
    <row r="2714">
      <c r="G2714" s="7"/>
      <c r="M2714" s="7">
        <f t="shared" si="5"/>
        <v>0</v>
      </c>
    </row>
    <row r="2715">
      <c r="G2715" s="7"/>
      <c r="M2715" s="7">
        <f t="shared" si="5"/>
        <v>0</v>
      </c>
    </row>
    <row r="2716">
      <c r="G2716" s="7"/>
      <c r="M2716" s="7">
        <f t="shared" si="5"/>
        <v>0</v>
      </c>
    </row>
    <row r="2717">
      <c r="G2717" s="7"/>
      <c r="M2717" s="7">
        <f t="shared" si="5"/>
        <v>0</v>
      </c>
    </row>
    <row r="2718">
      <c r="G2718" s="7"/>
      <c r="M2718" s="7">
        <f t="shared" si="5"/>
        <v>0</v>
      </c>
    </row>
    <row r="2719">
      <c r="G2719" s="7"/>
      <c r="M2719" s="7">
        <f t="shared" si="5"/>
        <v>0</v>
      </c>
    </row>
    <row r="2720">
      <c r="G2720" s="7"/>
      <c r="M2720" s="7">
        <f t="shared" si="5"/>
        <v>0</v>
      </c>
    </row>
    <row r="2721">
      <c r="G2721" s="7"/>
      <c r="M2721" s="7">
        <f t="shared" si="5"/>
        <v>0</v>
      </c>
    </row>
    <row r="2722">
      <c r="G2722" s="7"/>
      <c r="M2722" s="7">
        <f t="shared" si="5"/>
        <v>0</v>
      </c>
    </row>
    <row r="2723">
      <c r="G2723" s="7"/>
      <c r="M2723" s="7">
        <f t="shared" si="5"/>
        <v>0</v>
      </c>
    </row>
    <row r="2724">
      <c r="G2724" s="7"/>
      <c r="M2724" s="7">
        <f t="shared" si="5"/>
        <v>0</v>
      </c>
    </row>
    <row r="2725">
      <c r="G2725" s="7"/>
      <c r="M2725" s="7">
        <f t="shared" si="5"/>
        <v>0</v>
      </c>
    </row>
    <row r="2726">
      <c r="G2726" s="7"/>
      <c r="M2726" s="7">
        <f t="shared" si="5"/>
        <v>0</v>
      </c>
    </row>
    <row r="2727">
      <c r="G2727" s="7"/>
      <c r="M2727" s="7">
        <f t="shared" si="5"/>
        <v>0</v>
      </c>
    </row>
    <row r="2728">
      <c r="G2728" s="7"/>
      <c r="M2728" s="7">
        <f t="shared" si="5"/>
        <v>0</v>
      </c>
    </row>
    <row r="2729">
      <c r="G2729" s="7"/>
      <c r="M2729" s="7">
        <f t="shared" si="5"/>
        <v>0</v>
      </c>
    </row>
    <row r="2730">
      <c r="G2730" s="7"/>
      <c r="M2730" s="7">
        <f t="shared" si="5"/>
        <v>0</v>
      </c>
    </row>
    <row r="2731">
      <c r="G2731" s="7"/>
      <c r="M2731" s="7">
        <f t="shared" si="5"/>
        <v>0</v>
      </c>
    </row>
    <row r="2732">
      <c r="G2732" s="7"/>
      <c r="M2732" s="7">
        <f t="shared" si="5"/>
        <v>0</v>
      </c>
    </row>
    <row r="2733">
      <c r="G2733" s="7"/>
      <c r="M2733" s="7">
        <f t="shared" si="5"/>
        <v>0</v>
      </c>
    </row>
    <row r="2734">
      <c r="G2734" s="7"/>
      <c r="M2734" s="7">
        <f t="shared" si="5"/>
        <v>0</v>
      </c>
    </row>
    <row r="2735">
      <c r="G2735" s="7"/>
      <c r="M2735" s="7">
        <f t="shared" si="5"/>
        <v>0</v>
      </c>
    </row>
    <row r="2736">
      <c r="G2736" s="7"/>
      <c r="M2736" s="7">
        <f t="shared" si="5"/>
        <v>0</v>
      </c>
    </row>
    <row r="2737">
      <c r="G2737" s="7"/>
      <c r="M2737" s="7">
        <f t="shared" si="5"/>
        <v>0</v>
      </c>
    </row>
    <row r="2738">
      <c r="G2738" s="7"/>
      <c r="M2738" s="7">
        <f t="shared" si="5"/>
        <v>0</v>
      </c>
    </row>
    <row r="2739">
      <c r="G2739" s="7"/>
      <c r="M2739" s="7">
        <f t="shared" si="5"/>
        <v>0</v>
      </c>
    </row>
    <row r="2740">
      <c r="G2740" s="7"/>
      <c r="M2740" s="7">
        <f t="shared" si="5"/>
        <v>0</v>
      </c>
    </row>
    <row r="2741">
      <c r="G2741" s="7"/>
      <c r="M2741" s="7">
        <f t="shared" si="5"/>
        <v>0</v>
      </c>
    </row>
    <row r="2742">
      <c r="G2742" s="7"/>
      <c r="M2742" s="7">
        <f t="shared" si="5"/>
        <v>0</v>
      </c>
    </row>
    <row r="2743">
      <c r="G2743" s="7"/>
      <c r="M2743" s="7">
        <f t="shared" si="5"/>
        <v>0</v>
      </c>
    </row>
    <row r="2744">
      <c r="G2744" s="7"/>
      <c r="M2744" s="7">
        <f t="shared" si="5"/>
        <v>0</v>
      </c>
    </row>
    <row r="2745">
      <c r="G2745" s="7"/>
      <c r="M2745" s="7">
        <f t="shared" si="5"/>
        <v>0</v>
      </c>
    </row>
    <row r="2746">
      <c r="G2746" s="7"/>
      <c r="M2746" s="7">
        <f t="shared" si="5"/>
        <v>0</v>
      </c>
    </row>
    <row r="2747">
      <c r="G2747" s="7"/>
      <c r="M2747" s="7">
        <f t="shared" si="5"/>
        <v>0</v>
      </c>
    </row>
    <row r="2748">
      <c r="G2748" s="7"/>
      <c r="M2748" s="7">
        <f t="shared" si="5"/>
        <v>0</v>
      </c>
    </row>
    <row r="2749">
      <c r="G2749" s="7"/>
      <c r="M2749" s="7">
        <f t="shared" si="5"/>
        <v>0</v>
      </c>
    </row>
    <row r="2750">
      <c r="G2750" s="7"/>
      <c r="M2750" s="7">
        <f t="shared" si="5"/>
        <v>0</v>
      </c>
    </row>
    <row r="2751">
      <c r="G2751" s="7"/>
      <c r="M2751" s="7">
        <f t="shared" si="5"/>
        <v>0</v>
      </c>
    </row>
    <row r="2752">
      <c r="G2752" s="7"/>
      <c r="M2752" s="7">
        <f t="shared" si="5"/>
        <v>0</v>
      </c>
    </row>
    <row r="2753">
      <c r="G2753" s="7"/>
      <c r="M2753" s="7">
        <f t="shared" si="5"/>
        <v>0</v>
      </c>
    </row>
    <row r="2754">
      <c r="G2754" s="7"/>
      <c r="M2754" s="7">
        <f t="shared" si="5"/>
        <v>0</v>
      </c>
    </row>
    <row r="2755">
      <c r="G2755" s="7"/>
      <c r="M2755" s="7">
        <f t="shared" si="5"/>
        <v>0</v>
      </c>
    </row>
    <row r="2756">
      <c r="G2756" s="7"/>
      <c r="M2756" s="7">
        <f t="shared" si="5"/>
        <v>0</v>
      </c>
    </row>
    <row r="2757">
      <c r="G2757" s="7"/>
      <c r="M2757" s="7">
        <f t="shared" si="5"/>
        <v>0</v>
      </c>
    </row>
    <row r="2758">
      <c r="G2758" s="7"/>
      <c r="M2758" s="7">
        <f t="shared" si="5"/>
        <v>0</v>
      </c>
    </row>
    <row r="2759">
      <c r="G2759" s="7"/>
      <c r="M2759" s="7">
        <f t="shared" si="5"/>
        <v>0</v>
      </c>
    </row>
    <row r="2760">
      <c r="G2760" s="7"/>
      <c r="M2760" s="7">
        <f t="shared" si="5"/>
        <v>0</v>
      </c>
    </row>
    <row r="2761">
      <c r="G2761" s="7"/>
      <c r="M2761" s="7">
        <f t="shared" si="5"/>
        <v>0</v>
      </c>
    </row>
    <row r="2762">
      <c r="G2762" s="7"/>
      <c r="M2762" s="7">
        <f t="shared" si="5"/>
        <v>0</v>
      </c>
    </row>
    <row r="2763">
      <c r="G2763" s="7"/>
      <c r="M2763" s="7">
        <f t="shared" si="5"/>
        <v>0</v>
      </c>
    </row>
    <row r="2764">
      <c r="G2764" s="7"/>
      <c r="M2764" s="7">
        <f t="shared" si="5"/>
        <v>0</v>
      </c>
    </row>
    <row r="2765">
      <c r="G2765" s="7"/>
      <c r="M2765" s="7">
        <f t="shared" si="5"/>
        <v>0</v>
      </c>
    </row>
    <row r="2766">
      <c r="G2766" s="7"/>
      <c r="M2766" s="7">
        <f t="shared" si="5"/>
        <v>0</v>
      </c>
    </row>
    <row r="2767">
      <c r="G2767" s="7"/>
      <c r="M2767" s="7">
        <f t="shared" si="5"/>
        <v>0</v>
      </c>
    </row>
    <row r="2768">
      <c r="G2768" s="7"/>
      <c r="M2768" s="7">
        <f t="shared" si="5"/>
        <v>0</v>
      </c>
    </row>
    <row r="2769">
      <c r="G2769" s="7"/>
      <c r="M2769" s="7">
        <f t="shared" si="5"/>
        <v>0</v>
      </c>
    </row>
    <row r="2770">
      <c r="G2770" s="7"/>
      <c r="M2770" s="7">
        <f t="shared" si="5"/>
        <v>0</v>
      </c>
    </row>
    <row r="2771">
      <c r="G2771" s="7"/>
      <c r="M2771" s="7">
        <f t="shared" si="5"/>
        <v>0</v>
      </c>
    </row>
    <row r="2772">
      <c r="G2772" s="7"/>
      <c r="M2772" s="7">
        <f t="shared" si="5"/>
        <v>0</v>
      </c>
    </row>
    <row r="2773">
      <c r="G2773" s="7"/>
      <c r="M2773" s="7">
        <f t="shared" si="5"/>
        <v>0</v>
      </c>
    </row>
    <row r="2774">
      <c r="G2774" s="7"/>
      <c r="M2774" s="7">
        <f t="shared" si="5"/>
        <v>0</v>
      </c>
    </row>
    <row r="2775">
      <c r="G2775" s="7"/>
      <c r="M2775" s="7">
        <f t="shared" si="5"/>
        <v>0</v>
      </c>
    </row>
    <row r="2776">
      <c r="G2776" s="7"/>
      <c r="M2776" s="7">
        <f t="shared" si="5"/>
        <v>0</v>
      </c>
    </row>
    <row r="2777">
      <c r="G2777" s="7"/>
      <c r="M2777" s="7">
        <f t="shared" si="5"/>
        <v>0</v>
      </c>
    </row>
    <row r="2778">
      <c r="G2778" s="7"/>
      <c r="M2778" s="7">
        <f t="shared" si="5"/>
        <v>0</v>
      </c>
    </row>
    <row r="2779">
      <c r="G2779" s="7"/>
      <c r="M2779" s="7">
        <f t="shared" si="5"/>
        <v>0</v>
      </c>
    </row>
    <row r="2780">
      <c r="G2780" s="7"/>
      <c r="M2780" s="7">
        <f t="shared" si="5"/>
        <v>0</v>
      </c>
    </row>
    <row r="2781">
      <c r="G2781" s="7"/>
      <c r="M2781" s="7">
        <f t="shared" si="5"/>
        <v>0</v>
      </c>
    </row>
    <row r="2782">
      <c r="G2782" s="7"/>
      <c r="M2782" s="7">
        <f t="shared" si="5"/>
        <v>0</v>
      </c>
    </row>
    <row r="2783">
      <c r="G2783" s="7"/>
      <c r="M2783" s="7">
        <f t="shared" si="5"/>
        <v>0</v>
      </c>
    </row>
    <row r="2784">
      <c r="G2784" s="7"/>
      <c r="M2784" s="7">
        <f t="shared" si="5"/>
        <v>0</v>
      </c>
    </row>
    <row r="2785">
      <c r="G2785" s="7"/>
      <c r="M2785" s="7">
        <f t="shared" si="5"/>
        <v>0</v>
      </c>
    </row>
    <row r="2786">
      <c r="G2786" s="7"/>
      <c r="M2786" s="7">
        <f t="shared" si="5"/>
        <v>0</v>
      </c>
    </row>
    <row r="2787">
      <c r="G2787" s="7"/>
      <c r="M2787" s="7">
        <f t="shared" si="5"/>
        <v>0</v>
      </c>
    </row>
    <row r="2788">
      <c r="G2788" s="7"/>
      <c r="M2788" s="7">
        <f t="shared" si="5"/>
        <v>0</v>
      </c>
    </row>
    <row r="2789">
      <c r="G2789" s="7"/>
      <c r="M2789" s="7">
        <f t="shared" si="5"/>
        <v>0</v>
      </c>
    </row>
    <row r="2790">
      <c r="G2790" s="7"/>
      <c r="M2790" s="7">
        <f t="shared" si="5"/>
        <v>0</v>
      </c>
    </row>
    <row r="2791">
      <c r="G2791" s="7"/>
      <c r="M2791" s="7">
        <f t="shared" si="5"/>
        <v>0</v>
      </c>
    </row>
    <row r="2792">
      <c r="G2792" s="7"/>
      <c r="M2792" s="7">
        <f t="shared" si="5"/>
        <v>0</v>
      </c>
    </row>
    <row r="2793">
      <c r="G2793" s="7"/>
      <c r="M2793" s="7">
        <f t="shared" si="5"/>
        <v>0</v>
      </c>
    </row>
    <row r="2794">
      <c r="G2794" s="7"/>
      <c r="M2794" s="7">
        <f t="shared" si="5"/>
        <v>0</v>
      </c>
    </row>
    <row r="2795">
      <c r="G2795" s="7"/>
      <c r="M2795" s="7">
        <f t="shared" si="5"/>
        <v>0</v>
      </c>
    </row>
    <row r="2796">
      <c r="G2796" s="7"/>
      <c r="M2796" s="7">
        <f t="shared" si="5"/>
        <v>0</v>
      </c>
    </row>
    <row r="2797">
      <c r="G2797" s="7"/>
      <c r="M2797" s="7">
        <f t="shared" si="5"/>
        <v>0</v>
      </c>
    </row>
    <row r="2798">
      <c r="G2798" s="7"/>
      <c r="M2798" s="7">
        <f t="shared" si="5"/>
        <v>0</v>
      </c>
    </row>
    <row r="2799">
      <c r="G2799" s="7"/>
      <c r="M2799" s="7">
        <f t="shared" si="5"/>
        <v>0</v>
      </c>
    </row>
    <row r="2800">
      <c r="G2800" s="7"/>
      <c r="M2800" s="7">
        <f t="shared" si="5"/>
        <v>0</v>
      </c>
    </row>
    <row r="2801">
      <c r="G2801" s="7"/>
      <c r="M2801" s="7">
        <f t="shared" si="5"/>
        <v>0</v>
      </c>
    </row>
    <row r="2802">
      <c r="G2802" s="7"/>
      <c r="M2802" s="7">
        <f t="shared" si="5"/>
        <v>0</v>
      </c>
    </row>
    <row r="2803">
      <c r="G2803" s="7"/>
      <c r="M2803" s="7">
        <f t="shared" si="5"/>
        <v>0</v>
      </c>
    </row>
    <row r="2804">
      <c r="G2804" s="7"/>
      <c r="M2804" s="7">
        <f t="shared" si="5"/>
        <v>0</v>
      </c>
    </row>
    <row r="2805">
      <c r="G2805" s="7"/>
      <c r="M2805" s="7">
        <f t="shared" si="5"/>
        <v>0</v>
      </c>
    </row>
    <row r="2806">
      <c r="G2806" s="7"/>
      <c r="M2806" s="7">
        <f t="shared" si="5"/>
        <v>0</v>
      </c>
    </row>
    <row r="2807">
      <c r="G2807" s="7"/>
      <c r="M2807" s="7">
        <f t="shared" si="5"/>
        <v>0</v>
      </c>
    </row>
    <row r="2808">
      <c r="G2808" s="7"/>
      <c r="M2808" s="7">
        <f t="shared" si="5"/>
        <v>0</v>
      </c>
    </row>
    <row r="2809">
      <c r="G2809" s="7"/>
      <c r="M2809" s="7">
        <f t="shared" si="5"/>
        <v>0</v>
      </c>
    </row>
    <row r="2810">
      <c r="G2810" s="7"/>
      <c r="M2810" s="7">
        <f t="shared" si="5"/>
        <v>0</v>
      </c>
    </row>
    <row r="2811">
      <c r="G2811" s="7"/>
      <c r="M2811" s="7">
        <f t="shared" si="5"/>
        <v>0</v>
      </c>
    </row>
    <row r="2812">
      <c r="G2812" s="7"/>
      <c r="M2812" s="7">
        <f t="shared" si="5"/>
        <v>0</v>
      </c>
    </row>
    <row r="2813">
      <c r="G2813" s="7"/>
      <c r="M2813" s="7">
        <f t="shared" si="5"/>
        <v>0</v>
      </c>
    </row>
    <row r="2814">
      <c r="G2814" s="7"/>
      <c r="M2814" s="7">
        <f t="shared" si="5"/>
        <v>0</v>
      </c>
    </row>
    <row r="2815">
      <c r="G2815" s="7"/>
      <c r="M2815" s="7">
        <f t="shared" si="5"/>
        <v>0</v>
      </c>
    </row>
    <row r="2816">
      <c r="G2816" s="7"/>
      <c r="M2816" s="7">
        <f t="shared" si="5"/>
        <v>0</v>
      </c>
    </row>
    <row r="2817">
      <c r="G2817" s="7"/>
      <c r="M2817" s="7">
        <f t="shared" si="5"/>
        <v>0</v>
      </c>
    </row>
    <row r="2818">
      <c r="G2818" s="7"/>
      <c r="M2818" s="7">
        <f t="shared" si="5"/>
        <v>0</v>
      </c>
    </row>
    <row r="2819">
      <c r="G2819" s="7"/>
      <c r="M2819" s="7">
        <f t="shared" si="5"/>
        <v>0</v>
      </c>
    </row>
    <row r="2820">
      <c r="G2820" s="7"/>
      <c r="M2820" s="7">
        <f t="shared" si="5"/>
        <v>0</v>
      </c>
    </row>
    <row r="2821">
      <c r="G2821" s="7"/>
      <c r="M2821" s="7">
        <f t="shared" si="5"/>
        <v>0</v>
      </c>
    </row>
    <row r="2822">
      <c r="G2822" s="7"/>
      <c r="M2822" s="7">
        <f t="shared" si="5"/>
        <v>0</v>
      </c>
    </row>
    <row r="2823">
      <c r="G2823" s="7"/>
      <c r="M2823" s="7">
        <f t="shared" si="5"/>
        <v>0</v>
      </c>
    </row>
    <row r="2824">
      <c r="G2824" s="7"/>
      <c r="M2824" s="7">
        <f t="shared" si="5"/>
        <v>0</v>
      </c>
    </row>
    <row r="2825">
      <c r="G2825" s="7"/>
      <c r="M2825" s="7">
        <f t="shared" si="5"/>
        <v>0</v>
      </c>
    </row>
    <row r="2826">
      <c r="G2826" s="7"/>
      <c r="M2826" s="7">
        <f t="shared" si="5"/>
        <v>0</v>
      </c>
    </row>
    <row r="2827">
      <c r="G2827" s="7"/>
      <c r="M2827" s="7">
        <f t="shared" si="5"/>
        <v>0</v>
      </c>
    </row>
    <row r="2828">
      <c r="G2828" s="7"/>
      <c r="M2828" s="7">
        <f t="shared" si="5"/>
        <v>0</v>
      </c>
    </row>
    <row r="2829">
      <c r="G2829" s="7"/>
      <c r="M2829" s="7">
        <f t="shared" si="5"/>
        <v>0</v>
      </c>
    </row>
    <row r="2830">
      <c r="G2830" s="7"/>
      <c r="M2830" s="7">
        <f t="shared" si="5"/>
        <v>0</v>
      </c>
    </row>
    <row r="2831">
      <c r="G2831" s="7"/>
      <c r="M2831" s="7">
        <f t="shared" si="5"/>
        <v>0</v>
      </c>
    </row>
    <row r="2832">
      <c r="G2832" s="7"/>
      <c r="M2832" s="7">
        <f t="shared" si="5"/>
        <v>0</v>
      </c>
    </row>
    <row r="2833">
      <c r="G2833" s="7"/>
      <c r="M2833" s="7">
        <f t="shared" si="5"/>
        <v>0</v>
      </c>
    </row>
    <row r="2834">
      <c r="G2834" s="7"/>
      <c r="M2834" s="7">
        <f t="shared" si="5"/>
        <v>0</v>
      </c>
    </row>
    <row r="2835">
      <c r="G2835" s="7"/>
      <c r="M2835" s="7">
        <f t="shared" si="5"/>
        <v>0</v>
      </c>
    </row>
    <row r="2836">
      <c r="G2836" s="7"/>
      <c r="M2836" s="7">
        <f t="shared" si="5"/>
        <v>0</v>
      </c>
    </row>
    <row r="2837">
      <c r="G2837" s="7"/>
      <c r="M2837" s="7">
        <f t="shared" si="5"/>
        <v>0</v>
      </c>
    </row>
    <row r="2838">
      <c r="G2838" s="7"/>
      <c r="M2838" s="7">
        <f t="shared" si="5"/>
        <v>0</v>
      </c>
    </row>
    <row r="2839">
      <c r="G2839" s="7"/>
      <c r="M2839" s="7">
        <f t="shared" si="5"/>
        <v>0</v>
      </c>
    </row>
    <row r="2840">
      <c r="G2840" s="7"/>
      <c r="M2840" s="7">
        <f t="shared" si="5"/>
        <v>0</v>
      </c>
    </row>
    <row r="2841">
      <c r="G2841" s="7"/>
      <c r="M2841" s="7">
        <f t="shared" si="5"/>
        <v>0</v>
      </c>
    </row>
    <row r="2842">
      <c r="G2842" s="7"/>
      <c r="M2842" s="7">
        <f t="shared" si="5"/>
        <v>0</v>
      </c>
    </row>
    <row r="2843">
      <c r="G2843" s="7"/>
      <c r="M2843" s="7">
        <f t="shared" si="5"/>
        <v>0</v>
      </c>
    </row>
    <row r="2844">
      <c r="G2844" s="7"/>
      <c r="M2844" s="7">
        <f t="shared" si="5"/>
        <v>0</v>
      </c>
    </row>
    <row r="2845">
      <c r="G2845" s="7"/>
      <c r="M2845" s="7">
        <f t="shared" si="5"/>
        <v>0</v>
      </c>
    </row>
    <row r="2846">
      <c r="G2846" s="7"/>
      <c r="M2846" s="7">
        <f t="shared" si="5"/>
        <v>0</v>
      </c>
    </row>
    <row r="2847">
      <c r="G2847" s="7"/>
      <c r="M2847" s="7">
        <f t="shared" si="5"/>
        <v>0</v>
      </c>
    </row>
    <row r="2848">
      <c r="G2848" s="7"/>
      <c r="M2848" s="7">
        <f t="shared" si="5"/>
        <v>0</v>
      </c>
    </row>
    <row r="2849">
      <c r="G2849" s="7"/>
      <c r="M2849" s="7">
        <f t="shared" si="5"/>
        <v>0</v>
      </c>
    </row>
    <row r="2850">
      <c r="G2850" s="7"/>
      <c r="M2850" s="7">
        <f t="shared" si="5"/>
        <v>0</v>
      </c>
    </row>
    <row r="2851">
      <c r="G2851" s="7"/>
      <c r="M2851" s="7">
        <f t="shared" si="5"/>
        <v>0</v>
      </c>
    </row>
    <row r="2852">
      <c r="G2852" s="7"/>
      <c r="M2852" s="7">
        <f t="shared" si="5"/>
        <v>0</v>
      </c>
    </row>
    <row r="2853">
      <c r="G2853" s="7"/>
      <c r="M2853" s="7">
        <f t="shared" si="5"/>
        <v>0</v>
      </c>
    </row>
    <row r="2854">
      <c r="G2854" s="7"/>
      <c r="M2854" s="7">
        <f t="shared" si="5"/>
        <v>0</v>
      </c>
    </row>
    <row r="2855">
      <c r="G2855" s="7"/>
      <c r="M2855" s="7">
        <f t="shared" si="5"/>
        <v>0</v>
      </c>
    </row>
    <row r="2856">
      <c r="G2856" s="7"/>
      <c r="M2856" s="7">
        <f t="shared" si="5"/>
        <v>0</v>
      </c>
    </row>
    <row r="2857">
      <c r="G2857" s="7"/>
      <c r="M2857" s="7">
        <f t="shared" si="5"/>
        <v>0</v>
      </c>
    </row>
    <row r="2858">
      <c r="G2858" s="7"/>
      <c r="M2858" s="7">
        <f t="shared" si="5"/>
        <v>0</v>
      </c>
    </row>
    <row r="2859">
      <c r="G2859" s="7"/>
      <c r="M2859" s="7">
        <f t="shared" si="5"/>
        <v>0</v>
      </c>
    </row>
    <row r="2860">
      <c r="G2860" s="7"/>
      <c r="M2860" s="7">
        <f t="shared" si="5"/>
        <v>0</v>
      </c>
    </row>
    <row r="2861">
      <c r="G2861" s="7"/>
      <c r="M2861" s="7">
        <f t="shared" si="5"/>
        <v>0</v>
      </c>
    </row>
    <row r="2862">
      <c r="G2862" s="7"/>
      <c r="M2862" s="7">
        <f t="shared" si="5"/>
        <v>0</v>
      </c>
    </row>
    <row r="2863">
      <c r="G2863" s="7"/>
      <c r="M2863" s="7">
        <f t="shared" si="5"/>
        <v>0</v>
      </c>
    </row>
    <row r="2864">
      <c r="G2864" s="7"/>
      <c r="M2864" s="7">
        <f t="shared" si="5"/>
        <v>0</v>
      </c>
    </row>
    <row r="2865">
      <c r="G2865" s="7"/>
      <c r="M2865" s="7">
        <f t="shared" si="5"/>
        <v>0</v>
      </c>
    </row>
    <row r="2866">
      <c r="G2866" s="7"/>
      <c r="M2866" s="7">
        <f t="shared" si="5"/>
        <v>0</v>
      </c>
    </row>
    <row r="2867">
      <c r="G2867" s="7"/>
      <c r="M2867" s="7">
        <f t="shared" si="5"/>
        <v>0</v>
      </c>
    </row>
    <row r="2868">
      <c r="G2868" s="7"/>
      <c r="M2868" s="7">
        <f t="shared" si="5"/>
        <v>0</v>
      </c>
    </row>
    <row r="2869">
      <c r="G2869" s="7"/>
      <c r="M2869" s="7">
        <f t="shared" si="5"/>
        <v>0</v>
      </c>
    </row>
    <row r="2870">
      <c r="G2870" s="7"/>
      <c r="M2870" s="7">
        <f t="shared" si="5"/>
        <v>0</v>
      </c>
    </row>
    <row r="2871">
      <c r="G2871" s="7"/>
      <c r="M2871" s="7">
        <f t="shared" si="5"/>
        <v>0</v>
      </c>
    </row>
    <row r="2872">
      <c r="G2872" s="7"/>
      <c r="M2872" s="7">
        <f t="shared" si="5"/>
        <v>0</v>
      </c>
    </row>
    <row r="2873">
      <c r="G2873" s="7"/>
      <c r="M2873" s="7">
        <f t="shared" si="5"/>
        <v>0</v>
      </c>
    </row>
    <row r="2874">
      <c r="G2874" s="7"/>
      <c r="M2874" s="7">
        <f t="shared" si="5"/>
        <v>0</v>
      </c>
    </row>
    <row r="2875">
      <c r="G2875" s="7"/>
      <c r="M2875" s="7">
        <f t="shared" si="5"/>
        <v>0</v>
      </c>
    </row>
    <row r="2876">
      <c r="G2876" s="7"/>
      <c r="M2876" s="7">
        <f t="shared" si="5"/>
        <v>0</v>
      </c>
    </row>
    <row r="2877">
      <c r="G2877" s="7"/>
      <c r="M2877" s="7">
        <f t="shared" si="5"/>
        <v>0</v>
      </c>
    </row>
    <row r="2878">
      <c r="G2878" s="7"/>
      <c r="M2878" s="7">
        <f t="shared" si="5"/>
        <v>0</v>
      </c>
    </row>
    <row r="2879">
      <c r="G2879" s="7"/>
      <c r="M2879" s="7">
        <f t="shared" si="5"/>
        <v>0</v>
      </c>
    </row>
    <row r="2880">
      <c r="G2880" s="7"/>
      <c r="M2880" s="7">
        <f t="shared" si="5"/>
        <v>0</v>
      </c>
    </row>
    <row r="2881">
      <c r="G2881" s="7"/>
      <c r="M2881" s="7">
        <f t="shared" si="5"/>
        <v>0</v>
      </c>
    </row>
    <row r="2882">
      <c r="G2882" s="7"/>
      <c r="M2882" s="7">
        <f t="shared" si="5"/>
        <v>0</v>
      </c>
    </row>
    <row r="2883">
      <c r="G2883" s="7"/>
      <c r="M2883" s="7">
        <f t="shared" si="5"/>
        <v>0</v>
      </c>
    </row>
    <row r="2884">
      <c r="G2884" s="7"/>
      <c r="M2884" s="7">
        <f t="shared" si="5"/>
        <v>0</v>
      </c>
    </row>
    <row r="2885">
      <c r="G2885" s="7"/>
      <c r="M2885" s="7">
        <f t="shared" si="5"/>
        <v>0</v>
      </c>
    </row>
    <row r="2886">
      <c r="G2886" s="7"/>
      <c r="M2886" s="7">
        <f t="shared" si="5"/>
        <v>0</v>
      </c>
    </row>
    <row r="2887">
      <c r="G2887" s="7"/>
      <c r="M2887" s="7">
        <f t="shared" si="5"/>
        <v>0</v>
      </c>
    </row>
    <row r="2888">
      <c r="G2888" s="7"/>
      <c r="M2888" s="7">
        <f t="shared" si="5"/>
        <v>0</v>
      </c>
    </row>
    <row r="2889">
      <c r="G2889" s="7"/>
      <c r="M2889" s="7">
        <f t="shared" si="5"/>
        <v>0</v>
      </c>
    </row>
    <row r="2890">
      <c r="G2890" s="7"/>
      <c r="M2890" s="7">
        <f t="shared" si="5"/>
        <v>0</v>
      </c>
    </row>
    <row r="2891">
      <c r="G2891" s="7"/>
      <c r="M2891" s="7">
        <f t="shared" si="5"/>
        <v>0</v>
      </c>
    </row>
    <row r="2892">
      <c r="G2892" s="7"/>
      <c r="M2892" s="7">
        <f t="shared" si="5"/>
        <v>0</v>
      </c>
    </row>
    <row r="2893">
      <c r="G2893" s="7"/>
      <c r="M2893" s="7">
        <f t="shared" si="5"/>
        <v>0</v>
      </c>
    </row>
    <row r="2894">
      <c r="G2894" s="7"/>
      <c r="M2894" s="7">
        <f t="shared" si="5"/>
        <v>0</v>
      </c>
    </row>
    <row r="2895">
      <c r="G2895" s="7"/>
      <c r="M2895" s="7">
        <f t="shared" si="5"/>
        <v>0</v>
      </c>
    </row>
    <row r="2896">
      <c r="G2896" s="7"/>
      <c r="M2896" s="7">
        <f t="shared" si="5"/>
        <v>0</v>
      </c>
    </row>
    <row r="2897">
      <c r="G2897" s="7"/>
      <c r="M2897" s="7">
        <f t="shared" si="5"/>
        <v>0</v>
      </c>
    </row>
    <row r="2898">
      <c r="G2898" s="7"/>
      <c r="M2898" s="7">
        <f t="shared" si="5"/>
        <v>0</v>
      </c>
    </row>
    <row r="2899">
      <c r="G2899" s="7"/>
      <c r="M2899" s="7">
        <f t="shared" si="5"/>
        <v>0</v>
      </c>
    </row>
    <row r="2900">
      <c r="G2900" s="7"/>
      <c r="M2900" s="7">
        <f t="shared" si="5"/>
        <v>0</v>
      </c>
    </row>
    <row r="2901">
      <c r="G2901" s="7"/>
      <c r="M2901" s="7">
        <f t="shared" si="5"/>
        <v>0</v>
      </c>
    </row>
    <row r="2902">
      <c r="G2902" s="7"/>
      <c r="M2902" s="7">
        <f t="shared" si="5"/>
        <v>0</v>
      </c>
    </row>
    <row r="2903">
      <c r="G2903" s="7"/>
      <c r="M2903" s="7">
        <f t="shared" si="5"/>
        <v>0</v>
      </c>
    </row>
    <row r="2904">
      <c r="G2904" s="7"/>
      <c r="M2904" s="7">
        <f t="shared" si="5"/>
        <v>0</v>
      </c>
    </row>
    <row r="2905">
      <c r="G2905" s="7"/>
      <c r="M2905" s="7">
        <f t="shared" si="5"/>
        <v>0</v>
      </c>
    </row>
    <row r="2906">
      <c r="G2906" s="7"/>
      <c r="M2906" s="7">
        <f t="shared" si="5"/>
        <v>0</v>
      </c>
    </row>
    <row r="2907">
      <c r="G2907" s="7"/>
      <c r="M2907" s="7">
        <f t="shared" si="5"/>
        <v>0</v>
      </c>
    </row>
    <row r="2908">
      <c r="G2908" s="7"/>
      <c r="M2908" s="7">
        <f t="shared" si="5"/>
        <v>0</v>
      </c>
    </row>
    <row r="2909">
      <c r="G2909" s="7"/>
      <c r="M2909" s="7">
        <f t="shared" si="5"/>
        <v>0</v>
      </c>
    </row>
    <row r="2910">
      <c r="G2910" s="7"/>
      <c r="M2910" s="7">
        <f t="shared" si="5"/>
        <v>0</v>
      </c>
    </row>
    <row r="2911">
      <c r="G2911" s="7"/>
      <c r="M2911" s="7">
        <f t="shared" si="5"/>
        <v>0</v>
      </c>
    </row>
    <row r="2912">
      <c r="G2912" s="7"/>
      <c r="M2912" s="7">
        <f t="shared" si="5"/>
        <v>0</v>
      </c>
    </row>
    <row r="2913">
      <c r="G2913" s="7"/>
      <c r="M2913" s="7">
        <f t="shared" si="5"/>
        <v>0</v>
      </c>
    </row>
    <row r="2914">
      <c r="G2914" s="7"/>
      <c r="M2914" s="7">
        <f t="shared" si="5"/>
        <v>0</v>
      </c>
    </row>
    <row r="2915">
      <c r="G2915" s="7"/>
      <c r="M2915" s="7">
        <f t="shared" si="5"/>
        <v>0</v>
      </c>
    </row>
    <row r="2916">
      <c r="G2916" s="7"/>
      <c r="M2916" s="7">
        <f t="shared" si="5"/>
        <v>0</v>
      </c>
    </row>
    <row r="2917">
      <c r="G2917" s="7"/>
      <c r="M2917" s="7">
        <f t="shared" si="5"/>
        <v>0</v>
      </c>
    </row>
    <row r="2918">
      <c r="G2918" s="7"/>
      <c r="M2918" s="7">
        <f t="shared" si="5"/>
        <v>0</v>
      </c>
    </row>
    <row r="2919">
      <c r="G2919" s="7"/>
      <c r="M2919" s="7">
        <f t="shared" si="5"/>
        <v>0</v>
      </c>
    </row>
    <row r="2920">
      <c r="G2920" s="7"/>
      <c r="M2920" s="7">
        <f t="shared" si="5"/>
        <v>0</v>
      </c>
    </row>
    <row r="2921">
      <c r="G2921" s="7"/>
      <c r="M2921" s="7">
        <f t="shared" si="5"/>
        <v>0</v>
      </c>
    </row>
    <row r="2922">
      <c r="G2922" s="7"/>
      <c r="M2922" s="7">
        <f t="shared" si="5"/>
        <v>0</v>
      </c>
    </row>
    <row r="2923">
      <c r="G2923" s="7"/>
      <c r="M2923" s="7">
        <f t="shared" si="5"/>
        <v>0</v>
      </c>
    </row>
    <row r="2924">
      <c r="G2924" s="7"/>
      <c r="M2924" s="7">
        <f t="shared" si="5"/>
        <v>0</v>
      </c>
    </row>
    <row r="2925">
      <c r="G2925" s="7"/>
      <c r="M2925" s="7">
        <f t="shared" si="5"/>
        <v>0</v>
      </c>
    </row>
    <row r="2926">
      <c r="G2926" s="7"/>
      <c r="M2926" s="7">
        <f t="shared" si="5"/>
        <v>0</v>
      </c>
    </row>
    <row r="2927">
      <c r="G2927" s="7"/>
      <c r="M2927" s="7">
        <f t="shared" si="5"/>
        <v>0</v>
      </c>
    </row>
    <row r="2928">
      <c r="G2928" s="7"/>
      <c r="M2928" s="7">
        <f t="shared" si="5"/>
        <v>0</v>
      </c>
    </row>
    <row r="2929">
      <c r="G2929" s="7"/>
      <c r="M2929" s="7">
        <f t="shared" si="5"/>
        <v>0</v>
      </c>
    </row>
    <row r="2930">
      <c r="G2930" s="7"/>
      <c r="M2930" s="7">
        <f t="shared" si="5"/>
        <v>0</v>
      </c>
    </row>
    <row r="2931">
      <c r="G2931" s="7"/>
      <c r="M2931" s="7">
        <f t="shared" si="5"/>
        <v>0</v>
      </c>
    </row>
    <row r="2932">
      <c r="G2932" s="7"/>
      <c r="M2932" s="7">
        <f t="shared" si="5"/>
        <v>0</v>
      </c>
    </row>
    <row r="2933">
      <c r="G2933" s="7"/>
      <c r="M2933" s="7">
        <f t="shared" si="5"/>
        <v>0</v>
      </c>
    </row>
    <row r="2934">
      <c r="G2934" s="7"/>
      <c r="M2934" s="7">
        <f t="shared" si="5"/>
        <v>0</v>
      </c>
    </row>
    <row r="2935">
      <c r="G2935" s="7"/>
      <c r="M2935" s="7">
        <f t="shared" si="5"/>
        <v>0</v>
      </c>
    </row>
    <row r="2936">
      <c r="G2936" s="7"/>
      <c r="M2936" s="7">
        <f t="shared" si="5"/>
        <v>0</v>
      </c>
    </row>
    <row r="2937">
      <c r="G2937" s="7"/>
      <c r="M2937" s="7">
        <f t="shared" si="5"/>
        <v>0</v>
      </c>
    </row>
    <row r="2938">
      <c r="G2938" s="7"/>
      <c r="M2938" s="7">
        <f t="shared" si="5"/>
        <v>0</v>
      </c>
    </row>
    <row r="2939">
      <c r="G2939" s="7"/>
      <c r="M2939" s="7">
        <f t="shared" si="5"/>
        <v>0</v>
      </c>
    </row>
    <row r="2940">
      <c r="G2940" s="7"/>
      <c r="M2940" s="7">
        <f t="shared" si="5"/>
        <v>0</v>
      </c>
    </row>
    <row r="2941">
      <c r="G2941" s="7"/>
      <c r="M2941" s="7">
        <f t="shared" si="5"/>
        <v>0</v>
      </c>
    </row>
    <row r="2942">
      <c r="G2942" s="7"/>
      <c r="M2942" s="7">
        <f t="shared" si="5"/>
        <v>0</v>
      </c>
    </row>
    <row r="2943">
      <c r="G2943" s="7"/>
      <c r="M2943" s="7">
        <f t="shared" si="5"/>
        <v>0</v>
      </c>
    </row>
    <row r="2944">
      <c r="G2944" s="7"/>
      <c r="M2944" s="7">
        <f t="shared" si="5"/>
        <v>0</v>
      </c>
    </row>
    <row r="2945">
      <c r="G2945" s="7"/>
      <c r="M2945" s="7">
        <f t="shared" si="5"/>
        <v>0</v>
      </c>
    </row>
    <row r="2946">
      <c r="G2946" s="7"/>
      <c r="M2946" s="7">
        <f t="shared" si="5"/>
        <v>0</v>
      </c>
    </row>
    <row r="2947">
      <c r="G2947" s="7"/>
      <c r="M2947" s="7">
        <f t="shared" si="5"/>
        <v>0</v>
      </c>
    </row>
    <row r="2948">
      <c r="G2948" s="7"/>
      <c r="M2948" s="7">
        <f t="shared" si="5"/>
        <v>0</v>
      </c>
    </row>
    <row r="2949">
      <c r="G2949" s="7"/>
      <c r="M2949" s="7">
        <f t="shared" si="5"/>
        <v>0</v>
      </c>
    </row>
    <row r="2950">
      <c r="G2950" s="7"/>
      <c r="M2950" s="7">
        <f t="shared" si="5"/>
        <v>0</v>
      </c>
    </row>
    <row r="2951">
      <c r="G2951" s="7"/>
      <c r="M2951" s="7">
        <f t="shared" si="5"/>
        <v>0</v>
      </c>
    </row>
    <row r="2952">
      <c r="G2952" s="7"/>
      <c r="M2952" s="7">
        <f t="shared" si="5"/>
        <v>0</v>
      </c>
    </row>
    <row r="2953">
      <c r="G2953" s="7"/>
      <c r="M2953" s="7">
        <f t="shared" si="5"/>
        <v>0</v>
      </c>
    </row>
    <row r="2954">
      <c r="G2954" s="7"/>
      <c r="M2954" s="7">
        <f t="shared" si="5"/>
        <v>0</v>
      </c>
    </row>
    <row r="2955">
      <c r="G2955" s="7"/>
      <c r="M2955" s="7">
        <f t="shared" si="5"/>
        <v>0</v>
      </c>
    </row>
    <row r="2956">
      <c r="G2956" s="7"/>
      <c r="M2956" s="7">
        <f t="shared" si="5"/>
        <v>0</v>
      </c>
    </row>
    <row r="2957">
      <c r="G2957" s="7"/>
      <c r="M2957" s="7">
        <f t="shared" si="5"/>
        <v>0</v>
      </c>
    </row>
    <row r="2958">
      <c r="G2958" s="7"/>
      <c r="M2958" s="7">
        <f t="shared" si="5"/>
        <v>0</v>
      </c>
    </row>
    <row r="2959">
      <c r="G2959" s="7"/>
      <c r="M2959" s="7">
        <f t="shared" si="5"/>
        <v>0</v>
      </c>
    </row>
    <row r="2960">
      <c r="G2960" s="7"/>
      <c r="M2960" s="7">
        <f t="shared" si="5"/>
        <v>0</v>
      </c>
    </row>
    <row r="2961">
      <c r="G2961" s="7"/>
      <c r="M2961" s="7">
        <f t="shared" si="5"/>
        <v>0</v>
      </c>
    </row>
    <row r="2962">
      <c r="G2962" s="7"/>
      <c r="M2962" s="7">
        <f t="shared" si="5"/>
        <v>0</v>
      </c>
    </row>
    <row r="2963">
      <c r="G2963" s="7"/>
      <c r="M2963" s="7">
        <f t="shared" si="5"/>
        <v>0</v>
      </c>
    </row>
    <row r="2964">
      <c r="G2964" s="7"/>
      <c r="M2964" s="7">
        <f t="shared" si="5"/>
        <v>0</v>
      </c>
    </row>
    <row r="2965">
      <c r="G2965" s="7"/>
      <c r="M2965" s="7">
        <f t="shared" si="5"/>
        <v>0</v>
      </c>
    </row>
    <row r="2966">
      <c r="G2966" s="7"/>
      <c r="M2966" s="7">
        <f t="shared" si="5"/>
        <v>0</v>
      </c>
    </row>
    <row r="2967">
      <c r="G2967" s="7"/>
      <c r="M2967" s="7">
        <f t="shared" si="5"/>
        <v>0</v>
      </c>
    </row>
    <row r="2968">
      <c r="G2968" s="7"/>
      <c r="M2968" s="7">
        <f t="shared" si="5"/>
        <v>0</v>
      </c>
    </row>
    <row r="2969">
      <c r="G2969" s="7"/>
      <c r="M2969" s="7">
        <f t="shared" si="5"/>
        <v>0</v>
      </c>
    </row>
    <row r="2970">
      <c r="G2970" s="7"/>
      <c r="M2970" s="7">
        <f t="shared" si="5"/>
        <v>0</v>
      </c>
    </row>
    <row r="2971">
      <c r="G2971" s="7"/>
      <c r="M2971" s="7">
        <f t="shared" si="5"/>
        <v>0</v>
      </c>
    </row>
    <row r="2972">
      <c r="G2972" s="7"/>
      <c r="M2972" s="7">
        <f t="shared" si="5"/>
        <v>0</v>
      </c>
    </row>
    <row r="2973">
      <c r="G2973" s="7"/>
      <c r="M2973" s="7">
        <f t="shared" si="5"/>
        <v>0</v>
      </c>
    </row>
    <row r="2974">
      <c r="G2974" s="7"/>
      <c r="M2974" s="7">
        <f t="shared" si="5"/>
        <v>0</v>
      </c>
    </row>
    <row r="2975">
      <c r="G2975" s="7"/>
      <c r="M2975" s="7">
        <f t="shared" si="5"/>
        <v>0</v>
      </c>
    </row>
    <row r="2976">
      <c r="G2976" s="7"/>
      <c r="M2976" s="7">
        <f t="shared" si="5"/>
        <v>0</v>
      </c>
    </row>
    <row r="2977">
      <c r="G2977" s="7"/>
      <c r="M2977" s="7">
        <f t="shared" si="5"/>
        <v>0</v>
      </c>
    </row>
    <row r="2978">
      <c r="G2978" s="7"/>
      <c r="M2978" s="7">
        <f t="shared" si="5"/>
        <v>0</v>
      </c>
    </row>
    <row r="2979">
      <c r="G2979" s="7"/>
      <c r="M2979" s="7">
        <f t="shared" si="5"/>
        <v>0</v>
      </c>
    </row>
    <row r="2980">
      <c r="G2980" s="7"/>
      <c r="M2980" s="7">
        <f t="shared" si="5"/>
        <v>0</v>
      </c>
    </row>
    <row r="2981">
      <c r="G2981" s="7"/>
      <c r="M2981" s="7">
        <f t="shared" si="5"/>
        <v>0</v>
      </c>
    </row>
    <row r="2982">
      <c r="G2982" s="7"/>
      <c r="M2982" s="7">
        <f t="shared" si="5"/>
        <v>0</v>
      </c>
    </row>
    <row r="2983">
      <c r="G2983" s="7"/>
      <c r="M2983" s="7">
        <f t="shared" si="5"/>
        <v>0</v>
      </c>
    </row>
    <row r="2984">
      <c r="G2984" s="7"/>
      <c r="M2984" s="7">
        <f t="shared" si="5"/>
        <v>0</v>
      </c>
    </row>
    <row r="2985">
      <c r="G2985" s="7"/>
      <c r="M2985" s="7">
        <f t="shared" si="5"/>
        <v>0</v>
      </c>
    </row>
    <row r="2986">
      <c r="G2986" s="7"/>
      <c r="M2986" s="7">
        <f t="shared" si="5"/>
        <v>0</v>
      </c>
    </row>
    <row r="2987">
      <c r="G2987" s="7"/>
      <c r="M2987" s="7">
        <f t="shared" si="5"/>
        <v>0</v>
      </c>
    </row>
    <row r="2988">
      <c r="G2988" s="7"/>
      <c r="M2988" s="7">
        <f t="shared" si="5"/>
        <v>0</v>
      </c>
    </row>
    <row r="2989">
      <c r="G2989" s="7"/>
      <c r="M2989" s="7">
        <f t="shared" si="5"/>
        <v>0</v>
      </c>
    </row>
    <row r="2990">
      <c r="G2990" s="7"/>
      <c r="M2990" s="7">
        <f t="shared" si="5"/>
        <v>0</v>
      </c>
    </row>
    <row r="2991">
      <c r="G2991" s="7"/>
      <c r="M2991" s="7">
        <f t="shared" si="5"/>
        <v>0</v>
      </c>
    </row>
    <row r="2992">
      <c r="G2992" s="7"/>
      <c r="M2992" s="7">
        <f t="shared" si="5"/>
        <v>0</v>
      </c>
    </row>
    <row r="2993">
      <c r="G2993" s="7"/>
      <c r="M2993" s="7">
        <f t="shared" si="5"/>
        <v>0</v>
      </c>
    </row>
    <row r="2994">
      <c r="G2994" s="7"/>
      <c r="M2994" s="7">
        <f t="shared" si="5"/>
        <v>0</v>
      </c>
    </row>
    <row r="2995">
      <c r="G2995" s="7"/>
      <c r="M2995" s="7">
        <f t="shared" si="5"/>
        <v>0</v>
      </c>
    </row>
    <row r="2996">
      <c r="G2996" s="7"/>
      <c r="M2996" s="7">
        <f t="shared" si="5"/>
        <v>0</v>
      </c>
    </row>
    <row r="2997">
      <c r="G2997" s="7"/>
      <c r="M2997" s="7">
        <f t="shared" si="5"/>
        <v>0</v>
      </c>
    </row>
    <row r="2998">
      <c r="G2998" s="7"/>
      <c r="M2998" s="7">
        <f t="shared" si="5"/>
        <v>0</v>
      </c>
    </row>
    <row r="2999">
      <c r="G2999" s="7"/>
      <c r="M2999" s="7">
        <f t="shared" si="5"/>
        <v>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6.75"/>
    <col customWidth="1" min="2" max="2" width="30.63"/>
    <col customWidth="1" min="3" max="3" width="17.75"/>
    <col customWidth="1" min="5" max="5" width="10.5"/>
    <col customWidth="1" min="6" max="6" width="18.38"/>
    <col customWidth="1" min="7" max="7" width="12.0"/>
    <col customWidth="1" min="8" max="8" width="31.63"/>
    <col customWidth="1" min="9" max="9" width="6.13"/>
    <col customWidth="1" min="10" max="10" width="4.75"/>
    <col customWidth="1" min="11" max="11" width="5.75"/>
    <col customWidth="1" min="12" max="12" width="3.88"/>
    <col customWidth="1" min="13" max="13" width="8.5"/>
    <col customWidth="1" min="14" max="14" width="2.88"/>
    <col customWidth="1" min="15" max="16" width="6.88"/>
  </cols>
  <sheetData>
    <row r="1">
      <c r="A1" s="1" t="s">
        <v>0</v>
      </c>
      <c r="B1" s="1" t="s">
        <v>1</v>
      </c>
      <c r="C1" s="1" t="s">
        <v>2</v>
      </c>
      <c r="D1" s="1" t="s">
        <v>3</v>
      </c>
      <c r="E1" s="1" t="s">
        <v>4</v>
      </c>
      <c r="F1" s="1" t="s">
        <v>5</v>
      </c>
      <c r="G1" s="2" t="s">
        <v>6</v>
      </c>
      <c r="H1" s="1" t="s">
        <v>7</v>
      </c>
      <c r="I1" s="1" t="s">
        <v>8</v>
      </c>
      <c r="J1" s="1" t="s">
        <v>9</v>
      </c>
      <c r="K1" s="1" t="s">
        <v>10</v>
      </c>
      <c r="L1" s="1" t="s">
        <v>11</v>
      </c>
      <c r="M1" s="3">
        <f>Sum(G:G)</f>
        <v>284.78</v>
      </c>
      <c r="N1" s="4">
        <f>sum(L:L)</f>
        <v>50</v>
      </c>
      <c r="O1" s="3">
        <f>M1/N1</f>
        <v>5.6956</v>
      </c>
      <c r="P1" s="3"/>
      <c r="Q1" s="4"/>
      <c r="R1" s="4"/>
      <c r="S1" s="4"/>
      <c r="T1" s="4"/>
      <c r="U1" s="4"/>
      <c r="V1" s="4"/>
      <c r="W1" s="4"/>
      <c r="X1" s="4"/>
      <c r="Y1" s="4"/>
    </row>
    <row r="2">
      <c r="A2" s="5" t="s">
        <v>5388</v>
      </c>
      <c r="B2" s="5" t="s">
        <v>5389</v>
      </c>
      <c r="C2" s="5" t="s">
        <v>1899</v>
      </c>
      <c r="D2" s="5" t="s">
        <v>5390</v>
      </c>
      <c r="E2" s="5" t="s">
        <v>382</v>
      </c>
      <c r="F2" s="5" t="s">
        <v>88</v>
      </c>
      <c r="G2" s="5">
        <v>6.56</v>
      </c>
      <c r="H2" s="5" t="s">
        <v>5391</v>
      </c>
      <c r="I2" s="5" t="s">
        <v>20</v>
      </c>
      <c r="J2" s="5">
        <v>2026.0</v>
      </c>
      <c r="K2" s="8">
        <v>46024.0</v>
      </c>
      <c r="L2" s="5">
        <v>1.0</v>
      </c>
    </row>
    <row r="3">
      <c r="A3" s="5" t="s">
        <v>5392</v>
      </c>
      <c r="B3" s="5" t="s">
        <v>2060</v>
      </c>
      <c r="C3" s="5" t="s">
        <v>1899</v>
      </c>
      <c r="D3" s="5" t="s">
        <v>5393</v>
      </c>
      <c r="E3" s="5" t="s">
        <v>1805</v>
      </c>
      <c r="F3" s="5" t="s">
        <v>152</v>
      </c>
      <c r="G3" s="5">
        <v>2.76</v>
      </c>
      <c r="H3" s="5" t="s">
        <v>5391</v>
      </c>
      <c r="I3" s="5" t="s">
        <v>20</v>
      </c>
      <c r="J3" s="5">
        <v>2026.0</v>
      </c>
      <c r="L3" s="5">
        <v>1.0</v>
      </c>
    </row>
    <row r="4">
      <c r="A4" s="9" t="s">
        <v>5394</v>
      </c>
      <c r="B4" s="9" t="s">
        <v>5395</v>
      </c>
      <c r="C4" s="9" t="s">
        <v>2252</v>
      </c>
      <c r="D4" s="9" t="s">
        <v>5396</v>
      </c>
      <c r="E4" s="9" t="s">
        <v>5397</v>
      </c>
      <c r="F4" s="9" t="s">
        <v>5398</v>
      </c>
      <c r="G4" s="9">
        <v>19.99</v>
      </c>
      <c r="H4" s="9" t="s">
        <v>5391</v>
      </c>
      <c r="I4" s="9" t="s">
        <v>31</v>
      </c>
      <c r="J4" s="9">
        <v>2026.0</v>
      </c>
      <c r="K4" s="10">
        <v>46084.0</v>
      </c>
      <c r="L4" s="9">
        <v>1.0</v>
      </c>
      <c r="M4" s="11"/>
      <c r="N4" s="11"/>
      <c r="O4" s="11"/>
      <c r="P4" s="11"/>
      <c r="Q4" s="11"/>
      <c r="R4" s="11"/>
      <c r="S4" s="11"/>
      <c r="T4" s="11"/>
      <c r="U4" s="11"/>
      <c r="V4" s="11"/>
      <c r="W4" s="11"/>
      <c r="X4" s="11"/>
      <c r="Y4" s="11"/>
      <c r="Z4" s="11"/>
    </row>
    <row r="5">
      <c r="A5" s="5" t="s">
        <v>5399</v>
      </c>
      <c r="B5" s="5" t="s">
        <v>5400</v>
      </c>
      <c r="C5" s="5" t="s">
        <v>1899</v>
      </c>
      <c r="D5" s="5" t="s">
        <v>5401</v>
      </c>
      <c r="E5" s="5" t="s">
        <v>1721</v>
      </c>
      <c r="F5" s="5" t="s">
        <v>80</v>
      </c>
      <c r="G5" s="5">
        <v>11.4</v>
      </c>
      <c r="H5" s="5" t="s">
        <v>5391</v>
      </c>
      <c r="I5" s="5" t="s">
        <v>20</v>
      </c>
      <c r="J5" s="5">
        <v>2026.0</v>
      </c>
      <c r="K5" s="8">
        <v>46084.0</v>
      </c>
      <c r="L5" s="5">
        <v>1.0</v>
      </c>
    </row>
    <row r="6">
      <c r="A6" s="5" t="s">
        <v>5402</v>
      </c>
      <c r="B6" s="5" t="s">
        <v>296</v>
      </c>
      <c r="C6" s="5" t="s">
        <v>1899</v>
      </c>
      <c r="D6" s="5" t="s">
        <v>5403</v>
      </c>
      <c r="F6" s="5" t="s">
        <v>80</v>
      </c>
      <c r="G6" s="5">
        <v>1.38</v>
      </c>
      <c r="H6" s="5" t="s">
        <v>5391</v>
      </c>
      <c r="I6" s="5" t="s">
        <v>20</v>
      </c>
      <c r="J6" s="5">
        <v>2026.0</v>
      </c>
      <c r="L6" s="5">
        <v>1.0</v>
      </c>
    </row>
    <row r="7">
      <c r="A7" s="5" t="s">
        <v>5404</v>
      </c>
      <c r="B7" s="5" t="s">
        <v>2060</v>
      </c>
      <c r="C7" s="5" t="s">
        <v>1951</v>
      </c>
      <c r="D7" s="5" t="s">
        <v>5405</v>
      </c>
      <c r="E7" s="5" t="s">
        <v>3371</v>
      </c>
      <c r="F7" s="5" t="s">
        <v>3194</v>
      </c>
      <c r="G7" s="5">
        <v>0.49</v>
      </c>
      <c r="H7" s="5" t="s">
        <v>5391</v>
      </c>
      <c r="I7" s="5" t="s">
        <v>20</v>
      </c>
      <c r="J7" s="5">
        <v>2026.0</v>
      </c>
      <c r="L7" s="5">
        <v>1.0</v>
      </c>
    </row>
    <row r="8">
      <c r="A8" s="5" t="s">
        <v>5406</v>
      </c>
      <c r="B8" s="5" t="s">
        <v>2415</v>
      </c>
      <c r="C8" s="5" t="s">
        <v>1899</v>
      </c>
      <c r="D8" s="5" t="s">
        <v>5407</v>
      </c>
      <c r="E8" s="5" t="s">
        <v>1782</v>
      </c>
      <c r="F8" s="5" t="s">
        <v>152</v>
      </c>
      <c r="G8" s="5">
        <v>2.76</v>
      </c>
      <c r="H8" s="5" t="s">
        <v>5391</v>
      </c>
      <c r="I8" s="5" t="s">
        <v>20</v>
      </c>
      <c r="J8" s="5">
        <v>2026.0</v>
      </c>
      <c r="K8" s="8">
        <v>46084.0</v>
      </c>
      <c r="L8" s="5">
        <v>1.0</v>
      </c>
    </row>
    <row r="9">
      <c r="A9" s="5" t="s">
        <v>5408</v>
      </c>
      <c r="B9" s="5" t="s">
        <v>5409</v>
      </c>
      <c r="C9" s="5" t="s">
        <v>297</v>
      </c>
      <c r="F9" s="5" t="s">
        <v>679</v>
      </c>
      <c r="G9" s="5">
        <v>0.25</v>
      </c>
      <c r="H9" s="5" t="s">
        <v>5391</v>
      </c>
      <c r="I9" s="5" t="s">
        <v>20</v>
      </c>
      <c r="J9" s="5">
        <v>2026.0</v>
      </c>
      <c r="L9" s="5">
        <v>1.0</v>
      </c>
    </row>
    <row r="10">
      <c r="A10" s="5" t="s">
        <v>5410</v>
      </c>
      <c r="B10" s="5" t="s">
        <v>5411</v>
      </c>
      <c r="C10" s="5" t="s">
        <v>2252</v>
      </c>
      <c r="D10" s="5" t="s">
        <v>5412</v>
      </c>
      <c r="E10" s="5" t="s">
        <v>1746</v>
      </c>
      <c r="F10" s="5" t="s">
        <v>152</v>
      </c>
      <c r="G10" s="5">
        <v>20.81</v>
      </c>
      <c r="H10" s="5" t="s">
        <v>5391</v>
      </c>
      <c r="I10" s="5" t="s">
        <v>20</v>
      </c>
      <c r="J10" s="5">
        <v>2026.0</v>
      </c>
      <c r="L10" s="5">
        <v>1.0</v>
      </c>
    </row>
    <row r="11">
      <c r="A11" s="5" t="s">
        <v>5413</v>
      </c>
      <c r="B11" s="5" t="s">
        <v>5414</v>
      </c>
      <c r="C11" s="5" t="s">
        <v>1899</v>
      </c>
      <c r="D11" s="5" t="s">
        <v>5415</v>
      </c>
      <c r="F11" s="5" t="s">
        <v>80</v>
      </c>
      <c r="G11" s="5">
        <v>2.88</v>
      </c>
      <c r="H11" s="5" t="s">
        <v>5391</v>
      </c>
      <c r="I11" s="5" t="s">
        <v>20</v>
      </c>
      <c r="J11" s="5">
        <v>2026.0</v>
      </c>
      <c r="L11" s="5">
        <v>1.0</v>
      </c>
    </row>
    <row r="12">
      <c r="A12" s="5" t="s">
        <v>5416</v>
      </c>
      <c r="B12" s="5" t="s">
        <v>5417</v>
      </c>
      <c r="C12" s="5" t="s">
        <v>1899</v>
      </c>
      <c r="D12" s="5" t="s">
        <v>5418</v>
      </c>
      <c r="F12" s="5" t="s">
        <v>3202</v>
      </c>
      <c r="G12" s="5">
        <v>3.3</v>
      </c>
      <c r="H12" s="5" t="s">
        <v>5391</v>
      </c>
      <c r="I12" s="5" t="s">
        <v>20</v>
      </c>
      <c r="J12" s="5">
        <v>2026.0</v>
      </c>
      <c r="L12" s="5">
        <v>1.0</v>
      </c>
    </row>
    <row r="13">
      <c r="A13" s="5" t="s">
        <v>5419</v>
      </c>
      <c r="B13" s="5" t="s">
        <v>5420</v>
      </c>
      <c r="C13" s="5" t="s">
        <v>1899</v>
      </c>
      <c r="D13" s="5" t="s">
        <v>5421</v>
      </c>
      <c r="E13" s="5" t="s">
        <v>5422</v>
      </c>
      <c r="F13" s="5" t="s">
        <v>3202</v>
      </c>
      <c r="G13" s="5">
        <v>5.64</v>
      </c>
      <c r="H13" s="5" t="s">
        <v>5391</v>
      </c>
      <c r="I13" s="5" t="s">
        <v>20</v>
      </c>
      <c r="J13" s="5">
        <v>2026.0</v>
      </c>
      <c r="K13" s="8">
        <v>46084.0</v>
      </c>
      <c r="L13" s="5">
        <v>1.0</v>
      </c>
    </row>
    <row r="14">
      <c r="A14" s="5" t="s">
        <v>5423</v>
      </c>
      <c r="B14" s="5" t="s">
        <v>296</v>
      </c>
      <c r="C14" s="5" t="s">
        <v>1951</v>
      </c>
      <c r="D14" s="5" t="s">
        <v>5424</v>
      </c>
      <c r="F14" s="5" t="s">
        <v>80</v>
      </c>
      <c r="G14" s="5">
        <v>1.78</v>
      </c>
      <c r="H14" s="5" t="s">
        <v>5391</v>
      </c>
      <c r="I14" s="5" t="s">
        <v>20</v>
      </c>
      <c r="J14" s="5">
        <v>2026.0</v>
      </c>
      <c r="L14" s="5">
        <v>1.0</v>
      </c>
    </row>
    <row r="15">
      <c r="A15" s="5" t="s">
        <v>5425</v>
      </c>
      <c r="B15" s="5" t="s">
        <v>5426</v>
      </c>
      <c r="C15" s="5" t="s">
        <v>1951</v>
      </c>
      <c r="D15" s="5" t="s">
        <v>5427</v>
      </c>
      <c r="E15" s="5" t="s">
        <v>1840</v>
      </c>
      <c r="F15" s="5" t="s">
        <v>152</v>
      </c>
      <c r="G15" s="5">
        <v>0.25</v>
      </c>
      <c r="H15" s="5" t="s">
        <v>5428</v>
      </c>
      <c r="I15" s="5" t="s">
        <v>20</v>
      </c>
      <c r="J15" s="5">
        <v>2026.0</v>
      </c>
      <c r="K15" s="8">
        <v>46116.0</v>
      </c>
      <c r="L15" s="5">
        <v>1.0</v>
      </c>
    </row>
    <row r="16">
      <c r="A16" s="5" t="s">
        <v>300</v>
      </c>
      <c r="B16" s="5" t="s">
        <v>296</v>
      </c>
      <c r="C16" s="5" t="s">
        <v>1951</v>
      </c>
      <c r="D16" s="5" t="s">
        <v>5429</v>
      </c>
      <c r="F16" s="5" t="s">
        <v>5398</v>
      </c>
      <c r="G16" s="5">
        <v>0.4</v>
      </c>
      <c r="H16" s="5" t="s">
        <v>5391</v>
      </c>
      <c r="I16" s="5" t="s">
        <v>20</v>
      </c>
      <c r="J16" s="5">
        <v>2026.0</v>
      </c>
      <c r="L16" s="5">
        <v>1.0</v>
      </c>
    </row>
    <row r="17">
      <c r="A17" s="5" t="s">
        <v>5430</v>
      </c>
      <c r="B17" s="5" t="s">
        <v>5431</v>
      </c>
      <c r="C17" s="5" t="s">
        <v>1899</v>
      </c>
      <c r="D17" s="5" t="s">
        <v>5432</v>
      </c>
      <c r="E17" s="5" t="s">
        <v>3430</v>
      </c>
      <c r="F17" s="5" t="s">
        <v>166</v>
      </c>
      <c r="G17" s="5">
        <v>18.75</v>
      </c>
      <c r="H17" s="5" t="s">
        <v>5391</v>
      </c>
      <c r="I17" s="5" t="s">
        <v>20</v>
      </c>
      <c r="J17" s="5">
        <v>2026.0</v>
      </c>
      <c r="K17" s="8">
        <v>46116.0</v>
      </c>
      <c r="L17" s="5">
        <v>1.0</v>
      </c>
    </row>
    <row r="18">
      <c r="A18" s="5" t="s">
        <v>5433</v>
      </c>
      <c r="B18" s="5" t="s">
        <v>4877</v>
      </c>
      <c r="C18" s="5" t="s">
        <v>1899</v>
      </c>
      <c r="D18" s="5" t="s">
        <v>5434</v>
      </c>
      <c r="E18" s="5" t="s">
        <v>1683</v>
      </c>
      <c r="F18" s="5" t="s">
        <v>80</v>
      </c>
      <c r="G18" s="5">
        <v>2.72</v>
      </c>
      <c r="H18" s="5" t="s">
        <v>5391</v>
      </c>
      <c r="I18" s="5" t="s">
        <v>20</v>
      </c>
      <c r="J18" s="5">
        <v>2026.0</v>
      </c>
      <c r="K18" s="8">
        <v>46116.0</v>
      </c>
      <c r="L18" s="5">
        <v>1.0</v>
      </c>
    </row>
    <row r="19">
      <c r="A19" s="5" t="s">
        <v>5435</v>
      </c>
      <c r="B19" s="5" t="s">
        <v>5436</v>
      </c>
      <c r="C19" s="5" t="s">
        <v>1899</v>
      </c>
      <c r="D19" s="5" t="s">
        <v>5437</v>
      </c>
      <c r="E19" s="5" t="s">
        <v>1721</v>
      </c>
      <c r="F19" s="5" t="s">
        <v>80</v>
      </c>
      <c r="G19" s="5">
        <v>9.4</v>
      </c>
      <c r="H19" s="5" t="s">
        <v>5391</v>
      </c>
      <c r="I19" s="5" t="s">
        <v>20</v>
      </c>
      <c r="J19" s="5">
        <v>2026.0</v>
      </c>
      <c r="L19" s="5">
        <v>1.0</v>
      </c>
    </row>
    <row r="20">
      <c r="A20" s="5" t="s">
        <v>5438</v>
      </c>
      <c r="B20" s="5" t="s">
        <v>5439</v>
      </c>
      <c r="C20" s="5" t="s">
        <v>297</v>
      </c>
      <c r="D20" s="5" t="s">
        <v>5440</v>
      </c>
      <c r="F20" s="5" t="s">
        <v>166</v>
      </c>
      <c r="G20" s="5">
        <v>0.25</v>
      </c>
      <c r="H20" s="5" t="s">
        <v>5428</v>
      </c>
      <c r="I20" s="5" t="s">
        <v>20</v>
      </c>
      <c r="J20" s="5">
        <v>2026.0</v>
      </c>
      <c r="L20" s="5">
        <v>2.0</v>
      </c>
    </row>
    <row r="21">
      <c r="A21" s="5" t="s">
        <v>5441</v>
      </c>
      <c r="B21" s="5" t="s">
        <v>296</v>
      </c>
      <c r="C21" s="5" t="s">
        <v>1899</v>
      </c>
      <c r="D21" s="5" t="s">
        <v>5442</v>
      </c>
      <c r="F21" s="5" t="s">
        <v>3189</v>
      </c>
      <c r="G21" s="5">
        <v>1.68</v>
      </c>
      <c r="H21" s="5" t="s">
        <v>5391</v>
      </c>
      <c r="I21" s="5" t="s">
        <v>20</v>
      </c>
      <c r="J21" s="5">
        <v>2026.0</v>
      </c>
      <c r="L21" s="5">
        <v>1.0</v>
      </c>
    </row>
    <row r="22">
      <c r="A22" s="5" t="s">
        <v>5443</v>
      </c>
      <c r="B22" s="5" t="s">
        <v>1898</v>
      </c>
      <c r="C22" s="5" t="s">
        <v>1951</v>
      </c>
      <c r="D22" s="5" t="s">
        <v>5444</v>
      </c>
      <c r="E22" s="5" t="s">
        <v>1037</v>
      </c>
      <c r="F22" s="5" t="s">
        <v>80</v>
      </c>
      <c r="G22" s="5">
        <v>8.09</v>
      </c>
      <c r="H22" s="5" t="s">
        <v>5391</v>
      </c>
      <c r="I22" s="5" t="s">
        <v>20</v>
      </c>
      <c r="J22" s="5">
        <v>2026.0</v>
      </c>
      <c r="L22" s="5">
        <v>1.0</v>
      </c>
    </row>
    <row r="23">
      <c r="A23" s="5" t="s">
        <v>5445</v>
      </c>
      <c r="B23" s="5" t="s">
        <v>5400</v>
      </c>
      <c r="C23" s="5" t="s">
        <v>1899</v>
      </c>
      <c r="D23" s="5" t="s">
        <v>5446</v>
      </c>
      <c r="E23" s="5" t="s">
        <v>1034</v>
      </c>
      <c r="F23" s="5" t="s">
        <v>80</v>
      </c>
      <c r="G23" s="5">
        <v>9.36</v>
      </c>
      <c r="H23" s="5" t="s">
        <v>5391</v>
      </c>
      <c r="I23" s="5" t="s">
        <v>20</v>
      </c>
      <c r="J23" s="5">
        <v>2026.0</v>
      </c>
      <c r="K23" s="8">
        <v>46055.0</v>
      </c>
      <c r="L23" s="5">
        <v>1.0</v>
      </c>
    </row>
    <row r="24">
      <c r="A24" s="5" t="s">
        <v>5447</v>
      </c>
      <c r="B24" s="5" t="s">
        <v>2060</v>
      </c>
      <c r="C24" s="5" t="s">
        <v>1899</v>
      </c>
      <c r="D24" s="5" t="s">
        <v>5448</v>
      </c>
      <c r="E24" s="5" t="s">
        <v>2324</v>
      </c>
      <c r="F24" s="5" t="s">
        <v>88</v>
      </c>
      <c r="G24" s="5">
        <v>51.75</v>
      </c>
      <c r="H24" s="5" t="s">
        <v>5391</v>
      </c>
      <c r="I24" s="5" t="s">
        <v>20</v>
      </c>
      <c r="J24" s="5">
        <v>2026.0</v>
      </c>
      <c r="L24" s="5">
        <v>1.0</v>
      </c>
    </row>
    <row r="25">
      <c r="A25" s="5" t="s">
        <v>5449</v>
      </c>
      <c r="B25" s="5" t="s">
        <v>5450</v>
      </c>
      <c r="C25" s="5" t="s">
        <v>297</v>
      </c>
      <c r="D25" s="5" t="s">
        <v>5451</v>
      </c>
      <c r="F25" s="5" t="s">
        <v>152</v>
      </c>
      <c r="G25" s="5">
        <v>0.25</v>
      </c>
      <c r="H25" s="5" t="s">
        <v>5428</v>
      </c>
      <c r="I25" s="5" t="s">
        <v>20</v>
      </c>
      <c r="J25" s="5">
        <v>2026.0</v>
      </c>
      <c r="L25" s="5">
        <v>1.0</v>
      </c>
    </row>
    <row r="26">
      <c r="A26" s="5" t="s">
        <v>5452</v>
      </c>
      <c r="B26" s="5" t="s">
        <v>5453</v>
      </c>
      <c r="C26" s="5" t="s">
        <v>1899</v>
      </c>
      <c r="D26" s="5" t="s">
        <v>5454</v>
      </c>
      <c r="E26" s="5" t="s">
        <v>5455</v>
      </c>
      <c r="F26" s="5" t="s">
        <v>3189</v>
      </c>
      <c r="G26" s="5">
        <v>5.4</v>
      </c>
      <c r="H26" s="5" t="s">
        <v>5391</v>
      </c>
      <c r="I26" s="5" t="s">
        <v>20</v>
      </c>
      <c r="J26" s="5">
        <v>2026.0</v>
      </c>
      <c r="K26" s="8">
        <v>46055.0</v>
      </c>
      <c r="L26" s="5">
        <v>1.0</v>
      </c>
    </row>
    <row r="27">
      <c r="A27" s="5" t="s">
        <v>5456</v>
      </c>
      <c r="B27" s="5" t="s">
        <v>1898</v>
      </c>
      <c r="C27" s="5" t="s">
        <v>1899</v>
      </c>
      <c r="D27" s="5" t="s">
        <v>5457</v>
      </c>
      <c r="E27" s="5" t="s">
        <v>1721</v>
      </c>
      <c r="F27" s="5" t="s">
        <v>80</v>
      </c>
      <c r="G27" s="5">
        <v>13.61</v>
      </c>
      <c r="H27" s="5" t="s">
        <v>5391</v>
      </c>
      <c r="I27" s="5" t="s">
        <v>20</v>
      </c>
      <c r="J27" s="5">
        <v>2026.0</v>
      </c>
      <c r="L27" s="5">
        <v>1.0</v>
      </c>
    </row>
    <row r="28">
      <c r="A28" s="5" t="s">
        <v>5458</v>
      </c>
      <c r="B28" s="5" t="s">
        <v>296</v>
      </c>
      <c r="C28" s="5" t="s">
        <v>1899</v>
      </c>
      <c r="D28" s="5" t="s">
        <v>5459</v>
      </c>
      <c r="F28" s="5" t="s">
        <v>3189</v>
      </c>
      <c r="G28" s="5">
        <v>2.92</v>
      </c>
      <c r="H28" s="5" t="s">
        <v>5391</v>
      </c>
      <c r="I28" s="5" t="s">
        <v>20</v>
      </c>
      <c r="J28" s="5">
        <v>2026.0</v>
      </c>
      <c r="L28" s="5">
        <v>1.0</v>
      </c>
    </row>
    <row r="29">
      <c r="A29" s="5" t="s">
        <v>5460</v>
      </c>
      <c r="B29" s="5" t="s">
        <v>5461</v>
      </c>
      <c r="C29" s="5" t="s">
        <v>1899</v>
      </c>
      <c r="D29" s="5" t="s">
        <v>5462</v>
      </c>
      <c r="E29" s="5" t="s">
        <v>1037</v>
      </c>
      <c r="F29" s="5" t="s">
        <v>80</v>
      </c>
      <c r="G29" s="5">
        <v>1.77</v>
      </c>
      <c r="H29" s="5" t="s">
        <v>5391</v>
      </c>
      <c r="I29" s="5" t="s">
        <v>20</v>
      </c>
      <c r="J29" s="5">
        <v>2026.0</v>
      </c>
      <c r="L29" s="5">
        <v>1.0</v>
      </c>
    </row>
    <row r="30">
      <c r="A30" s="5" t="s">
        <v>5463</v>
      </c>
      <c r="B30" s="5" t="s">
        <v>2060</v>
      </c>
      <c r="C30" s="5" t="s">
        <v>1899</v>
      </c>
      <c r="D30" s="5" t="s">
        <v>5464</v>
      </c>
      <c r="E30" s="5" t="s">
        <v>1782</v>
      </c>
      <c r="F30" s="5" t="s">
        <v>152</v>
      </c>
      <c r="G30" s="5">
        <v>1.42</v>
      </c>
      <c r="H30" s="5" t="s">
        <v>5391</v>
      </c>
      <c r="I30" s="5" t="s">
        <v>20</v>
      </c>
      <c r="J30" s="5">
        <v>2026.0</v>
      </c>
      <c r="L30" s="5">
        <v>1.0</v>
      </c>
    </row>
    <row r="31">
      <c r="A31" s="5" t="s">
        <v>5465</v>
      </c>
      <c r="B31" s="5" t="s">
        <v>5466</v>
      </c>
      <c r="C31" s="5" t="s">
        <v>1951</v>
      </c>
      <c r="D31" s="5" t="s">
        <v>5467</v>
      </c>
      <c r="E31" s="5" t="s">
        <v>382</v>
      </c>
      <c r="F31" s="5" t="s">
        <v>88</v>
      </c>
      <c r="G31" s="5">
        <v>0.85</v>
      </c>
      <c r="H31" s="5" t="s">
        <v>5391</v>
      </c>
      <c r="I31" s="5" t="s">
        <v>20</v>
      </c>
      <c r="J31" s="5">
        <v>2026.0</v>
      </c>
      <c r="K31" s="8">
        <v>46024.0</v>
      </c>
      <c r="L31" s="5">
        <v>1.0</v>
      </c>
    </row>
    <row r="32">
      <c r="A32" s="5" t="s">
        <v>5468</v>
      </c>
      <c r="B32" s="5" t="s">
        <v>296</v>
      </c>
      <c r="C32" s="5" t="s">
        <v>297</v>
      </c>
      <c r="D32" s="5" t="s">
        <v>5469</v>
      </c>
      <c r="F32" s="5" t="s">
        <v>80</v>
      </c>
      <c r="G32" s="5">
        <v>1.96</v>
      </c>
      <c r="H32" s="5" t="s">
        <v>5391</v>
      </c>
      <c r="I32" s="5" t="s">
        <v>20</v>
      </c>
      <c r="J32" s="5">
        <v>2026.0</v>
      </c>
      <c r="L32" s="5">
        <v>1.0</v>
      </c>
    </row>
    <row r="33">
      <c r="A33" s="5" t="s">
        <v>5470</v>
      </c>
      <c r="B33" s="5" t="s">
        <v>5471</v>
      </c>
      <c r="C33" s="5" t="s">
        <v>1899</v>
      </c>
      <c r="D33" s="5" t="s">
        <v>5472</v>
      </c>
      <c r="E33" s="5" t="s">
        <v>3659</v>
      </c>
      <c r="F33" s="5" t="s">
        <v>3202</v>
      </c>
      <c r="G33" s="5">
        <v>9.34</v>
      </c>
      <c r="H33" s="5" t="s">
        <v>5391</v>
      </c>
      <c r="I33" s="5" t="s">
        <v>20</v>
      </c>
      <c r="J33" s="5">
        <v>2026.0</v>
      </c>
      <c r="K33" s="8">
        <v>46115.0</v>
      </c>
      <c r="L33" s="5">
        <v>1.0</v>
      </c>
    </row>
    <row r="34">
      <c r="A34" s="5" t="s">
        <v>5473</v>
      </c>
      <c r="B34" s="5" t="s">
        <v>380</v>
      </c>
      <c r="C34" s="5" t="s">
        <v>297</v>
      </c>
      <c r="D34" s="5" t="s">
        <v>5474</v>
      </c>
      <c r="E34" s="5" t="s">
        <v>1782</v>
      </c>
      <c r="F34" s="5" t="s">
        <v>152</v>
      </c>
      <c r="G34" s="5">
        <v>0.14</v>
      </c>
      <c r="H34" s="5" t="s">
        <v>5391</v>
      </c>
      <c r="I34" s="5" t="s">
        <v>20</v>
      </c>
      <c r="J34" s="5">
        <v>2026.0</v>
      </c>
      <c r="L34" s="5">
        <v>1.0</v>
      </c>
    </row>
    <row r="35">
      <c r="A35" s="5" t="s">
        <v>5475</v>
      </c>
      <c r="B35" s="5" t="s">
        <v>5476</v>
      </c>
      <c r="C35" s="5" t="s">
        <v>297</v>
      </c>
      <c r="D35" s="5" t="s">
        <v>5477</v>
      </c>
      <c r="F35" s="5" t="s">
        <v>88</v>
      </c>
      <c r="G35" s="5">
        <v>0.25</v>
      </c>
      <c r="H35" s="5" t="s">
        <v>5428</v>
      </c>
      <c r="I35" s="5" t="s">
        <v>20</v>
      </c>
      <c r="J35" s="5">
        <v>2026.0</v>
      </c>
      <c r="L35" s="5">
        <v>3.0</v>
      </c>
    </row>
    <row r="36">
      <c r="A36" s="5" t="s">
        <v>5449</v>
      </c>
      <c r="B36" s="5" t="s">
        <v>5450</v>
      </c>
      <c r="C36" s="5" t="s">
        <v>297</v>
      </c>
      <c r="D36" s="5" t="s">
        <v>5451</v>
      </c>
      <c r="F36" s="5" t="s">
        <v>152</v>
      </c>
      <c r="G36" s="5">
        <v>0.25</v>
      </c>
      <c r="H36" s="5" t="s">
        <v>5428</v>
      </c>
      <c r="I36" s="5" t="s">
        <v>20</v>
      </c>
      <c r="J36" s="5">
        <v>2026.0</v>
      </c>
      <c r="L36" s="5">
        <v>1.0</v>
      </c>
    </row>
    <row r="37">
      <c r="A37" s="5" t="s">
        <v>5478</v>
      </c>
      <c r="B37" s="5" t="s">
        <v>296</v>
      </c>
      <c r="C37" s="5" t="s">
        <v>1951</v>
      </c>
      <c r="D37" s="5" t="s">
        <v>5479</v>
      </c>
      <c r="F37" s="5" t="s">
        <v>80</v>
      </c>
      <c r="G37" s="5">
        <v>7.9</v>
      </c>
      <c r="H37" s="5" t="s">
        <v>5391</v>
      </c>
      <c r="I37" s="5" t="s">
        <v>20</v>
      </c>
      <c r="J37" s="5">
        <v>2026.0</v>
      </c>
      <c r="L37" s="5">
        <v>1.0</v>
      </c>
    </row>
    <row r="38">
      <c r="A38" s="5" t="s">
        <v>5480</v>
      </c>
      <c r="B38" s="5" t="s">
        <v>1756</v>
      </c>
      <c r="C38" s="5" t="s">
        <v>1899</v>
      </c>
      <c r="D38" s="5" t="s">
        <v>5481</v>
      </c>
      <c r="E38" s="5" t="s">
        <v>2400</v>
      </c>
      <c r="F38" s="5" t="s">
        <v>3202</v>
      </c>
      <c r="G38" s="5">
        <v>7.95</v>
      </c>
      <c r="H38" s="5" t="s">
        <v>5391</v>
      </c>
      <c r="I38" s="5" t="s">
        <v>20</v>
      </c>
      <c r="J38" s="5">
        <v>2026.0</v>
      </c>
      <c r="L38" s="5">
        <v>1.0</v>
      </c>
    </row>
    <row r="39">
      <c r="A39" s="5" t="s">
        <v>5482</v>
      </c>
      <c r="B39" s="5" t="s">
        <v>2016</v>
      </c>
      <c r="C39" s="5" t="s">
        <v>1899</v>
      </c>
      <c r="D39" s="5" t="s">
        <v>5483</v>
      </c>
      <c r="E39" s="5" t="s">
        <v>1782</v>
      </c>
      <c r="F39" s="5" t="s">
        <v>152</v>
      </c>
      <c r="G39" s="5">
        <v>3.75</v>
      </c>
      <c r="H39" s="5" t="s">
        <v>5391</v>
      </c>
      <c r="I39" s="5" t="s">
        <v>20</v>
      </c>
      <c r="J39" s="5">
        <v>2026.0</v>
      </c>
      <c r="L39" s="5">
        <v>1.0</v>
      </c>
    </row>
    <row r="40">
      <c r="A40" s="5" t="s">
        <v>5484</v>
      </c>
      <c r="B40" s="5" t="s">
        <v>296</v>
      </c>
      <c r="C40" s="5" t="s">
        <v>297</v>
      </c>
      <c r="D40" s="5" t="s">
        <v>5485</v>
      </c>
      <c r="F40" s="5" t="s">
        <v>80</v>
      </c>
      <c r="G40" s="5">
        <v>0.59</v>
      </c>
      <c r="H40" s="5" t="s">
        <v>5391</v>
      </c>
      <c r="I40" s="5" t="s">
        <v>20</v>
      </c>
      <c r="J40" s="5">
        <v>2026.0</v>
      </c>
      <c r="L40" s="5">
        <v>1.0</v>
      </c>
    </row>
    <row r="41">
      <c r="A41" s="5" t="s">
        <v>5486</v>
      </c>
      <c r="B41" s="5" t="s">
        <v>296</v>
      </c>
      <c r="C41" s="5" t="s">
        <v>1899</v>
      </c>
      <c r="D41" s="5" t="s">
        <v>5487</v>
      </c>
      <c r="F41" s="5" t="s">
        <v>3202</v>
      </c>
      <c r="G41" s="5">
        <v>1.78</v>
      </c>
      <c r="H41" s="5" t="s">
        <v>5391</v>
      </c>
      <c r="I41" s="5" t="s">
        <v>20</v>
      </c>
      <c r="J41" s="5">
        <v>2026.0</v>
      </c>
      <c r="L41" s="5">
        <v>1.0</v>
      </c>
    </row>
    <row r="42">
      <c r="A42" s="5" t="s">
        <v>5488</v>
      </c>
      <c r="B42" s="5" t="s">
        <v>5389</v>
      </c>
      <c r="C42" s="5" t="s">
        <v>1899</v>
      </c>
      <c r="D42" s="5" t="s">
        <v>5489</v>
      </c>
      <c r="E42" s="5" t="s">
        <v>2369</v>
      </c>
      <c r="F42" s="5" t="s">
        <v>166</v>
      </c>
      <c r="G42" s="5">
        <v>2.82</v>
      </c>
      <c r="H42" s="5" t="s">
        <v>5391</v>
      </c>
      <c r="I42" s="5" t="s">
        <v>20</v>
      </c>
      <c r="J42" s="5">
        <v>2026.0</v>
      </c>
      <c r="K42" s="8">
        <v>46114.0</v>
      </c>
      <c r="L42" s="5">
        <v>1.0</v>
      </c>
    </row>
    <row r="43">
      <c r="A43" s="5" t="s">
        <v>5490</v>
      </c>
      <c r="B43" s="5" t="s">
        <v>5491</v>
      </c>
      <c r="C43" s="5" t="s">
        <v>1899</v>
      </c>
      <c r="D43" s="5" t="s">
        <v>5492</v>
      </c>
      <c r="E43" s="5" t="s">
        <v>5422</v>
      </c>
      <c r="F43" s="5" t="s">
        <v>3202</v>
      </c>
      <c r="G43" s="5">
        <v>2.67</v>
      </c>
      <c r="H43" s="5" t="s">
        <v>5391</v>
      </c>
      <c r="I43" s="5" t="s">
        <v>20</v>
      </c>
      <c r="J43" s="5">
        <v>2026.0</v>
      </c>
      <c r="K43" s="8">
        <v>46115.0</v>
      </c>
      <c r="L43" s="5">
        <v>1.0</v>
      </c>
    </row>
    <row r="44">
      <c r="A44" s="5" t="s">
        <v>5493</v>
      </c>
      <c r="B44" s="5" t="s">
        <v>380</v>
      </c>
      <c r="C44" s="5" t="s">
        <v>1951</v>
      </c>
      <c r="D44" s="5" t="s">
        <v>5494</v>
      </c>
      <c r="E44" s="5" t="s">
        <v>715</v>
      </c>
      <c r="F44" s="5" t="s">
        <v>152</v>
      </c>
      <c r="G44" s="5">
        <v>12.46</v>
      </c>
      <c r="H44" s="5" t="s">
        <v>5391</v>
      </c>
      <c r="I44" s="5" t="s">
        <v>20</v>
      </c>
      <c r="J44" s="5">
        <v>2026.0</v>
      </c>
      <c r="L44" s="5">
        <v>1.0</v>
      </c>
    </row>
    <row r="45">
      <c r="A45" s="5" t="s">
        <v>5495</v>
      </c>
      <c r="B45" s="5" t="s">
        <v>5496</v>
      </c>
      <c r="C45" s="5" t="s">
        <v>1899</v>
      </c>
      <c r="D45" s="5" t="s">
        <v>5497</v>
      </c>
      <c r="F45" s="5" t="s">
        <v>3194</v>
      </c>
      <c r="G45" s="5">
        <v>2.91</v>
      </c>
      <c r="H45" s="5" t="s">
        <v>5391</v>
      </c>
      <c r="I45" s="5" t="s">
        <v>20</v>
      </c>
      <c r="J45" s="5">
        <v>2026.0</v>
      </c>
      <c r="L45" s="5">
        <v>1.0</v>
      </c>
    </row>
    <row r="46">
      <c r="A46" s="5" t="s">
        <v>5498</v>
      </c>
      <c r="B46" s="5" t="s">
        <v>1898</v>
      </c>
      <c r="C46" s="5" t="s">
        <v>1951</v>
      </c>
      <c r="D46" s="5" t="s">
        <v>5499</v>
      </c>
      <c r="E46" s="5" t="s">
        <v>1037</v>
      </c>
      <c r="F46" s="5" t="s">
        <v>3189</v>
      </c>
      <c r="G46" s="5">
        <v>5.63</v>
      </c>
      <c r="H46" s="5" t="s">
        <v>5391</v>
      </c>
      <c r="I46" s="5" t="s">
        <v>20</v>
      </c>
      <c r="J46" s="5">
        <v>2026.0</v>
      </c>
      <c r="L46" s="5">
        <v>1.0</v>
      </c>
    </row>
    <row r="47">
      <c r="A47" s="5" t="s">
        <v>5500</v>
      </c>
      <c r="B47" s="5" t="s">
        <v>5501</v>
      </c>
      <c r="C47" s="5" t="s">
        <v>2252</v>
      </c>
      <c r="D47" s="5" t="s">
        <v>5502</v>
      </c>
      <c r="E47" s="5" t="s">
        <v>5503</v>
      </c>
      <c r="F47" s="5" t="s">
        <v>5398</v>
      </c>
      <c r="G47" s="5">
        <v>7.51</v>
      </c>
      <c r="H47" s="5" t="s">
        <v>5391</v>
      </c>
      <c r="I47" s="5" t="s">
        <v>20</v>
      </c>
      <c r="J47" s="5">
        <v>2026.0</v>
      </c>
      <c r="K47" s="8">
        <v>46114.0</v>
      </c>
      <c r="L47" s="5">
        <v>1.0</v>
      </c>
    </row>
    <row r="48">
      <c r="A48" s="5" t="s">
        <v>5504</v>
      </c>
      <c r="B48" s="5" t="s">
        <v>5417</v>
      </c>
      <c r="C48" s="5" t="s">
        <v>1899</v>
      </c>
      <c r="D48" s="5" t="s">
        <v>5505</v>
      </c>
      <c r="F48" s="5" t="s">
        <v>3202</v>
      </c>
      <c r="G48" s="5">
        <v>8.0</v>
      </c>
      <c r="H48" s="5" t="s">
        <v>5391</v>
      </c>
      <c r="I48" s="5" t="s">
        <v>20</v>
      </c>
      <c r="J48" s="5">
        <v>2026.0</v>
      </c>
      <c r="L48" s="5">
        <v>1.0</v>
      </c>
    </row>
  </sheetData>
  <drawing r:id="rId1"/>
</worksheet>
</file>